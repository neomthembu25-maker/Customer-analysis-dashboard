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ash\Documents\Data Projects\excel projects\Coffee-Shop-Customer-Portfolio-Analysis\Dashboard\"/>
    </mc:Choice>
  </mc:AlternateContent>
  <xr:revisionPtr revIDLastSave="0" documentId="13_ncr:1_{2C9E125C-C0E9-471D-99F5-CE28A807CEA8}" xr6:coauthVersionLast="47" xr6:coauthVersionMax="47" xr10:uidLastSave="{00000000-0000-0000-0000-000000000000}"/>
  <bookViews>
    <workbookView xWindow="-120" yWindow="-120" windowWidth="20730" windowHeight="11160" activeTab="3" xr2:uid="{00000000-000D-0000-FFFF-FFFF00000000}"/>
  </bookViews>
  <sheets>
    <sheet name="index_1" sheetId="1" r:id="rId1"/>
    <sheet name="working sheet" sheetId="2" r:id="rId2"/>
    <sheet name="Customer Portfolio" sheetId="4" r:id="rId3"/>
    <sheet name="Dashboard" sheetId="11" r:id="rId4"/>
    <sheet name="Customer Analysis" sheetId="8" r:id="rId5"/>
    <sheet name="Product Analysis" sheetId="9" r:id="rId6"/>
    <sheet name="Pivot Timeline" sheetId="12" r:id="rId7"/>
  </sheets>
  <definedNames>
    <definedName name="_xlnm._FilterDatabase" localSheetId="2" hidden="1">'Customer Portfolio'!$A$1:$I$13</definedName>
    <definedName name="_xlnm._FilterDatabase" localSheetId="1" hidden="1">'working sheet'!$A$1:$F$3548</definedName>
    <definedName name="NativeTimeline_First_Purchase">#N/A</definedName>
    <definedName name="Slicer_Favorite_Product">#N/A</definedName>
    <definedName name="Slicer_Priority">#N/A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1" l="1"/>
  <c r="B25" i="1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F1214" i="4" s="1"/>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F1250" i="4" s="1"/>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F1298" i="4" s="1"/>
  <c r="E1299" i="4"/>
  <c r="E1300" i="4"/>
  <c r="E1301" i="4"/>
  <c r="E1302" i="4"/>
  <c r="F1302" i="4" s="1"/>
  <c r="E1303" i="4"/>
  <c r="E1304" i="4"/>
  <c r="E1305" i="4"/>
  <c r="E1306" i="4"/>
  <c r="F1306" i="4" s="1"/>
  <c r="E1307" i="4"/>
  <c r="E1308" i="4"/>
  <c r="E1309" i="4"/>
  <c r="E1310" i="4"/>
  <c r="F1310" i="4" s="1"/>
  <c r="E1311" i="4"/>
  <c r="E1312" i="4"/>
  <c r="E1313" i="4"/>
  <c r="F1313" i="4" s="1"/>
  <c r="E1314" i="4"/>
  <c r="E1315" i="4"/>
  <c r="E1316" i="4"/>
  <c r="E1317" i="4"/>
  <c r="E2" i="4"/>
  <c r="B17" i="11"/>
  <c r="G1317" i="4" a="1"/>
  <c r="G1317" i="4" s="1"/>
  <c r="F1317" i="4"/>
  <c r="D1317" i="4"/>
  <c r="C1317" i="4"/>
  <c r="B1317" i="4"/>
  <c r="G1316" i="4" a="1"/>
  <c r="G1316" i="4" s="1"/>
  <c r="D1316" i="4"/>
  <c r="C1316" i="4"/>
  <c r="B1316" i="4"/>
  <c r="G1315" i="4" a="1"/>
  <c r="G1315" i="4" s="1"/>
  <c r="D1315" i="4"/>
  <c r="C1315" i="4"/>
  <c r="B1315" i="4"/>
  <c r="G1314" i="4" a="1"/>
  <c r="G1314" i="4" s="1"/>
  <c r="D1314" i="4"/>
  <c r="C1314" i="4"/>
  <c r="I1314" i="4" s="1"/>
  <c r="B1314" i="4"/>
  <c r="G1313" i="4" a="1"/>
  <c r="G1313" i="4" s="1"/>
  <c r="D1313" i="4"/>
  <c r="C1313" i="4"/>
  <c r="B1313" i="4"/>
  <c r="G1312" i="4" a="1"/>
  <c r="G1312" i="4" s="1"/>
  <c r="D1312" i="4"/>
  <c r="C1312" i="4"/>
  <c r="B1312" i="4"/>
  <c r="G1311" i="4" a="1"/>
  <c r="G1311" i="4" s="1"/>
  <c r="D1311" i="4"/>
  <c r="C1311" i="4"/>
  <c r="B1311" i="4"/>
  <c r="G1310" i="4" a="1"/>
  <c r="G1310" i="4" s="1"/>
  <c r="D1310" i="4"/>
  <c r="C1310" i="4"/>
  <c r="I1310" i="4" s="1"/>
  <c r="B1310" i="4"/>
  <c r="G1309" i="4" a="1"/>
  <c r="G1309" i="4" s="1"/>
  <c r="D1309" i="4"/>
  <c r="C1309" i="4"/>
  <c r="I1309" i="4" s="1"/>
  <c r="B1309" i="4"/>
  <c r="G1308" i="4" a="1"/>
  <c r="G1308" i="4" s="1"/>
  <c r="F1308" i="4"/>
  <c r="D1308" i="4"/>
  <c r="C1308" i="4"/>
  <c r="I1308" i="4" s="1"/>
  <c r="B1308" i="4"/>
  <c r="G1307" i="4" a="1"/>
  <c r="G1307" i="4" s="1"/>
  <c r="D1307" i="4"/>
  <c r="C1307" i="4"/>
  <c r="I1307" i="4" s="1"/>
  <c r="B1307" i="4"/>
  <c r="G1306" i="4" a="1"/>
  <c r="G1306" i="4" s="1"/>
  <c r="D1306" i="4"/>
  <c r="C1306" i="4"/>
  <c r="I1306" i="4" s="1"/>
  <c r="B1306" i="4"/>
  <c r="G1305" i="4" a="1"/>
  <c r="G1305" i="4" s="1"/>
  <c r="D1305" i="4"/>
  <c r="C1305" i="4"/>
  <c r="B1305" i="4"/>
  <c r="G1304" i="4" a="1"/>
  <c r="G1304" i="4" s="1"/>
  <c r="D1304" i="4"/>
  <c r="C1304" i="4"/>
  <c r="I1304" i="4" s="1"/>
  <c r="B1304" i="4"/>
  <c r="G1303" i="4" a="1"/>
  <c r="G1303" i="4" s="1"/>
  <c r="D1303" i="4"/>
  <c r="C1303" i="4"/>
  <c r="I1303" i="4" s="1"/>
  <c r="B1303" i="4"/>
  <c r="G1302" i="4" a="1"/>
  <c r="G1302" i="4" s="1"/>
  <c r="D1302" i="4"/>
  <c r="C1302" i="4"/>
  <c r="I1302" i="4" s="1"/>
  <c r="B1302" i="4"/>
  <c r="G1301" i="4" a="1"/>
  <c r="G1301" i="4" s="1"/>
  <c r="D1301" i="4"/>
  <c r="C1301" i="4"/>
  <c r="I1301" i="4" s="1"/>
  <c r="B1301" i="4"/>
  <c r="G1300" i="4" a="1"/>
  <c r="G1300" i="4" s="1"/>
  <c r="D1300" i="4"/>
  <c r="C1300" i="4"/>
  <c r="I1300" i="4" s="1"/>
  <c r="B1300" i="4"/>
  <c r="G1299" i="4" a="1"/>
  <c r="G1299" i="4" s="1"/>
  <c r="D1299" i="4"/>
  <c r="C1299" i="4"/>
  <c r="I1299" i="4" s="1"/>
  <c r="B1299" i="4"/>
  <c r="G1298" i="4" a="1"/>
  <c r="G1298" i="4" s="1"/>
  <c r="D1298" i="4"/>
  <c r="C1298" i="4"/>
  <c r="I1298" i="4" s="1"/>
  <c r="B1298" i="4"/>
  <c r="G1297" i="4" a="1"/>
  <c r="G1297" i="4" s="1"/>
  <c r="F1297" i="4"/>
  <c r="D1297" i="4"/>
  <c r="C1297" i="4"/>
  <c r="B1297" i="4"/>
  <c r="G1296" i="4" a="1"/>
  <c r="G1296" i="4" s="1"/>
  <c r="D1296" i="4"/>
  <c r="F1296" i="4" s="1"/>
  <c r="C1296" i="4"/>
  <c r="B1296" i="4"/>
  <c r="G1295" i="4" a="1"/>
  <c r="G1295" i="4" s="1"/>
  <c r="F1295" i="4"/>
  <c r="D1295" i="4"/>
  <c r="C1295" i="4"/>
  <c r="I1295" i="4" s="1"/>
  <c r="B1295" i="4"/>
  <c r="G1294" i="4" a="1"/>
  <c r="G1294" i="4" s="1"/>
  <c r="D1294" i="4"/>
  <c r="C1294" i="4"/>
  <c r="I1294" i="4" s="1"/>
  <c r="B1294" i="4"/>
  <c r="H1294" i="4" s="1"/>
  <c r="G1293" i="4" a="1"/>
  <c r="G1293" i="4" s="1"/>
  <c r="D1293" i="4"/>
  <c r="C1293" i="4"/>
  <c r="I1293" i="4" s="1"/>
  <c r="J1293" i="4" s="1" a="1"/>
  <c r="J1293" i="4" s="1"/>
  <c r="K1293" i="4" s="1" a="1"/>
  <c r="K1293" i="4" s="1"/>
  <c r="B1293" i="4"/>
  <c r="G1292" i="4" a="1"/>
  <c r="G1292" i="4" s="1"/>
  <c r="D1292" i="4"/>
  <c r="F1292" i="4" s="1"/>
  <c r="C1292" i="4"/>
  <c r="B1292" i="4"/>
  <c r="G1291" i="4" a="1"/>
  <c r="G1291" i="4" s="1"/>
  <c r="D1291" i="4"/>
  <c r="C1291" i="4"/>
  <c r="B1291" i="4"/>
  <c r="G1290" i="4" a="1"/>
  <c r="G1290" i="4" s="1"/>
  <c r="D1290" i="4"/>
  <c r="C1290" i="4"/>
  <c r="I1290" i="4" s="1"/>
  <c r="B1290" i="4"/>
  <c r="G1289" i="4" a="1"/>
  <c r="G1289" i="4" s="1"/>
  <c r="F1289" i="4"/>
  <c r="D1289" i="4"/>
  <c r="C1289" i="4"/>
  <c r="B1289" i="4"/>
  <c r="G1288" i="4" a="1"/>
  <c r="G1288" i="4" s="1"/>
  <c r="D1288" i="4"/>
  <c r="C1288" i="4"/>
  <c r="B1288" i="4"/>
  <c r="H1287" i="4"/>
  <c r="G1287" i="4" a="1"/>
  <c r="G1287" i="4"/>
  <c r="D1287" i="4"/>
  <c r="C1287" i="4"/>
  <c r="I1287" i="4" s="1"/>
  <c r="B1287" i="4"/>
  <c r="G1286" i="4" a="1"/>
  <c r="G1286" i="4" s="1"/>
  <c r="D1286" i="4"/>
  <c r="C1286" i="4"/>
  <c r="I1286" i="4" s="1"/>
  <c r="B1286" i="4"/>
  <c r="H1286" i="4" s="1"/>
  <c r="G1285" i="4" a="1"/>
  <c r="G1285" i="4" s="1"/>
  <c r="D1285" i="4"/>
  <c r="C1285" i="4"/>
  <c r="B1285" i="4"/>
  <c r="G1284" i="4" a="1"/>
  <c r="G1284" i="4" s="1"/>
  <c r="D1284" i="4"/>
  <c r="C1284" i="4"/>
  <c r="B1284" i="4"/>
  <c r="G1283" i="4" a="1"/>
  <c r="G1283" i="4" s="1"/>
  <c r="D1283" i="4"/>
  <c r="C1283" i="4"/>
  <c r="I1283" i="4" s="1"/>
  <c r="B1283" i="4"/>
  <c r="G1282" i="4" a="1"/>
  <c r="G1282" i="4" s="1"/>
  <c r="D1282" i="4"/>
  <c r="C1282" i="4"/>
  <c r="B1282" i="4"/>
  <c r="G1281" i="4" a="1"/>
  <c r="G1281" i="4" s="1"/>
  <c r="D1281" i="4"/>
  <c r="C1281" i="4"/>
  <c r="B1281" i="4"/>
  <c r="G1280" i="4" a="1"/>
  <c r="G1280" i="4" s="1"/>
  <c r="D1280" i="4"/>
  <c r="C1280" i="4"/>
  <c r="I1280" i="4" s="1"/>
  <c r="B1280" i="4"/>
  <c r="G1279" i="4" a="1"/>
  <c r="G1279" i="4" s="1"/>
  <c r="F1279" i="4"/>
  <c r="D1279" i="4"/>
  <c r="C1279" i="4"/>
  <c r="I1279" i="4" s="1"/>
  <c r="B1279" i="4"/>
  <c r="G1278" i="4" a="1"/>
  <c r="G1278" i="4" s="1"/>
  <c r="D1278" i="4"/>
  <c r="C1278" i="4"/>
  <c r="I1278" i="4" s="1"/>
  <c r="B1278" i="4"/>
  <c r="G1277" i="4" a="1"/>
  <c r="G1277" i="4" s="1"/>
  <c r="D1277" i="4"/>
  <c r="C1277" i="4"/>
  <c r="I1277" i="4" s="1"/>
  <c r="B1277" i="4"/>
  <c r="G1276" i="4" a="1"/>
  <c r="G1276" i="4"/>
  <c r="D1276" i="4"/>
  <c r="C1276" i="4"/>
  <c r="I1276" i="4" s="1"/>
  <c r="B1276" i="4"/>
  <c r="G1275" i="4" a="1"/>
  <c r="G1275" i="4" s="1"/>
  <c r="D1275" i="4"/>
  <c r="C1275" i="4"/>
  <c r="B1275" i="4"/>
  <c r="G1274" i="4" a="1"/>
  <c r="G1274" i="4" s="1"/>
  <c r="D1274" i="4"/>
  <c r="C1274" i="4"/>
  <c r="H1274" i="4" s="1"/>
  <c r="B1274" i="4"/>
  <c r="G1273" i="4" a="1"/>
  <c r="G1273" i="4" s="1"/>
  <c r="F1273" i="4"/>
  <c r="D1273" i="4"/>
  <c r="C1273" i="4"/>
  <c r="B1273" i="4"/>
  <c r="G1272" i="4" a="1"/>
  <c r="G1272" i="4" s="1"/>
  <c r="D1272" i="4"/>
  <c r="C1272" i="4"/>
  <c r="B1272" i="4"/>
  <c r="G1271" i="4" a="1"/>
  <c r="G1271" i="4" s="1"/>
  <c r="D1271" i="4"/>
  <c r="C1271" i="4"/>
  <c r="B1271" i="4"/>
  <c r="G1270" i="4" a="1"/>
  <c r="G1270" i="4" s="1"/>
  <c r="F1270" i="4"/>
  <c r="D1270" i="4"/>
  <c r="C1270" i="4"/>
  <c r="I1270" i="4" s="1"/>
  <c r="B1270" i="4"/>
  <c r="I1269" i="4"/>
  <c r="G1269" i="4" a="1"/>
  <c r="G1269" i="4" s="1"/>
  <c r="D1269" i="4"/>
  <c r="C1269" i="4"/>
  <c r="B1269" i="4"/>
  <c r="G1268" i="4" a="1"/>
  <c r="G1268" i="4" s="1"/>
  <c r="D1268" i="4"/>
  <c r="C1268" i="4"/>
  <c r="I1268" i="4" s="1"/>
  <c r="B1268" i="4"/>
  <c r="G1267" i="4" a="1"/>
  <c r="G1267" i="4" s="1"/>
  <c r="D1267" i="4"/>
  <c r="C1267" i="4"/>
  <c r="I1267" i="4" s="1"/>
  <c r="B1267" i="4"/>
  <c r="G1266" i="4" a="1"/>
  <c r="G1266" i="4" s="1"/>
  <c r="D1266" i="4"/>
  <c r="C1266" i="4"/>
  <c r="I1266" i="4" s="1"/>
  <c r="B1266" i="4"/>
  <c r="G1265" i="4" a="1"/>
  <c r="G1265" i="4"/>
  <c r="F1265" i="4"/>
  <c r="D1265" i="4"/>
  <c r="C1265" i="4"/>
  <c r="B1265" i="4"/>
  <c r="G1264" i="4" a="1"/>
  <c r="G1264" i="4" s="1"/>
  <c r="D1264" i="4"/>
  <c r="C1264" i="4"/>
  <c r="I1264" i="4" s="1"/>
  <c r="J1264" i="4" s="1" a="1"/>
  <c r="J1264" i="4" s="1"/>
  <c r="K1264" i="4" s="1" a="1"/>
  <c r="K1264" i="4" s="1"/>
  <c r="B1264" i="4"/>
  <c r="G1263" i="4" a="1"/>
  <c r="G1263" i="4" s="1"/>
  <c r="D1263" i="4"/>
  <c r="C1263" i="4"/>
  <c r="I1263" i="4" s="1"/>
  <c r="J1263" i="4" s="1" a="1"/>
  <c r="J1263" i="4" s="1"/>
  <c r="K1263" i="4" s="1" a="1"/>
  <c r="K1263" i="4" s="1"/>
  <c r="B1263" i="4"/>
  <c r="G1262" i="4" a="1"/>
  <c r="G1262" i="4" s="1"/>
  <c r="D1262" i="4"/>
  <c r="F1262" i="4" s="1"/>
  <c r="C1262" i="4"/>
  <c r="I1262" i="4" s="1"/>
  <c r="B1262" i="4"/>
  <c r="G1261" i="4" a="1"/>
  <c r="G1261" i="4" s="1"/>
  <c r="D1261" i="4"/>
  <c r="C1261" i="4"/>
  <c r="I1261" i="4" s="1"/>
  <c r="B1261" i="4"/>
  <c r="G1260" i="4" a="1"/>
  <c r="G1260" i="4" s="1"/>
  <c r="D1260" i="4"/>
  <c r="C1260" i="4"/>
  <c r="B1260" i="4"/>
  <c r="G1259" i="4" a="1"/>
  <c r="G1259" i="4" s="1"/>
  <c r="D1259" i="4"/>
  <c r="C1259" i="4"/>
  <c r="I1259" i="4" s="1"/>
  <c r="B1259" i="4"/>
  <c r="G1258" i="4" a="1"/>
  <c r="G1258" i="4" s="1"/>
  <c r="F1258" i="4"/>
  <c r="D1258" i="4"/>
  <c r="C1258" i="4"/>
  <c r="H1258" i="4" s="1"/>
  <c r="B1258" i="4"/>
  <c r="G1257" i="4" a="1"/>
  <c r="G1257" i="4" s="1"/>
  <c r="D1257" i="4"/>
  <c r="C1257" i="4"/>
  <c r="B1257" i="4"/>
  <c r="G1256" i="4" a="1"/>
  <c r="G1256" i="4" s="1"/>
  <c r="D1256" i="4"/>
  <c r="C1256" i="4"/>
  <c r="B1256" i="4"/>
  <c r="G1255" i="4" a="1"/>
  <c r="G1255" i="4" s="1"/>
  <c r="D1255" i="4"/>
  <c r="C1255" i="4"/>
  <c r="I1255" i="4" s="1"/>
  <c r="B1255" i="4"/>
  <c r="G1254" i="4" a="1"/>
  <c r="G1254" i="4" s="1"/>
  <c r="D1254" i="4"/>
  <c r="C1254" i="4"/>
  <c r="I1254" i="4" s="1"/>
  <c r="B1254" i="4"/>
  <c r="G1253" i="4" a="1"/>
  <c r="G1253" i="4" s="1"/>
  <c r="D1253" i="4"/>
  <c r="C1253" i="4"/>
  <c r="B1253" i="4"/>
  <c r="G1252" i="4" a="1"/>
  <c r="G1252" i="4" s="1"/>
  <c r="F1252" i="4"/>
  <c r="D1252" i="4"/>
  <c r="C1252" i="4"/>
  <c r="B1252" i="4"/>
  <c r="G1251" i="4" a="1"/>
  <c r="G1251" i="4" s="1"/>
  <c r="D1251" i="4"/>
  <c r="C1251" i="4"/>
  <c r="B1251" i="4"/>
  <c r="G1250" i="4" a="1"/>
  <c r="G1250" i="4" s="1"/>
  <c r="D1250" i="4"/>
  <c r="C1250" i="4"/>
  <c r="I1250" i="4" s="1"/>
  <c r="B1250" i="4"/>
  <c r="G1249" i="4" a="1"/>
  <c r="G1249" i="4" s="1"/>
  <c r="F1249" i="4"/>
  <c r="D1249" i="4"/>
  <c r="C1249" i="4"/>
  <c r="I1249" i="4" s="1"/>
  <c r="B1249" i="4"/>
  <c r="G1248" i="4" a="1"/>
  <c r="G1248" i="4" s="1"/>
  <c r="D1248" i="4"/>
  <c r="C1248" i="4"/>
  <c r="I1248" i="4" s="1"/>
  <c r="B1248" i="4"/>
  <c r="G1247" i="4" a="1"/>
  <c r="G1247" i="4" s="1"/>
  <c r="D1247" i="4"/>
  <c r="C1247" i="4"/>
  <c r="I1247" i="4" s="1"/>
  <c r="B1247" i="4"/>
  <c r="G1246" i="4" a="1"/>
  <c r="G1246" i="4" s="1"/>
  <c r="D1246" i="4"/>
  <c r="C1246" i="4"/>
  <c r="I1246" i="4" s="1"/>
  <c r="B1246" i="4"/>
  <c r="H1246" i="4" s="1"/>
  <c r="G1245" i="4" a="1"/>
  <c r="G1245" i="4" s="1"/>
  <c r="F1245" i="4"/>
  <c r="D1245" i="4"/>
  <c r="C1245" i="4"/>
  <c r="B1245" i="4"/>
  <c r="G1244" i="4" a="1"/>
  <c r="G1244" i="4" s="1"/>
  <c r="D1244" i="4"/>
  <c r="C1244" i="4"/>
  <c r="B1244" i="4"/>
  <c r="G1243" i="4" a="1"/>
  <c r="G1243" i="4" s="1"/>
  <c r="D1243" i="4"/>
  <c r="C1243" i="4"/>
  <c r="I1243" i="4" s="1"/>
  <c r="J1243" i="4" s="1" a="1"/>
  <c r="J1243" i="4" s="1"/>
  <c r="K1243" i="4" s="1" a="1"/>
  <c r="K1243" i="4" s="1"/>
  <c r="B1243" i="4"/>
  <c r="G1242" i="4" a="1"/>
  <c r="G1242" i="4" s="1"/>
  <c r="D1242" i="4"/>
  <c r="C1242" i="4"/>
  <c r="B1242" i="4"/>
  <c r="G1241" i="4" a="1"/>
  <c r="G1241" i="4" s="1"/>
  <c r="D1241" i="4"/>
  <c r="C1241" i="4"/>
  <c r="I1241" i="4" s="1"/>
  <c r="B1241" i="4"/>
  <c r="G1240" i="4" a="1"/>
  <c r="G1240" i="4" s="1"/>
  <c r="D1240" i="4"/>
  <c r="C1240" i="4"/>
  <c r="I1240" i="4" s="1"/>
  <c r="B1240" i="4"/>
  <c r="G1239" i="4" a="1"/>
  <c r="G1239" i="4" s="1"/>
  <c r="D1239" i="4"/>
  <c r="C1239" i="4"/>
  <c r="I1239" i="4" s="1"/>
  <c r="B1239" i="4"/>
  <c r="G1238" i="4" a="1"/>
  <c r="G1238" i="4" s="1"/>
  <c r="D1238" i="4"/>
  <c r="C1238" i="4"/>
  <c r="I1238" i="4" s="1"/>
  <c r="B1238" i="4"/>
  <c r="H1238" i="4" s="1"/>
  <c r="G1237" i="4" a="1"/>
  <c r="G1237" i="4" s="1"/>
  <c r="F1237" i="4"/>
  <c r="D1237" i="4"/>
  <c r="C1237" i="4"/>
  <c r="B1237" i="4"/>
  <c r="I1236" i="4"/>
  <c r="G1236" i="4" a="1"/>
  <c r="G1236" i="4" s="1"/>
  <c r="D1236" i="4"/>
  <c r="F1236" i="4" s="1"/>
  <c r="C1236" i="4"/>
  <c r="B1236" i="4"/>
  <c r="G1235" i="4" a="1"/>
  <c r="G1235" i="4" s="1"/>
  <c r="F1235" i="4"/>
  <c r="D1235" i="4"/>
  <c r="C1235" i="4"/>
  <c r="I1235" i="4" s="1"/>
  <c r="B1235" i="4"/>
  <c r="H1235" i="4" s="1"/>
  <c r="G1234" i="4" a="1"/>
  <c r="G1234" i="4" s="1"/>
  <c r="D1234" i="4"/>
  <c r="F1234" i="4" s="1"/>
  <c r="C1234" i="4"/>
  <c r="H1234" i="4" s="1"/>
  <c r="B1234" i="4"/>
  <c r="G1233" i="4" a="1"/>
  <c r="G1233" i="4" s="1"/>
  <c r="D1233" i="4"/>
  <c r="C1233" i="4"/>
  <c r="B1233" i="4"/>
  <c r="I1232" i="4"/>
  <c r="H1232" i="4"/>
  <c r="G1232" i="4" a="1"/>
  <c r="G1232" i="4" s="1"/>
  <c r="D1232" i="4"/>
  <c r="C1232" i="4"/>
  <c r="B1232" i="4"/>
  <c r="G1231" i="4" a="1"/>
  <c r="G1231" i="4" s="1"/>
  <c r="D1231" i="4"/>
  <c r="C1231" i="4"/>
  <c r="I1231" i="4" s="1"/>
  <c r="B1231" i="4"/>
  <c r="G1230" i="4" a="1"/>
  <c r="G1230" i="4" s="1"/>
  <c r="D1230" i="4"/>
  <c r="C1230" i="4"/>
  <c r="I1230" i="4" s="1"/>
  <c r="B1230" i="4"/>
  <c r="G1229" i="4" a="1"/>
  <c r="G1229" i="4" s="1"/>
  <c r="F1229" i="4"/>
  <c r="D1229" i="4"/>
  <c r="C1229" i="4"/>
  <c r="I1229" i="4" s="1"/>
  <c r="B1229" i="4"/>
  <c r="G1228" i="4" a="1"/>
  <c r="G1228" i="4" s="1"/>
  <c r="F1228" i="4"/>
  <c r="D1228" i="4"/>
  <c r="C1228" i="4"/>
  <c r="B1228" i="4"/>
  <c r="G1227" i="4" a="1"/>
  <c r="G1227" i="4" s="1"/>
  <c r="D1227" i="4"/>
  <c r="C1227" i="4"/>
  <c r="I1227" i="4" s="1"/>
  <c r="B1227" i="4"/>
  <c r="G1226" i="4" a="1"/>
  <c r="G1226" i="4" s="1"/>
  <c r="D1226" i="4"/>
  <c r="C1226" i="4"/>
  <c r="I1226" i="4" s="1"/>
  <c r="B1226" i="4"/>
  <c r="G1225" i="4" a="1"/>
  <c r="G1225" i="4" s="1"/>
  <c r="D1225" i="4"/>
  <c r="C1225" i="4"/>
  <c r="I1225" i="4" s="1"/>
  <c r="J1225" i="4" s="1" a="1"/>
  <c r="J1225" i="4" s="1"/>
  <c r="K1225" i="4" s="1" a="1"/>
  <c r="K1225" i="4" s="1"/>
  <c r="B1225" i="4"/>
  <c r="G1224" i="4" a="1"/>
  <c r="G1224" i="4" s="1"/>
  <c r="D1224" i="4"/>
  <c r="C1224" i="4"/>
  <c r="I1224" i="4" s="1"/>
  <c r="J1224" i="4" s="1" a="1"/>
  <c r="J1224" i="4" s="1"/>
  <c r="K1224" i="4" s="1" a="1"/>
  <c r="K1224" i="4" s="1"/>
  <c r="B1224" i="4"/>
  <c r="G1223" i="4" a="1"/>
  <c r="G1223" i="4" s="1"/>
  <c r="D1223" i="4"/>
  <c r="C1223" i="4"/>
  <c r="I1223" i="4" s="1"/>
  <c r="B1223" i="4"/>
  <c r="G1222" i="4" a="1"/>
  <c r="G1222" i="4" s="1"/>
  <c r="D1222" i="4"/>
  <c r="C1222" i="4"/>
  <c r="I1222" i="4" s="1"/>
  <c r="B1222" i="4"/>
  <c r="G1221" i="4" a="1"/>
  <c r="G1221" i="4" s="1"/>
  <c r="F1221" i="4"/>
  <c r="D1221" i="4"/>
  <c r="C1221" i="4"/>
  <c r="B1221" i="4"/>
  <c r="G1220" i="4" a="1"/>
  <c r="G1220" i="4" s="1"/>
  <c r="D1220" i="4"/>
  <c r="C1220" i="4"/>
  <c r="B1220" i="4"/>
  <c r="G1219" i="4" a="1"/>
  <c r="G1219" i="4" s="1"/>
  <c r="D1219" i="4"/>
  <c r="C1219" i="4"/>
  <c r="I1219" i="4" s="1"/>
  <c r="B1219" i="4"/>
  <c r="G1218" i="4" a="1"/>
  <c r="G1218" i="4" s="1"/>
  <c r="D1218" i="4"/>
  <c r="C1218" i="4"/>
  <c r="I1218" i="4" s="1"/>
  <c r="B1218" i="4"/>
  <c r="H1218" i="4" s="1"/>
  <c r="G1217" i="4" a="1"/>
  <c r="G1217" i="4"/>
  <c r="D1217" i="4"/>
  <c r="C1217" i="4"/>
  <c r="I1217" i="4" s="1"/>
  <c r="B1217" i="4"/>
  <c r="H1217" i="4" s="1"/>
  <c r="G1216" i="4" a="1"/>
  <c r="G1216" i="4" s="1"/>
  <c r="D1216" i="4"/>
  <c r="C1216" i="4"/>
  <c r="I1216" i="4" s="1"/>
  <c r="B1216" i="4"/>
  <c r="G1215" i="4" a="1"/>
  <c r="G1215" i="4" s="1"/>
  <c r="D1215" i="4"/>
  <c r="C1215" i="4"/>
  <c r="B1215" i="4"/>
  <c r="G1214" i="4" a="1"/>
  <c r="G1214" i="4" s="1"/>
  <c r="D1214" i="4"/>
  <c r="C1214" i="4"/>
  <c r="I1214" i="4" s="1"/>
  <c r="B1214" i="4"/>
  <c r="G1213" i="4" a="1"/>
  <c r="G1213" i="4" s="1"/>
  <c r="D1213" i="4"/>
  <c r="F1213" i="4" s="1"/>
  <c r="C1213" i="4"/>
  <c r="B1213" i="4"/>
  <c r="G1212" i="4" a="1"/>
  <c r="G1212" i="4" s="1"/>
  <c r="F1212" i="4"/>
  <c r="D1212" i="4"/>
  <c r="C1212" i="4"/>
  <c r="B1212" i="4"/>
  <c r="G1211" i="4" a="1"/>
  <c r="G1211" i="4" s="1"/>
  <c r="D1211" i="4"/>
  <c r="C1211" i="4"/>
  <c r="I1211" i="4" s="1"/>
  <c r="B1211" i="4"/>
  <c r="G1210" i="4" a="1"/>
  <c r="G1210" i="4" s="1"/>
  <c r="D1210" i="4"/>
  <c r="C1210" i="4"/>
  <c r="I1210" i="4" s="1"/>
  <c r="J1210" i="4" s="1" a="1"/>
  <c r="J1210" i="4" s="1"/>
  <c r="K1210" i="4" s="1" a="1"/>
  <c r="K1210" i="4" s="1"/>
  <c r="B1210" i="4"/>
  <c r="G1209" i="4" a="1"/>
  <c r="G1209" i="4" s="1"/>
  <c r="D1209" i="4"/>
  <c r="C1209" i="4"/>
  <c r="I1209" i="4" s="1"/>
  <c r="J1209" i="4" s="1" a="1"/>
  <c r="J1209" i="4" s="1"/>
  <c r="K1209" i="4" s="1" a="1"/>
  <c r="K1209" i="4" s="1"/>
  <c r="B1209" i="4"/>
  <c r="G1208" i="4" a="1"/>
  <c r="G1208" i="4" s="1"/>
  <c r="D1208" i="4"/>
  <c r="C1208" i="4"/>
  <c r="I1208" i="4" s="1"/>
  <c r="B1208" i="4"/>
  <c r="G1207" i="4" a="1"/>
  <c r="G1207" i="4" s="1"/>
  <c r="D1207" i="4"/>
  <c r="C1207" i="4"/>
  <c r="I1207" i="4" s="1"/>
  <c r="B1207" i="4"/>
  <c r="G1206" i="4" a="1"/>
  <c r="G1206" i="4" s="1"/>
  <c r="F1206" i="4"/>
  <c r="D1206" i="4"/>
  <c r="C1206" i="4"/>
  <c r="I1206" i="4" s="1"/>
  <c r="B1206" i="4"/>
  <c r="H1206" i="4" s="1"/>
  <c r="G1205" i="4" a="1"/>
  <c r="G1205" i="4" s="1"/>
  <c r="D1205" i="4"/>
  <c r="C1205" i="4"/>
  <c r="B1205" i="4"/>
  <c r="G1204" i="4" a="1"/>
  <c r="G1204" i="4" s="1"/>
  <c r="F1204" i="4"/>
  <c r="D1204" i="4"/>
  <c r="C1204" i="4"/>
  <c r="B1204" i="4"/>
  <c r="G1203" i="4" a="1"/>
  <c r="G1203" i="4" s="1"/>
  <c r="F1203" i="4"/>
  <c r="D1203" i="4"/>
  <c r="C1203" i="4"/>
  <c r="I1203" i="4" s="1"/>
  <c r="B1203" i="4"/>
  <c r="G1202" i="4" a="1"/>
  <c r="G1202" i="4" s="1"/>
  <c r="D1202" i="4"/>
  <c r="C1202" i="4"/>
  <c r="B1202" i="4"/>
  <c r="G1201" i="4" a="1"/>
  <c r="G1201" i="4" s="1"/>
  <c r="D1201" i="4"/>
  <c r="C1201" i="4"/>
  <c r="H1201" i="4" s="1"/>
  <c r="B1201" i="4"/>
  <c r="G1200" i="4" a="1"/>
  <c r="G1200" i="4"/>
  <c r="D1200" i="4"/>
  <c r="C1200" i="4"/>
  <c r="I1200" i="4" s="1"/>
  <c r="B1200" i="4"/>
  <c r="H1200" i="4" s="1"/>
  <c r="G1199" i="4" a="1"/>
  <c r="G1199" i="4"/>
  <c r="D1199" i="4"/>
  <c r="C1199" i="4"/>
  <c r="I1199" i="4" s="1"/>
  <c r="B1199" i="4"/>
  <c r="H1199" i="4" s="1"/>
  <c r="G1198" i="4" a="1"/>
  <c r="G1198" i="4" s="1"/>
  <c r="D1198" i="4"/>
  <c r="C1198" i="4"/>
  <c r="I1198" i="4" s="1"/>
  <c r="B1198" i="4"/>
  <c r="G1197" i="4" a="1"/>
  <c r="G1197" i="4" s="1"/>
  <c r="D1197" i="4"/>
  <c r="C1197" i="4"/>
  <c r="B1197" i="4"/>
  <c r="G1196" i="4" a="1"/>
  <c r="G1196" i="4" s="1"/>
  <c r="D1196" i="4"/>
  <c r="C1196" i="4"/>
  <c r="B1196" i="4"/>
  <c r="G1195" i="4" a="1"/>
  <c r="G1195" i="4" s="1"/>
  <c r="F1195" i="4"/>
  <c r="D1195" i="4"/>
  <c r="C1195" i="4"/>
  <c r="B1195" i="4"/>
  <c r="I1194" i="4"/>
  <c r="G1194" i="4" a="1"/>
  <c r="G1194" i="4"/>
  <c r="D1194" i="4"/>
  <c r="C1194" i="4"/>
  <c r="B1194" i="4"/>
  <c r="G1193" i="4" a="1"/>
  <c r="G1193" i="4" s="1"/>
  <c r="D1193" i="4"/>
  <c r="C1193" i="4"/>
  <c r="B1193" i="4"/>
  <c r="G1192" i="4" a="1"/>
  <c r="G1192" i="4" s="1"/>
  <c r="D1192" i="4"/>
  <c r="C1192" i="4"/>
  <c r="I1192" i="4" s="1"/>
  <c r="B1192" i="4"/>
  <c r="G1191" i="4" a="1"/>
  <c r="G1191" i="4" s="1"/>
  <c r="D1191" i="4"/>
  <c r="C1191" i="4"/>
  <c r="B1191" i="4"/>
  <c r="G1190" i="4" a="1"/>
  <c r="G1190" i="4" s="1"/>
  <c r="D1190" i="4"/>
  <c r="C1190" i="4"/>
  <c r="I1190" i="4" s="1"/>
  <c r="B1190" i="4"/>
  <c r="G1189" i="4" a="1"/>
  <c r="G1189" i="4" s="1"/>
  <c r="D1189" i="4"/>
  <c r="C1189" i="4"/>
  <c r="B1189" i="4"/>
  <c r="G1188" i="4" a="1"/>
  <c r="G1188" i="4" s="1"/>
  <c r="D1188" i="4"/>
  <c r="C1188" i="4"/>
  <c r="I1188" i="4" s="1"/>
  <c r="B1188" i="4"/>
  <c r="G1187" i="4" a="1"/>
  <c r="G1187" i="4" s="1"/>
  <c r="D1187" i="4"/>
  <c r="C1187" i="4"/>
  <c r="B1187" i="4"/>
  <c r="G1186" i="4" a="1"/>
  <c r="G1186" i="4" s="1"/>
  <c r="D1186" i="4"/>
  <c r="F1186" i="4" s="1"/>
  <c r="C1186" i="4"/>
  <c r="B1186" i="4"/>
  <c r="G1185" i="4" a="1"/>
  <c r="G1185" i="4" s="1"/>
  <c r="F1185" i="4"/>
  <c r="D1185" i="4"/>
  <c r="C1185" i="4"/>
  <c r="I1185" i="4" s="1"/>
  <c r="B1185" i="4"/>
  <c r="G1184" i="4" a="1"/>
  <c r="G1184" i="4" s="1"/>
  <c r="D1184" i="4"/>
  <c r="F1184" i="4" s="1"/>
  <c r="C1184" i="4"/>
  <c r="B1184" i="4"/>
  <c r="G1183" i="4" a="1"/>
  <c r="G1183" i="4" s="1"/>
  <c r="D1183" i="4"/>
  <c r="C1183" i="4"/>
  <c r="I1183" i="4" s="1"/>
  <c r="B1183" i="4"/>
  <c r="G1182" i="4" a="1"/>
  <c r="G1182" i="4" s="1"/>
  <c r="D1182" i="4"/>
  <c r="C1182" i="4"/>
  <c r="I1182" i="4" s="1"/>
  <c r="J1182" i="4" s="1" a="1"/>
  <c r="J1182" i="4" s="1"/>
  <c r="K1182" i="4" s="1" a="1"/>
  <c r="K1182" i="4" s="1"/>
  <c r="B1182" i="4"/>
  <c r="G1181" i="4" a="1"/>
  <c r="G1181" i="4" s="1"/>
  <c r="D1181" i="4"/>
  <c r="C1181" i="4"/>
  <c r="B1181" i="4"/>
  <c r="G1180" i="4" a="1"/>
  <c r="G1180" i="4" s="1"/>
  <c r="D1180" i="4"/>
  <c r="C1180" i="4"/>
  <c r="I1180" i="4" s="1"/>
  <c r="B1180" i="4"/>
  <c r="H1179" i="4"/>
  <c r="G1179" i="4" a="1"/>
  <c r="G1179" i="4" s="1"/>
  <c r="D1179" i="4"/>
  <c r="C1179" i="4"/>
  <c r="I1179" i="4" s="1"/>
  <c r="B1179" i="4"/>
  <c r="G1178" i="4" a="1"/>
  <c r="G1178" i="4" s="1"/>
  <c r="F1178" i="4"/>
  <c r="D1178" i="4"/>
  <c r="C1178" i="4"/>
  <c r="I1178" i="4" s="1"/>
  <c r="B1178" i="4"/>
  <c r="G1177" i="4" a="1"/>
  <c r="G1177" i="4" s="1"/>
  <c r="D1177" i="4"/>
  <c r="C1177" i="4"/>
  <c r="I1177" i="4" s="1"/>
  <c r="B1177" i="4"/>
  <c r="G1176" i="4" a="1"/>
  <c r="G1176" i="4" s="1"/>
  <c r="F1176" i="4"/>
  <c r="D1176" i="4"/>
  <c r="C1176" i="4"/>
  <c r="B1176" i="4"/>
  <c r="G1175" i="4" a="1"/>
  <c r="G1175" i="4" s="1"/>
  <c r="D1175" i="4"/>
  <c r="C1175" i="4"/>
  <c r="I1175" i="4" s="1"/>
  <c r="B1175" i="4"/>
  <c r="G1174" i="4" a="1"/>
  <c r="G1174" i="4" s="1"/>
  <c r="D1174" i="4"/>
  <c r="C1174" i="4"/>
  <c r="I1174" i="4" s="1"/>
  <c r="J1174" i="4" s="1" a="1"/>
  <c r="J1174" i="4" s="1"/>
  <c r="K1174" i="4" s="1" a="1"/>
  <c r="K1174" i="4" s="1"/>
  <c r="B1174" i="4"/>
  <c r="G1173" i="4" a="1"/>
  <c r="G1173" i="4" s="1"/>
  <c r="D1173" i="4"/>
  <c r="C1173" i="4"/>
  <c r="B1173" i="4"/>
  <c r="G1172" i="4" a="1"/>
  <c r="G1172" i="4" s="1"/>
  <c r="D1172" i="4"/>
  <c r="C1172" i="4"/>
  <c r="I1172" i="4" s="1"/>
  <c r="B1172" i="4"/>
  <c r="G1171" i="4" a="1"/>
  <c r="G1171" i="4" s="1"/>
  <c r="D1171" i="4"/>
  <c r="F1171" i="4" s="1"/>
  <c r="C1171" i="4"/>
  <c r="I1171" i="4" s="1"/>
  <c r="B1171" i="4"/>
  <c r="G1170" i="4" a="1"/>
  <c r="G1170" i="4" s="1"/>
  <c r="F1170" i="4"/>
  <c r="D1170" i="4"/>
  <c r="C1170" i="4"/>
  <c r="B1170" i="4"/>
  <c r="G1169" i="4" a="1"/>
  <c r="G1169" i="4" s="1"/>
  <c r="F1169" i="4"/>
  <c r="D1169" i="4"/>
  <c r="C1169" i="4"/>
  <c r="B1169" i="4"/>
  <c r="G1168" i="4" a="1"/>
  <c r="G1168" i="4" s="1"/>
  <c r="D1168" i="4"/>
  <c r="C1168" i="4"/>
  <c r="B1168" i="4"/>
  <c r="G1167" i="4" a="1"/>
  <c r="G1167" i="4" s="1"/>
  <c r="D1167" i="4"/>
  <c r="C1167" i="4"/>
  <c r="B1167" i="4"/>
  <c r="G1166" i="4" a="1"/>
  <c r="G1166" i="4" s="1"/>
  <c r="F1166" i="4"/>
  <c r="D1166" i="4"/>
  <c r="C1166" i="4"/>
  <c r="B1166" i="4"/>
  <c r="I1165" i="4"/>
  <c r="G1165" i="4" a="1"/>
  <c r="G1165" i="4" s="1"/>
  <c r="D1165" i="4"/>
  <c r="C1165" i="4"/>
  <c r="B1165" i="4"/>
  <c r="G1164" i="4" a="1"/>
  <c r="G1164" i="4" s="1"/>
  <c r="D1164" i="4"/>
  <c r="C1164" i="4"/>
  <c r="B1164" i="4"/>
  <c r="G1163" i="4" a="1"/>
  <c r="G1163" i="4" s="1"/>
  <c r="D1163" i="4"/>
  <c r="C1163" i="4"/>
  <c r="B1163" i="4"/>
  <c r="G1162" i="4" a="1"/>
  <c r="G1162" i="4" s="1"/>
  <c r="F1162" i="4"/>
  <c r="D1162" i="4"/>
  <c r="C1162" i="4"/>
  <c r="B1162" i="4"/>
  <c r="G1161" i="4" a="1"/>
  <c r="G1161" i="4" s="1"/>
  <c r="D1161" i="4"/>
  <c r="C1161" i="4"/>
  <c r="B1161" i="4"/>
  <c r="G1160" i="4" a="1"/>
  <c r="G1160" i="4" s="1"/>
  <c r="F1160" i="4"/>
  <c r="D1160" i="4"/>
  <c r="C1160" i="4"/>
  <c r="B1160" i="4"/>
  <c r="G1159" i="4" a="1"/>
  <c r="G1159" i="4" s="1"/>
  <c r="D1159" i="4"/>
  <c r="C1159" i="4"/>
  <c r="H1159" i="4" s="1"/>
  <c r="B1159" i="4"/>
  <c r="G1158" i="4" a="1"/>
  <c r="G1158" i="4" s="1"/>
  <c r="D1158" i="4"/>
  <c r="C1158" i="4"/>
  <c r="I1158" i="4" s="1"/>
  <c r="B1158" i="4"/>
  <c r="G1157" i="4" a="1"/>
  <c r="G1157" i="4" s="1"/>
  <c r="D1157" i="4"/>
  <c r="C1157" i="4"/>
  <c r="I1157" i="4" s="1"/>
  <c r="B1157" i="4"/>
  <c r="G1156" i="4" a="1"/>
  <c r="G1156" i="4" s="1"/>
  <c r="D1156" i="4"/>
  <c r="C1156" i="4"/>
  <c r="B1156" i="4"/>
  <c r="G1155" i="4" a="1"/>
  <c r="G1155" i="4"/>
  <c r="D1155" i="4"/>
  <c r="C1155" i="4"/>
  <c r="I1155" i="4" s="1"/>
  <c r="B1155" i="4"/>
  <c r="H1155" i="4" s="1"/>
  <c r="G1154" i="4" a="1"/>
  <c r="G1154" i="4" s="1"/>
  <c r="D1154" i="4"/>
  <c r="C1154" i="4"/>
  <c r="I1154" i="4" s="1"/>
  <c r="B1154" i="4"/>
  <c r="G1153" i="4" a="1"/>
  <c r="G1153" i="4" s="1"/>
  <c r="F1153" i="4"/>
  <c r="D1153" i="4"/>
  <c r="C1153" i="4"/>
  <c r="I1153" i="4" s="1"/>
  <c r="B1153" i="4"/>
  <c r="H1153" i="4" s="1"/>
  <c r="G1152" i="4" a="1"/>
  <c r="G1152" i="4" s="1"/>
  <c r="D1152" i="4"/>
  <c r="F1152" i="4" s="1"/>
  <c r="C1152" i="4"/>
  <c r="B1152" i="4"/>
  <c r="G1151" i="4" a="1"/>
  <c r="G1151" i="4"/>
  <c r="F1151" i="4"/>
  <c r="D1151" i="4"/>
  <c r="C1151" i="4"/>
  <c r="I1151" i="4" s="1"/>
  <c r="B1151" i="4"/>
  <c r="I1150" i="4"/>
  <c r="G1150" i="4" a="1"/>
  <c r="G1150" i="4" s="1"/>
  <c r="D1150" i="4"/>
  <c r="C1150" i="4"/>
  <c r="B1150" i="4"/>
  <c r="G1149" i="4" a="1"/>
  <c r="G1149" i="4" s="1"/>
  <c r="D1149" i="4"/>
  <c r="C1149" i="4"/>
  <c r="I1149" i="4" s="1"/>
  <c r="B1149" i="4"/>
  <c r="G1148" i="4" a="1"/>
  <c r="G1148" i="4" s="1"/>
  <c r="F1148" i="4"/>
  <c r="D1148" i="4"/>
  <c r="C1148" i="4"/>
  <c r="B1148" i="4"/>
  <c r="G1147" i="4" a="1"/>
  <c r="G1147" i="4" s="1"/>
  <c r="D1147" i="4"/>
  <c r="C1147" i="4"/>
  <c r="B1147" i="4"/>
  <c r="G1146" i="4" a="1"/>
  <c r="G1146" i="4" s="1"/>
  <c r="D1146" i="4"/>
  <c r="C1146" i="4"/>
  <c r="B1146" i="4"/>
  <c r="G1145" i="4" a="1"/>
  <c r="G1145" i="4" s="1"/>
  <c r="D1145" i="4"/>
  <c r="C1145" i="4"/>
  <c r="I1145" i="4" s="1"/>
  <c r="B1145" i="4"/>
  <c r="G1144" i="4" a="1"/>
  <c r="G1144" i="4" s="1"/>
  <c r="D1144" i="4"/>
  <c r="C1144" i="4"/>
  <c r="I1144" i="4" s="1"/>
  <c r="B1144" i="4"/>
  <c r="G1143" i="4" a="1"/>
  <c r="G1143" i="4" s="1"/>
  <c r="D1143" i="4"/>
  <c r="C1143" i="4"/>
  <c r="B1143" i="4"/>
  <c r="G1142" i="4" a="1"/>
  <c r="G1142" i="4" s="1"/>
  <c r="F1142" i="4"/>
  <c r="D1142" i="4"/>
  <c r="C1142" i="4"/>
  <c r="I1142" i="4" s="1"/>
  <c r="B1142" i="4"/>
  <c r="G1141" i="4" a="1"/>
  <c r="G1141" i="4" s="1"/>
  <c r="D1141" i="4"/>
  <c r="F1141" i="4" s="1"/>
  <c r="C1141" i="4"/>
  <c r="B1141" i="4"/>
  <c r="G1140" i="4" a="1"/>
  <c r="G1140" i="4" s="1"/>
  <c r="F1140" i="4"/>
  <c r="D1140" i="4"/>
  <c r="C1140" i="4"/>
  <c r="B1140" i="4"/>
  <c r="G1139" i="4" a="1"/>
  <c r="G1139" i="4" s="1"/>
  <c r="F1139" i="4"/>
  <c r="D1139" i="4"/>
  <c r="C1139" i="4"/>
  <c r="B1139" i="4"/>
  <c r="G1138" i="4" a="1"/>
  <c r="G1138" i="4" s="1"/>
  <c r="D1138" i="4"/>
  <c r="C1138" i="4"/>
  <c r="B1138" i="4"/>
  <c r="G1137" i="4" a="1"/>
  <c r="G1137" i="4" s="1"/>
  <c r="D1137" i="4"/>
  <c r="C1137" i="4"/>
  <c r="I1137" i="4" s="1"/>
  <c r="B1137" i="4"/>
  <c r="G1136" i="4" a="1"/>
  <c r="G1136" i="4"/>
  <c r="D1136" i="4"/>
  <c r="C1136" i="4"/>
  <c r="I1136" i="4" s="1"/>
  <c r="J1136" i="4" s="1" a="1"/>
  <c r="J1136" i="4" s="1"/>
  <c r="K1136" i="4" s="1" a="1"/>
  <c r="K1136" i="4" s="1"/>
  <c r="B1136" i="4"/>
  <c r="H1136" i="4" s="1"/>
  <c r="G1135" i="4" a="1"/>
  <c r="G1135" i="4" s="1"/>
  <c r="D1135" i="4"/>
  <c r="C1135" i="4"/>
  <c r="I1135" i="4" s="1"/>
  <c r="B1135" i="4"/>
  <c r="G1134" i="4" a="1"/>
  <c r="G1134" i="4" s="1"/>
  <c r="D1134" i="4"/>
  <c r="C1134" i="4"/>
  <c r="B1134" i="4"/>
  <c r="G1133" i="4" a="1"/>
  <c r="G1133" i="4" s="1"/>
  <c r="D1133" i="4"/>
  <c r="C1133" i="4"/>
  <c r="B1133" i="4"/>
  <c r="G1132" i="4" a="1"/>
  <c r="G1132" i="4" s="1"/>
  <c r="F1132" i="4"/>
  <c r="D1132" i="4"/>
  <c r="C1132" i="4"/>
  <c r="B1132" i="4"/>
  <c r="G1131" i="4" a="1"/>
  <c r="G1131" i="4" s="1"/>
  <c r="D1131" i="4"/>
  <c r="C1131" i="4"/>
  <c r="B1131" i="4"/>
  <c r="G1130" i="4" a="1"/>
  <c r="G1130" i="4" s="1"/>
  <c r="D1130" i="4"/>
  <c r="C1130" i="4"/>
  <c r="I1130" i="4" s="1"/>
  <c r="J1130" i="4" s="1" a="1"/>
  <c r="J1130" i="4" s="1"/>
  <c r="K1130" i="4" s="1" a="1"/>
  <c r="K1130" i="4" s="1"/>
  <c r="B1130" i="4"/>
  <c r="G1129" i="4" a="1"/>
  <c r="G1129" i="4"/>
  <c r="D1129" i="4"/>
  <c r="C1129" i="4"/>
  <c r="I1129" i="4" s="1"/>
  <c r="B1129" i="4"/>
  <c r="I1128" i="4"/>
  <c r="G1128" i="4" a="1"/>
  <c r="G1128" i="4"/>
  <c r="D1128" i="4"/>
  <c r="C1128" i="4"/>
  <c r="B1128" i="4"/>
  <c r="H1128" i="4" s="1"/>
  <c r="G1127" i="4" a="1"/>
  <c r="G1127" i="4" s="1"/>
  <c r="D1127" i="4"/>
  <c r="C1127" i="4"/>
  <c r="I1127" i="4" s="1"/>
  <c r="B1127" i="4"/>
  <c r="G1126" i="4" a="1"/>
  <c r="G1126" i="4" s="1"/>
  <c r="D1126" i="4"/>
  <c r="C1126" i="4"/>
  <c r="I1126" i="4" s="1"/>
  <c r="B1126" i="4"/>
  <c r="G1125" i="4" a="1"/>
  <c r="G1125" i="4"/>
  <c r="F1125" i="4"/>
  <c r="D1125" i="4"/>
  <c r="C1125" i="4"/>
  <c r="I1125" i="4" s="1"/>
  <c r="B1125" i="4"/>
  <c r="G1124" i="4" a="1"/>
  <c r="G1124" i="4" s="1"/>
  <c r="D1124" i="4"/>
  <c r="C1124" i="4"/>
  <c r="B1124" i="4"/>
  <c r="G1123" i="4" a="1"/>
  <c r="G1123" i="4"/>
  <c r="F1123" i="4"/>
  <c r="D1123" i="4"/>
  <c r="C1123" i="4"/>
  <c r="B1123" i="4"/>
  <c r="G1122" i="4" a="1"/>
  <c r="G1122" i="4" s="1"/>
  <c r="D1122" i="4"/>
  <c r="C1122" i="4"/>
  <c r="I1122" i="4" s="1"/>
  <c r="B1122" i="4"/>
  <c r="G1121" i="4" a="1"/>
  <c r="G1121" i="4" s="1"/>
  <c r="D1121" i="4"/>
  <c r="C1121" i="4"/>
  <c r="I1121" i="4" s="1"/>
  <c r="B1121" i="4"/>
  <c r="G1120" i="4" a="1"/>
  <c r="G1120" i="4" s="1"/>
  <c r="F1120" i="4"/>
  <c r="D1120" i="4"/>
  <c r="C1120" i="4"/>
  <c r="I1120" i="4" s="1"/>
  <c r="B1120" i="4"/>
  <c r="H1120" i="4" s="1"/>
  <c r="G1119" i="4" a="1"/>
  <c r="G1119" i="4" s="1"/>
  <c r="D1119" i="4"/>
  <c r="C1119" i="4"/>
  <c r="B1119" i="4"/>
  <c r="G1118" i="4" a="1"/>
  <c r="G1118" i="4"/>
  <c r="F1118" i="4"/>
  <c r="D1118" i="4"/>
  <c r="C1118" i="4"/>
  <c r="I1118" i="4" s="1"/>
  <c r="J1118" i="4" s="1" a="1"/>
  <c r="J1118" i="4" s="1"/>
  <c r="K1118" i="4" s="1" a="1"/>
  <c r="K1118" i="4" s="1"/>
  <c r="B1118" i="4"/>
  <c r="G1117" i="4" a="1"/>
  <c r="G1117" i="4" s="1"/>
  <c r="D1117" i="4"/>
  <c r="C1117" i="4"/>
  <c r="I1117" i="4" s="1"/>
  <c r="B1117" i="4"/>
  <c r="G1116" i="4" a="1"/>
  <c r="G1116" i="4" s="1"/>
  <c r="D1116" i="4"/>
  <c r="C1116" i="4"/>
  <c r="I1116" i="4" s="1"/>
  <c r="B1116" i="4"/>
  <c r="G1115" i="4" a="1"/>
  <c r="G1115" i="4" s="1"/>
  <c r="D1115" i="4"/>
  <c r="C1115" i="4"/>
  <c r="I1115" i="4" s="1"/>
  <c r="B1115" i="4"/>
  <c r="G1114" i="4" a="1"/>
  <c r="G1114" i="4" s="1"/>
  <c r="D1114" i="4"/>
  <c r="C1114" i="4"/>
  <c r="B1114" i="4"/>
  <c r="G1113" i="4" a="1"/>
  <c r="G1113" i="4" s="1"/>
  <c r="D1113" i="4"/>
  <c r="C1113" i="4"/>
  <c r="B1113" i="4"/>
  <c r="G1112" i="4" a="1"/>
  <c r="G1112" i="4" s="1"/>
  <c r="D1112" i="4"/>
  <c r="C1112" i="4"/>
  <c r="I1112" i="4" s="1"/>
  <c r="J1112" i="4" s="1" a="1"/>
  <c r="J1112" i="4" s="1"/>
  <c r="K1112" i="4" s="1" a="1"/>
  <c r="K1112" i="4" s="1"/>
  <c r="B1112" i="4"/>
  <c r="G1111" i="4" a="1"/>
  <c r="G1111" i="4" s="1"/>
  <c r="D1111" i="4"/>
  <c r="C1111" i="4"/>
  <c r="B1111" i="4"/>
  <c r="G1110" i="4" a="1"/>
  <c r="G1110" i="4" s="1"/>
  <c r="D1110" i="4"/>
  <c r="F1110" i="4" s="1"/>
  <c r="C1110" i="4"/>
  <c r="I1110" i="4" s="1"/>
  <c r="J1110" i="4" s="1" a="1"/>
  <c r="J1110" i="4" s="1"/>
  <c r="K1110" i="4" s="1" a="1"/>
  <c r="K1110" i="4" s="1"/>
  <c r="B1110" i="4"/>
  <c r="G1109" i="4" a="1"/>
  <c r="G1109" i="4" s="1"/>
  <c r="D1109" i="4"/>
  <c r="C1109" i="4"/>
  <c r="I1109" i="4" s="1"/>
  <c r="B1109" i="4"/>
  <c r="G1108" i="4" a="1"/>
  <c r="G1108" i="4" s="1"/>
  <c r="D1108" i="4"/>
  <c r="C1108" i="4"/>
  <c r="B1108" i="4"/>
  <c r="G1107" i="4" a="1"/>
  <c r="G1107" i="4" s="1"/>
  <c r="F1107" i="4"/>
  <c r="D1107" i="4"/>
  <c r="C1107" i="4"/>
  <c r="I1107" i="4" s="1"/>
  <c r="B1107" i="4"/>
  <c r="G1106" i="4" a="1"/>
  <c r="G1106" i="4" s="1"/>
  <c r="D1106" i="4"/>
  <c r="C1106" i="4"/>
  <c r="B1106" i="4"/>
  <c r="G1105" i="4" a="1"/>
  <c r="G1105" i="4" s="1"/>
  <c r="D1105" i="4"/>
  <c r="C1105" i="4"/>
  <c r="H1105" i="4" s="1"/>
  <c r="B1105" i="4"/>
  <c r="G1104" i="4" a="1"/>
  <c r="G1104" i="4" s="1"/>
  <c r="F1104" i="4"/>
  <c r="D1104" i="4"/>
  <c r="C1104" i="4"/>
  <c r="I1104" i="4" s="1"/>
  <c r="B1104" i="4"/>
  <c r="G1103" i="4" a="1"/>
  <c r="G1103" i="4" s="1"/>
  <c r="D1103" i="4"/>
  <c r="C1103" i="4"/>
  <c r="B1103" i="4"/>
  <c r="G1102" i="4" a="1"/>
  <c r="G1102" i="4" s="1"/>
  <c r="D1102" i="4"/>
  <c r="F1102" i="4" s="1"/>
  <c r="C1102" i="4"/>
  <c r="H1102" i="4" s="1"/>
  <c r="B1102" i="4"/>
  <c r="G1101" i="4" a="1"/>
  <c r="G1101" i="4" s="1"/>
  <c r="F1101" i="4"/>
  <c r="D1101" i="4"/>
  <c r="C1101" i="4"/>
  <c r="B1101" i="4"/>
  <c r="G1100" i="4" a="1"/>
  <c r="G1100" i="4" s="1"/>
  <c r="D1100" i="4"/>
  <c r="C1100" i="4"/>
  <c r="H1100" i="4" s="1"/>
  <c r="B1100" i="4"/>
  <c r="G1099" i="4" a="1"/>
  <c r="G1099" i="4" s="1"/>
  <c r="D1099" i="4"/>
  <c r="C1099" i="4"/>
  <c r="B1099" i="4"/>
  <c r="G1098" i="4" a="1"/>
  <c r="G1098" i="4" s="1"/>
  <c r="D1098" i="4"/>
  <c r="C1098" i="4"/>
  <c r="I1098" i="4" s="1"/>
  <c r="B1098" i="4"/>
  <c r="G1097" i="4" a="1"/>
  <c r="G1097" i="4" s="1"/>
  <c r="D1097" i="4"/>
  <c r="C1097" i="4"/>
  <c r="B1097" i="4"/>
  <c r="G1096" i="4" a="1"/>
  <c r="G1096" i="4" s="1"/>
  <c r="D1096" i="4"/>
  <c r="C1096" i="4"/>
  <c r="B1096" i="4"/>
  <c r="G1095" i="4" a="1"/>
  <c r="G1095" i="4" s="1"/>
  <c r="D1095" i="4"/>
  <c r="C1095" i="4"/>
  <c r="B1095" i="4"/>
  <c r="G1094" i="4" a="1"/>
  <c r="G1094" i="4" s="1"/>
  <c r="D1094" i="4"/>
  <c r="C1094" i="4"/>
  <c r="B1094" i="4"/>
  <c r="I1093" i="4"/>
  <c r="G1093" i="4" a="1"/>
  <c r="G1093" i="4" s="1"/>
  <c r="F1093" i="4"/>
  <c r="D1093" i="4"/>
  <c r="C1093" i="4"/>
  <c r="B1093" i="4"/>
  <c r="G1092" i="4" a="1"/>
  <c r="G1092" i="4" s="1"/>
  <c r="F1092" i="4"/>
  <c r="D1092" i="4"/>
  <c r="C1092" i="4"/>
  <c r="I1092" i="4" s="1"/>
  <c r="J1092" i="4" s="1" a="1"/>
  <c r="J1092" i="4" s="1"/>
  <c r="K1092" i="4" s="1" a="1"/>
  <c r="K1092" i="4" s="1"/>
  <c r="B1092" i="4"/>
  <c r="I1091" i="4"/>
  <c r="G1091" i="4" a="1"/>
  <c r="G1091" i="4"/>
  <c r="D1091" i="4"/>
  <c r="C1091" i="4"/>
  <c r="B1091" i="4"/>
  <c r="H1091" i="4" s="1"/>
  <c r="G1090" i="4" a="1"/>
  <c r="G1090" i="4" s="1"/>
  <c r="F1090" i="4"/>
  <c r="D1090" i="4"/>
  <c r="C1090" i="4"/>
  <c r="I1090" i="4" s="1"/>
  <c r="J1090" i="4" s="1" a="1"/>
  <c r="J1090" i="4" s="1"/>
  <c r="K1090" i="4" s="1" a="1"/>
  <c r="K1090" i="4" s="1"/>
  <c r="B1090" i="4"/>
  <c r="G1089" i="4" a="1"/>
  <c r="G1089" i="4" s="1"/>
  <c r="D1089" i="4"/>
  <c r="C1089" i="4"/>
  <c r="I1089" i="4" s="1"/>
  <c r="J1089" i="4" s="1" a="1"/>
  <c r="J1089" i="4" s="1"/>
  <c r="K1089" i="4" s="1" a="1"/>
  <c r="K1089" i="4" s="1"/>
  <c r="B1089" i="4"/>
  <c r="G1088" i="4" a="1"/>
  <c r="G1088" i="4" s="1"/>
  <c r="D1088" i="4"/>
  <c r="F1088" i="4" s="1"/>
  <c r="C1088" i="4"/>
  <c r="I1088" i="4" s="1"/>
  <c r="B1088" i="4"/>
  <c r="G1087" i="4" a="1"/>
  <c r="G1087" i="4" s="1"/>
  <c r="D1087" i="4"/>
  <c r="C1087" i="4"/>
  <c r="B1087" i="4"/>
  <c r="G1086" i="4" a="1"/>
  <c r="G1086" i="4" s="1"/>
  <c r="D1086" i="4"/>
  <c r="C1086" i="4"/>
  <c r="H1086" i="4" s="1"/>
  <c r="B1086" i="4"/>
  <c r="G1085" i="4" a="1"/>
  <c r="G1085" i="4" s="1"/>
  <c r="D1085" i="4"/>
  <c r="C1085" i="4"/>
  <c r="H1085" i="4" s="1"/>
  <c r="B1085" i="4"/>
  <c r="G1084" i="4" a="1"/>
  <c r="G1084" i="4" s="1"/>
  <c r="F1084" i="4"/>
  <c r="D1084" i="4"/>
  <c r="C1084" i="4"/>
  <c r="I1084" i="4" s="1"/>
  <c r="B1084" i="4"/>
  <c r="G1083" i="4" a="1"/>
  <c r="G1083" i="4" s="1"/>
  <c r="F1083" i="4"/>
  <c r="D1083" i="4"/>
  <c r="C1083" i="4"/>
  <c r="I1083" i="4" s="1"/>
  <c r="J1083" i="4" s="1" a="1"/>
  <c r="J1083" i="4" s="1"/>
  <c r="K1083" i="4" s="1" a="1"/>
  <c r="K1083" i="4" s="1"/>
  <c r="B1083" i="4"/>
  <c r="G1082" i="4" a="1"/>
  <c r="G1082" i="4"/>
  <c r="F1082" i="4"/>
  <c r="D1082" i="4"/>
  <c r="C1082" i="4"/>
  <c r="I1082" i="4" s="1"/>
  <c r="B1082" i="4"/>
  <c r="H1082" i="4" s="1"/>
  <c r="G1081" i="4" a="1"/>
  <c r="G1081" i="4" s="1"/>
  <c r="D1081" i="4"/>
  <c r="C1081" i="4"/>
  <c r="B1081" i="4"/>
  <c r="G1080" i="4" a="1"/>
  <c r="G1080" i="4" s="1"/>
  <c r="F1080" i="4"/>
  <c r="D1080" i="4"/>
  <c r="C1080" i="4"/>
  <c r="I1080" i="4" s="1"/>
  <c r="B1080" i="4"/>
  <c r="G1079" i="4" a="1"/>
  <c r="G1079" i="4" s="1"/>
  <c r="F1079" i="4"/>
  <c r="D1079" i="4"/>
  <c r="C1079" i="4"/>
  <c r="B1079" i="4"/>
  <c r="G1078" i="4" a="1"/>
  <c r="G1078" i="4" s="1"/>
  <c r="D1078" i="4"/>
  <c r="C1078" i="4"/>
  <c r="H1078" i="4" s="1"/>
  <c r="B1078" i="4"/>
  <c r="G1077" i="4" a="1"/>
  <c r="G1077" i="4" s="1"/>
  <c r="F1077" i="4"/>
  <c r="D1077" i="4"/>
  <c r="C1077" i="4"/>
  <c r="I1077" i="4" s="1"/>
  <c r="B1077" i="4"/>
  <c r="G1076" i="4" a="1"/>
  <c r="G1076" i="4" s="1"/>
  <c r="D1076" i="4"/>
  <c r="C1076" i="4"/>
  <c r="B1076" i="4"/>
  <c r="G1075" i="4" a="1"/>
  <c r="G1075" i="4" s="1"/>
  <c r="D1075" i="4"/>
  <c r="C1075" i="4"/>
  <c r="I1075" i="4" s="1"/>
  <c r="B1075" i="4"/>
  <c r="G1074" i="4" a="1"/>
  <c r="G1074" i="4" s="1"/>
  <c r="D1074" i="4"/>
  <c r="C1074" i="4"/>
  <c r="I1074" i="4" s="1"/>
  <c r="B1074" i="4"/>
  <c r="G1073" i="4" a="1"/>
  <c r="G1073" i="4" s="1"/>
  <c r="D1073" i="4"/>
  <c r="F1073" i="4" s="1"/>
  <c r="C1073" i="4"/>
  <c r="B1073" i="4"/>
  <c r="G1072" i="4" a="1"/>
  <c r="G1072" i="4" s="1"/>
  <c r="F1072" i="4"/>
  <c r="D1072" i="4"/>
  <c r="C1072" i="4"/>
  <c r="I1072" i="4" s="1"/>
  <c r="B1072" i="4"/>
  <c r="G1071" i="4" a="1"/>
  <c r="G1071" i="4" s="1"/>
  <c r="D1071" i="4"/>
  <c r="C1071" i="4"/>
  <c r="B1071" i="4"/>
  <c r="G1070" i="4" a="1"/>
  <c r="G1070" i="4" s="1"/>
  <c r="D1070" i="4"/>
  <c r="C1070" i="4"/>
  <c r="B1070" i="4"/>
  <c r="G1069" i="4" a="1"/>
  <c r="G1069" i="4" s="1"/>
  <c r="D1069" i="4"/>
  <c r="C1069" i="4"/>
  <c r="I1069" i="4" s="1"/>
  <c r="B1069" i="4"/>
  <c r="G1068" i="4" a="1"/>
  <c r="G1068" i="4" s="1"/>
  <c r="D1068" i="4"/>
  <c r="C1068" i="4"/>
  <c r="I1068" i="4" s="1"/>
  <c r="B1068" i="4"/>
  <c r="G1067" i="4" a="1"/>
  <c r="G1067" i="4" s="1"/>
  <c r="D1067" i="4"/>
  <c r="C1067" i="4"/>
  <c r="B1067" i="4"/>
  <c r="G1066" i="4" a="1"/>
  <c r="G1066" i="4" s="1"/>
  <c r="F1066" i="4"/>
  <c r="D1066" i="4"/>
  <c r="C1066" i="4"/>
  <c r="I1066" i="4" s="1"/>
  <c r="B1066" i="4"/>
  <c r="G1065" i="4" a="1"/>
  <c r="G1065" i="4" s="1"/>
  <c r="D1065" i="4"/>
  <c r="F1065" i="4" s="1"/>
  <c r="C1065" i="4"/>
  <c r="I1065" i="4" s="1"/>
  <c r="B1065" i="4"/>
  <c r="G1064" i="4" a="1"/>
  <c r="G1064" i="4" s="1"/>
  <c r="D1064" i="4"/>
  <c r="C1064" i="4"/>
  <c r="I1064" i="4" s="1"/>
  <c r="J1064" i="4" s="1" a="1"/>
  <c r="J1064" i="4" s="1"/>
  <c r="K1064" i="4" s="1" a="1"/>
  <c r="K1064" i="4" s="1"/>
  <c r="B1064" i="4"/>
  <c r="G1063" i="4" a="1"/>
  <c r="G1063" i="4" s="1"/>
  <c r="D1063" i="4"/>
  <c r="J1063" i="4" s="1" a="1"/>
  <c r="J1063" i="4" s="1"/>
  <c r="K1063" i="4" s="1" a="1"/>
  <c r="K1063" i="4" s="1"/>
  <c r="C1063" i="4"/>
  <c r="I1063" i="4" s="1"/>
  <c r="B1063" i="4"/>
  <c r="G1062" i="4" a="1"/>
  <c r="G1062" i="4" s="1"/>
  <c r="F1062" i="4"/>
  <c r="D1062" i="4"/>
  <c r="C1062" i="4"/>
  <c r="H1062" i="4" s="1"/>
  <c r="B1062" i="4"/>
  <c r="G1061" i="4" a="1"/>
  <c r="G1061" i="4" s="1"/>
  <c r="D1061" i="4"/>
  <c r="C1061" i="4"/>
  <c r="B1061" i="4"/>
  <c r="G1060" i="4" a="1"/>
  <c r="G1060" i="4" s="1"/>
  <c r="D1060" i="4"/>
  <c r="C1060" i="4"/>
  <c r="I1060" i="4" s="1"/>
  <c r="B1060" i="4"/>
  <c r="G1059" i="4" a="1"/>
  <c r="G1059" i="4" s="1"/>
  <c r="D1059" i="4"/>
  <c r="C1059" i="4"/>
  <c r="H1059" i="4" s="1"/>
  <c r="B1059" i="4"/>
  <c r="G1058" i="4" a="1"/>
  <c r="G1058" i="4" s="1"/>
  <c r="D1058" i="4"/>
  <c r="C1058" i="4"/>
  <c r="I1058" i="4" s="1"/>
  <c r="B1058" i="4"/>
  <c r="G1057" i="4" a="1"/>
  <c r="G1057" i="4" s="1"/>
  <c r="D1057" i="4"/>
  <c r="C1057" i="4"/>
  <c r="I1057" i="4" s="1"/>
  <c r="B1057" i="4"/>
  <c r="G1056" i="4" a="1"/>
  <c r="G1056" i="4" s="1"/>
  <c r="D1056" i="4"/>
  <c r="C1056" i="4"/>
  <c r="I1056" i="4" s="1"/>
  <c r="B1056" i="4"/>
  <c r="G1055" i="4" a="1"/>
  <c r="G1055" i="4" s="1"/>
  <c r="D1055" i="4"/>
  <c r="C1055" i="4"/>
  <c r="I1055" i="4" s="1"/>
  <c r="B1055" i="4"/>
  <c r="G1054" i="4" a="1"/>
  <c r="G1054" i="4" s="1"/>
  <c r="D1054" i="4"/>
  <c r="C1054" i="4"/>
  <c r="I1054" i="4" s="1"/>
  <c r="B1054" i="4"/>
  <c r="G1053" i="4" a="1"/>
  <c r="G1053" i="4" s="1"/>
  <c r="D1053" i="4"/>
  <c r="C1053" i="4"/>
  <c r="B1053" i="4"/>
  <c r="G1052" i="4" a="1"/>
  <c r="G1052" i="4" s="1"/>
  <c r="D1052" i="4"/>
  <c r="C1052" i="4"/>
  <c r="I1052" i="4" s="1"/>
  <c r="B1052" i="4"/>
  <c r="G1051" i="4" a="1"/>
  <c r="G1051" i="4" s="1"/>
  <c r="D1051" i="4"/>
  <c r="C1051" i="4"/>
  <c r="B1051" i="4"/>
  <c r="G1050" i="4" a="1"/>
  <c r="G1050" i="4" s="1"/>
  <c r="F1050" i="4"/>
  <c r="D1050" i="4"/>
  <c r="C1050" i="4"/>
  <c r="I1050" i="4" s="1"/>
  <c r="J1050" i="4" s="1" a="1"/>
  <c r="J1050" i="4" s="1"/>
  <c r="K1050" i="4" s="1" a="1"/>
  <c r="K1050" i="4" s="1"/>
  <c r="B1050" i="4"/>
  <c r="G1049" i="4" a="1"/>
  <c r="G1049" i="4" s="1"/>
  <c r="F1049" i="4"/>
  <c r="D1049" i="4"/>
  <c r="J1049" i="4" s="1" a="1"/>
  <c r="J1049" i="4" s="1"/>
  <c r="K1049" i="4" s="1" a="1"/>
  <c r="K1049" i="4" s="1"/>
  <c r="C1049" i="4"/>
  <c r="I1049" i="4" s="1"/>
  <c r="B1049" i="4"/>
  <c r="H1049" i="4" s="1"/>
  <c r="G1048" i="4" a="1"/>
  <c r="G1048" i="4" s="1"/>
  <c r="F1048" i="4"/>
  <c r="D1048" i="4"/>
  <c r="C1048" i="4"/>
  <c r="B1048" i="4"/>
  <c r="G1047" i="4" a="1"/>
  <c r="G1047" i="4" s="1"/>
  <c r="D1047" i="4"/>
  <c r="C1047" i="4"/>
  <c r="I1047" i="4" s="1"/>
  <c r="B1047" i="4"/>
  <c r="G1046" i="4" a="1"/>
  <c r="G1046" i="4" s="1"/>
  <c r="D1046" i="4"/>
  <c r="C1046" i="4"/>
  <c r="I1046" i="4" s="1"/>
  <c r="B1046" i="4"/>
  <c r="G1045" i="4" a="1"/>
  <c r="G1045" i="4" s="1"/>
  <c r="D1045" i="4"/>
  <c r="C1045" i="4"/>
  <c r="I1045" i="4" s="1"/>
  <c r="B1045" i="4"/>
  <c r="G1044" i="4" a="1"/>
  <c r="G1044" i="4" s="1"/>
  <c r="F1044" i="4"/>
  <c r="D1044" i="4"/>
  <c r="C1044" i="4"/>
  <c r="B1044" i="4"/>
  <c r="G1043" i="4" a="1"/>
  <c r="G1043" i="4" s="1"/>
  <c r="D1043" i="4"/>
  <c r="C1043" i="4"/>
  <c r="B1043" i="4"/>
  <c r="G1042" i="4" a="1"/>
  <c r="G1042" i="4" s="1"/>
  <c r="F1042" i="4"/>
  <c r="D1042" i="4"/>
  <c r="C1042" i="4"/>
  <c r="I1042" i="4" s="1"/>
  <c r="B1042" i="4"/>
  <c r="I1041" i="4"/>
  <c r="G1041" i="4" a="1"/>
  <c r="G1041" i="4"/>
  <c r="D1041" i="4"/>
  <c r="C1041" i="4"/>
  <c r="B1041" i="4"/>
  <c r="G1040" i="4" a="1"/>
  <c r="G1040" i="4" s="1"/>
  <c r="D1040" i="4"/>
  <c r="C1040" i="4"/>
  <c r="I1040" i="4" s="1"/>
  <c r="B1040" i="4"/>
  <c r="G1039" i="4" a="1"/>
  <c r="G1039" i="4" s="1"/>
  <c r="D1039" i="4"/>
  <c r="C1039" i="4"/>
  <c r="I1039" i="4" s="1"/>
  <c r="B1039" i="4"/>
  <c r="G1038" i="4" a="1"/>
  <c r="G1038" i="4" s="1"/>
  <c r="D1038" i="4"/>
  <c r="F1038" i="4" s="1"/>
  <c r="C1038" i="4"/>
  <c r="I1038" i="4" s="1"/>
  <c r="B1038" i="4"/>
  <c r="G1037" i="4" a="1"/>
  <c r="G1037" i="4" s="1"/>
  <c r="D1037" i="4"/>
  <c r="C1037" i="4"/>
  <c r="I1037" i="4" s="1"/>
  <c r="B1037" i="4"/>
  <c r="G1036" i="4" a="1"/>
  <c r="G1036" i="4" s="1"/>
  <c r="F1036" i="4"/>
  <c r="D1036" i="4"/>
  <c r="C1036" i="4"/>
  <c r="B1036" i="4"/>
  <c r="G1035" i="4" a="1"/>
  <c r="G1035" i="4" s="1"/>
  <c r="D1035" i="4"/>
  <c r="C1035" i="4"/>
  <c r="B1035" i="4"/>
  <c r="G1034" i="4" a="1"/>
  <c r="G1034" i="4" s="1"/>
  <c r="D1034" i="4"/>
  <c r="C1034" i="4"/>
  <c r="I1034" i="4" s="1"/>
  <c r="B1034" i="4"/>
  <c r="G1033" i="4" a="1"/>
  <c r="G1033" i="4" s="1"/>
  <c r="D1033" i="4"/>
  <c r="C1033" i="4"/>
  <c r="B1033" i="4"/>
  <c r="G1032" i="4" a="1"/>
  <c r="G1032" i="4" s="1"/>
  <c r="D1032" i="4"/>
  <c r="C1032" i="4"/>
  <c r="B1032" i="4"/>
  <c r="G1031" i="4" a="1"/>
  <c r="G1031" i="4" s="1"/>
  <c r="J1031" i="4" a="1"/>
  <c r="J1031" i="4" s="1"/>
  <c r="K1031" i="4" s="1" a="1"/>
  <c r="K1031" i="4" s="1"/>
  <c r="D1031" i="4"/>
  <c r="C1031" i="4"/>
  <c r="I1031" i="4" s="1"/>
  <c r="B1031" i="4"/>
  <c r="G1030" i="4" a="1"/>
  <c r="G1030" i="4" s="1"/>
  <c r="D1030" i="4"/>
  <c r="C1030" i="4"/>
  <c r="I1030" i="4" s="1"/>
  <c r="B1030" i="4"/>
  <c r="G1029" i="4" a="1"/>
  <c r="G1029" i="4" s="1"/>
  <c r="F1029" i="4"/>
  <c r="D1029" i="4"/>
  <c r="C1029" i="4"/>
  <c r="I1029" i="4" s="1"/>
  <c r="J1029" i="4" s="1" a="1"/>
  <c r="J1029" i="4" s="1"/>
  <c r="K1029" i="4" s="1" a="1"/>
  <c r="K1029" i="4" s="1"/>
  <c r="B1029" i="4"/>
  <c r="G1028" i="4" a="1"/>
  <c r="G1028" i="4" s="1"/>
  <c r="D1028" i="4"/>
  <c r="C1028" i="4"/>
  <c r="B1028" i="4"/>
  <c r="G1027" i="4" a="1"/>
  <c r="G1027" i="4" s="1"/>
  <c r="D1027" i="4"/>
  <c r="C1027" i="4"/>
  <c r="B1027" i="4"/>
  <c r="G1026" i="4" a="1"/>
  <c r="G1026" i="4" s="1"/>
  <c r="D1026" i="4"/>
  <c r="C1026" i="4"/>
  <c r="I1026" i="4" s="1"/>
  <c r="B1026" i="4"/>
  <c r="G1025" i="4" a="1"/>
  <c r="G1025" i="4" s="1"/>
  <c r="D1025" i="4"/>
  <c r="C1025" i="4"/>
  <c r="I1025" i="4" s="1"/>
  <c r="B1025" i="4"/>
  <c r="H1024" i="4"/>
  <c r="G1024" i="4" a="1"/>
  <c r="G1024" i="4"/>
  <c r="D1024" i="4"/>
  <c r="F1024" i="4" s="1"/>
  <c r="C1024" i="4"/>
  <c r="I1024" i="4" s="1"/>
  <c r="B1024" i="4"/>
  <c r="G1023" i="4" a="1"/>
  <c r="G1023" i="4" s="1"/>
  <c r="F1023" i="4"/>
  <c r="D1023" i="4"/>
  <c r="C1023" i="4"/>
  <c r="I1023" i="4" s="1"/>
  <c r="B1023" i="4"/>
  <c r="G1022" i="4" a="1"/>
  <c r="G1022" i="4" s="1"/>
  <c r="D1022" i="4"/>
  <c r="F1022" i="4" s="1"/>
  <c r="C1022" i="4"/>
  <c r="I1022" i="4" s="1"/>
  <c r="B1022" i="4"/>
  <c r="G1021" i="4" a="1"/>
  <c r="G1021" i="4" s="1"/>
  <c r="D1021" i="4"/>
  <c r="F1021" i="4" s="1"/>
  <c r="C1021" i="4"/>
  <c r="I1021" i="4" s="1"/>
  <c r="B1021" i="4"/>
  <c r="G1020" i="4" a="1"/>
  <c r="G1020" i="4" s="1"/>
  <c r="D1020" i="4"/>
  <c r="C1020" i="4"/>
  <c r="B1020" i="4"/>
  <c r="G1019" i="4" a="1"/>
  <c r="G1019" i="4" s="1"/>
  <c r="D1019" i="4"/>
  <c r="C1019" i="4"/>
  <c r="B1019" i="4"/>
  <c r="G1018" i="4" a="1"/>
  <c r="G1018" i="4" s="1"/>
  <c r="D1018" i="4"/>
  <c r="C1018" i="4"/>
  <c r="I1018" i="4" s="1"/>
  <c r="B1018" i="4"/>
  <c r="G1017" i="4" a="1"/>
  <c r="G1017" i="4" s="1"/>
  <c r="D1017" i="4"/>
  <c r="C1017" i="4"/>
  <c r="I1017" i="4" s="1"/>
  <c r="B1017" i="4"/>
  <c r="G1016" i="4" a="1"/>
  <c r="G1016" i="4" s="1"/>
  <c r="D1016" i="4"/>
  <c r="C1016" i="4"/>
  <c r="B1016" i="4"/>
  <c r="G1015" i="4" a="1"/>
  <c r="G1015" i="4" s="1"/>
  <c r="D1015" i="4"/>
  <c r="C1015" i="4"/>
  <c r="I1015" i="4" s="1"/>
  <c r="B1015" i="4"/>
  <c r="G1014" i="4" a="1"/>
  <c r="G1014" i="4" s="1"/>
  <c r="D1014" i="4"/>
  <c r="C1014" i="4"/>
  <c r="I1014" i="4" s="1"/>
  <c r="B1014" i="4"/>
  <c r="G1013" i="4" a="1"/>
  <c r="G1013" i="4" s="1"/>
  <c r="F1013" i="4"/>
  <c r="D1013" i="4"/>
  <c r="C1013" i="4"/>
  <c r="I1013" i="4" s="1"/>
  <c r="B1013" i="4"/>
  <c r="G1012" i="4" a="1"/>
  <c r="G1012" i="4" s="1"/>
  <c r="D1012" i="4"/>
  <c r="C1012" i="4"/>
  <c r="B1012" i="4"/>
  <c r="G1011" i="4" a="1"/>
  <c r="G1011" i="4" s="1"/>
  <c r="D1011" i="4"/>
  <c r="C1011" i="4"/>
  <c r="B1011" i="4"/>
  <c r="G1010" i="4" a="1"/>
  <c r="G1010" i="4" s="1"/>
  <c r="D1010" i="4"/>
  <c r="C1010" i="4"/>
  <c r="I1010" i="4" s="1"/>
  <c r="B1010" i="4"/>
  <c r="H1010" i="4" s="1"/>
  <c r="G1009" i="4" a="1"/>
  <c r="G1009" i="4" s="1"/>
  <c r="D1009" i="4"/>
  <c r="C1009" i="4"/>
  <c r="I1009" i="4" s="1"/>
  <c r="B1009" i="4"/>
  <c r="G1008" i="4" a="1"/>
  <c r="G1008" i="4" s="1"/>
  <c r="D1008" i="4"/>
  <c r="C1008" i="4"/>
  <c r="I1008" i="4" s="1"/>
  <c r="B1008" i="4"/>
  <c r="G1007" i="4" a="1"/>
  <c r="G1007" i="4"/>
  <c r="D1007" i="4"/>
  <c r="F1007" i="4" s="1"/>
  <c r="C1007" i="4"/>
  <c r="I1007" i="4" s="1"/>
  <c r="B1007" i="4"/>
  <c r="H1007" i="4" s="1"/>
  <c r="G1006" i="4" a="1"/>
  <c r="G1006" i="4" s="1"/>
  <c r="D1006" i="4"/>
  <c r="C1006" i="4"/>
  <c r="I1006" i="4" s="1"/>
  <c r="B1006" i="4"/>
  <c r="G1005" i="4" a="1"/>
  <c r="G1005" i="4" s="1"/>
  <c r="D1005" i="4"/>
  <c r="C1005" i="4"/>
  <c r="I1005" i="4" s="1"/>
  <c r="B1005" i="4"/>
  <c r="G1004" i="4" a="1"/>
  <c r="G1004" i="4" s="1"/>
  <c r="D1004" i="4"/>
  <c r="C1004" i="4"/>
  <c r="B1004" i="4"/>
  <c r="G1003" i="4" a="1"/>
  <c r="G1003" i="4" s="1"/>
  <c r="D1003" i="4"/>
  <c r="C1003" i="4"/>
  <c r="B1003" i="4"/>
  <c r="G1002" i="4" a="1"/>
  <c r="G1002" i="4" s="1"/>
  <c r="D1002" i="4"/>
  <c r="C1002" i="4"/>
  <c r="I1002" i="4" s="1"/>
  <c r="B1002" i="4"/>
  <c r="G1001" i="4" a="1"/>
  <c r="G1001" i="4" s="1"/>
  <c r="D1001" i="4"/>
  <c r="C1001" i="4"/>
  <c r="I1001" i="4" s="1"/>
  <c r="B1001" i="4"/>
  <c r="G1000" i="4" a="1"/>
  <c r="G1000" i="4" s="1"/>
  <c r="D1000" i="4"/>
  <c r="C1000" i="4"/>
  <c r="I1000" i="4" s="1"/>
  <c r="J1000" i="4" s="1" a="1"/>
  <c r="J1000" i="4" s="1"/>
  <c r="K1000" i="4" s="1" a="1"/>
  <c r="K1000" i="4" s="1"/>
  <c r="B1000" i="4"/>
  <c r="G999" i="4" a="1"/>
  <c r="G999" i="4" s="1"/>
  <c r="F999" i="4"/>
  <c r="D999" i="4"/>
  <c r="C999" i="4"/>
  <c r="I999" i="4" s="1"/>
  <c r="B999" i="4"/>
  <c r="G998" i="4" a="1"/>
  <c r="G998" i="4" s="1"/>
  <c r="D998" i="4"/>
  <c r="C998" i="4"/>
  <c r="I998" i="4" s="1"/>
  <c r="B998" i="4"/>
  <c r="G997" i="4" a="1"/>
  <c r="G997" i="4" s="1"/>
  <c r="F997" i="4"/>
  <c r="D997" i="4"/>
  <c r="C997" i="4"/>
  <c r="I997" i="4" s="1"/>
  <c r="J997" i="4" s="1" a="1"/>
  <c r="J997" i="4" s="1"/>
  <c r="K997" i="4" s="1" a="1"/>
  <c r="K997" i="4" s="1"/>
  <c r="B997" i="4"/>
  <c r="G996" i="4" a="1"/>
  <c r="G996" i="4" s="1"/>
  <c r="D996" i="4"/>
  <c r="C996" i="4"/>
  <c r="B996" i="4"/>
  <c r="G995" i="4" a="1"/>
  <c r="G995" i="4" s="1"/>
  <c r="D995" i="4"/>
  <c r="C995" i="4"/>
  <c r="B995" i="4"/>
  <c r="G994" i="4" a="1"/>
  <c r="G994" i="4" s="1"/>
  <c r="F994" i="4"/>
  <c r="D994" i="4"/>
  <c r="C994" i="4"/>
  <c r="H994" i="4" s="1"/>
  <c r="B994" i="4"/>
  <c r="G993" i="4" a="1"/>
  <c r="G993" i="4" s="1"/>
  <c r="D993" i="4"/>
  <c r="C993" i="4"/>
  <c r="I993" i="4" s="1"/>
  <c r="B993" i="4"/>
  <c r="G992" i="4" a="1"/>
  <c r="G992" i="4" s="1"/>
  <c r="D992" i="4"/>
  <c r="C992" i="4"/>
  <c r="H992" i="4" s="1"/>
  <c r="B992" i="4"/>
  <c r="G991" i="4" a="1"/>
  <c r="G991" i="4" s="1"/>
  <c r="D991" i="4"/>
  <c r="C991" i="4"/>
  <c r="I991" i="4" s="1"/>
  <c r="B991" i="4"/>
  <c r="G990" i="4" a="1"/>
  <c r="G990" i="4" s="1"/>
  <c r="D990" i="4"/>
  <c r="F990" i="4" s="1"/>
  <c r="C990" i="4"/>
  <c r="I990" i="4" s="1"/>
  <c r="B990" i="4"/>
  <c r="H990" i="4" s="1"/>
  <c r="G989" i="4" a="1"/>
  <c r="G989" i="4" s="1"/>
  <c r="F989" i="4"/>
  <c r="D989" i="4"/>
  <c r="C989" i="4"/>
  <c r="I989" i="4" s="1"/>
  <c r="B989" i="4"/>
  <c r="G988" i="4" a="1"/>
  <c r="G988" i="4" s="1"/>
  <c r="D988" i="4"/>
  <c r="C988" i="4"/>
  <c r="B988" i="4"/>
  <c r="G987" i="4" a="1"/>
  <c r="G987" i="4" s="1"/>
  <c r="D987" i="4"/>
  <c r="C987" i="4"/>
  <c r="I987" i="4" s="1"/>
  <c r="B987" i="4"/>
  <c r="G986" i="4" a="1"/>
  <c r="G986" i="4" s="1"/>
  <c r="D986" i="4"/>
  <c r="C986" i="4"/>
  <c r="I986" i="4" s="1"/>
  <c r="B986" i="4"/>
  <c r="G985" i="4" a="1"/>
  <c r="G985" i="4" s="1"/>
  <c r="D985" i="4"/>
  <c r="C985" i="4"/>
  <c r="I985" i="4" s="1"/>
  <c r="B985" i="4"/>
  <c r="I984" i="4"/>
  <c r="G984" i="4" a="1"/>
  <c r="G984" i="4" s="1"/>
  <c r="D984" i="4"/>
  <c r="C984" i="4"/>
  <c r="H984" i="4" s="1"/>
  <c r="B984" i="4"/>
  <c r="G983" i="4" a="1"/>
  <c r="G983" i="4" s="1"/>
  <c r="D983" i="4"/>
  <c r="C983" i="4"/>
  <c r="H983" i="4" s="1"/>
  <c r="B983" i="4"/>
  <c r="G982" i="4" a="1"/>
  <c r="G982" i="4"/>
  <c r="D982" i="4"/>
  <c r="C982" i="4"/>
  <c r="I982" i="4" s="1"/>
  <c r="B982" i="4"/>
  <c r="H982" i="4" s="1"/>
  <c r="G981" i="4" a="1"/>
  <c r="G981" i="4" s="1"/>
  <c r="D981" i="4"/>
  <c r="C981" i="4"/>
  <c r="I981" i="4" s="1"/>
  <c r="B981" i="4"/>
  <c r="G980" i="4" a="1"/>
  <c r="G980" i="4" s="1"/>
  <c r="D980" i="4"/>
  <c r="C980" i="4"/>
  <c r="B980" i="4"/>
  <c r="G979" i="4" a="1"/>
  <c r="G979" i="4" s="1"/>
  <c r="F979" i="4"/>
  <c r="D979" i="4"/>
  <c r="C979" i="4"/>
  <c r="H979" i="4" s="1"/>
  <c r="B979" i="4"/>
  <c r="I978" i="4"/>
  <c r="G978" i="4" a="1"/>
  <c r="G978" i="4"/>
  <c r="D978" i="4"/>
  <c r="C978" i="4"/>
  <c r="B978" i="4"/>
  <c r="G977" i="4" a="1"/>
  <c r="G977" i="4" s="1"/>
  <c r="F977" i="4"/>
  <c r="D977" i="4"/>
  <c r="C977" i="4"/>
  <c r="I977" i="4" s="1"/>
  <c r="B977" i="4"/>
  <c r="G976" i="4" a="1"/>
  <c r="G976" i="4" s="1"/>
  <c r="D976" i="4"/>
  <c r="C976" i="4"/>
  <c r="I976" i="4" s="1"/>
  <c r="B976" i="4"/>
  <c r="G975" i="4" a="1"/>
  <c r="G975" i="4" s="1"/>
  <c r="F975" i="4"/>
  <c r="D975" i="4"/>
  <c r="C975" i="4"/>
  <c r="I975" i="4" s="1"/>
  <c r="B975" i="4"/>
  <c r="G974" i="4" a="1"/>
  <c r="G974" i="4" s="1"/>
  <c r="F974" i="4"/>
  <c r="D974" i="4"/>
  <c r="C974" i="4"/>
  <c r="I974" i="4" s="1"/>
  <c r="B974" i="4"/>
  <c r="G973" i="4" a="1"/>
  <c r="G973" i="4" s="1"/>
  <c r="D973" i="4"/>
  <c r="F973" i="4" s="1"/>
  <c r="C973" i="4"/>
  <c r="I973" i="4" s="1"/>
  <c r="B973" i="4"/>
  <c r="G972" i="4" a="1"/>
  <c r="G972" i="4" s="1"/>
  <c r="F972" i="4"/>
  <c r="D972" i="4"/>
  <c r="C972" i="4"/>
  <c r="B972" i="4"/>
  <c r="G971" i="4" a="1"/>
  <c r="G971" i="4" s="1"/>
  <c r="D971" i="4"/>
  <c r="C971" i="4"/>
  <c r="B971" i="4"/>
  <c r="G970" i="4" a="1"/>
  <c r="G970" i="4" s="1"/>
  <c r="D970" i="4"/>
  <c r="C970" i="4"/>
  <c r="I970" i="4" s="1"/>
  <c r="B970" i="4"/>
  <c r="G969" i="4" a="1"/>
  <c r="G969" i="4" s="1"/>
  <c r="D969" i="4"/>
  <c r="C969" i="4"/>
  <c r="I969" i="4" s="1"/>
  <c r="B969" i="4"/>
  <c r="G968" i="4" a="1"/>
  <c r="G968" i="4" s="1"/>
  <c r="F968" i="4"/>
  <c r="D968" i="4"/>
  <c r="C968" i="4"/>
  <c r="I968" i="4" s="1"/>
  <c r="B968" i="4"/>
  <c r="G967" i="4" a="1"/>
  <c r="G967" i="4" s="1"/>
  <c r="D967" i="4"/>
  <c r="C967" i="4"/>
  <c r="I967" i="4" s="1"/>
  <c r="B967" i="4"/>
  <c r="G966" i="4" a="1"/>
  <c r="G966" i="4"/>
  <c r="D966" i="4"/>
  <c r="C966" i="4"/>
  <c r="I966" i="4" s="1"/>
  <c r="B966" i="4"/>
  <c r="G965" i="4" a="1"/>
  <c r="G965" i="4" s="1"/>
  <c r="D965" i="4"/>
  <c r="F965" i="4" s="1"/>
  <c r="C965" i="4"/>
  <c r="I965" i="4" s="1"/>
  <c r="B965" i="4"/>
  <c r="G964" i="4" a="1"/>
  <c r="G964" i="4" s="1"/>
  <c r="F964" i="4"/>
  <c r="D964" i="4"/>
  <c r="C964" i="4"/>
  <c r="B964" i="4"/>
  <c r="G963" i="4" a="1"/>
  <c r="G963" i="4" s="1"/>
  <c r="D963" i="4"/>
  <c r="C963" i="4"/>
  <c r="B963" i="4"/>
  <c r="G962" i="4" a="1"/>
  <c r="G962" i="4" s="1"/>
  <c r="D962" i="4"/>
  <c r="C962" i="4"/>
  <c r="I962" i="4" s="1"/>
  <c r="B962" i="4"/>
  <c r="G961" i="4" a="1"/>
  <c r="G961" i="4" s="1"/>
  <c r="D961" i="4"/>
  <c r="C961" i="4"/>
  <c r="I961" i="4" s="1"/>
  <c r="B961" i="4"/>
  <c r="G960" i="4" a="1"/>
  <c r="G960" i="4" s="1"/>
  <c r="F960" i="4"/>
  <c r="D960" i="4"/>
  <c r="C960" i="4"/>
  <c r="B960" i="4"/>
  <c r="G959" i="4" a="1"/>
  <c r="G959" i="4" s="1"/>
  <c r="D959" i="4"/>
  <c r="C959" i="4"/>
  <c r="B959" i="4"/>
  <c r="G958" i="4" a="1"/>
  <c r="G958" i="4"/>
  <c r="D958" i="4"/>
  <c r="C958" i="4"/>
  <c r="I958" i="4" s="1"/>
  <c r="B958" i="4"/>
  <c r="G957" i="4" a="1"/>
  <c r="G957" i="4" s="1"/>
  <c r="D957" i="4"/>
  <c r="F957" i="4" s="1"/>
  <c r="C957" i="4"/>
  <c r="I957" i="4" s="1"/>
  <c r="B957" i="4"/>
  <c r="G956" i="4" a="1"/>
  <c r="G956" i="4" s="1"/>
  <c r="F956" i="4"/>
  <c r="D956" i="4"/>
  <c r="C956" i="4"/>
  <c r="B956" i="4"/>
  <c r="G955" i="4" a="1"/>
  <c r="G955" i="4" s="1"/>
  <c r="D955" i="4"/>
  <c r="C955" i="4"/>
  <c r="B955" i="4"/>
  <c r="G954" i="4" a="1"/>
  <c r="G954" i="4" s="1"/>
  <c r="D954" i="4"/>
  <c r="C954" i="4"/>
  <c r="I954" i="4" s="1"/>
  <c r="B954" i="4"/>
  <c r="G953" i="4" a="1"/>
  <c r="G953" i="4" s="1"/>
  <c r="D953" i="4"/>
  <c r="C953" i="4"/>
  <c r="I953" i="4" s="1"/>
  <c r="B953" i="4"/>
  <c r="G952" i="4" a="1"/>
  <c r="G952" i="4" s="1"/>
  <c r="F952" i="4"/>
  <c r="D952" i="4"/>
  <c r="C952" i="4"/>
  <c r="B952" i="4"/>
  <c r="G951" i="4" a="1"/>
  <c r="G951" i="4" s="1"/>
  <c r="D951" i="4"/>
  <c r="C951" i="4"/>
  <c r="B951" i="4"/>
  <c r="G950" i="4" a="1"/>
  <c r="G950" i="4"/>
  <c r="D950" i="4"/>
  <c r="C950" i="4"/>
  <c r="I950" i="4" s="1"/>
  <c r="B950" i="4"/>
  <c r="G949" i="4" a="1"/>
  <c r="G949" i="4" s="1"/>
  <c r="D949" i="4"/>
  <c r="F949" i="4" s="1"/>
  <c r="C949" i="4"/>
  <c r="I949" i="4" s="1"/>
  <c r="B949" i="4"/>
  <c r="G948" i="4" a="1"/>
  <c r="G948" i="4" s="1"/>
  <c r="D948" i="4"/>
  <c r="C948" i="4"/>
  <c r="B948" i="4"/>
  <c r="G947" i="4" a="1"/>
  <c r="G947" i="4" s="1"/>
  <c r="D947" i="4"/>
  <c r="C947" i="4"/>
  <c r="B947" i="4"/>
  <c r="G946" i="4" a="1"/>
  <c r="G946" i="4" s="1"/>
  <c r="D946" i="4"/>
  <c r="C946" i="4"/>
  <c r="I946" i="4" s="1"/>
  <c r="B946" i="4"/>
  <c r="G945" i="4" a="1"/>
  <c r="G945" i="4" s="1"/>
  <c r="D945" i="4"/>
  <c r="C945" i="4"/>
  <c r="I945" i="4" s="1"/>
  <c r="B945" i="4"/>
  <c r="G944" i="4" a="1"/>
  <c r="G944" i="4" s="1"/>
  <c r="D944" i="4"/>
  <c r="C944" i="4"/>
  <c r="I944" i="4" s="1"/>
  <c r="B944" i="4"/>
  <c r="G943" i="4" a="1"/>
  <c r="G943" i="4" s="1"/>
  <c r="D943" i="4"/>
  <c r="F943" i="4" s="1"/>
  <c r="C943" i="4"/>
  <c r="I943" i="4" s="1"/>
  <c r="B943" i="4"/>
  <c r="G942" i="4" a="1"/>
  <c r="G942" i="4" s="1"/>
  <c r="D942" i="4"/>
  <c r="C942" i="4"/>
  <c r="I942" i="4" s="1"/>
  <c r="B942" i="4"/>
  <c r="G941" i="4" a="1"/>
  <c r="G941" i="4" s="1"/>
  <c r="F941" i="4"/>
  <c r="D941" i="4"/>
  <c r="C941" i="4"/>
  <c r="I941" i="4" s="1"/>
  <c r="J941" i="4" s="1" a="1"/>
  <c r="J941" i="4" s="1"/>
  <c r="K941" i="4" s="1" a="1"/>
  <c r="K941" i="4" s="1"/>
  <c r="B941" i="4"/>
  <c r="G940" i="4" a="1"/>
  <c r="G940" i="4" s="1"/>
  <c r="D940" i="4"/>
  <c r="C940" i="4"/>
  <c r="B940" i="4"/>
  <c r="G939" i="4" a="1"/>
  <c r="G939" i="4" s="1"/>
  <c r="F939" i="4"/>
  <c r="D939" i="4"/>
  <c r="C939" i="4"/>
  <c r="I939" i="4" s="1"/>
  <c r="B939" i="4"/>
  <c r="I938" i="4"/>
  <c r="G938" i="4" a="1"/>
  <c r="G938" i="4"/>
  <c r="D938" i="4"/>
  <c r="C938" i="4"/>
  <c r="B938" i="4"/>
  <c r="G937" i="4" a="1"/>
  <c r="G937" i="4" s="1"/>
  <c r="D937" i="4"/>
  <c r="C937" i="4"/>
  <c r="I937" i="4" s="1"/>
  <c r="B937" i="4"/>
  <c r="I936" i="4"/>
  <c r="G936" i="4" a="1"/>
  <c r="G936" i="4" s="1"/>
  <c r="F936" i="4"/>
  <c r="D936" i="4"/>
  <c r="C936" i="4"/>
  <c r="H936" i="4" s="1"/>
  <c r="B936" i="4"/>
  <c r="I935" i="4"/>
  <c r="G935" i="4" a="1"/>
  <c r="G935" i="4"/>
  <c r="D935" i="4"/>
  <c r="C935" i="4"/>
  <c r="B935" i="4"/>
  <c r="G934" i="4" a="1"/>
  <c r="G934" i="4" s="1"/>
  <c r="F934" i="4"/>
  <c r="D934" i="4"/>
  <c r="C934" i="4"/>
  <c r="I934" i="4" s="1"/>
  <c r="B934" i="4"/>
  <c r="G933" i="4" a="1"/>
  <c r="G933" i="4" s="1"/>
  <c r="F933" i="4"/>
  <c r="D933" i="4"/>
  <c r="C933" i="4"/>
  <c r="B933" i="4"/>
  <c r="G932" i="4" a="1"/>
  <c r="G932" i="4" s="1"/>
  <c r="D932" i="4"/>
  <c r="C932" i="4"/>
  <c r="B932" i="4"/>
  <c r="G931" i="4" a="1"/>
  <c r="G931" i="4" s="1"/>
  <c r="F931" i="4"/>
  <c r="D931" i="4"/>
  <c r="C931" i="4"/>
  <c r="B931" i="4"/>
  <c r="G930" i="4" a="1"/>
  <c r="G930" i="4" s="1"/>
  <c r="D930" i="4"/>
  <c r="C930" i="4"/>
  <c r="H930" i="4" s="1"/>
  <c r="B930" i="4"/>
  <c r="G929" i="4" a="1"/>
  <c r="G929" i="4" s="1"/>
  <c r="D929" i="4"/>
  <c r="C929" i="4"/>
  <c r="I929" i="4" s="1"/>
  <c r="B929" i="4"/>
  <c r="G928" i="4" a="1"/>
  <c r="G928" i="4" s="1"/>
  <c r="D928" i="4"/>
  <c r="C928" i="4"/>
  <c r="I928" i="4" s="1"/>
  <c r="B928" i="4"/>
  <c r="I927" i="4"/>
  <c r="G927" i="4" a="1"/>
  <c r="G927" i="4" s="1"/>
  <c r="D927" i="4"/>
  <c r="F927" i="4" s="1"/>
  <c r="C927" i="4"/>
  <c r="H927" i="4" s="1"/>
  <c r="B927" i="4"/>
  <c r="G926" i="4" a="1"/>
  <c r="G926" i="4"/>
  <c r="D926" i="4"/>
  <c r="F926" i="4" s="1"/>
  <c r="C926" i="4"/>
  <c r="B926" i="4"/>
  <c r="G925" i="4" a="1"/>
  <c r="G925" i="4" s="1"/>
  <c r="F925" i="4"/>
  <c r="D925" i="4"/>
  <c r="C925" i="4"/>
  <c r="I925" i="4" s="1"/>
  <c r="B925" i="4"/>
  <c r="G924" i="4" a="1"/>
  <c r="G924" i="4" s="1"/>
  <c r="D924" i="4"/>
  <c r="C924" i="4"/>
  <c r="B924" i="4"/>
  <c r="G923" i="4" a="1"/>
  <c r="G923" i="4" s="1"/>
  <c r="F923" i="4"/>
  <c r="D923" i="4"/>
  <c r="C923" i="4"/>
  <c r="B923" i="4"/>
  <c r="G922" i="4" a="1"/>
  <c r="G922" i="4" s="1"/>
  <c r="D922" i="4"/>
  <c r="C922" i="4"/>
  <c r="B922" i="4"/>
  <c r="G921" i="4" a="1"/>
  <c r="G921" i="4" s="1"/>
  <c r="D921" i="4"/>
  <c r="C921" i="4"/>
  <c r="I921" i="4" s="1"/>
  <c r="B921" i="4"/>
  <c r="G920" i="4" a="1"/>
  <c r="G920" i="4" s="1"/>
  <c r="D920" i="4"/>
  <c r="C920" i="4"/>
  <c r="B920" i="4"/>
  <c r="G919" i="4" a="1"/>
  <c r="G919" i="4" s="1"/>
  <c r="D919" i="4"/>
  <c r="C919" i="4"/>
  <c r="H919" i="4" s="1"/>
  <c r="B919" i="4"/>
  <c r="G918" i="4" a="1"/>
  <c r="G918" i="4" s="1"/>
  <c r="F918" i="4"/>
  <c r="D918" i="4"/>
  <c r="C918" i="4"/>
  <c r="I918" i="4" s="1"/>
  <c r="B918" i="4"/>
  <c r="G917" i="4" a="1"/>
  <c r="G917" i="4" s="1"/>
  <c r="F917" i="4"/>
  <c r="D917" i="4"/>
  <c r="C917" i="4"/>
  <c r="I917" i="4" s="1"/>
  <c r="J917" i="4" s="1" a="1"/>
  <c r="J917" i="4" s="1"/>
  <c r="K917" i="4" s="1" a="1"/>
  <c r="K917" i="4" s="1"/>
  <c r="B917" i="4"/>
  <c r="G916" i="4" a="1"/>
  <c r="G916" i="4" s="1"/>
  <c r="D916" i="4"/>
  <c r="C916" i="4"/>
  <c r="B916" i="4"/>
  <c r="G915" i="4" a="1"/>
  <c r="G915" i="4" s="1"/>
  <c r="F915" i="4"/>
  <c r="D915" i="4"/>
  <c r="C915" i="4"/>
  <c r="I915" i="4" s="1"/>
  <c r="B915" i="4"/>
  <c r="G914" i="4" a="1"/>
  <c r="G914" i="4" s="1"/>
  <c r="D914" i="4"/>
  <c r="C914" i="4"/>
  <c r="I914" i="4" s="1"/>
  <c r="B914" i="4"/>
  <c r="G913" i="4" a="1"/>
  <c r="G913" i="4"/>
  <c r="D913" i="4"/>
  <c r="C913" i="4"/>
  <c r="I913" i="4" s="1"/>
  <c r="B913" i="4"/>
  <c r="H913" i="4" s="1"/>
  <c r="G912" i="4" a="1"/>
  <c r="G912" i="4"/>
  <c r="D912" i="4"/>
  <c r="C912" i="4"/>
  <c r="I912" i="4" s="1"/>
  <c r="B912" i="4"/>
  <c r="H912" i="4" s="1"/>
  <c r="G911" i="4" a="1"/>
  <c r="G911" i="4"/>
  <c r="D911" i="4"/>
  <c r="F911" i="4" s="1"/>
  <c r="C911" i="4"/>
  <c r="I911" i="4" s="1"/>
  <c r="B911" i="4"/>
  <c r="G910" i="4" a="1"/>
  <c r="G910" i="4"/>
  <c r="D910" i="4"/>
  <c r="F910" i="4" s="1"/>
  <c r="C910" i="4"/>
  <c r="I910" i="4" s="1"/>
  <c r="B910" i="4"/>
  <c r="G909" i="4" a="1"/>
  <c r="G909" i="4" s="1"/>
  <c r="D909" i="4"/>
  <c r="C909" i="4"/>
  <c r="I909" i="4" s="1"/>
  <c r="J909" i="4" s="1" a="1"/>
  <c r="J909" i="4" s="1"/>
  <c r="K909" i="4" s="1" a="1"/>
  <c r="K909" i="4" s="1"/>
  <c r="B909" i="4"/>
  <c r="G908" i="4" a="1"/>
  <c r="G908" i="4" s="1"/>
  <c r="D908" i="4"/>
  <c r="C908" i="4"/>
  <c r="I908" i="4" s="1"/>
  <c r="B908" i="4"/>
  <c r="G907" i="4" a="1"/>
  <c r="G907" i="4" s="1"/>
  <c r="F907" i="4"/>
  <c r="D907" i="4"/>
  <c r="C907" i="4"/>
  <c r="I907" i="4" s="1"/>
  <c r="B907" i="4"/>
  <c r="G906" i="4" a="1"/>
  <c r="G906" i="4" s="1"/>
  <c r="D906" i="4"/>
  <c r="C906" i="4"/>
  <c r="I906" i="4" s="1"/>
  <c r="J906" i="4" s="1" a="1"/>
  <c r="J906" i="4" s="1"/>
  <c r="K906" i="4" s="1" a="1"/>
  <c r="K906" i="4" s="1"/>
  <c r="B906" i="4"/>
  <c r="G905" i="4" a="1"/>
  <c r="G905" i="4" s="1"/>
  <c r="D905" i="4"/>
  <c r="C905" i="4"/>
  <c r="I905" i="4" s="1"/>
  <c r="B905" i="4"/>
  <c r="G904" i="4" a="1"/>
  <c r="G904" i="4" s="1"/>
  <c r="D904" i="4"/>
  <c r="C904" i="4"/>
  <c r="I904" i="4" s="1"/>
  <c r="B904" i="4"/>
  <c r="G903" i="4" a="1"/>
  <c r="G903" i="4" s="1"/>
  <c r="F903" i="4"/>
  <c r="D903" i="4"/>
  <c r="C903" i="4"/>
  <c r="I903" i="4" s="1"/>
  <c r="J903" i="4" s="1" a="1"/>
  <c r="J903" i="4" s="1"/>
  <c r="K903" i="4" s="1" a="1"/>
  <c r="K903" i="4" s="1"/>
  <c r="B903" i="4"/>
  <c r="G902" i="4" a="1"/>
  <c r="G902" i="4" s="1"/>
  <c r="F902" i="4"/>
  <c r="D902" i="4"/>
  <c r="C902" i="4"/>
  <c r="I902" i="4" s="1"/>
  <c r="B902" i="4"/>
  <c r="G901" i="4" a="1"/>
  <c r="G901" i="4" s="1"/>
  <c r="D901" i="4"/>
  <c r="C901" i="4"/>
  <c r="B901" i="4"/>
  <c r="G900" i="4" a="1"/>
  <c r="G900" i="4" s="1"/>
  <c r="D900" i="4"/>
  <c r="C900" i="4"/>
  <c r="B900" i="4"/>
  <c r="G899" i="4" a="1"/>
  <c r="G899" i="4" s="1"/>
  <c r="D899" i="4"/>
  <c r="C899" i="4"/>
  <c r="I899" i="4" s="1"/>
  <c r="B899" i="4"/>
  <c r="G898" i="4" a="1"/>
  <c r="G898" i="4" s="1"/>
  <c r="D898" i="4"/>
  <c r="C898" i="4"/>
  <c r="B898" i="4"/>
  <c r="G897" i="4" a="1"/>
  <c r="G897" i="4" s="1"/>
  <c r="D897" i="4"/>
  <c r="C897" i="4"/>
  <c r="B897" i="4"/>
  <c r="G896" i="4" a="1"/>
  <c r="G896" i="4" s="1"/>
  <c r="D896" i="4"/>
  <c r="C896" i="4"/>
  <c r="H896" i="4" s="1"/>
  <c r="B896" i="4"/>
  <c r="G895" i="4" a="1"/>
  <c r="G895" i="4" s="1"/>
  <c r="D895" i="4"/>
  <c r="F895" i="4" s="1"/>
  <c r="C895" i="4"/>
  <c r="I895" i="4" s="1"/>
  <c r="B895" i="4"/>
  <c r="G894" i="4" a="1"/>
  <c r="G894" i="4" s="1"/>
  <c r="F894" i="4"/>
  <c r="D894" i="4"/>
  <c r="C894" i="4"/>
  <c r="I894" i="4" s="1"/>
  <c r="B894" i="4"/>
  <c r="G893" i="4" a="1"/>
  <c r="G893" i="4" s="1"/>
  <c r="D893" i="4"/>
  <c r="C893" i="4"/>
  <c r="B893" i="4"/>
  <c r="G892" i="4" a="1"/>
  <c r="G892" i="4" s="1"/>
  <c r="D892" i="4"/>
  <c r="F892" i="4" s="1"/>
  <c r="C892" i="4"/>
  <c r="I892" i="4" s="1"/>
  <c r="B892" i="4"/>
  <c r="G891" i="4" a="1"/>
  <c r="G891" i="4" s="1"/>
  <c r="D891" i="4"/>
  <c r="C891" i="4"/>
  <c r="I891" i="4" s="1"/>
  <c r="B891" i="4"/>
  <c r="G890" i="4" a="1"/>
  <c r="G890" i="4" s="1"/>
  <c r="D890" i="4"/>
  <c r="C890" i="4"/>
  <c r="B890" i="4"/>
  <c r="G889" i="4" a="1"/>
  <c r="G889" i="4" s="1"/>
  <c r="F889" i="4"/>
  <c r="D889" i="4"/>
  <c r="C889" i="4"/>
  <c r="B889" i="4"/>
  <c r="I888" i="4"/>
  <c r="G888" i="4" a="1"/>
  <c r="G888" i="4"/>
  <c r="D888" i="4"/>
  <c r="C888" i="4"/>
  <c r="B888" i="4"/>
  <c r="G887" i="4" a="1"/>
  <c r="G887" i="4"/>
  <c r="D887" i="4"/>
  <c r="C887" i="4"/>
  <c r="I887" i="4" s="1"/>
  <c r="B887" i="4"/>
  <c r="G886" i="4" a="1"/>
  <c r="G886" i="4" s="1"/>
  <c r="D886" i="4"/>
  <c r="C886" i="4"/>
  <c r="I886" i="4" s="1"/>
  <c r="B886" i="4"/>
  <c r="G885" i="4" a="1"/>
  <c r="G885" i="4" s="1"/>
  <c r="F885" i="4"/>
  <c r="D885" i="4"/>
  <c r="C885" i="4"/>
  <c r="B885" i="4"/>
  <c r="G884" i="4" a="1"/>
  <c r="G884" i="4" s="1"/>
  <c r="F884" i="4"/>
  <c r="D884" i="4"/>
  <c r="C884" i="4"/>
  <c r="H884" i="4" s="1"/>
  <c r="B884" i="4"/>
  <c r="G883" i="4" a="1"/>
  <c r="G883" i="4" s="1"/>
  <c r="D883" i="4"/>
  <c r="C883" i="4"/>
  <c r="I883" i="4" s="1"/>
  <c r="B883" i="4"/>
  <c r="G882" i="4" a="1"/>
  <c r="G882" i="4" s="1"/>
  <c r="D882" i="4"/>
  <c r="C882" i="4"/>
  <c r="B882" i="4"/>
  <c r="I881" i="4"/>
  <c r="G881" i="4" a="1"/>
  <c r="G881" i="4"/>
  <c r="D881" i="4"/>
  <c r="C881" i="4"/>
  <c r="B881" i="4"/>
  <c r="G880" i="4" a="1"/>
  <c r="G880" i="4" s="1"/>
  <c r="D880" i="4"/>
  <c r="C880" i="4"/>
  <c r="I880" i="4" s="1"/>
  <c r="B880" i="4"/>
  <c r="G879" i="4" a="1"/>
  <c r="G879" i="4" s="1"/>
  <c r="F879" i="4"/>
  <c r="D879" i="4"/>
  <c r="C879" i="4"/>
  <c r="I879" i="4" s="1"/>
  <c r="B879" i="4"/>
  <c r="G878" i="4" a="1"/>
  <c r="G878" i="4" s="1"/>
  <c r="D878" i="4"/>
  <c r="F878" i="4" s="1"/>
  <c r="C878" i="4"/>
  <c r="I878" i="4" s="1"/>
  <c r="B878" i="4"/>
  <c r="G877" i="4" a="1"/>
  <c r="G877" i="4" s="1"/>
  <c r="D877" i="4"/>
  <c r="C877" i="4"/>
  <c r="B877" i="4"/>
  <c r="G876" i="4" a="1"/>
  <c r="G876" i="4" s="1"/>
  <c r="D876" i="4"/>
  <c r="C876" i="4"/>
  <c r="B876" i="4"/>
  <c r="G875" i="4" a="1"/>
  <c r="G875" i="4" s="1"/>
  <c r="F875" i="4"/>
  <c r="D875" i="4"/>
  <c r="C875" i="4"/>
  <c r="I875" i="4" s="1"/>
  <c r="B875" i="4"/>
  <c r="G874" i="4" a="1"/>
  <c r="G874" i="4" s="1"/>
  <c r="D874" i="4"/>
  <c r="C874" i="4"/>
  <c r="B874" i="4"/>
  <c r="G873" i="4" a="1"/>
  <c r="G873" i="4"/>
  <c r="D873" i="4"/>
  <c r="C873" i="4"/>
  <c r="I873" i="4" s="1"/>
  <c r="B873" i="4"/>
  <c r="G872" i="4" a="1"/>
  <c r="G872" i="4"/>
  <c r="D872" i="4"/>
  <c r="C872" i="4"/>
  <c r="I872" i="4" s="1"/>
  <c r="B872" i="4"/>
  <c r="H872" i="4" s="1"/>
  <c r="G871" i="4" a="1"/>
  <c r="G871" i="4" s="1"/>
  <c r="D871" i="4"/>
  <c r="F871" i="4" s="1"/>
  <c r="C871" i="4"/>
  <c r="I871" i="4" s="1"/>
  <c r="B871" i="4"/>
  <c r="G870" i="4" a="1"/>
  <c r="G870" i="4" s="1"/>
  <c r="D870" i="4"/>
  <c r="C870" i="4"/>
  <c r="I870" i="4" s="1"/>
  <c r="B870" i="4"/>
  <c r="G869" i="4" a="1"/>
  <c r="G869" i="4" s="1"/>
  <c r="D869" i="4"/>
  <c r="C869" i="4"/>
  <c r="B869" i="4"/>
  <c r="G868" i="4" a="1"/>
  <c r="G868" i="4" s="1"/>
  <c r="D868" i="4"/>
  <c r="C868" i="4"/>
  <c r="I868" i="4" s="1"/>
  <c r="B868" i="4"/>
  <c r="G867" i="4" a="1"/>
  <c r="G867" i="4" s="1"/>
  <c r="D867" i="4"/>
  <c r="C867" i="4"/>
  <c r="B867" i="4"/>
  <c r="G866" i="4" a="1"/>
  <c r="G866" i="4" s="1"/>
  <c r="D866" i="4"/>
  <c r="C866" i="4"/>
  <c r="I866" i="4" s="1"/>
  <c r="B866" i="4"/>
  <c r="G865" i="4" a="1"/>
  <c r="G865" i="4" s="1"/>
  <c r="D865" i="4"/>
  <c r="C865" i="4"/>
  <c r="I865" i="4" s="1"/>
  <c r="B865" i="4"/>
  <c r="G864" i="4" a="1"/>
  <c r="G864" i="4" s="1"/>
  <c r="F864" i="4"/>
  <c r="D864" i="4"/>
  <c r="C864" i="4"/>
  <c r="H864" i="4" s="1"/>
  <c r="B864" i="4"/>
  <c r="G863" i="4" a="1"/>
  <c r="G863" i="4" s="1"/>
  <c r="D863" i="4"/>
  <c r="C863" i="4"/>
  <c r="I863" i="4" s="1"/>
  <c r="B863" i="4"/>
  <c r="G862" i="4" a="1"/>
  <c r="G862" i="4" s="1"/>
  <c r="D862" i="4"/>
  <c r="C862" i="4"/>
  <c r="I862" i="4" s="1"/>
  <c r="B862" i="4"/>
  <c r="G861" i="4" a="1"/>
  <c r="G861" i="4" s="1"/>
  <c r="D861" i="4"/>
  <c r="F861" i="4" s="1"/>
  <c r="C861" i="4"/>
  <c r="B861" i="4"/>
  <c r="G860" i="4" a="1"/>
  <c r="G860" i="4" s="1"/>
  <c r="F860" i="4"/>
  <c r="D860" i="4"/>
  <c r="C860" i="4"/>
  <c r="I860" i="4" s="1"/>
  <c r="B860" i="4"/>
  <c r="I859" i="4"/>
  <c r="G859" i="4" a="1"/>
  <c r="G859" i="4"/>
  <c r="D859" i="4"/>
  <c r="C859" i="4"/>
  <c r="B859" i="4"/>
  <c r="G858" i="4" a="1"/>
  <c r="G858" i="4" s="1"/>
  <c r="D858" i="4"/>
  <c r="C858" i="4"/>
  <c r="B858" i="4"/>
  <c r="G857" i="4" a="1"/>
  <c r="G857" i="4" s="1"/>
  <c r="D857" i="4"/>
  <c r="C857" i="4"/>
  <c r="I857" i="4" s="1"/>
  <c r="B857" i="4"/>
  <c r="G856" i="4" a="1"/>
  <c r="G856" i="4" s="1"/>
  <c r="D856" i="4"/>
  <c r="C856" i="4"/>
  <c r="I856" i="4" s="1"/>
  <c r="B856" i="4"/>
  <c r="G855" i="4" a="1"/>
  <c r="G855" i="4" s="1"/>
  <c r="D855" i="4"/>
  <c r="C855" i="4"/>
  <c r="I855" i="4" s="1"/>
  <c r="B855" i="4"/>
  <c r="G854" i="4" a="1"/>
  <c r="G854" i="4"/>
  <c r="D854" i="4"/>
  <c r="C854" i="4"/>
  <c r="I854" i="4" s="1"/>
  <c r="B854" i="4"/>
  <c r="H854" i="4" s="1"/>
  <c r="G853" i="4" a="1"/>
  <c r="G853" i="4"/>
  <c r="D853" i="4"/>
  <c r="C853" i="4"/>
  <c r="I853" i="4" s="1"/>
  <c r="B853" i="4"/>
  <c r="G852" i="4" a="1"/>
  <c r="G852" i="4" s="1"/>
  <c r="F852" i="4"/>
  <c r="D852" i="4"/>
  <c r="C852" i="4"/>
  <c r="I852" i="4" s="1"/>
  <c r="B852" i="4"/>
  <c r="G851" i="4" a="1"/>
  <c r="G851" i="4" s="1"/>
  <c r="D851" i="4"/>
  <c r="C851" i="4"/>
  <c r="I851" i="4" s="1"/>
  <c r="B851" i="4"/>
  <c r="G850" i="4" a="1"/>
  <c r="G850" i="4" s="1"/>
  <c r="D850" i="4"/>
  <c r="C850" i="4"/>
  <c r="I850" i="4" s="1"/>
  <c r="B850" i="4"/>
  <c r="G849" i="4" a="1"/>
  <c r="G849" i="4" s="1"/>
  <c r="F849" i="4"/>
  <c r="D849" i="4"/>
  <c r="C849" i="4"/>
  <c r="I849" i="4" s="1"/>
  <c r="B849" i="4"/>
  <c r="G848" i="4" a="1"/>
  <c r="G848" i="4" s="1"/>
  <c r="D848" i="4"/>
  <c r="C848" i="4"/>
  <c r="B848" i="4"/>
  <c r="G847" i="4" a="1"/>
  <c r="G847" i="4"/>
  <c r="D847" i="4"/>
  <c r="C847" i="4"/>
  <c r="I847" i="4" s="1"/>
  <c r="B847" i="4"/>
  <c r="H847" i="4" s="1"/>
  <c r="G846" i="4" a="1"/>
  <c r="G846" i="4" s="1"/>
  <c r="D846" i="4"/>
  <c r="C846" i="4"/>
  <c r="I846" i="4" s="1"/>
  <c r="J846" i="4" s="1" a="1"/>
  <c r="J846" i="4" s="1"/>
  <c r="K846" i="4" s="1" a="1"/>
  <c r="K846" i="4" s="1"/>
  <c r="B846" i="4"/>
  <c r="G845" i="4" a="1"/>
  <c r="G845" i="4" s="1"/>
  <c r="D845" i="4"/>
  <c r="C845" i="4"/>
  <c r="I845" i="4" s="1"/>
  <c r="B845" i="4"/>
  <c r="G844" i="4" a="1"/>
  <c r="G844" i="4"/>
  <c r="D844" i="4"/>
  <c r="F844" i="4" s="1"/>
  <c r="C844" i="4"/>
  <c r="I844" i="4" s="1"/>
  <c r="B844" i="4"/>
  <c r="H844" i="4" s="1"/>
  <c r="G843" i="4" a="1"/>
  <c r="G843" i="4" s="1"/>
  <c r="D843" i="4"/>
  <c r="C843" i="4"/>
  <c r="I843" i="4" s="1"/>
  <c r="J843" i="4" s="1" a="1"/>
  <c r="J843" i="4" s="1"/>
  <c r="K843" i="4" s="1" a="1"/>
  <c r="K843" i="4" s="1"/>
  <c r="B843" i="4"/>
  <c r="G842" i="4" a="1"/>
  <c r="G842" i="4" s="1"/>
  <c r="D842" i="4"/>
  <c r="C842" i="4"/>
  <c r="I842" i="4" s="1"/>
  <c r="B842" i="4"/>
  <c r="G841" i="4" a="1"/>
  <c r="G841" i="4" s="1"/>
  <c r="F841" i="4"/>
  <c r="D841" i="4"/>
  <c r="C841" i="4"/>
  <c r="I841" i="4" s="1"/>
  <c r="B841" i="4"/>
  <c r="G840" i="4" a="1"/>
  <c r="G840" i="4" s="1"/>
  <c r="D840" i="4"/>
  <c r="C840" i="4"/>
  <c r="B840" i="4"/>
  <c r="G839" i="4" a="1"/>
  <c r="G839" i="4"/>
  <c r="D839" i="4"/>
  <c r="C839" i="4"/>
  <c r="I839" i="4" s="1"/>
  <c r="B839" i="4"/>
  <c r="H839" i="4" s="1"/>
  <c r="G838" i="4" a="1"/>
  <c r="G838" i="4" s="1"/>
  <c r="D838" i="4"/>
  <c r="C838" i="4"/>
  <c r="I838" i="4" s="1"/>
  <c r="J838" i="4" s="1" a="1"/>
  <c r="J838" i="4" s="1"/>
  <c r="K838" i="4" s="1" a="1"/>
  <c r="K838" i="4" s="1"/>
  <c r="B838" i="4"/>
  <c r="G837" i="4" a="1"/>
  <c r="G837" i="4"/>
  <c r="D837" i="4"/>
  <c r="C837" i="4"/>
  <c r="B837" i="4"/>
  <c r="G836" i="4" a="1"/>
  <c r="G836" i="4" s="1"/>
  <c r="D836" i="4"/>
  <c r="C836" i="4"/>
  <c r="I836" i="4" s="1"/>
  <c r="B836" i="4"/>
  <c r="G835" i="4" a="1"/>
  <c r="G835" i="4" s="1"/>
  <c r="D835" i="4"/>
  <c r="C835" i="4"/>
  <c r="I835" i="4" s="1"/>
  <c r="B835" i="4"/>
  <c r="G834" i="4" a="1"/>
  <c r="G834" i="4"/>
  <c r="D834" i="4"/>
  <c r="C834" i="4"/>
  <c r="I834" i="4" s="1"/>
  <c r="B834" i="4"/>
  <c r="H834" i="4" s="1"/>
  <c r="G833" i="4" a="1"/>
  <c r="G833" i="4" s="1"/>
  <c r="D833" i="4"/>
  <c r="F833" i="4" s="1"/>
  <c r="C833" i="4"/>
  <c r="B833" i="4"/>
  <c r="G832" i="4" a="1"/>
  <c r="G832" i="4" s="1"/>
  <c r="F832" i="4"/>
  <c r="D832" i="4"/>
  <c r="C832" i="4"/>
  <c r="I832" i="4" s="1"/>
  <c r="B832" i="4"/>
  <c r="G831" i="4" a="1"/>
  <c r="G831" i="4" s="1"/>
  <c r="D831" i="4"/>
  <c r="C831" i="4"/>
  <c r="B831" i="4"/>
  <c r="G830" i="4" a="1"/>
  <c r="G830" i="4" s="1"/>
  <c r="D830" i="4"/>
  <c r="C830" i="4"/>
  <c r="I830" i="4" s="1"/>
  <c r="B830" i="4"/>
  <c r="G829" i="4" a="1"/>
  <c r="G829" i="4" s="1"/>
  <c r="D829" i="4"/>
  <c r="C829" i="4"/>
  <c r="B829" i="4"/>
  <c r="G828" i="4" a="1"/>
  <c r="G828" i="4" s="1"/>
  <c r="F828" i="4"/>
  <c r="D828" i="4"/>
  <c r="C828" i="4"/>
  <c r="B828" i="4"/>
  <c r="G827" i="4" a="1"/>
  <c r="G827" i="4" s="1"/>
  <c r="D827" i="4"/>
  <c r="C827" i="4"/>
  <c r="B827" i="4"/>
  <c r="G826" i="4" a="1"/>
  <c r="G826" i="4" s="1"/>
  <c r="D826" i="4"/>
  <c r="C826" i="4"/>
  <c r="I826" i="4" s="1"/>
  <c r="B826" i="4"/>
  <c r="G825" i="4" a="1"/>
  <c r="G825" i="4"/>
  <c r="F825" i="4"/>
  <c r="D825" i="4"/>
  <c r="C825" i="4"/>
  <c r="I825" i="4" s="1"/>
  <c r="J825" i="4" s="1" a="1"/>
  <c r="J825" i="4" s="1"/>
  <c r="K825" i="4" s="1" a="1"/>
  <c r="K825" i="4" s="1"/>
  <c r="B825" i="4"/>
  <c r="G824" i="4" a="1"/>
  <c r="G824" i="4" s="1"/>
  <c r="D824" i="4"/>
  <c r="C824" i="4"/>
  <c r="I824" i="4" s="1"/>
  <c r="B824" i="4"/>
  <c r="G823" i="4" a="1"/>
  <c r="G823" i="4" s="1"/>
  <c r="D823" i="4"/>
  <c r="C823" i="4"/>
  <c r="B823" i="4"/>
  <c r="G822" i="4" a="1"/>
  <c r="G822" i="4" s="1"/>
  <c r="D822" i="4"/>
  <c r="C822" i="4"/>
  <c r="I822" i="4" s="1"/>
  <c r="B822" i="4"/>
  <c r="G821" i="4" a="1"/>
  <c r="G821" i="4" s="1"/>
  <c r="D821" i="4"/>
  <c r="C821" i="4"/>
  <c r="B821" i="4"/>
  <c r="G820" i="4" a="1"/>
  <c r="G820" i="4" s="1"/>
  <c r="D820" i="4"/>
  <c r="C820" i="4"/>
  <c r="B820" i="4"/>
  <c r="G819" i="4" a="1"/>
  <c r="G819" i="4"/>
  <c r="F819" i="4"/>
  <c r="D819" i="4"/>
  <c r="C819" i="4"/>
  <c r="I819" i="4" s="1"/>
  <c r="B819" i="4"/>
  <c r="I818" i="4"/>
  <c r="G818" i="4" a="1"/>
  <c r="G818" i="4" s="1"/>
  <c r="D818" i="4"/>
  <c r="C818" i="4"/>
  <c r="B818" i="4"/>
  <c r="G817" i="4" a="1"/>
  <c r="G817" i="4" s="1"/>
  <c r="F817" i="4"/>
  <c r="D817" i="4"/>
  <c r="C817" i="4"/>
  <c r="I817" i="4" s="1"/>
  <c r="B817" i="4"/>
  <c r="G816" i="4" a="1"/>
  <c r="G816" i="4" s="1"/>
  <c r="D816" i="4"/>
  <c r="F816" i="4" s="1"/>
  <c r="C816" i="4"/>
  <c r="I816" i="4" s="1"/>
  <c r="J816" i="4" s="1" a="1"/>
  <c r="J816" i="4" s="1"/>
  <c r="K816" i="4" s="1" a="1"/>
  <c r="K816" i="4" s="1"/>
  <c r="B816" i="4"/>
  <c r="G815" i="4" a="1"/>
  <c r="G815" i="4" s="1"/>
  <c r="D815" i="4"/>
  <c r="C815" i="4"/>
  <c r="B815" i="4"/>
  <c r="G814" i="4" a="1"/>
  <c r="G814" i="4" s="1"/>
  <c r="F814" i="4"/>
  <c r="D814" i="4"/>
  <c r="C814" i="4"/>
  <c r="I814" i="4" s="1"/>
  <c r="B814" i="4"/>
  <c r="H814" i="4" s="1"/>
  <c r="G813" i="4" a="1"/>
  <c r="G813" i="4" s="1"/>
  <c r="D813" i="4"/>
  <c r="C813" i="4"/>
  <c r="H813" i="4" s="1"/>
  <c r="B813" i="4"/>
  <c r="G812" i="4" a="1"/>
  <c r="G812" i="4" s="1"/>
  <c r="D812" i="4"/>
  <c r="C812" i="4"/>
  <c r="B812" i="4"/>
  <c r="G811" i="4" a="1"/>
  <c r="G811" i="4" s="1"/>
  <c r="F811" i="4"/>
  <c r="D811" i="4"/>
  <c r="C811" i="4"/>
  <c r="I811" i="4" s="1"/>
  <c r="B811" i="4"/>
  <c r="G810" i="4" a="1"/>
  <c r="G810" i="4" s="1"/>
  <c r="D810" i="4"/>
  <c r="C810" i="4"/>
  <c r="I810" i="4" s="1"/>
  <c r="J810" i="4" s="1" a="1"/>
  <c r="J810" i="4" s="1"/>
  <c r="K810" i="4" s="1" a="1"/>
  <c r="K810" i="4" s="1"/>
  <c r="B810" i="4"/>
  <c r="G809" i="4" a="1"/>
  <c r="G809" i="4" s="1"/>
  <c r="D809" i="4"/>
  <c r="F809" i="4" s="1"/>
  <c r="C809" i="4"/>
  <c r="I809" i="4" s="1"/>
  <c r="B809" i="4"/>
  <c r="G808" i="4" a="1"/>
  <c r="G808" i="4" s="1"/>
  <c r="F808" i="4"/>
  <c r="D808" i="4"/>
  <c r="C808" i="4"/>
  <c r="I808" i="4" s="1"/>
  <c r="B808" i="4"/>
  <c r="G807" i="4" a="1"/>
  <c r="G807" i="4" s="1"/>
  <c r="F807" i="4"/>
  <c r="D807" i="4"/>
  <c r="C807" i="4"/>
  <c r="B807" i="4"/>
  <c r="G806" i="4" a="1"/>
  <c r="G806" i="4" s="1"/>
  <c r="D806" i="4"/>
  <c r="C806" i="4"/>
  <c r="I806" i="4" s="1"/>
  <c r="J806" i="4" s="1" a="1"/>
  <c r="J806" i="4" s="1"/>
  <c r="K806" i="4" s="1" a="1"/>
  <c r="K806" i="4" s="1"/>
  <c r="B806" i="4"/>
  <c r="G805" i="4" a="1"/>
  <c r="G805" i="4" s="1"/>
  <c r="D805" i="4"/>
  <c r="C805" i="4"/>
  <c r="H805" i="4" s="1"/>
  <c r="B805" i="4"/>
  <c r="G804" i="4" a="1"/>
  <c r="G804" i="4" s="1"/>
  <c r="F804" i="4"/>
  <c r="D804" i="4"/>
  <c r="C804" i="4"/>
  <c r="B804" i="4"/>
  <c r="I803" i="4"/>
  <c r="G803" i="4" a="1"/>
  <c r="G803" i="4" s="1"/>
  <c r="D803" i="4"/>
  <c r="C803" i="4"/>
  <c r="H803" i="4" s="1"/>
  <c r="B803" i="4"/>
  <c r="G802" i="4" a="1"/>
  <c r="G802" i="4" s="1"/>
  <c r="F802" i="4"/>
  <c r="D802" i="4"/>
  <c r="C802" i="4"/>
  <c r="I802" i="4" s="1"/>
  <c r="B802" i="4"/>
  <c r="H802" i="4" s="1"/>
  <c r="G801" i="4" a="1"/>
  <c r="G801" i="4" s="1"/>
  <c r="F801" i="4"/>
  <c r="D801" i="4"/>
  <c r="C801" i="4"/>
  <c r="I801" i="4" s="1"/>
  <c r="B801" i="4"/>
  <c r="G800" i="4" a="1"/>
  <c r="G800" i="4" s="1"/>
  <c r="F800" i="4"/>
  <c r="D800" i="4"/>
  <c r="C800" i="4"/>
  <c r="I800" i="4" s="1"/>
  <c r="B800" i="4"/>
  <c r="G799" i="4" a="1"/>
  <c r="G799" i="4" s="1"/>
  <c r="D799" i="4"/>
  <c r="C799" i="4"/>
  <c r="B799" i="4"/>
  <c r="G798" i="4" a="1"/>
  <c r="G798" i="4" s="1"/>
  <c r="D798" i="4"/>
  <c r="C798" i="4"/>
  <c r="I798" i="4" s="1"/>
  <c r="B798" i="4"/>
  <c r="G797" i="4" a="1"/>
  <c r="G797" i="4" s="1"/>
  <c r="F797" i="4"/>
  <c r="D797" i="4"/>
  <c r="C797" i="4"/>
  <c r="B797" i="4"/>
  <c r="G796" i="4" a="1"/>
  <c r="G796" i="4" s="1"/>
  <c r="F796" i="4"/>
  <c r="D796" i="4"/>
  <c r="C796" i="4"/>
  <c r="H796" i="4" s="1"/>
  <c r="B796" i="4"/>
  <c r="I795" i="4"/>
  <c r="G795" i="4" a="1"/>
  <c r="G795" i="4" s="1"/>
  <c r="F795" i="4"/>
  <c r="D795" i="4"/>
  <c r="C795" i="4"/>
  <c r="H795" i="4" s="1"/>
  <c r="B795" i="4"/>
  <c r="G794" i="4" a="1"/>
  <c r="G794" i="4" s="1"/>
  <c r="D794" i="4"/>
  <c r="C794" i="4"/>
  <c r="I794" i="4" s="1"/>
  <c r="B794" i="4"/>
  <c r="G793" i="4" a="1"/>
  <c r="G793" i="4" s="1"/>
  <c r="F793" i="4"/>
  <c r="D793" i="4"/>
  <c r="C793" i="4"/>
  <c r="I793" i="4" s="1"/>
  <c r="B793" i="4"/>
  <c r="G792" i="4" a="1"/>
  <c r="G792" i="4" s="1"/>
  <c r="D792" i="4"/>
  <c r="F792" i="4" s="1"/>
  <c r="C792" i="4"/>
  <c r="I792" i="4" s="1"/>
  <c r="B792" i="4"/>
  <c r="G791" i="4" a="1"/>
  <c r="G791" i="4" s="1"/>
  <c r="D791" i="4"/>
  <c r="C791" i="4"/>
  <c r="B791" i="4"/>
  <c r="G790" i="4" a="1"/>
  <c r="G790" i="4" s="1"/>
  <c r="F790" i="4"/>
  <c r="D790" i="4"/>
  <c r="C790" i="4"/>
  <c r="I790" i="4" s="1"/>
  <c r="B790" i="4"/>
  <c r="H790" i="4" s="1"/>
  <c r="G789" i="4" a="1"/>
  <c r="G789" i="4" s="1"/>
  <c r="D789" i="4"/>
  <c r="C789" i="4"/>
  <c r="H789" i="4" s="1"/>
  <c r="B789" i="4"/>
  <c r="G788" i="4" a="1"/>
  <c r="G788" i="4" s="1"/>
  <c r="F788" i="4"/>
  <c r="D788" i="4"/>
  <c r="C788" i="4"/>
  <c r="H788" i="4" s="1"/>
  <c r="B788" i="4"/>
  <c r="G787" i="4" a="1"/>
  <c r="G787" i="4" s="1"/>
  <c r="F787" i="4"/>
  <c r="D787" i="4"/>
  <c r="C787" i="4"/>
  <c r="I787" i="4" s="1"/>
  <c r="B787" i="4"/>
  <c r="G786" i="4" a="1"/>
  <c r="G786" i="4" s="1"/>
  <c r="D786" i="4"/>
  <c r="C786" i="4"/>
  <c r="I786" i="4" s="1"/>
  <c r="B786" i="4"/>
  <c r="G785" i="4" a="1"/>
  <c r="G785" i="4" s="1"/>
  <c r="F785" i="4"/>
  <c r="D785" i="4"/>
  <c r="C785" i="4"/>
  <c r="I785" i="4" s="1"/>
  <c r="B785" i="4"/>
  <c r="G784" i="4" a="1"/>
  <c r="G784" i="4" s="1"/>
  <c r="D784" i="4"/>
  <c r="F784" i="4" s="1"/>
  <c r="C784" i="4"/>
  <c r="I784" i="4" s="1"/>
  <c r="B784" i="4"/>
  <c r="G783" i="4" a="1"/>
  <c r="G783" i="4" s="1"/>
  <c r="F783" i="4"/>
  <c r="D783" i="4"/>
  <c r="C783" i="4"/>
  <c r="B783" i="4"/>
  <c r="G782" i="4" a="1"/>
  <c r="G782" i="4" s="1"/>
  <c r="D782" i="4"/>
  <c r="C782" i="4"/>
  <c r="I782" i="4" s="1"/>
  <c r="B782" i="4"/>
  <c r="G781" i="4" a="1"/>
  <c r="G781" i="4" s="1"/>
  <c r="F781" i="4"/>
  <c r="D781" i="4"/>
  <c r="C781" i="4"/>
  <c r="I781" i="4" s="1"/>
  <c r="B781" i="4"/>
  <c r="G780" i="4" a="1"/>
  <c r="G780" i="4" s="1"/>
  <c r="D780" i="4"/>
  <c r="C780" i="4"/>
  <c r="B780" i="4"/>
  <c r="G779" i="4" a="1"/>
  <c r="G779" i="4" s="1"/>
  <c r="D779" i="4"/>
  <c r="C779" i="4"/>
  <c r="I779" i="4" s="1"/>
  <c r="J779" i="4" s="1" a="1"/>
  <c r="J779" i="4" s="1"/>
  <c r="K779" i="4" s="1" a="1"/>
  <c r="K779" i="4" s="1"/>
  <c r="B779" i="4"/>
  <c r="G778" i="4" a="1"/>
  <c r="G778" i="4" s="1"/>
  <c r="D778" i="4"/>
  <c r="C778" i="4"/>
  <c r="I778" i="4" s="1"/>
  <c r="J778" i="4" s="1" a="1"/>
  <c r="J778" i="4" s="1"/>
  <c r="K778" i="4" s="1" a="1"/>
  <c r="K778" i="4" s="1"/>
  <c r="B778" i="4"/>
  <c r="G777" i="4" a="1"/>
  <c r="G777" i="4" s="1"/>
  <c r="D777" i="4"/>
  <c r="C777" i="4"/>
  <c r="I777" i="4" s="1"/>
  <c r="B777" i="4"/>
  <c r="G776" i="4" a="1"/>
  <c r="G776" i="4" s="1"/>
  <c r="D776" i="4"/>
  <c r="F776" i="4" s="1"/>
  <c r="C776" i="4"/>
  <c r="I776" i="4" s="1"/>
  <c r="B776" i="4"/>
  <c r="G775" i="4" a="1"/>
  <c r="G775" i="4" s="1"/>
  <c r="F775" i="4"/>
  <c r="D775" i="4"/>
  <c r="C775" i="4"/>
  <c r="B775" i="4"/>
  <c r="G774" i="4" a="1"/>
  <c r="G774" i="4" s="1"/>
  <c r="D774" i="4"/>
  <c r="C774" i="4"/>
  <c r="I774" i="4" s="1"/>
  <c r="B774" i="4"/>
  <c r="G773" i="4" a="1"/>
  <c r="G773" i="4" s="1"/>
  <c r="D773" i="4"/>
  <c r="C773" i="4"/>
  <c r="H773" i="4" s="1"/>
  <c r="B773" i="4"/>
  <c r="G772" i="4" a="1"/>
  <c r="G772" i="4" s="1"/>
  <c r="D772" i="4"/>
  <c r="C772" i="4"/>
  <c r="B772" i="4"/>
  <c r="G771" i="4" a="1"/>
  <c r="G771" i="4" s="1"/>
  <c r="F771" i="4"/>
  <c r="D771" i="4"/>
  <c r="C771" i="4"/>
  <c r="B771" i="4"/>
  <c r="G770" i="4" a="1"/>
  <c r="G770" i="4" s="1"/>
  <c r="D770" i="4"/>
  <c r="F770" i="4" s="1"/>
  <c r="C770" i="4"/>
  <c r="I770" i="4" s="1"/>
  <c r="B770" i="4"/>
  <c r="G769" i="4" a="1"/>
  <c r="G769" i="4"/>
  <c r="D769" i="4"/>
  <c r="C769" i="4"/>
  <c r="I769" i="4" s="1"/>
  <c r="B769" i="4"/>
  <c r="G768" i="4" a="1"/>
  <c r="G768" i="4" s="1"/>
  <c r="D768" i="4"/>
  <c r="F768" i="4" s="1"/>
  <c r="C768" i="4"/>
  <c r="I768" i="4" s="1"/>
  <c r="B768" i="4"/>
  <c r="G767" i="4" a="1"/>
  <c r="G767" i="4" s="1"/>
  <c r="D767" i="4"/>
  <c r="C767" i="4"/>
  <c r="B767" i="4"/>
  <c r="G766" i="4" a="1"/>
  <c r="G766" i="4" s="1"/>
  <c r="F766" i="4"/>
  <c r="D766" i="4"/>
  <c r="C766" i="4"/>
  <c r="I766" i="4" s="1"/>
  <c r="B766" i="4"/>
  <c r="G765" i="4" a="1"/>
  <c r="G765" i="4" s="1"/>
  <c r="F765" i="4"/>
  <c r="D765" i="4"/>
  <c r="C765" i="4"/>
  <c r="I765" i="4" s="1"/>
  <c r="B765" i="4"/>
  <c r="G764" i="4" a="1"/>
  <c r="G764" i="4" s="1"/>
  <c r="D764" i="4"/>
  <c r="C764" i="4"/>
  <c r="I764" i="4" s="1"/>
  <c r="B764" i="4"/>
  <c r="G763" i="4" a="1"/>
  <c r="G763" i="4" s="1"/>
  <c r="D763" i="4"/>
  <c r="C763" i="4"/>
  <c r="I763" i="4" s="1"/>
  <c r="J763" i="4" s="1" a="1"/>
  <c r="J763" i="4" s="1"/>
  <c r="K763" i="4" s="1" a="1"/>
  <c r="K763" i="4" s="1"/>
  <c r="B763" i="4"/>
  <c r="G762" i="4" a="1"/>
  <c r="G762" i="4" s="1"/>
  <c r="F762" i="4"/>
  <c r="D762" i="4"/>
  <c r="C762" i="4"/>
  <c r="I762" i="4" s="1"/>
  <c r="B762" i="4"/>
  <c r="G761" i="4" a="1"/>
  <c r="G761" i="4" s="1"/>
  <c r="D761" i="4"/>
  <c r="F761" i="4" s="1"/>
  <c r="C761" i="4"/>
  <c r="I761" i="4" s="1"/>
  <c r="B761" i="4"/>
  <c r="G760" i="4" a="1"/>
  <c r="G760" i="4" s="1"/>
  <c r="D760" i="4"/>
  <c r="C760" i="4"/>
  <c r="I760" i="4" s="1"/>
  <c r="B760" i="4"/>
  <c r="G759" i="4" a="1"/>
  <c r="G759" i="4" s="1"/>
  <c r="F759" i="4"/>
  <c r="D759" i="4"/>
  <c r="C759" i="4"/>
  <c r="B759" i="4"/>
  <c r="G758" i="4" a="1"/>
  <c r="G758" i="4" s="1"/>
  <c r="F758" i="4"/>
  <c r="D758" i="4"/>
  <c r="C758" i="4"/>
  <c r="I758" i="4" s="1"/>
  <c r="J758" i="4" s="1" a="1"/>
  <c r="J758" i="4" s="1"/>
  <c r="K758" i="4" s="1" a="1"/>
  <c r="K758" i="4" s="1"/>
  <c r="B758" i="4"/>
  <c r="G757" i="4" a="1"/>
  <c r="G757" i="4" s="1"/>
  <c r="D757" i="4"/>
  <c r="F757" i="4" s="1"/>
  <c r="C757" i="4"/>
  <c r="B757" i="4"/>
  <c r="G756" i="4" a="1"/>
  <c r="G756" i="4" s="1"/>
  <c r="D756" i="4"/>
  <c r="C756" i="4"/>
  <c r="H756" i="4" s="1"/>
  <c r="B756" i="4"/>
  <c r="G755" i="4" a="1"/>
  <c r="G755" i="4" s="1"/>
  <c r="D755" i="4"/>
  <c r="C755" i="4"/>
  <c r="I755" i="4" s="1"/>
  <c r="B755" i="4"/>
  <c r="G754" i="4" a="1"/>
  <c r="G754" i="4"/>
  <c r="D754" i="4"/>
  <c r="C754" i="4"/>
  <c r="I754" i="4" s="1"/>
  <c r="B754" i="4"/>
  <c r="H754" i="4" s="1"/>
  <c r="G753" i="4" a="1"/>
  <c r="G753" i="4" s="1"/>
  <c r="D753" i="4"/>
  <c r="C753" i="4"/>
  <c r="I753" i="4" s="1"/>
  <c r="B753" i="4"/>
  <c r="G752" i="4" a="1"/>
  <c r="G752" i="4" s="1"/>
  <c r="D752" i="4"/>
  <c r="C752" i="4"/>
  <c r="I752" i="4" s="1"/>
  <c r="B752" i="4"/>
  <c r="G751" i="4" a="1"/>
  <c r="G751" i="4"/>
  <c r="D751" i="4"/>
  <c r="C751" i="4"/>
  <c r="I751" i="4" s="1"/>
  <c r="B751" i="4"/>
  <c r="H751" i="4" s="1"/>
  <c r="G750" i="4" a="1"/>
  <c r="G750" i="4" s="1"/>
  <c r="F750" i="4"/>
  <c r="D750" i="4"/>
  <c r="C750" i="4"/>
  <c r="I750" i="4" s="1"/>
  <c r="J750" i="4" s="1" a="1"/>
  <c r="J750" i="4" s="1"/>
  <c r="K750" i="4" s="1" a="1"/>
  <c r="K750" i="4" s="1"/>
  <c r="B750" i="4"/>
  <c r="G749" i="4" a="1"/>
  <c r="G749" i="4" s="1"/>
  <c r="F749" i="4"/>
  <c r="D749" i="4"/>
  <c r="C749" i="4"/>
  <c r="I749" i="4" s="1"/>
  <c r="B749" i="4"/>
  <c r="G748" i="4" a="1"/>
  <c r="G748" i="4" s="1"/>
  <c r="D748" i="4"/>
  <c r="C748" i="4"/>
  <c r="B748" i="4"/>
  <c r="G747" i="4" a="1"/>
  <c r="G747" i="4"/>
  <c r="D747" i="4"/>
  <c r="C747" i="4"/>
  <c r="I747" i="4" s="1"/>
  <c r="B747" i="4"/>
  <c r="G746" i="4" a="1"/>
  <c r="G746" i="4" s="1"/>
  <c r="D746" i="4"/>
  <c r="C746" i="4"/>
  <c r="I746" i="4" s="1"/>
  <c r="B746" i="4"/>
  <c r="G745" i="4" a="1"/>
  <c r="G745" i="4" s="1"/>
  <c r="D745" i="4"/>
  <c r="C745" i="4"/>
  <c r="I745" i="4" s="1"/>
  <c r="B745" i="4"/>
  <c r="G744" i="4" a="1"/>
  <c r="G744" i="4" s="1"/>
  <c r="D744" i="4"/>
  <c r="F744" i="4" s="1"/>
  <c r="C744" i="4"/>
  <c r="I744" i="4" s="1"/>
  <c r="B744" i="4"/>
  <c r="G743" i="4" a="1"/>
  <c r="G743" i="4"/>
  <c r="D743" i="4"/>
  <c r="C743" i="4"/>
  <c r="I743" i="4" s="1"/>
  <c r="B743" i="4"/>
  <c r="G742" i="4" a="1"/>
  <c r="G742" i="4" s="1"/>
  <c r="F742" i="4"/>
  <c r="D742" i="4"/>
  <c r="C742" i="4"/>
  <c r="H742" i="4" s="1"/>
  <c r="B742" i="4"/>
  <c r="G741" i="4" a="1"/>
  <c r="G741" i="4" s="1"/>
  <c r="F741" i="4"/>
  <c r="D741" i="4"/>
  <c r="C741" i="4"/>
  <c r="B741" i="4"/>
  <c r="G740" i="4" a="1"/>
  <c r="G740" i="4" s="1"/>
  <c r="D740" i="4"/>
  <c r="C740" i="4"/>
  <c r="I740" i="4" s="1"/>
  <c r="B740" i="4"/>
  <c r="G739" i="4" a="1"/>
  <c r="G739" i="4" s="1"/>
  <c r="D739" i="4"/>
  <c r="C739" i="4"/>
  <c r="I739" i="4" s="1"/>
  <c r="B739" i="4"/>
  <c r="G738" i="4" a="1"/>
  <c r="G738" i="4" s="1"/>
  <c r="D738" i="4"/>
  <c r="C738" i="4"/>
  <c r="B738" i="4"/>
  <c r="G737" i="4" a="1"/>
  <c r="G737" i="4" s="1"/>
  <c r="D737" i="4"/>
  <c r="C737" i="4"/>
  <c r="I737" i="4" s="1"/>
  <c r="B737" i="4"/>
  <c r="G736" i="4" a="1"/>
  <c r="G736" i="4" s="1"/>
  <c r="D736" i="4"/>
  <c r="F736" i="4" s="1"/>
  <c r="C736" i="4"/>
  <c r="I736" i="4" s="1"/>
  <c r="B736" i="4"/>
  <c r="G735" i="4" a="1"/>
  <c r="G735" i="4"/>
  <c r="D735" i="4"/>
  <c r="C735" i="4"/>
  <c r="I735" i="4" s="1"/>
  <c r="B735" i="4"/>
  <c r="G734" i="4" a="1"/>
  <c r="G734" i="4" s="1"/>
  <c r="F734" i="4"/>
  <c r="D734" i="4"/>
  <c r="C734" i="4"/>
  <c r="H734" i="4" s="1"/>
  <c r="B734" i="4"/>
  <c r="G733" i="4" a="1"/>
  <c r="G733" i="4" s="1"/>
  <c r="F733" i="4"/>
  <c r="D733" i="4"/>
  <c r="C733" i="4"/>
  <c r="B733" i="4"/>
  <c r="G732" i="4" a="1"/>
  <c r="G732" i="4" s="1"/>
  <c r="D732" i="4"/>
  <c r="C732" i="4"/>
  <c r="I732" i="4" s="1"/>
  <c r="B732" i="4"/>
  <c r="G731" i="4" a="1"/>
  <c r="G731" i="4" s="1"/>
  <c r="D731" i="4"/>
  <c r="C731" i="4"/>
  <c r="I731" i="4" s="1"/>
  <c r="B731" i="4"/>
  <c r="G730" i="4" a="1"/>
  <c r="G730" i="4" s="1"/>
  <c r="D730" i="4"/>
  <c r="C730" i="4"/>
  <c r="B730" i="4"/>
  <c r="G729" i="4" a="1"/>
  <c r="G729" i="4" s="1"/>
  <c r="D729" i="4"/>
  <c r="C729" i="4"/>
  <c r="I729" i="4" s="1"/>
  <c r="B729" i="4"/>
  <c r="G728" i="4" a="1"/>
  <c r="G728" i="4" s="1"/>
  <c r="D728" i="4"/>
  <c r="F728" i="4" s="1"/>
  <c r="C728" i="4"/>
  <c r="I728" i="4" s="1"/>
  <c r="B728" i="4"/>
  <c r="G727" i="4" a="1"/>
  <c r="G727" i="4"/>
  <c r="D727" i="4"/>
  <c r="C727" i="4"/>
  <c r="I727" i="4" s="1"/>
  <c r="B727" i="4"/>
  <c r="G726" i="4" a="1"/>
  <c r="G726" i="4" s="1"/>
  <c r="D726" i="4"/>
  <c r="C726" i="4"/>
  <c r="H726" i="4" s="1"/>
  <c r="B726" i="4"/>
  <c r="G725" i="4" a="1"/>
  <c r="G725" i="4" s="1"/>
  <c r="F725" i="4"/>
  <c r="D725" i="4"/>
  <c r="C725" i="4"/>
  <c r="B725" i="4"/>
  <c r="G724" i="4" a="1"/>
  <c r="G724" i="4" s="1"/>
  <c r="D724" i="4"/>
  <c r="C724" i="4"/>
  <c r="I724" i="4" s="1"/>
  <c r="B724" i="4"/>
  <c r="G723" i="4" a="1"/>
  <c r="G723" i="4" s="1"/>
  <c r="D723" i="4"/>
  <c r="C723" i="4"/>
  <c r="I723" i="4" s="1"/>
  <c r="B723" i="4"/>
  <c r="G722" i="4" a="1"/>
  <c r="G722" i="4" s="1"/>
  <c r="D722" i="4"/>
  <c r="C722" i="4"/>
  <c r="B722" i="4"/>
  <c r="G721" i="4" a="1"/>
  <c r="G721" i="4" s="1"/>
  <c r="D721" i="4"/>
  <c r="C721" i="4"/>
  <c r="I721" i="4" s="1"/>
  <c r="B721" i="4"/>
  <c r="G720" i="4" a="1"/>
  <c r="G720" i="4" s="1"/>
  <c r="F720" i="4"/>
  <c r="D720" i="4"/>
  <c r="C720" i="4"/>
  <c r="I720" i="4" s="1"/>
  <c r="B720" i="4"/>
  <c r="G719" i="4" a="1"/>
  <c r="G719" i="4" s="1"/>
  <c r="D719" i="4"/>
  <c r="C719" i="4"/>
  <c r="I719" i="4" s="1"/>
  <c r="B719" i="4"/>
  <c r="G718" i="4" a="1"/>
  <c r="G718" i="4" s="1"/>
  <c r="D718" i="4"/>
  <c r="C718" i="4"/>
  <c r="B718" i="4"/>
  <c r="G717" i="4" a="1"/>
  <c r="G717" i="4" s="1"/>
  <c r="D717" i="4"/>
  <c r="C717" i="4"/>
  <c r="B717" i="4"/>
  <c r="G716" i="4" a="1"/>
  <c r="G716" i="4" s="1"/>
  <c r="D716" i="4"/>
  <c r="C716" i="4"/>
  <c r="I716" i="4" s="1"/>
  <c r="B716" i="4"/>
  <c r="G715" i="4" a="1"/>
  <c r="G715" i="4" s="1"/>
  <c r="D715" i="4"/>
  <c r="C715" i="4"/>
  <c r="I715" i="4" s="1"/>
  <c r="J715" i="4" s="1" a="1"/>
  <c r="J715" i="4" s="1"/>
  <c r="K715" i="4" s="1" a="1"/>
  <c r="K715" i="4" s="1"/>
  <c r="B715" i="4"/>
  <c r="G714" i="4" a="1"/>
  <c r="G714" i="4" s="1"/>
  <c r="D714" i="4"/>
  <c r="F714" i="4" s="1"/>
  <c r="C714" i="4"/>
  <c r="B714" i="4"/>
  <c r="G713" i="4" a="1"/>
  <c r="G713" i="4" s="1"/>
  <c r="D713" i="4"/>
  <c r="C713" i="4"/>
  <c r="I713" i="4" s="1"/>
  <c r="B713" i="4"/>
  <c r="G712" i="4" a="1"/>
  <c r="G712" i="4" s="1"/>
  <c r="F712" i="4"/>
  <c r="D712" i="4"/>
  <c r="C712" i="4"/>
  <c r="I712" i="4" s="1"/>
  <c r="B712" i="4"/>
  <c r="G711" i="4" a="1"/>
  <c r="G711" i="4" s="1"/>
  <c r="D711" i="4"/>
  <c r="C711" i="4"/>
  <c r="I711" i="4" s="1"/>
  <c r="B711" i="4"/>
  <c r="G710" i="4" a="1"/>
  <c r="G710" i="4" s="1"/>
  <c r="D710" i="4"/>
  <c r="C710" i="4"/>
  <c r="B710" i="4"/>
  <c r="G709" i="4" a="1"/>
  <c r="G709" i="4" s="1"/>
  <c r="D709" i="4"/>
  <c r="C709" i="4"/>
  <c r="B709" i="4"/>
  <c r="G708" i="4" a="1"/>
  <c r="G708" i="4" s="1"/>
  <c r="D708" i="4"/>
  <c r="F708" i="4" s="1"/>
  <c r="C708" i="4"/>
  <c r="I708" i="4" s="1"/>
  <c r="B708" i="4"/>
  <c r="G707" i="4" a="1"/>
  <c r="G707" i="4"/>
  <c r="F707" i="4"/>
  <c r="D707" i="4"/>
  <c r="C707" i="4"/>
  <c r="I707" i="4" s="1"/>
  <c r="B707" i="4"/>
  <c r="G706" i="4" a="1"/>
  <c r="G706" i="4" s="1"/>
  <c r="D706" i="4"/>
  <c r="F706" i="4" s="1"/>
  <c r="C706" i="4"/>
  <c r="B706" i="4"/>
  <c r="G705" i="4" a="1"/>
  <c r="G705" i="4" s="1"/>
  <c r="D705" i="4"/>
  <c r="C705" i="4"/>
  <c r="I705" i="4" s="1"/>
  <c r="B705" i="4"/>
  <c r="G704" i="4" a="1"/>
  <c r="G704" i="4" s="1"/>
  <c r="F704" i="4"/>
  <c r="D704" i="4"/>
  <c r="C704" i="4"/>
  <c r="I704" i="4" s="1"/>
  <c r="B704" i="4"/>
  <c r="H704" i="4" s="1"/>
  <c r="G703" i="4" a="1"/>
  <c r="G703" i="4" s="1"/>
  <c r="D703" i="4"/>
  <c r="C703" i="4"/>
  <c r="I703" i="4" s="1"/>
  <c r="B703" i="4"/>
  <c r="G702" i="4" a="1"/>
  <c r="G702" i="4" s="1"/>
  <c r="D702" i="4"/>
  <c r="F702" i="4" s="1"/>
  <c r="C702" i="4"/>
  <c r="H702" i="4" s="1"/>
  <c r="B702" i="4"/>
  <c r="G701" i="4" a="1"/>
  <c r="G701" i="4"/>
  <c r="F701" i="4"/>
  <c r="D701" i="4"/>
  <c r="C701" i="4"/>
  <c r="B701" i="4"/>
  <c r="G700" i="4" a="1"/>
  <c r="G700" i="4" s="1"/>
  <c r="D700" i="4"/>
  <c r="F700" i="4" s="1"/>
  <c r="C700" i="4"/>
  <c r="I700" i="4" s="1"/>
  <c r="J700" i="4" s="1" a="1"/>
  <c r="J700" i="4" s="1"/>
  <c r="K700" i="4" s="1" a="1"/>
  <c r="K700" i="4" s="1"/>
  <c r="B700" i="4"/>
  <c r="G699" i="4" a="1"/>
  <c r="G699" i="4"/>
  <c r="F699" i="4"/>
  <c r="D699" i="4"/>
  <c r="C699" i="4"/>
  <c r="I699" i="4" s="1"/>
  <c r="B699" i="4"/>
  <c r="G698" i="4" a="1"/>
  <c r="G698" i="4" s="1"/>
  <c r="D698" i="4"/>
  <c r="C698" i="4"/>
  <c r="B698" i="4"/>
  <c r="G697" i="4" a="1"/>
  <c r="G697" i="4" s="1"/>
  <c r="D697" i="4"/>
  <c r="C697" i="4"/>
  <c r="I697" i="4" s="1"/>
  <c r="B697" i="4"/>
  <c r="G696" i="4" a="1"/>
  <c r="G696" i="4" s="1"/>
  <c r="F696" i="4"/>
  <c r="D696" i="4"/>
  <c r="C696" i="4"/>
  <c r="I696" i="4" s="1"/>
  <c r="B696" i="4"/>
  <c r="G695" i="4" a="1"/>
  <c r="G695" i="4" s="1"/>
  <c r="D695" i="4"/>
  <c r="C695" i="4"/>
  <c r="B695" i="4"/>
  <c r="G694" i="4" a="1"/>
  <c r="G694" i="4" s="1"/>
  <c r="F694" i="4"/>
  <c r="D694" i="4"/>
  <c r="C694" i="4"/>
  <c r="I694" i="4" s="1"/>
  <c r="B694" i="4"/>
  <c r="G693" i="4" a="1"/>
  <c r="G693" i="4" s="1"/>
  <c r="D693" i="4"/>
  <c r="C693" i="4"/>
  <c r="H693" i="4" s="1"/>
  <c r="B693" i="4"/>
  <c r="G692" i="4" a="1"/>
  <c r="G692" i="4" s="1"/>
  <c r="D692" i="4"/>
  <c r="C692" i="4"/>
  <c r="I692" i="4" s="1"/>
  <c r="B692" i="4"/>
  <c r="G691" i="4" a="1"/>
  <c r="G691" i="4" s="1"/>
  <c r="D691" i="4"/>
  <c r="C691" i="4"/>
  <c r="I691" i="4" s="1"/>
  <c r="B691" i="4"/>
  <c r="G690" i="4" a="1"/>
  <c r="G690" i="4" s="1"/>
  <c r="D690" i="4"/>
  <c r="C690" i="4"/>
  <c r="H690" i="4" s="1"/>
  <c r="B690" i="4"/>
  <c r="G689" i="4" a="1"/>
  <c r="G689" i="4" s="1"/>
  <c r="D689" i="4"/>
  <c r="C689" i="4"/>
  <c r="I689" i="4" s="1"/>
  <c r="B689" i="4"/>
  <c r="G688" i="4" a="1"/>
  <c r="G688" i="4" s="1"/>
  <c r="D688" i="4"/>
  <c r="C688" i="4"/>
  <c r="I688" i="4" s="1"/>
  <c r="B688" i="4"/>
  <c r="G687" i="4" a="1"/>
  <c r="G687" i="4" s="1"/>
  <c r="D687" i="4"/>
  <c r="C687" i="4"/>
  <c r="B687" i="4"/>
  <c r="G686" i="4" a="1"/>
  <c r="G686" i="4" s="1"/>
  <c r="F686" i="4"/>
  <c r="D686" i="4"/>
  <c r="C686" i="4"/>
  <c r="I686" i="4" s="1"/>
  <c r="B686" i="4"/>
  <c r="G685" i="4" a="1"/>
  <c r="G685" i="4" s="1"/>
  <c r="D685" i="4"/>
  <c r="C685" i="4"/>
  <c r="B685" i="4"/>
  <c r="G684" i="4" a="1"/>
  <c r="G684" i="4" s="1"/>
  <c r="D684" i="4"/>
  <c r="C684" i="4"/>
  <c r="I684" i="4" s="1"/>
  <c r="B684" i="4"/>
  <c r="H684" i="4" s="1"/>
  <c r="I683" i="4"/>
  <c r="H683" i="4"/>
  <c r="G683" i="4" a="1"/>
  <c r="G683" i="4"/>
  <c r="D683" i="4"/>
  <c r="C683" i="4"/>
  <c r="B683" i="4"/>
  <c r="G682" i="4" a="1"/>
  <c r="G682" i="4" s="1"/>
  <c r="D682" i="4"/>
  <c r="C682" i="4"/>
  <c r="B682" i="4"/>
  <c r="G681" i="4" a="1"/>
  <c r="G681" i="4" s="1"/>
  <c r="D681" i="4"/>
  <c r="C681" i="4"/>
  <c r="I681" i="4" s="1"/>
  <c r="B681" i="4"/>
  <c r="G680" i="4" a="1"/>
  <c r="G680" i="4" s="1"/>
  <c r="F680" i="4"/>
  <c r="D680" i="4"/>
  <c r="C680" i="4"/>
  <c r="I680" i="4" s="1"/>
  <c r="B680" i="4"/>
  <c r="H680" i="4" s="1"/>
  <c r="G679" i="4" a="1"/>
  <c r="G679" i="4" s="1"/>
  <c r="D679" i="4"/>
  <c r="C679" i="4"/>
  <c r="B679" i="4"/>
  <c r="G678" i="4" a="1"/>
  <c r="G678" i="4" s="1"/>
  <c r="F678" i="4"/>
  <c r="D678" i="4"/>
  <c r="C678" i="4"/>
  <c r="B678" i="4"/>
  <c r="G677" i="4" a="1"/>
  <c r="G677" i="4" s="1"/>
  <c r="D677" i="4"/>
  <c r="C677" i="4"/>
  <c r="B677" i="4"/>
  <c r="G676" i="4" a="1"/>
  <c r="G676" i="4" s="1"/>
  <c r="D676" i="4"/>
  <c r="C676" i="4"/>
  <c r="I676" i="4" s="1"/>
  <c r="J676" i="4" s="1" a="1"/>
  <c r="J676" i="4" s="1"/>
  <c r="K676" i="4" s="1" a="1"/>
  <c r="K676" i="4" s="1"/>
  <c r="B676" i="4"/>
  <c r="G675" i="4" a="1"/>
  <c r="G675" i="4"/>
  <c r="F675" i="4"/>
  <c r="D675" i="4"/>
  <c r="C675" i="4"/>
  <c r="B675" i="4"/>
  <c r="G674" i="4" a="1"/>
  <c r="G674" i="4" s="1"/>
  <c r="D674" i="4"/>
  <c r="F674" i="4" s="1"/>
  <c r="C674" i="4"/>
  <c r="H674" i="4" s="1"/>
  <c r="B674" i="4"/>
  <c r="G673" i="4" a="1"/>
  <c r="G673" i="4" s="1"/>
  <c r="D673" i="4"/>
  <c r="C673" i="4"/>
  <c r="I673" i="4" s="1"/>
  <c r="B673" i="4"/>
  <c r="G672" i="4" a="1"/>
  <c r="G672" i="4" s="1"/>
  <c r="F672" i="4"/>
  <c r="D672" i="4"/>
  <c r="C672" i="4"/>
  <c r="I672" i="4" s="1"/>
  <c r="B672" i="4"/>
  <c r="H672" i="4" s="1"/>
  <c r="G671" i="4" a="1"/>
  <c r="G671" i="4" s="1"/>
  <c r="D671" i="4"/>
  <c r="C671" i="4"/>
  <c r="B671" i="4"/>
  <c r="G670" i="4" a="1"/>
  <c r="G670" i="4" s="1"/>
  <c r="F670" i="4"/>
  <c r="D670" i="4"/>
  <c r="C670" i="4"/>
  <c r="B670" i="4"/>
  <c r="G669" i="4" a="1"/>
  <c r="G669" i="4" s="1"/>
  <c r="D669" i="4"/>
  <c r="C669" i="4"/>
  <c r="B669" i="4"/>
  <c r="G668" i="4" a="1"/>
  <c r="G668" i="4" s="1"/>
  <c r="D668" i="4"/>
  <c r="C668" i="4"/>
  <c r="I668" i="4" s="1"/>
  <c r="B668" i="4"/>
  <c r="G667" i="4" a="1"/>
  <c r="G667" i="4" s="1"/>
  <c r="D667" i="4"/>
  <c r="C667" i="4"/>
  <c r="I667" i="4" s="1"/>
  <c r="B667" i="4"/>
  <c r="G666" i="4" a="1"/>
  <c r="G666" i="4" s="1"/>
  <c r="D666" i="4"/>
  <c r="C666" i="4"/>
  <c r="B666" i="4"/>
  <c r="G665" i="4" a="1"/>
  <c r="G665" i="4" s="1"/>
  <c r="D665" i="4"/>
  <c r="C665" i="4"/>
  <c r="I665" i="4" s="1"/>
  <c r="J665" i="4" s="1" a="1"/>
  <c r="J665" i="4" s="1"/>
  <c r="K665" i="4" s="1" a="1"/>
  <c r="K665" i="4" s="1"/>
  <c r="B665" i="4"/>
  <c r="G664" i="4" a="1"/>
  <c r="G664" i="4" s="1"/>
  <c r="F664" i="4"/>
  <c r="D664" i="4"/>
  <c r="C664" i="4"/>
  <c r="I664" i="4" s="1"/>
  <c r="B664" i="4"/>
  <c r="G663" i="4" a="1"/>
  <c r="G663" i="4" s="1"/>
  <c r="D663" i="4"/>
  <c r="C663" i="4"/>
  <c r="B663" i="4"/>
  <c r="G662" i="4" a="1"/>
  <c r="G662" i="4" s="1"/>
  <c r="F662" i="4"/>
  <c r="D662" i="4"/>
  <c r="C662" i="4"/>
  <c r="B662" i="4"/>
  <c r="G661" i="4" a="1"/>
  <c r="G661" i="4" s="1"/>
  <c r="F661" i="4"/>
  <c r="D661" i="4"/>
  <c r="C661" i="4"/>
  <c r="B661" i="4"/>
  <c r="G660" i="4" a="1"/>
  <c r="G660" i="4" s="1"/>
  <c r="D660" i="4"/>
  <c r="C660" i="4"/>
  <c r="I660" i="4" s="1"/>
  <c r="J660" i="4" s="1" a="1"/>
  <c r="J660" i="4" s="1"/>
  <c r="K660" i="4" s="1" a="1"/>
  <c r="K660" i="4" s="1"/>
  <c r="B660" i="4"/>
  <c r="G659" i="4" a="1"/>
  <c r="G659" i="4"/>
  <c r="F659" i="4"/>
  <c r="D659" i="4"/>
  <c r="C659" i="4"/>
  <c r="I659" i="4" s="1"/>
  <c r="B659" i="4"/>
  <c r="H659" i="4" s="1"/>
  <c r="G658" i="4" a="1"/>
  <c r="G658" i="4" s="1"/>
  <c r="D658" i="4"/>
  <c r="C658" i="4"/>
  <c r="B658" i="4"/>
  <c r="G657" i="4" a="1"/>
  <c r="G657" i="4" s="1"/>
  <c r="D657" i="4"/>
  <c r="C657" i="4"/>
  <c r="I657" i="4" s="1"/>
  <c r="J657" i="4" s="1" a="1"/>
  <c r="J657" i="4" s="1"/>
  <c r="K657" i="4" s="1" a="1"/>
  <c r="K657" i="4" s="1"/>
  <c r="B657" i="4"/>
  <c r="G656" i="4" a="1"/>
  <c r="G656" i="4" s="1"/>
  <c r="D656" i="4"/>
  <c r="C656" i="4"/>
  <c r="I656" i="4" s="1"/>
  <c r="B656" i="4"/>
  <c r="G655" i="4" a="1"/>
  <c r="G655" i="4" s="1"/>
  <c r="D655" i="4"/>
  <c r="C655" i="4"/>
  <c r="B655" i="4"/>
  <c r="G654" i="4" a="1"/>
  <c r="G654" i="4" s="1"/>
  <c r="D654" i="4"/>
  <c r="F654" i="4" s="1"/>
  <c r="C654" i="4"/>
  <c r="H654" i="4" s="1"/>
  <c r="B654" i="4"/>
  <c r="G653" i="4" a="1"/>
  <c r="G653" i="4" s="1"/>
  <c r="D653" i="4"/>
  <c r="C653" i="4"/>
  <c r="B653" i="4"/>
  <c r="G652" i="4" a="1"/>
  <c r="G652" i="4" s="1"/>
  <c r="F652" i="4"/>
  <c r="D652" i="4"/>
  <c r="C652" i="4"/>
  <c r="I652" i="4" s="1"/>
  <c r="B652" i="4"/>
  <c r="H652" i="4" s="1"/>
  <c r="I651" i="4"/>
  <c r="G651" i="4" a="1"/>
  <c r="G651" i="4" s="1"/>
  <c r="D651" i="4"/>
  <c r="C651" i="4"/>
  <c r="B651" i="4"/>
  <c r="G650" i="4" a="1"/>
  <c r="G650" i="4" s="1"/>
  <c r="D650" i="4"/>
  <c r="C650" i="4"/>
  <c r="I650" i="4" s="1"/>
  <c r="B650" i="4"/>
  <c r="G649" i="4" a="1"/>
  <c r="G649" i="4" s="1"/>
  <c r="D649" i="4"/>
  <c r="C649" i="4"/>
  <c r="I649" i="4" s="1"/>
  <c r="B649" i="4"/>
  <c r="G648" i="4" a="1"/>
  <c r="G648" i="4" s="1"/>
  <c r="D648" i="4"/>
  <c r="C648" i="4"/>
  <c r="I648" i="4" s="1"/>
  <c r="B648" i="4"/>
  <c r="H648" i="4" s="1"/>
  <c r="G647" i="4" a="1"/>
  <c r="G647" i="4" s="1"/>
  <c r="D647" i="4"/>
  <c r="C647" i="4"/>
  <c r="I647" i="4" s="1"/>
  <c r="B647" i="4"/>
  <c r="G646" i="4" a="1"/>
  <c r="G646" i="4" s="1"/>
  <c r="D646" i="4"/>
  <c r="C646" i="4"/>
  <c r="B646" i="4"/>
  <c r="G645" i="4" a="1"/>
  <c r="G645" i="4" s="1"/>
  <c r="D645" i="4"/>
  <c r="C645" i="4"/>
  <c r="B645" i="4"/>
  <c r="G644" i="4" a="1"/>
  <c r="G644" i="4" s="1"/>
  <c r="D644" i="4"/>
  <c r="C644" i="4"/>
  <c r="I644" i="4" s="1"/>
  <c r="B644" i="4"/>
  <c r="G643" i="4" a="1"/>
  <c r="G643" i="4" s="1"/>
  <c r="D643" i="4"/>
  <c r="C643" i="4"/>
  <c r="I643" i="4" s="1"/>
  <c r="J643" i="4" s="1" a="1"/>
  <c r="J643" i="4" s="1"/>
  <c r="K643" i="4" s="1" a="1"/>
  <c r="K643" i="4" s="1"/>
  <c r="B643" i="4"/>
  <c r="G642" i="4" a="1"/>
  <c r="G642" i="4" s="1"/>
  <c r="D642" i="4"/>
  <c r="C642" i="4"/>
  <c r="B642" i="4"/>
  <c r="G641" i="4" a="1"/>
  <c r="G641" i="4"/>
  <c r="D641" i="4"/>
  <c r="C641" i="4"/>
  <c r="I641" i="4" s="1"/>
  <c r="B641" i="4"/>
  <c r="G640" i="4" a="1"/>
  <c r="G640" i="4" s="1"/>
  <c r="D640" i="4"/>
  <c r="F640" i="4" s="1"/>
  <c r="C640" i="4"/>
  <c r="I640" i="4" s="1"/>
  <c r="B640" i="4"/>
  <c r="G639" i="4" a="1"/>
  <c r="G639" i="4"/>
  <c r="F639" i="4"/>
  <c r="D639" i="4"/>
  <c r="C639" i="4"/>
  <c r="I639" i="4" s="1"/>
  <c r="B639" i="4"/>
  <c r="G638" i="4" a="1"/>
  <c r="G638" i="4" s="1"/>
  <c r="D638" i="4"/>
  <c r="C638" i="4"/>
  <c r="B638" i="4"/>
  <c r="G637" i="4" a="1"/>
  <c r="G637" i="4" s="1"/>
  <c r="D637" i="4"/>
  <c r="C637" i="4"/>
  <c r="I637" i="4" s="1"/>
  <c r="B637" i="4"/>
  <c r="G636" i="4" a="1"/>
  <c r="G636" i="4" s="1"/>
  <c r="D636" i="4"/>
  <c r="C636" i="4"/>
  <c r="I636" i="4" s="1"/>
  <c r="B636" i="4"/>
  <c r="H636" i="4" s="1"/>
  <c r="G635" i="4" a="1"/>
  <c r="G635" i="4" s="1"/>
  <c r="D635" i="4"/>
  <c r="C635" i="4"/>
  <c r="I635" i="4" s="1"/>
  <c r="J635" i="4" s="1" a="1"/>
  <c r="J635" i="4" s="1"/>
  <c r="K635" i="4" s="1" a="1"/>
  <c r="K635" i="4" s="1"/>
  <c r="B635" i="4"/>
  <c r="G634" i="4" a="1"/>
  <c r="G634" i="4" s="1"/>
  <c r="D634" i="4"/>
  <c r="C634" i="4"/>
  <c r="B634" i="4"/>
  <c r="G633" i="4" a="1"/>
  <c r="G633" i="4" s="1"/>
  <c r="D633" i="4"/>
  <c r="C633" i="4"/>
  <c r="I633" i="4" s="1"/>
  <c r="B633" i="4"/>
  <c r="G632" i="4" a="1"/>
  <c r="G632" i="4" s="1"/>
  <c r="D632" i="4"/>
  <c r="C632" i="4"/>
  <c r="I632" i="4" s="1"/>
  <c r="B632" i="4"/>
  <c r="G631" i="4" a="1"/>
  <c r="G631" i="4" s="1"/>
  <c r="D631" i="4"/>
  <c r="C631" i="4"/>
  <c r="I631" i="4" s="1"/>
  <c r="B631" i="4"/>
  <c r="G630" i="4" a="1"/>
  <c r="G630" i="4" s="1"/>
  <c r="D630" i="4"/>
  <c r="C630" i="4"/>
  <c r="B630" i="4"/>
  <c r="G629" i="4" a="1"/>
  <c r="G629" i="4" s="1"/>
  <c r="D629" i="4"/>
  <c r="C629" i="4"/>
  <c r="I629" i="4" s="1"/>
  <c r="B629" i="4"/>
  <c r="G628" i="4" a="1"/>
  <c r="G628" i="4" s="1"/>
  <c r="D628" i="4"/>
  <c r="C628" i="4"/>
  <c r="I628" i="4" s="1"/>
  <c r="J628" i="4" s="1" a="1"/>
  <c r="J628" i="4" s="1"/>
  <c r="K628" i="4" s="1" a="1"/>
  <c r="K628" i="4" s="1"/>
  <c r="B628" i="4"/>
  <c r="G627" i="4" a="1"/>
  <c r="G627" i="4" s="1"/>
  <c r="D627" i="4"/>
  <c r="C627" i="4"/>
  <c r="I627" i="4" s="1"/>
  <c r="B627" i="4"/>
  <c r="G626" i="4" a="1"/>
  <c r="G626" i="4" s="1"/>
  <c r="D626" i="4"/>
  <c r="C626" i="4"/>
  <c r="B626" i="4"/>
  <c r="G625" i="4" a="1"/>
  <c r="G625" i="4" s="1"/>
  <c r="F625" i="4"/>
  <c r="D625" i="4"/>
  <c r="C625" i="4"/>
  <c r="I625" i="4" s="1"/>
  <c r="B625" i="4"/>
  <c r="G624" i="4" a="1"/>
  <c r="G624" i="4" s="1"/>
  <c r="D624" i="4"/>
  <c r="C624" i="4"/>
  <c r="I624" i="4" s="1"/>
  <c r="B624" i="4"/>
  <c r="H624" i="4" s="1"/>
  <c r="G623" i="4" a="1"/>
  <c r="G623" i="4" s="1"/>
  <c r="D623" i="4"/>
  <c r="C623" i="4"/>
  <c r="I623" i="4" s="1"/>
  <c r="B623" i="4"/>
  <c r="G622" i="4" a="1"/>
  <c r="G622" i="4" s="1"/>
  <c r="D622" i="4"/>
  <c r="C622" i="4"/>
  <c r="B622" i="4"/>
  <c r="G621" i="4" a="1"/>
  <c r="G621" i="4" s="1"/>
  <c r="D621" i="4"/>
  <c r="C621" i="4"/>
  <c r="I621" i="4" s="1"/>
  <c r="B621" i="4"/>
  <c r="G620" i="4" a="1"/>
  <c r="G620" i="4" s="1"/>
  <c r="D620" i="4"/>
  <c r="C620" i="4"/>
  <c r="I620" i="4" s="1"/>
  <c r="B620" i="4"/>
  <c r="H620" i="4" s="1"/>
  <c r="G619" i="4" a="1"/>
  <c r="G619" i="4" s="1"/>
  <c r="F619" i="4"/>
  <c r="D619" i="4"/>
  <c r="C619" i="4"/>
  <c r="I619" i="4" s="1"/>
  <c r="B619" i="4"/>
  <c r="G618" i="4" a="1"/>
  <c r="G618" i="4" s="1"/>
  <c r="D618" i="4"/>
  <c r="C618" i="4"/>
  <c r="B618" i="4"/>
  <c r="G617" i="4" a="1"/>
  <c r="G617" i="4"/>
  <c r="D617" i="4"/>
  <c r="C617" i="4"/>
  <c r="I617" i="4" s="1"/>
  <c r="B617" i="4"/>
  <c r="G616" i="4" a="1"/>
  <c r="G616" i="4" s="1"/>
  <c r="F616" i="4"/>
  <c r="D616" i="4"/>
  <c r="C616" i="4"/>
  <c r="I616" i="4" s="1"/>
  <c r="B616" i="4"/>
  <c r="G615" i="4" a="1"/>
  <c r="G615" i="4" s="1"/>
  <c r="F615" i="4"/>
  <c r="D615" i="4"/>
  <c r="C615" i="4"/>
  <c r="I615" i="4" s="1"/>
  <c r="B615" i="4"/>
  <c r="I614" i="4"/>
  <c r="G614" i="4" a="1"/>
  <c r="G614" i="4"/>
  <c r="D614" i="4"/>
  <c r="F614" i="4" s="1"/>
  <c r="C614" i="4"/>
  <c r="B614" i="4"/>
  <c r="G613" i="4" a="1"/>
  <c r="G613" i="4"/>
  <c r="D613" i="4"/>
  <c r="C613" i="4"/>
  <c r="I613" i="4" s="1"/>
  <c r="B613" i="4"/>
  <c r="G612" i="4" a="1"/>
  <c r="G612" i="4" s="1"/>
  <c r="D612" i="4"/>
  <c r="C612" i="4"/>
  <c r="I612" i="4" s="1"/>
  <c r="J612" i="4" s="1" a="1"/>
  <c r="J612" i="4" s="1"/>
  <c r="K612" i="4" s="1" a="1"/>
  <c r="K612" i="4" s="1"/>
  <c r="B612" i="4"/>
  <c r="G611" i="4" a="1"/>
  <c r="G611" i="4" s="1"/>
  <c r="D611" i="4"/>
  <c r="C611" i="4"/>
  <c r="B611" i="4"/>
  <c r="G610" i="4" a="1"/>
  <c r="G610" i="4" s="1"/>
  <c r="F610" i="4"/>
  <c r="D610" i="4"/>
  <c r="C610" i="4"/>
  <c r="H610" i="4" s="1"/>
  <c r="B610" i="4"/>
  <c r="G609" i="4" a="1"/>
  <c r="G609" i="4" s="1"/>
  <c r="D609" i="4"/>
  <c r="C609" i="4"/>
  <c r="I609" i="4" s="1"/>
  <c r="B609" i="4"/>
  <c r="G608" i="4" a="1"/>
  <c r="G608" i="4" s="1"/>
  <c r="D608" i="4"/>
  <c r="C608" i="4"/>
  <c r="B608" i="4"/>
  <c r="G607" i="4" a="1"/>
  <c r="G607" i="4" s="1"/>
  <c r="D607" i="4"/>
  <c r="C607" i="4"/>
  <c r="I607" i="4" s="1"/>
  <c r="B607" i="4"/>
  <c r="G606" i="4" a="1"/>
  <c r="G606" i="4" s="1"/>
  <c r="D606" i="4"/>
  <c r="C606" i="4"/>
  <c r="I606" i="4" s="1"/>
  <c r="B606" i="4"/>
  <c r="G605" i="4" a="1"/>
  <c r="G605" i="4" s="1"/>
  <c r="D605" i="4"/>
  <c r="C605" i="4"/>
  <c r="I605" i="4" s="1"/>
  <c r="B605" i="4"/>
  <c r="G604" i="4" a="1"/>
  <c r="G604" i="4" s="1"/>
  <c r="D604" i="4"/>
  <c r="F604" i="4" s="1"/>
  <c r="C604" i="4"/>
  <c r="I604" i="4" s="1"/>
  <c r="B604" i="4"/>
  <c r="G603" i="4" a="1"/>
  <c r="G603" i="4"/>
  <c r="D603" i="4"/>
  <c r="C603" i="4"/>
  <c r="B603" i="4"/>
  <c r="G602" i="4" a="1"/>
  <c r="G602" i="4" s="1"/>
  <c r="D602" i="4"/>
  <c r="C602" i="4"/>
  <c r="I602" i="4" s="1"/>
  <c r="B602" i="4"/>
  <c r="G601" i="4" a="1"/>
  <c r="G601" i="4" s="1"/>
  <c r="D601" i="4"/>
  <c r="F601" i="4" s="1"/>
  <c r="C601" i="4"/>
  <c r="I601" i="4" s="1"/>
  <c r="B601" i="4"/>
  <c r="G600" i="4" a="1"/>
  <c r="G600" i="4" s="1"/>
  <c r="F600" i="4"/>
  <c r="D600" i="4"/>
  <c r="C600" i="4"/>
  <c r="I600" i="4" s="1"/>
  <c r="B600" i="4"/>
  <c r="G599" i="4" a="1"/>
  <c r="G599" i="4" s="1"/>
  <c r="D599" i="4"/>
  <c r="C599" i="4"/>
  <c r="I599" i="4" s="1"/>
  <c r="B599" i="4"/>
  <c r="G598" i="4" a="1"/>
  <c r="G598" i="4" s="1"/>
  <c r="D598" i="4"/>
  <c r="C598" i="4"/>
  <c r="B598" i="4"/>
  <c r="G597" i="4" a="1"/>
  <c r="G597" i="4" s="1"/>
  <c r="D597" i="4"/>
  <c r="C597" i="4"/>
  <c r="I597" i="4" s="1"/>
  <c r="B597" i="4"/>
  <c r="H597" i="4" s="1"/>
  <c r="G596" i="4" a="1"/>
  <c r="G596" i="4" s="1"/>
  <c r="F596" i="4"/>
  <c r="D596" i="4"/>
  <c r="C596" i="4"/>
  <c r="I596" i="4" s="1"/>
  <c r="J596" i="4" s="1" a="1"/>
  <c r="J596" i="4" s="1"/>
  <c r="K596" i="4" s="1" a="1"/>
  <c r="K596" i="4" s="1"/>
  <c r="B596" i="4"/>
  <c r="I595" i="4"/>
  <c r="G595" i="4" a="1"/>
  <c r="G595" i="4"/>
  <c r="D595" i="4"/>
  <c r="F595" i="4" s="1"/>
  <c r="C595" i="4"/>
  <c r="B595" i="4"/>
  <c r="H595" i="4" s="1"/>
  <c r="G594" i="4" a="1"/>
  <c r="G594" i="4" s="1"/>
  <c r="D594" i="4"/>
  <c r="C594" i="4"/>
  <c r="I594" i="4" s="1"/>
  <c r="J594" i="4" s="1" a="1"/>
  <c r="J594" i="4" s="1"/>
  <c r="K594" i="4" s="1" a="1"/>
  <c r="K594" i="4" s="1"/>
  <c r="B594" i="4"/>
  <c r="G593" i="4" a="1"/>
  <c r="G593" i="4" s="1"/>
  <c r="D593" i="4"/>
  <c r="C593" i="4"/>
  <c r="I593" i="4" s="1"/>
  <c r="B593" i="4"/>
  <c r="G592" i="4" a="1"/>
  <c r="G592" i="4" s="1"/>
  <c r="D592" i="4"/>
  <c r="F592" i="4" s="1"/>
  <c r="C592" i="4"/>
  <c r="I592" i="4" s="1"/>
  <c r="B592" i="4"/>
  <c r="G591" i="4" a="1"/>
  <c r="G591" i="4" s="1"/>
  <c r="D591" i="4"/>
  <c r="F591" i="4" s="1"/>
  <c r="C591" i="4"/>
  <c r="I591" i="4" s="1"/>
  <c r="B591" i="4"/>
  <c r="G590" i="4" a="1"/>
  <c r="G590" i="4" s="1"/>
  <c r="F590" i="4"/>
  <c r="D590" i="4"/>
  <c r="C590" i="4"/>
  <c r="H590" i="4" s="1"/>
  <c r="B590" i="4"/>
  <c r="G589" i="4" a="1"/>
  <c r="G589" i="4" s="1"/>
  <c r="D589" i="4"/>
  <c r="C589" i="4"/>
  <c r="I589" i="4" s="1"/>
  <c r="B589" i="4"/>
  <c r="G588" i="4" a="1"/>
  <c r="G588" i="4" s="1"/>
  <c r="D588" i="4"/>
  <c r="C588" i="4"/>
  <c r="I588" i="4" s="1"/>
  <c r="B588" i="4"/>
  <c r="G587" i="4" a="1"/>
  <c r="G587" i="4" s="1"/>
  <c r="D587" i="4"/>
  <c r="C587" i="4"/>
  <c r="I587" i="4" s="1"/>
  <c r="B587" i="4"/>
  <c r="G586" i="4" a="1"/>
  <c r="G586" i="4"/>
  <c r="D586" i="4"/>
  <c r="F586" i="4" s="1"/>
  <c r="C586" i="4"/>
  <c r="I586" i="4" s="1"/>
  <c r="B586" i="4"/>
  <c r="G585" i="4" a="1"/>
  <c r="G585" i="4" s="1"/>
  <c r="D585" i="4"/>
  <c r="C585" i="4"/>
  <c r="I585" i="4" s="1"/>
  <c r="B585" i="4"/>
  <c r="G584" i="4" a="1"/>
  <c r="G584" i="4" s="1"/>
  <c r="D584" i="4"/>
  <c r="C584" i="4"/>
  <c r="I584" i="4" s="1"/>
  <c r="B584" i="4"/>
  <c r="G583" i="4" a="1"/>
  <c r="G583" i="4" s="1"/>
  <c r="F583" i="4"/>
  <c r="D583" i="4"/>
  <c r="C583" i="4"/>
  <c r="I583" i="4" s="1"/>
  <c r="B583" i="4"/>
  <c r="G582" i="4" a="1"/>
  <c r="G582" i="4" s="1"/>
  <c r="D582" i="4"/>
  <c r="C582" i="4"/>
  <c r="B582" i="4"/>
  <c r="G581" i="4" a="1"/>
  <c r="G581" i="4" s="1"/>
  <c r="D581" i="4"/>
  <c r="C581" i="4"/>
  <c r="I581" i="4" s="1"/>
  <c r="B581" i="4"/>
  <c r="G580" i="4" a="1"/>
  <c r="G580" i="4" s="1"/>
  <c r="D580" i="4"/>
  <c r="C580" i="4"/>
  <c r="B580" i="4"/>
  <c r="G579" i="4" a="1"/>
  <c r="G579" i="4" s="1"/>
  <c r="D579" i="4"/>
  <c r="C579" i="4"/>
  <c r="I579" i="4" s="1"/>
  <c r="B579" i="4"/>
  <c r="G578" i="4" a="1"/>
  <c r="G578" i="4" s="1"/>
  <c r="D578" i="4"/>
  <c r="C578" i="4"/>
  <c r="I578" i="4" s="1"/>
  <c r="B578" i="4"/>
  <c r="G577" i="4" a="1"/>
  <c r="G577" i="4" s="1"/>
  <c r="F577" i="4"/>
  <c r="D577" i="4"/>
  <c r="C577" i="4"/>
  <c r="I577" i="4" s="1"/>
  <c r="B577" i="4"/>
  <c r="G576" i="4" a="1"/>
  <c r="G576" i="4" s="1"/>
  <c r="D576" i="4"/>
  <c r="C576" i="4"/>
  <c r="I576" i="4" s="1"/>
  <c r="B576" i="4"/>
  <c r="G575" i="4" a="1"/>
  <c r="G575" i="4" s="1"/>
  <c r="F575" i="4"/>
  <c r="D575" i="4"/>
  <c r="C575" i="4"/>
  <c r="I575" i="4" s="1"/>
  <c r="B575" i="4"/>
  <c r="G574" i="4" a="1"/>
  <c r="G574" i="4" s="1"/>
  <c r="D574" i="4"/>
  <c r="C574" i="4"/>
  <c r="B574" i="4"/>
  <c r="G573" i="4" a="1"/>
  <c r="G573" i="4" s="1"/>
  <c r="D573" i="4"/>
  <c r="C573" i="4"/>
  <c r="I573" i="4" s="1"/>
  <c r="J573" i="4" s="1" a="1"/>
  <c r="J573" i="4" s="1"/>
  <c r="K573" i="4" s="1" a="1"/>
  <c r="K573" i="4" s="1"/>
  <c r="B573" i="4"/>
  <c r="G572" i="4" a="1"/>
  <c r="G572" i="4" s="1"/>
  <c r="D572" i="4"/>
  <c r="C572" i="4"/>
  <c r="B572" i="4"/>
  <c r="G571" i="4" a="1"/>
  <c r="G571" i="4" s="1"/>
  <c r="D571" i="4"/>
  <c r="C571" i="4"/>
  <c r="I571" i="4" s="1"/>
  <c r="B571" i="4"/>
  <c r="G570" i="4" a="1"/>
  <c r="G570" i="4" s="1"/>
  <c r="D570" i="4"/>
  <c r="C570" i="4"/>
  <c r="I570" i="4" s="1"/>
  <c r="B570" i="4"/>
  <c r="G569" i="4" a="1"/>
  <c r="G569" i="4" s="1"/>
  <c r="F569" i="4"/>
  <c r="D569" i="4"/>
  <c r="C569" i="4"/>
  <c r="I569" i="4" s="1"/>
  <c r="B569" i="4"/>
  <c r="G568" i="4" a="1"/>
  <c r="G568" i="4" s="1"/>
  <c r="D568" i="4"/>
  <c r="C568" i="4"/>
  <c r="I568" i="4" s="1"/>
  <c r="B568" i="4"/>
  <c r="G567" i="4" a="1"/>
  <c r="G567" i="4" s="1"/>
  <c r="F567" i="4"/>
  <c r="D567" i="4"/>
  <c r="C567" i="4"/>
  <c r="I567" i="4" s="1"/>
  <c r="J567" i="4" s="1" a="1"/>
  <c r="J567" i="4" s="1"/>
  <c r="K567" i="4" s="1" a="1"/>
  <c r="K567" i="4" s="1"/>
  <c r="B567" i="4"/>
  <c r="G566" i="4" a="1"/>
  <c r="G566" i="4" s="1"/>
  <c r="D566" i="4"/>
  <c r="C566" i="4"/>
  <c r="B566" i="4"/>
  <c r="G565" i="4" a="1"/>
  <c r="G565" i="4" s="1"/>
  <c r="D565" i="4"/>
  <c r="C565" i="4"/>
  <c r="I565" i="4" s="1"/>
  <c r="B565" i="4"/>
  <c r="G564" i="4" a="1"/>
  <c r="G564" i="4" s="1"/>
  <c r="D564" i="4"/>
  <c r="C564" i="4"/>
  <c r="B564" i="4"/>
  <c r="G563" i="4" a="1"/>
  <c r="G563" i="4" s="1"/>
  <c r="D563" i="4"/>
  <c r="C563" i="4"/>
  <c r="I563" i="4" s="1"/>
  <c r="B563" i="4"/>
  <c r="G562" i="4" a="1"/>
  <c r="G562" i="4" s="1"/>
  <c r="D562" i="4"/>
  <c r="C562" i="4"/>
  <c r="I562" i="4" s="1"/>
  <c r="B562" i="4"/>
  <c r="G561" i="4" a="1"/>
  <c r="G561" i="4" s="1"/>
  <c r="F561" i="4"/>
  <c r="D561" i="4"/>
  <c r="C561" i="4"/>
  <c r="I561" i="4" s="1"/>
  <c r="B561" i="4"/>
  <c r="G560" i="4" a="1"/>
  <c r="G560" i="4" s="1"/>
  <c r="D560" i="4"/>
  <c r="C560" i="4"/>
  <c r="I560" i="4" s="1"/>
  <c r="B560" i="4"/>
  <c r="G559" i="4" a="1"/>
  <c r="G559" i="4" s="1"/>
  <c r="F559" i="4"/>
  <c r="D559" i="4"/>
  <c r="C559" i="4"/>
  <c r="I559" i="4" s="1"/>
  <c r="B559" i="4"/>
  <c r="G558" i="4" a="1"/>
  <c r="G558" i="4" s="1"/>
  <c r="D558" i="4"/>
  <c r="C558" i="4"/>
  <c r="B558" i="4"/>
  <c r="G557" i="4" a="1"/>
  <c r="G557" i="4" s="1"/>
  <c r="D557" i="4"/>
  <c r="C557" i="4"/>
  <c r="I557" i="4" s="1"/>
  <c r="J557" i="4" s="1" a="1"/>
  <c r="J557" i="4" s="1"/>
  <c r="K557" i="4" s="1" a="1"/>
  <c r="K557" i="4" s="1"/>
  <c r="B557" i="4"/>
  <c r="G556" i="4" a="1"/>
  <c r="G556" i="4" s="1"/>
  <c r="D556" i="4"/>
  <c r="C556" i="4"/>
  <c r="B556" i="4"/>
  <c r="G555" i="4" a="1"/>
  <c r="G555" i="4" s="1"/>
  <c r="D555" i="4"/>
  <c r="C555" i="4"/>
  <c r="I555" i="4" s="1"/>
  <c r="B555" i="4"/>
  <c r="G554" i="4" a="1"/>
  <c r="G554" i="4" s="1"/>
  <c r="D554" i="4"/>
  <c r="C554" i="4"/>
  <c r="I554" i="4" s="1"/>
  <c r="B554" i="4"/>
  <c r="G553" i="4" a="1"/>
  <c r="G553" i="4" s="1"/>
  <c r="F553" i="4"/>
  <c r="D553" i="4"/>
  <c r="C553" i="4"/>
  <c r="I553" i="4" s="1"/>
  <c r="B553" i="4"/>
  <c r="G552" i="4" a="1"/>
  <c r="G552" i="4" s="1"/>
  <c r="F552" i="4"/>
  <c r="D552" i="4"/>
  <c r="C552" i="4"/>
  <c r="I552" i="4" s="1"/>
  <c r="B552" i="4"/>
  <c r="G551" i="4" a="1"/>
  <c r="G551" i="4" s="1"/>
  <c r="D551" i="4"/>
  <c r="F551" i="4" s="1"/>
  <c r="C551" i="4"/>
  <c r="I551" i="4" s="1"/>
  <c r="B551" i="4"/>
  <c r="G550" i="4" a="1"/>
  <c r="G550" i="4" s="1"/>
  <c r="F550" i="4"/>
  <c r="D550" i="4"/>
  <c r="C550" i="4"/>
  <c r="H550" i="4" s="1"/>
  <c r="B550" i="4"/>
  <c r="G549" i="4" a="1"/>
  <c r="G549" i="4" s="1"/>
  <c r="D549" i="4"/>
  <c r="C549" i="4"/>
  <c r="I549" i="4" s="1"/>
  <c r="B549" i="4"/>
  <c r="G548" i="4" a="1"/>
  <c r="G548" i="4" s="1"/>
  <c r="D548" i="4"/>
  <c r="C548" i="4"/>
  <c r="I548" i="4" s="1"/>
  <c r="B548" i="4"/>
  <c r="G547" i="4" a="1"/>
  <c r="G547" i="4" s="1"/>
  <c r="D547" i="4"/>
  <c r="C547" i="4"/>
  <c r="I547" i="4" s="1"/>
  <c r="B547" i="4"/>
  <c r="G546" i="4" a="1"/>
  <c r="G546" i="4" s="1"/>
  <c r="D546" i="4"/>
  <c r="C546" i="4"/>
  <c r="I546" i="4" s="1"/>
  <c r="B546" i="4"/>
  <c r="G545" i="4" a="1"/>
  <c r="G545" i="4" s="1"/>
  <c r="D545" i="4"/>
  <c r="C545" i="4"/>
  <c r="I545" i="4" s="1"/>
  <c r="B545" i="4"/>
  <c r="G544" i="4" a="1"/>
  <c r="G544" i="4" s="1"/>
  <c r="F544" i="4"/>
  <c r="D544" i="4"/>
  <c r="C544" i="4"/>
  <c r="I544" i="4" s="1"/>
  <c r="B544" i="4"/>
  <c r="G543" i="4" a="1"/>
  <c r="G543" i="4" s="1"/>
  <c r="D543" i="4"/>
  <c r="C543" i="4"/>
  <c r="I543" i="4" s="1"/>
  <c r="B543" i="4"/>
  <c r="G542" i="4" a="1"/>
  <c r="G542" i="4" s="1"/>
  <c r="D542" i="4"/>
  <c r="C542" i="4"/>
  <c r="B542" i="4"/>
  <c r="G541" i="4" a="1"/>
  <c r="G541" i="4" s="1"/>
  <c r="D541" i="4"/>
  <c r="C541" i="4"/>
  <c r="I541" i="4" s="1"/>
  <c r="B541" i="4"/>
  <c r="H541" i="4" s="1"/>
  <c r="G540" i="4" a="1"/>
  <c r="G540" i="4" s="1"/>
  <c r="F540" i="4"/>
  <c r="D540" i="4"/>
  <c r="C540" i="4"/>
  <c r="H540" i="4" s="1"/>
  <c r="B540" i="4"/>
  <c r="I539" i="4"/>
  <c r="G539" i="4" a="1"/>
  <c r="G539" i="4"/>
  <c r="D539" i="4"/>
  <c r="F539" i="4" s="1"/>
  <c r="C539" i="4"/>
  <c r="B539" i="4"/>
  <c r="H539" i="4" s="1"/>
  <c r="G538" i="4" a="1"/>
  <c r="G538" i="4" s="1"/>
  <c r="F538" i="4"/>
  <c r="D538" i="4"/>
  <c r="C538" i="4"/>
  <c r="I538" i="4" s="1"/>
  <c r="B538" i="4"/>
  <c r="G537" i="4" a="1"/>
  <c r="G537" i="4" s="1"/>
  <c r="D537" i="4"/>
  <c r="C537" i="4"/>
  <c r="B537" i="4"/>
  <c r="G536" i="4" a="1"/>
  <c r="G536" i="4" s="1"/>
  <c r="D536" i="4"/>
  <c r="C536" i="4"/>
  <c r="I536" i="4" s="1"/>
  <c r="B536" i="4"/>
  <c r="G535" i="4" a="1"/>
  <c r="G535" i="4" s="1"/>
  <c r="F535" i="4"/>
  <c r="D535" i="4"/>
  <c r="C535" i="4"/>
  <c r="I535" i="4" s="1"/>
  <c r="B535" i="4"/>
  <c r="G534" i="4" a="1"/>
  <c r="G534" i="4" s="1"/>
  <c r="D534" i="4"/>
  <c r="C534" i="4"/>
  <c r="B534" i="4"/>
  <c r="G533" i="4" a="1"/>
  <c r="G533" i="4" s="1"/>
  <c r="F533" i="4"/>
  <c r="D533" i="4"/>
  <c r="C533" i="4"/>
  <c r="I533" i="4" s="1"/>
  <c r="J533" i="4" s="1" a="1"/>
  <c r="J533" i="4" s="1"/>
  <c r="K533" i="4" s="1" a="1"/>
  <c r="K533" i="4" s="1"/>
  <c r="B533" i="4"/>
  <c r="I532" i="4"/>
  <c r="G532" i="4" a="1"/>
  <c r="G532" i="4"/>
  <c r="D532" i="4"/>
  <c r="C532" i="4"/>
  <c r="B532" i="4"/>
  <c r="G531" i="4" a="1"/>
  <c r="G531" i="4" s="1"/>
  <c r="D531" i="4"/>
  <c r="C531" i="4"/>
  <c r="I531" i="4" s="1"/>
  <c r="B531" i="4"/>
  <c r="G530" i="4" a="1"/>
  <c r="G530" i="4" s="1"/>
  <c r="D530" i="4"/>
  <c r="C530" i="4"/>
  <c r="I530" i="4" s="1"/>
  <c r="B530" i="4"/>
  <c r="I529" i="4"/>
  <c r="G529" i="4" a="1"/>
  <c r="G529" i="4" s="1"/>
  <c r="D529" i="4"/>
  <c r="J529" i="4" s="1" a="1"/>
  <c r="J529" i="4" s="1"/>
  <c r="K529" i="4" s="1" a="1"/>
  <c r="K529" i="4" s="1"/>
  <c r="C529" i="4"/>
  <c r="B529" i="4"/>
  <c r="H529" i="4" s="1"/>
  <c r="G528" i="4" a="1"/>
  <c r="G528" i="4"/>
  <c r="D528" i="4"/>
  <c r="C528" i="4"/>
  <c r="I528" i="4" s="1"/>
  <c r="B528" i="4"/>
  <c r="G527" i="4" a="1"/>
  <c r="G527" i="4" s="1"/>
  <c r="F527" i="4"/>
  <c r="D527" i="4"/>
  <c r="C527" i="4"/>
  <c r="I527" i="4" s="1"/>
  <c r="J527" i="4" s="1" a="1"/>
  <c r="J527" i="4" s="1"/>
  <c r="K527" i="4" s="1" a="1"/>
  <c r="K527" i="4" s="1"/>
  <c r="B527" i="4"/>
  <c r="G526" i="4" a="1"/>
  <c r="G526" i="4" s="1"/>
  <c r="D526" i="4"/>
  <c r="C526" i="4"/>
  <c r="B526" i="4"/>
  <c r="G525" i="4" a="1"/>
  <c r="G525" i="4" s="1"/>
  <c r="D525" i="4"/>
  <c r="C525" i="4"/>
  <c r="I525" i="4" s="1"/>
  <c r="J525" i="4" s="1" a="1"/>
  <c r="J525" i="4" s="1"/>
  <c r="K525" i="4" s="1" a="1"/>
  <c r="K525" i="4" s="1"/>
  <c r="B525" i="4"/>
  <c r="G524" i="4" a="1"/>
  <c r="G524" i="4" s="1"/>
  <c r="D524" i="4"/>
  <c r="C524" i="4"/>
  <c r="B524" i="4"/>
  <c r="G523" i="4" a="1"/>
  <c r="G523" i="4" s="1"/>
  <c r="D523" i="4"/>
  <c r="C523" i="4"/>
  <c r="I523" i="4" s="1"/>
  <c r="B523" i="4"/>
  <c r="G522" i="4" a="1"/>
  <c r="G522" i="4"/>
  <c r="D522" i="4"/>
  <c r="C522" i="4"/>
  <c r="I522" i="4" s="1"/>
  <c r="B522" i="4"/>
  <c r="H522" i="4" s="1"/>
  <c r="G521" i="4" a="1"/>
  <c r="G521" i="4" s="1"/>
  <c r="D521" i="4"/>
  <c r="C521" i="4"/>
  <c r="I521" i="4" s="1"/>
  <c r="B521" i="4"/>
  <c r="G520" i="4" a="1"/>
  <c r="G520" i="4"/>
  <c r="D520" i="4"/>
  <c r="C520" i="4"/>
  <c r="I520" i="4" s="1"/>
  <c r="B520" i="4"/>
  <c r="G519" i="4" a="1"/>
  <c r="G519" i="4" s="1"/>
  <c r="F519" i="4"/>
  <c r="D519" i="4"/>
  <c r="C519" i="4"/>
  <c r="I519" i="4" s="1"/>
  <c r="B519" i="4"/>
  <c r="G518" i="4" a="1"/>
  <c r="G518" i="4" s="1"/>
  <c r="D518" i="4"/>
  <c r="C518" i="4"/>
  <c r="B518" i="4"/>
  <c r="G517" i="4" a="1"/>
  <c r="G517" i="4" s="1"/>
  <c r="D517" i="4"/>
  <c r="C517" i="4"/>
  <c r="I517" i="4" s="1"/>
  <c r="J517" i="4" s="1" a="1"/>
  <c r="J517" i="4" s="1"/>
  <c r="K517" i="4" s="1" a="1"/>
  <c r="K517" i="4" s="1"/>
  <c r="B517" i="4"/>
  <c r="G516" i="4" a="1"/>
  <c r="G516" i="4" s="1"/>
  <c r="D516" i="4"/>
  <c r="C516" i="4"/>
  <c r="B516" i="4"/>
  <c r="G515" i="4" a="1"/>
  <c r="G515" i="4" s="1"/>
  <c r="D515" i="4"/>
  <c r="C515" i="4"/>
  <c r="I515" i="4" s="1"/>
  <c r="B515" i="4"/>
  <c r="I514" i="4"/>
  <c r="G514" i="4" a="1"/>
  <c r="G514" i="4"/>
  <c r="D514" i="4"/>
  <c r="J514" i="4" s="1" a="1"/>
  <c r="J514" i="4" s="1"/>
  <c r="K514" i="4" s="1" a="1"/>
  <c r="K514" i="4" s="1"/>
  <c r="C514" i="4"/>
  <c r="B514" i="4"/>
  <c r="H514" i="4" s="1"/>
  <c r="G513" i="4" a="1"/>
  <c r="G513" i="4" s="1"/>
  <c r="D513" i="4"/>
  <c r="F513" i="4" s="1"/>
  <c r="C513" i="4"/>
  <c r="I513" i="4" s="1"/>
  <c r="B513" i="4"/>
  <c r="G512" i="4" a="1"/>
  <c r="G512" i="4"/>
  <c r="D512" i="4"/>
  <c r="C512" i="4"/>
  <c r="I512" i="4" s="1"/>
  <c r="B512" i="4"/>
  <c r="G511" i="4" a="1"/>
  <c r="G511" i="4" s="1"/>
  <c r="F511" i="4"/>
  <c r="D511" i="4"/>
  <c r="C511" i="4"/>
  <c r="B511" i="4"/>
  <c r="G510" i="4" a="1"/>
  <c r="G510" i="4" s="1"/>
  <c r="D510" i="4"/>
  <c r="C510" i="4"/>
  <c r="B510" i="4"/>
  <c r="G509" i="4" a="1"/>
  <c r="G509" i="4" s="1"/>
  <c r="D509" i="4"/>
  <c r="C509" i="4"/>
  <c r="I509" i="4" s="1"/>
  <c r="B509" i="4"/>
  <c r="G508" i="4" a="1"/>
  <c r="G508" i="4" s="1"/>
  <c r="D508" i="4"/>
  <c r="C508" i="4"/>
  <c r="I508" i="4" s="1"/>
  <c r="B508" i="4"/>
  <c r="G507" i="4" a="1"/>
  <c r="G507" i="4" s="1"/>
  <c r="F507" i="4"/>
  <c r="D507" i="4"/>
  <c r="C507" i="4"/>
  <c r="I507" i="4" s="1"/>
  <c r="J507" i="4" s="1" a="1"/>
  <c r="J507" i="4" s="1"/>
  <c r="K507" i="4" s="1" a="1"/>
  <c r="K507" i="4" s="1"/>
  <c r="B507" i="4"/>
  <c r="G506" i="4" a="1"/>
  <c r="G506" i="4"/>
  <c r="D506" i="4"/>
  <c r="C506" i="4"/>
  <c r="I506" i="4" s="1"/>
  <c r="B506" i="4"/>
  <c r="H506" i="4" s="1"/>
  <c r="G505" i="4" a="1"/>
  <c r="G505" i="4" s="1"/>
  <c r="D505" i="4"/>
  <c r="C505" i="4"/>
  <c r="I505" i="4" s="1"/>
  <c r="B505" i="4"/>
  <c r="G504" i="4" a="1"/>
  <c r="G504" i="4" s="1"/>
  <c r="F504" i="4"/>
  <c r="D504" i="4"/>
  <c r="C504" i="4"/>
  <c r="I504" i="4" s="1"/>
  <c r="J504" i="4" s="1" a="1"/>
  <c r="J504" i="4" s="1"/>
  <c r="K504" i="4" s="1" a="1"/>
  <c r="K504" i="4" s="1"/>
  <c r="B504" i="4"/>
  <c r="G503" i="4" a="1"/>
  <c r="G503" i="4" s="1"/>
  <c r="D503" i="4"/>
  <c r="C503" i="4"/>
  <c r="B503" i="4"/>
  <c r="G502" i="4" a="1"/>
  <c r="G502" i="4" s="1"/>
  <c r="D502" i="4"/>
  <c r="C502" i="4"/>
  <c r="B502" i="4"/>
  <c r="G501" i="4" a="1"/>
  <c r="G501" i="4" s="1"/>
  <c r="D501" i="4"/>
  <c r="C501" i="4"/>
  <c r="I501" i="4" s="1"/>
  <c r="B501" i="4"/>
  <c r="H501" i="4" s="1"/>
  <c r="G500" i="4" a="1"/>
  <c r="G500" i="4" s="1"/>
  <c r="F500" i="4"/>
  <c r="D500" i="4"/>
  <c r="C500" i="4"/>
  <c r="I500" i="4" s="1"/>
  <c r="B500" i="4"/>
  <c r="I499" i="4"/>
  <c r="G499" i="4" a="1"/>
  <c r="G499" i="4"/>
  <c r="D499" i="4"/>
  <c r="C499" i="4"/>
  <c r="B499" i="4"/>
  <c r="G498" i="4" a="1"/>
  <c r="G498" i="4" s="1"/>
  <c r="D498" i="4"/>
  <c r="C498" i="4"/>
  <c r="I498" i="4" s="1"/>
  <c r="J498" i="4" s="1" a="1"/>
  <c r="J498" i="4" s="1"/>
  <c r="K498" i="4" s="1" a="1"/>
  <c r="K498" i="4" s="1"/>
  <c r="B498" i="4"/>
  <c r="G497" i="4" a="1"/>
  <c r="G497" i="4" s="1"/>
  <c r="D497" i="4"/>
  <c r="C497" i="4"/>
  <c r="I497" i="4" s="1"/>
  <c r="B497" i="4"/>
  <c r="G496" i="4" a="1"/>
  <c r="G496" i="4" s="1"/>
  <c r="D496" i="4"/>
  <c r="C496" i="4"/>
  <c r="I496" i="4" s="1"/>
  <c r="B496" i="4"/>
  <c r="G495" i="4" a="1"/>
  <c r="G495" i="4" s="1"/>
  <c r="D495" i="4"/>
  <c r="C495" i="4"/>
  <c r="B495" i="4"/>
  <c r="G494" i="4" a="1"/>
  <c r="G494" i="4" s="1"/>
  <c r="F494" i="4"/>
  <c r="D494" i="4"/>
  <c r="C494" i="4"/>
  <c r="I494" i="4" s="1"/>
  <c r="B494" i="4"/>
  <c r="G493" i="4" a="1"/>
  <c r="G493" i="4" s="1"/>
  <c r="D493" i="4"/>
  <c r="C493" i="4"/>
  <c r="I493" i="4" s="1"/>
  <c r="B493" i="4"/>
  <c r="G492" i="4" a="1"/>
  <c r="G492" i="4" s="1"/>
  <c r="F492" i="4"/>
  <c r="D492" i="4"/>
  <c r="C492" i="4"/>
  <c r="I492" i="4" s="1"/>
  <c r="B492" i="4"/>
  <c r="G491" i="4" a="1"/>
  <c r="G491" i="4" s="1"/>
  <c r="D491" i="4"/>
  <c r="C491" i="4"/>
  <c r="I491" i="4" s="1"/>
  <c r="B491" i="4"/>
  <c r="I490" i="4"/>
  <c r="J490" i="4" s="1" a="1"/>
  <c r="J490" i="4" s="1"/>
  <c r="K490" i="4" s="1" a="1"/>
  <c r="K490" i="4" s="1"/>
  <c r="G490" i="4" a="1"/>
  <c r="G490" i="4"/>
  <c r="D490" i="4"/>
  <c r="C490" i="4"/>
  <c r="B490" i="4"/>
  <c r="H490" i="4" s="1"/>
  <c r="G489" i="4" a="1"/>
  <c r="G489" i="4" s="1"/>
  <c r="D489" i="4"/>
  <c r="C489" i="4"/>
  <c r="I489" i="4" s="1"/>
  <c r="B489" i="4"/>
  <c r="G488" i="4" a="1"/>
  <c r="G488" i="4" s="1"/>
  <c r="F488" i="4"/>
  <c r="D488" i="4"/>
  <c r="C488" i="4"/>
  <c r="I488" i="4" s="1"/>
  <c r="B488" i="4"/>
  <c r="G487" i="4" a="1"/>
  <c r="G487" i="4" s="1"/>
  <c r="D487" i="4"/>
  <c r="C487" i="4"/>
  <c r="B487" i="4"/>
  <c r="G486" i="4" a="1"/>
  <c r="G486" i="4" s="1"/>
  <c r="F486" i="4"/>
  <c r="D486" i="4"/>
  <c r="C486" i="4"/>
  <c r="I486" i="4" s="1"/>
  <c r="B486" i="4"/>
  <c r="I485" i="4"/>
  <c r="G485" i="4" a="1"/>
  <c r="G485" i="4" s="1"/>
  <c r="F485" i="4"/>
  <c r="D485" i="4"/>
  <c r="C485" i="4"/>
  <c r="B485" i="4"/>
  <c r="H485" i="4" s="1"/>
  <c r="G484" i="4" a="1"/>
  <c r="G484" i="4" s="1"/>
  <c r="F484" i="4"/>
  <c r="D484" i="4"/>
  <c r="C484" i="4"/>
  <c r="I484" i="4" s="1"/>
  <c r="J484" i="4" s="1" a="1"/>
  <c r="J484" i="4" s="1"/>
  <c r="K484" i="4" s="1" a="1"/>
  <c r="K484" i="4" s="1"/>
  <c r="B484" i="4"/>
  <c r="G483" i="4" a="1"/>
  <c r="G483" i="4" s="1"/>
  <c r="D483" i="4"/>
  <c r="C483" i="4"/>
  <c r="I483" i="4" s="1"/>
  <c r="B483" i="4"/>
  <c r="G482" i="4" a="1"/>
  <c r="G482" i="4"/>
  <c r="D482" i="4"/>
  <c r="C482" i="4"/>
  <c r="I482" i="4" s="1"/>
  <c r="B482" i="4"/>
  <c r="H482" i="4" s="1"/>
  <c r="G481" i="4" a="1"/>
  <c r="G481" i="4" s="1"/>
  <c r="F481" i="4"/>
  <c r="D481" i="4"/>
  <c r="C481" i="4"/>
  <c r="I481" i="4" s="1"/>
  <c r="J481" i="4" s="1" a="1"/>
  <c r="J481" i="4" s="1"/>
  <c r="K481" i="4" s="1" a="1"/>
  <c r="K481" i="4" s="1"/>
  <c r="B481" i="4"/>
  <c r="G480" i="4" a="1"/>
  <c r="G480" i="4" s="1"/>
  <c r="D480" i="4"/>
  <c r="C480" i="4"/>
  <c r="H480" i="4" s="1"/>
  <c r="B480" i="4"/>
  <c r="G479" i="4" a="1"/>
  <c r="G479" i="4" s="1"/>
  <c r="D479" i="4"/>
  <c r="C479" i="4"/>
  <c r="B479" i="4"/>
  <c r="G478" i="4" a="1"/>
  <c r="G478" i="4" s="1"/>
  <c r="D478" i="4"/>
  <c r="C478" i="4"/>
  <c r="I478" i="4" s="1"/>
  <c r="B478" i="4"/>
  <c r="G477" i="4" a="1"/>
  <c r="G477" i="4" s="1"/>
  <c r="D477" i="4"/>
  <c r="C477" i="4"/>
  <c r="I477" i="4" s="1"/>
  <c r="B477" i="4"/>
  <c r="G476" i="4" a="1"/>
  <c r="G476" i="4" s="1"/>
  <c r="F476" i="4"/>
  <c r="D476" i="4"/>
  <c r="C476" i="4"/>
  <c r="I476" i="4" s="1"/>
  <c r="B476" i="4"/>
  <c r="G475" i="4" a="1"/>
  <c r="G475" i="4" s="1"/>
  <c r="D475" i="4"/>
  <c r="C475" i="4"/>
  <c r="B475" i="4"/>
  <c r="G474" i="4" a="1"/>
  <c r="G474" i="4" s="1"/>
  <c r="D474" i="4"/>
  <c r="C474" i="4"/>
  <c r="I474" i="4" s="1"/>
  <c r="B474" i="4"/>
  <c r="I473" i="4"/>
  <c r="G473" i="4" a="1"/>
  <c r="G473" i="4" s="1"/>
  <c r="F473" i="4"/>
  <c r="D473" i="4"/>
  <c r="C473" i="4"/>
  <c r="B473" i="4"/>
  <c r="H473" i="4" s="1"/>
  <c r="G472" i="4" a="1"/>
  <c r="G472" i="4"/>
  <c r="D472" i="4"/>
  <c r="C472" i="4"/>
  <c r="I472" i="4" s="1"/>
  <c r="B472" i="4"/>
  <c r="G471" i="4" a="1"/>
  <c r="G471" i="4" s="1"/>
  <c r="F471" i="4"/>
  <c r="D471" i="4"/>
  <c r="C471" i="4"/>
  <c r="B471" i="4"/>
  <c r="G470" i="4" a="1"/>
  <c r="G470" i="4" s="1"/>
  <c r="D470" i="4"/>
  <c r="C470" i="4"/>
  <c r="H470" i="4" s="1"/>
  <c r="B470" i="4"/>
  <c r="G469" i="4" a="1"/>
  <c r="G469" i="4" s="1"/>
  <c r="D469" i="4"/>
  <c r="C469" i="4"/>
  <c r="I469" i="4" s="1"/>
  <c r="B469" i="4"/>
  <c r="G468" i="4" a="1"/>
  <c r="G468" i="4" s="1"/>
  <c r="D468" i="4"/>
  <c r="C468" i="4"/>
  <c r="I468" i="4" s="1"/>
  <c r="B468" i="4"/>
  <c r="G467" i="4" a="1"/>
  <c r="G467" i="4" s="1"/>
  <c r="D467" i="4"/>
  <c r="C467" i="4"/>
  <c r="I467" i="4" s="1"/>
  <c r="B467" i="4"/>
  <c r="G466" i="4" a="1"/>
  <c r="G466" i="4"/>
  <c r="D466" i="4"/>
  <c r="C466" i="4"/>
  <c r="I466" i="4" s="1"/>
  <c r="B466" i="4"/>
  <c r="H466" i="4" s="1"/>
  <c r="G465" i="4" a="1"/>
  <c r="G465" i="4" s="1"/>
  <c r="D465" i="4"/>
  <c r="F465" i="4" s="1"/>
  <c r="C465" i="4"/>
  <c r="I465" i="4" s="1"/>
  <c r="B465" i="4"/>
  <c r="H465" i="4" s="1"/>
  <c r="G464" i="4" a="1"/>
  <c r="G464" i="4" s="1"/>
  <c r="F464" i="4"/>
  <c r="D464" i="4"/>
  <c r="C464" i="4"/>
  <c r="H464" i="4" s="1"/>
  <c r="B464" i="4"/>
  <c r="G463" i="4" a="1"/>
  <c r="G463" i="4" s="1"/>
  <c r="D463" i="4"/>
  <c r="C463" i="4"/>
  <c r="B463" i="4"/>
  <c r="G462" i="4" a="1"/>
  <c r="G462" i="4" s="1"/>
  <c r="D462" i="4"/>
  <c r="C462" i="4"/>
  <c r="B462" i="4"/>
  <c r="G461" i="4" a="1"/>
  <c r="G461" i="4" s="1"/>
  <c r="D461" i="4"/>
  <c r="C461" i="4"/>
  <c r="I461" i="4" s="1"/>
  <c r="B461" i="4"/>
  <c r="H460" i="4"/>
  <c r="G460" i="4" a="1"/>
  <c r="G460" i="4"/>
  <c r="D460" i="4"/>
  <c r="C460" i="4"/>
  <c r="I460" i="4" s="1"/>
  <c r="B460" i="4"/>
  <c r="G459" i="4" a="1"/>
  <c r="G459" i="4" s="1"/>
  <c r="F459" i="4"/>
  <c r="D459" i="4"/>
  <c r="C459" i="4"/>
  <c r="I459" i="4" s="1"/>
  <c r="B459" i="4"/>
  <c r="G458" i="4" a="1"/>
  <c r="G458" i="4" s="1"/>
  <c r="D458" i="4"/>
  <c r="C458" i="4"/>
  <c r="H458" i="4" s="1"/>
  <c r="B458" i="4"/>
  <c r="G457" i="4" a="1"/>
  <c r="G457" i="4" s="1"/>
  <c r="F457" i="4"/>
  <c r="D457" i="4"/>
  <c r="C457" i="4"/>
  <c r="I457" i="4" s="1"/>
  <c r="B457" i="4"/>
  <c r="G456" i="4" a="1"/>
  <c r="G456" i="4" s="1"/>
  <c r="D456" i="4"/>
  <c r="C456" i="4"/>
  <c r="I456" i="4" s="1"/>
  <c r="B456" i="4"/>
  <c r="G455" i="4" a="1"/>
  <c r="G455" i="4" s="1"/>
  <c r="D455" i="4"/>
  <c r="C455" i="4"/>
  <c r="I455" i="4" s="1"/>
  <c r="B455" i="4"/>
  <c r="G454" i="4" a="1"/>
  <c r="G454" i="4" s="1"/>
  <c r="D454" i="4"/>
  <c r="C454" i="4"/>
  <c r="I454" i="4" s="1"/>
  <c r="B454" i="4"/>
  <c r="G453" i="4" a="1"/>
  <c r="G453" i="4" s="1"/>
  <c r="D453" i="4"/>
  <c r="C453" i="4"/>
  <c r="I453" i="4" s="1"/>
  <c r="B453" i="4"/>
  <c r="H453" i="4" s="1"/>
  <c r="G452" i="4" a="1"/>
  <c r="G452" i="4" s="1"/>
  <c r="F452" i="4"/>
  <c r="D452" i="4"/>
  <c r="C452" i="4"/>
  <c r="I452" i="4" s="1"/>
  <c r="B452" i="4"/>
  <c r="H452" i="4" s="1"/>
  <c r="G451" i="4" a="1"/>
  <c r="G451" i="4"/>
  <c r="D451" i="4"/>
  <c r="C451" i="4"/>
  <c r="I451" i="4" s="1"/>
  <c r="B451" i="4"/>
  <c r="G450" i="4" a="1"/>
  <c r="G450" i="4" s="1"/>
  <c r="F450" i="4"/>
  <c r="D450" i="4"/>
  <c r="C450" i="4"/>
  <c r="I450" i="4" s="1"/>
  <c r="B450" i="4"/>
  <c r="G449" i="4" a="1"/>
  <c r="G449" i="4" s="1"/>
  <c r="D449" i="4"/>
  <c r="C449" i="4"/>
  <c r="I449" i="4" s="1"/>
  <c r="B449" i="4"/>
  <c r="G448" i="4" a="1"/>
  <c r="G448" i="4" s="1"/>
  <c r="F448" i="4"/>
  <c r="D448" i="4"/>
  <c r="C448" i="4"/>
  <c r="I448" i="4" s="1"/>
  <c r="B448" i="4"/>
  <c r="G447" i="4" a="1"/>
  <c r="G447" i="4" s="1"/>
  <c r="D447" i="4"/>
  <c r="C447" i="4"/>
  <c r="I447" i="4" s="1"/>
  <c r="B447" i="4"/>
  <c r="G446" i="4" a="1"/>
  <c r="G446" i="4" s="1"/>
  <c r="F446" i="4"/>
  <c r="D446" i="4"/>
  <c r="C446" i="4"/>
  <c r="I446" i="4" s="1"/>
  <c r="B446" i="4"/>
  <c r="G445" i="4" a="1"/>
  <c r="G445" i="4" s="1"/>
  <c r="D445" i="4"/>
  <c r="C445" i="4"/>
  <c r="I445" i="4" s="1"/>
  <c r="B445" i="4"/>
  <c r="G444" i="4" a="1"/>
  <c r="G444" i="4" s="1"/>
  <c r="D444" i="4"/>
  <c r="C444" i="4"/>
  <c r="I444" i="4" s="1"/>
  <c r="B444" i="4"/>
  <c r="G443" i="4" a="1"/>
  <c r="G443" i="4" s="1"/>
  <c r="F443" i="4"/>
  <c r="D443" i="4"/>
  <c r="C443" i="4"/>
  <c r="I443" i="4" s="1"/>
  <c r="B443" i="4"/>
  <c r="G442" i="4" a="1"/>
  <c r="G442" i="4" s="1"/>
  <c r="D442" i="4"/>
  <c r="C442" i="4"/>
  <c r="H442" i="4" s="1"/>
  <c r="B442" i="4"/>
  <c r="G441" i="4" a="1"/>
  <c r="G441" i="4" s="1"/>
  <c r="D441" i="4"/>
  <c r="C441" i="4"/>
  <c r="I441" i="4" s="1"/>
  <c r="B441" i="4"/>
  <c r="G440" i="4" a="1"/>
  <c r="G440" i="4" s="1"/>
  <c r="D440" i="4"/>
  <c r="C440" i="4"/>
  <c r="I440" i="4" s="1"/>
  <c r="B440" i="4"/>
  <c r="G439" i="4" a="1"/>
  <c r="G439" i="4" s="1"/>
  <c r="D439" i="4"/>
  <c r="F439" i="4" s="1"/>
  <c r="C439" i="4"/>
  <c r="I439" i="4" s="1"/>
  <c r="B439" i="4"/>
  <c r="G438" i="4" a="1"/>
  <c r="G438" i="4" s="1"/>
  <c r="D438" i="4"/>
  <c r="C438" i="4"/>
  <c r="I438" i="4" s="1"/>
  <c r="B438" i="4"/>
  <c r="G437" i="4" a="1"/>
  <c r="G437" i="4" s="1"/>
  <c r="D437" i="4"/>
  <c r="C437" i="4"/>
  <c r="I437" i="4" s="1"/>
  <c r="B437" i="4"/>
  <c r="H437" i="4" s="1"/>
  <c r="G436" i="4" a="1"/>
  <c r="G436" i="4" s="1"/>
  <c r="D436" i="4"/>
  <c r="C436" i="4"/>
  <c r="I436" i="4" s="1"/>
  <c r="J436" i="4" s="1" a="1"/>
  <c r="J436" i="4" s="1"/>
  <c r="K436" i="4" s="1" a="1"/>
  <c r="K436" i="4" s="1"/>
  <c r="B436" i="4"/>
  <c r="G435" i="4" a="1"/>
  <c r="G435" i="4" s="1"/>
  <c r="D435" i="4"/>
  <c r="C435" i="4"/>
  <c r="I435" i="4" s="1"/>
  <c r="B435" i="4"/>
  <c r="G434" i="4" a="1"/>
  <c r="G434" i="4" s="1"/>
  <c r="D434" i="4"/>
  <c r="C434" i="4"/>
  <c r="I434" i="4" s="1"/>
  <c r="J434" i="4" s="1" a="1"/>
  <c r="J434" i="4" s="1"/>
  <c r="K434" i="4" s="1" a="1"/>
  <c r="K434" i="4" s="1"/>
  <c r="B434" i="4"/>
  <c r="G433" i="4" a="1"/>
  <c r="G433" i="4" s="1"/>
  <c r="F433" i="4"/>
  <c r="D433" i="4"/>
  <c r="C433" i="4"/>
  <c r="I433" i="4" s="1"/>
  <c r="B433" i="4"/>
  <c r="G432" i="4" a="1"/>
  <c r="G432" i="4" s="1"/>
  <c r="D432" i="4"/>
  <c r="C432" i="4"/>
  <c r="I432" i="4" s="1"/>
  <c r="B432" i="4"/>
  <c r="G431" i="4" a="1"/>
  <c r="G431" i="4" s="1"/>
  <c r="D431" i="4"/>
  <c r="C431" i="4"/>
  <c r="I431" i="4" s="1"/>
  <c r="B431" i="4"/>
  <c r="G430" i="4" a="1"/>
  <c r="G430" i="4" s="1"/>
  <c r="F430" i="4"/>
  <c r="D430" i="4"/>
  <c r="C430" i="4"/>
  <c r="I430" i="4" s="1"/>
  <c r="B430" i="4"/>
  <c r="G429" i="4" a="1"/>
  <c r="G429" i="4" s="1"/>
  <c r="D429" i="4"/>
  <c r="C429" i="4"/>
  <c r="I429" i="4" s="1"/>
  <c r="B429" i="4"/>
  <c r="G428" i="4" a="1"/>
  <c r="G428" i="4" s="1"/>
  <c r="F428" i="4"/>
  <c r="D428" i="4"/>
  <c r="C428" i="4"/>
  <c r="I428" i="4" s="1"/>
  <c r="J428" i="4" s="1" a="1"/>
  <c r="J428" i="4" s="1"/>
  <c r="K428" i="4" s="1" a="1"/>
  <c r="K428" i="4" s="1"/>
  <c r="B428" i="4"/>
  <c r="G427" i="4" a="1"/>
  <c r="G427" i="4" s="1"/>
  <c r="D427" i="4"/>
  <c r="C427" i="4"/>
  <c r="I427" i="4" s="1"/>
  <c r="B427" i="4"/>
  <c r="G426" i="4" a="1"/>
  <c r="G426" i="4" s="1"/>
  <c r="F426" i="4"/>
  <c r="D426" i="4"/>
  <c r="C426" i="4"/>
  <c r="I426" i="4" s="1"/>
  <c r="J426" i="4" s="1" a="1"/>
  <c r="J426" i="4" s="1"/>
  <c r="K426" i="4" s="1" a="1"/>
  <c r="K426" i="4" s="1"/>
  <c r="B426" i="4"/>
  <c r="G425" i="4" a="1"/>
  <c r="G425" i="4" s="1"/>
  <c r="F425" i="4"/>
  <c r="D425" i="4"/>
  <c r="C425" i="4"/>
  <c r="I425" i="4" s="1"/>
  <c r="B425" i="4"/>
  <c r="G424" i="4" a="1"/>
  <c r="G424" i="4" s="1"/>
  <c r="D424" i="4"/>
  <c r="C424" i="4"/>
  <c r="I424" i="4" s="1"/>
  <c r="B424" i="4"/>
  <c r="G423" i="4" a="1"/>
  <c r="G423" i="4" s="1"/>
  <c r="D423" i="4"/>
  <c r="C423" i="4"/>
  <c r="I423" i="4" s="1"/>
  <c r="B423" i="4"/>
  <c r="G422" i="4" a="1"/>
  <c r="G422" i="4" s="1"/>
  <c r="F422" i="4"/>
  <c r="D422" i="4"/>
  <c r="C422" i="4"/>
  <c r="I422" i="4" s="1"/>
  <c r="B422" i="4"/>
  <c r="G421" i="4" a="1"/>
  <c r="G421" i="4" s="1"/>
  <c r="D421" i="4"/>
  <c r="C421" i="4"/>
  <c r="I421" i="4" s="1"/>
  <c r="B421" i="4"/>
  <c r="G420" i="4" a="1"/>
  <c r="G420" i="4" s="1"/>
  <c r="F420" i="4"/>
  <c r="D420" i="4"/>
  <c r="C420" i="4"/>
  <c r="H420" i="4" s="1"/>
  <c r="B420" i="4"/>
  <c r="G419" i="4" a="1"/>
  <c r="G419" i="4" s="1"/>
  <c r="D419" i="4"/>
  <c r="C419" i="4"/>
  <c r="I419" i="4" s="1"/>
  <c r="B419" i="4"/>
  <c r="G418" i="4" a="1"/>
  <c r="G418" i="4" s="1"/>
  <c r="F418" i="4"/>
  <c r="D418" i="4"/>
  <c r="C418" i="4"/>
  <c r="I418" i="4" s="1"/>
  <c r="J418" i="4" s="1" a="1"/>
  <c r="J418" i="4" s="1"/>
  <c r="K418" i="4" s="1" a="1"/>
  <c r="K418" i="4" s="1"/>
  <c r="B418" i="4"/>
  <c r="G417" i="4" a="1"/>
  <c r="G417" i="4" s="1"/>
  <c r="F417" i="4"/>
  <c r="D417" i="4"/>
  <c r="C417" i="4"/>
  <c r="I417" i="4" s="1"/>
  <c r="B417" i="4"/>
  <c r="G416" i="4" a="1"/>
  <c r="G416" i="4" s="1"/>
  <c r="D416" i="4"/>
  <c r="C416" i="4"/>
  <c r="I416" i="4" s="1"/>
  <c r="B416" i="4"/>
  <c r="G415" i="4" a="1"/>
  <c r="G415" i="4" s="1"/>
  <c r="F415" i="4"/>
  <c r="D415" i="4"/>
  <c r="C415" i="4"/>
  <c r="I415" i="4" s="1"/>
  <c r="B415" i="4"/>
  <c r="G414" i="4" a="1"/>
  <c r="G414" i="4" s="1"/>
  <c r="D414" i="4"/>
  <c r="C414" i="4"/>
  <c r="I414" i="4" s="1"/>
  <c r="B414" i="4"/>
  <c r="G413" i="4" a="1"/>
  <c r="G413" i="4" s="1"/>
  <c r="D413" i="4"/>
  <c r="C413" i="4"/>
  <c r="I413" i="4" s="1"/>
  <c r="B413" i="4"/>
  <c r="H413" i="4" s="1"/>
  <c r="G412" i="4" a="1"/>
  <c r="G412" i="4" s="1"/>
  <c r="D412" i="4"/>
  <c r="F412" i="4" s="1"/>
  <c r="C412" i="4"/>
  <c r="I412" i="4" s="1"/>
  <c r="B412" i="4"/>
  <c r="G411" i="4" a="1"/>
  <c r="G411" i="4" s="1"/>
  <c r="F411" i="4"/>
  <c r="D411" i="4"/>
  <c r="C411" i="4"/>
  <c r="I411" i="4" s="1"/>
  <c r="B411" i="4"/>
  <c r="G410" i="4" a="1"/>
  <c r="G410" i="4" s="1"/>
  <c r="D410" i="4"/>
  <c r="C410" i="4"/>
  <c r="I410" i="4" s="1"/>
  <c r="J410" i="4" s="1" a="1"/>
  <c r="J410" i="4" s="1"/>
  <c r="K410" i="4" s="1" a="1"/>
  <c r="K410" i="4" s="1"/>
  <c r="B410" i="4"/>
  <c r="I409" i="4"/>
  <c r="G409" i="4" a="1"/>
  <c r="G409" i="4" s="1"/>
  <c r="F409" i="4"/>
  <c r="D409" i="4"/>
  <c r="C409" i="4"/>
  <c r="B409" i="4"/>
  <c r="H409" i="4" s="1"/>
  <c r="G408" i="4" a="1"/>
  <c r="G408" i="4"/>
  <c r="D408" i="4"/>
  <c r="F408" i="4" s="1"/>
  <c r="C408" i="4"/>
  <c r="I408" i="4" s="1"/>
  <c r="B408" i="4"/>
  <c r="G407" i="4" a="1"/>
  <c r="G407" i="4" s="1"/>
  <c r="D407" i="4"/>
  <c r="C407" i="4"/>
  <c r="I407" i="4" s="1"/>
  <c r="B407" i="4"/>
  <c r="G406" i="4" a="1"/>
  <c r="G406" i="4" s="1"/>
  <c r="D406" i="4"/>
  <c r="C406" i="4"/>
  <c r="I406" i="4" s="1"/>
  <c r="B406" i="4"/>
  <c r="G405" i="4" a="1"/>
  <c r="G405" i="4" s="1"/>
  <c r="D405" i="4"/>
  <c r="C405" i="4"/>
  <c r="I405" i="4" s="1"/>
  <c r="B405" i="4"/>
  <c r="G404" i="4" a="1"/>
  <c r="G404" i="4" s="1"/>
  <c r="D404" i="4"/>
  <c r="F404" i="4" s="1"/>
  <c r="C404" i="4"/>
  <c r="B404" i="4"/>
  <c r="G403" i="4" a="1"/>
  <c r="G403" i="4" s="1"/>
  <c r="F403" i="4"/>
  <c r="D403" i="4"/>
  <c r="C403" i="4"/>
  <c r="I403" i="4" s="1"/>
  <c r="B403" i="4"/>
  <c r="G402" i="4" a="1"/>
  <c r="G402" i="4" s="1"/>
  <c r="D402" i="4"/>
  <c r="C402" i="4"/>
  <c r="H402" i="4" s="1"/>
  <c r="B402" i="4"/>
  <c r="G401" i="4" a="1"/>
  <c r="G401" i="4" s="1"/>
  <c r="D401" i="4"/>
  <c r="C401" i="4"/>
  <c r="I401" i="4" s="1"/>
  <c r="J401" i="4" s="1" a="1"/>
  <c r="J401" i="4" s="1"/>
  <c r="K401" i="4" s="1" a="1"/>
  <c r="K401" i="4" s="1"/>
  <c r="B401" i="4"/>
  <c r="G400" i="4" a="1"/>
  <c r="G400" i="4" s="1"/>
  <c r="D400" i="4"/>
  <c r="C400" i="4"/>
  <c r="I400" i="4" s="1"/>
  <c r="B400" i="4"/>
  <c r="G399" i="4" a="1"/>
  <c r="G399" i="4" s="1"/>
  <c r="D399" i="4"/>
  <c r="C399" i="4"/>
  <c r="I399" i="4" s="1"/>
  <c r="B399" i="4"/>
  <c r="G398" i="4" a="1"/>
  <c r="G398" i="4" s="1"/>
  <c r="F398" i="4"/>
  <c r="D398" i="4"/>
  <c r="C398" i="4"/>
  <c r="I398" i="4" s="1"/>
  <c r="B398" i="4"/>
  <c r="I397" i="4"/>
  <c r="G397" i="4" a="1"/>
  <c r="G397" i="4"/>
  <c r="D397" i="4"/>
  <c r="C397" i="4"/>
  <c r="B397" i="4"/>
  <c r="G396" i="4" a="1"/>
  <c r="G396" i="4" s="1"/>
  <c r="D396" i="4"/>
  <c r="C396" i="4"/>
  <c r="I396" i="4" s="1"/>
  <c r="B396" i="4"/>
  <c r="G395" i="4" a="1"/>
  <c r="G395" i="4" s="1"/>
  <c r="F395" i="4"/>
  <c r="D395" i="4"/>
  <c r="C395" i="4"/>
  <c r="I395" i="4" s="1"/>
  <c r="B395" i="4"/>
  <c r="G394" i="4" a="1"/>
  <c r="G394" i="4" s="1"/>
  <c r="D394" i="4"/>
  <c r="C394" i="4"/>
  <c r="I394" i="4" s="1"/>
  <c r="B394" i="4"/>
  <c r="G393" i="4" a="1"/>
  <c r="G393" i="4" s="1"/>
  <c r="F393" i="4"/>
  <c r="D393" i="4"/>
  <c r="C393" i="4"/>
  <c r="I393" i="4" s="1"/>
  <c r="B393" i="4"/>
  <c r="G392" i="4" a="1"/>
  <c r="G392" i="4" s="1"/>
  <c r="D392" i="4"/>
  <c r="F392" i="4" s="1"/>
  <c r="C392" i="4"/>
  <c r="I392" i="4" s="1"/>
  <c r="B392" i="4"/>
  <c r="G391" i="4" a="1"/>
  <c r="G391" i="4" s="1"/>
  <c r="D391" i="4"/>
  <c r="C391" i="4"/>
  <c r="I391" i="4" s="1"/>
  <c r="B391" i="4"/>
  <c r="G390" i="4" a="1"/>
  <c r="G390" i="4" s="1"/>
  <c r="D390" i="4"/>
  <c r="C390" i="4"/>
  <c r="B390" i="4"/>
  <c r="G389" i="4" a="1"/>
  <c r="G389" i="4" s="1"/>
  <c r="D389" i="4"/>
  <c r="C389" i="4"/>
  <c r="I389" i="4" s="1"/>
  <c r="B389" i="4"/>
  <c r="G388" i="4" a="1"/>
  <c r="G388" i="4" s="1"/>
  <c r="D388" i="4"/>
  <c r="C388" i="4"/>
  <c r="B388" i="4"/>
  <c r="G387" i="4" a="1"/>
  <c r="G387" i="4" s="1"/>
  <c r="F387" i="4"/>
  <c r="D387" i="4"/>
  <c r="C387" i="4"/>
  <c r="I387" i="4" s="1"/>
  <c r="B387" i="4"/>
  <c r="G386" i="4" a="1"/>
  <c r="G386" i="4" s="1"/>
  <c r="D386" i="4"/>
  <c r="C386" i="4"/>
  <c r="H386" i="4" s="1"/>
  <c r="B386" i="4"/>
  <c r="G385" i="4" a="1"/>
  <c r="G385" i="4" s="1"/>
  <c r="D385" i="4"/>
  <c r="F385" i="4" s="1"/>
  <c r="C385" i="4"/>
  <c r="I385" i="4" s="1"/>
  <c r="B385" i="4"/>
  <c r="H385" i="4" s="1"/>
  <c r="G384" i="4" a="1"/>
  <c r="G384" i="4" s="1"/>
  <c r="D384" i="4"/>
  <c r="C384" i="4"/>
  <c r="I384" i="4" s="1"/>
  <c r="B384" i="4"/>
  <c r="G383" i="4" a="1"/>
  <c r="G383" i="4" s="1"/>
  <c r="D383" i="4"/>
  <c r="C383" i="4"/>
  <c r="I383" i="4" s="1"/>
  <c r="B383" i="4"/>
  <c r="G382" i="4" a="1"/>
  <c r="G382" i="4" s="1"/>
  <c r="F382" i="4"/>
  <c r="D382" i="4"/>
  <c r="C382" i="4"/>
  <c r="I382" i="4" s="1"/>
  <c r="J382" i="4" s="1" a="1"/>
  <c r="J382" i="4" s="1"/>
  <c r="K382" i="4" s="1" a="1"/>
  <c r="K382" i="4" s="1"/>
  <c r="B382" i="4"/>
  <c r="I381" i="4"/>
  <c r="G381" i="4" a="1"/>
  <c r="G381" i="4"/>
  <c r="D381" i="4"/>
  <c r="C381" i="4"/>
  <c r="B381" i="4"/>
  <c r="G380" i="4" a="1"/>
  <c r="G380" i="4" s="1"/>
  <c r="D380" i="4"/>
  <c r="C380" i="4"/>
  <c r="H380" i="4" s="1"/>
  <c r="B380" i="4"/>
  <c r="G379" i="4" a="1"/>
  <c r="G379" i="4" s="1"/>
  <c r="D379" i="4"/>
  <c r="C379" i="4"/>
  <c r="I379" i="4" s="1"/>
  <c r="B379" i="4"/>
  <c r="G378" i="4" a="1"/>
  <c r="G378" i="4" s="1"/>
  <c r="D378" i="4"/>
  <c r="C378" i="4"/>
  <c r="B378" i="4"/>
  <c r="G377" i="4" a="1"/>
  <c r="G377" i="4" s="1"/>
  <c r="D377" i="4"/>
  <c r="C377" i="4"/>
  <c r="I377" i="4" s="1"/>
  <c r="J377" i="4" s="1" a="1"/>
  <c r="J377" i="4" s="1"/>
  <c r="K377" i="4" s="1" a="1"/>
  <c r="K377" i="4" s="1"/>
  <c r="B377" i="4"/>
  <c r="G376" i="4" a="1"/>
  <c r="G376" i="4" s="1"/>
  <c r="D376" i="4"/>
  <c r="C376" i="4"/>
  <c r="I376" i="4" s="1"/>
  <c r="B376" i="4"/>
  <c r="G375" i="4" a="1"/>
  <c r="G375" i="4" s="1"/>
  <c r="F375" i="4"/>
  <c r="D375" i="4"/>
  <c r="C375" i="4"/>
  <c r="I375" i="4" s="1"/>
  <c r="B375" i="4"/>
  <c r="G374" i="4" a="1"/>
  <c r="G374" i="4" s="1"/>
  <c r="D374" i="4"/>
  <c r="C374" i="4"/>
  <c r="I374" i="4" s="1"/>
  <c r="B374" i="4"/>
  <c r="H374" i="4" s="1"/>
  <c r="G373" i="4" a="1"/>
  <c r="G373" i="4" s="1"/>
  <c r="D373" i="4"/>
  <c r="C373" i="4"/>
  <c r="I373" i="4" s="1"/>
  <c r="B373" i="4"/>
  <c r="G372" i="4" a="1"/>
  <c r="G372" i="4" s="1"/>
  <c r="D372" i="4"/>
  <c r="C372" i="4"/>
  <c r="H372" i="4" s="1"/>
  <c r="B372" i="4"/>
  <c r="G371" i="4" a="1"/>
  <c r="G371" i="4" s="1"/>
  <c r="D371" i="4"/>
  <c r="C371" i="4"/>
  <c r="I371" i="4" s="1"/>
  <c r="B371" i="4"/>
  <c r="G370" i="4" a="1"/>
  <c r="G370" i="4" s="1"/>
  <c r="D370" i="4"/>
  <c r="C370" i="4"/>
  <c r="B370" i="4"/>
  <c r="G369" i="4" a="1"/>
  <c r="G369" i="4" s="1"/>
  <c r="D369" i="4"/>
  <c r="C369" i="4"/>
  <c r="I369" i="4" s="1"/>
  <c r="B369" i="4"/>
  <c r="H369" i="4" s="1"/>
  <c r="G368" i="4" a="1"/>
  <c r="G368" i="4" s="1"/>
  <c r="D368" i="4"/>
  <c r="C368" i="4"/>
  <c r="B368" i="4"/>
  <c r="G367" i="4" a="1"/>
  <c r="G367" i="4" s="1"/>
  <c r="D367" i="4"/>
  <c r="C367" i="4"/>
  <c r="I367" i="4" s="1"/>
  <c r="B367" i="4"/>
  <c r="G366" i="4" a="1"/>
  <c r="G366" i="4" s="1"/>
  <c r="D366" i="4"/>
  <c r="C366" i="4"/>
  <c r="I366" i="4" s="1"/>
  <c r="B366" i="4"/>
  <c r="G365" i="4" a="1"/>
  <c r="G365" i="4" s="1"/>
  <c r="D365" i="4"/>
  <c r="C365" i="4"/>
  <c r="I365" i="4" s="1"/>
  <c r="B365" i="4"/>
  <c r="G364" i="4" a="1"/>
  <c r="G364" i="4" s="1"/>
  <c r="D364" i="4"/>
  <c r="C364" i="4"/>
  <c r="I364" i="4" s="1"/>
  <c r="B364" i="4"/>
  <c r="G363" i="4" a="1"/>
  <c r="G363" i="4" s="1"/>
  <c r="D363" i="4"/>
  <c r="C363" i="4"/>
  <c r="I363" i="4" s="1"/>
  <c r="B363" i="4"/>
  <c r="G362" i="4" a="1"/>
  <c r="G362" i="4" s="1"/>
  <c r="F362" i="4"/>
  <c r="D362" i="4"/>
  <c r="C362" i="4"/>
  <c r="H362" i="4" s="1"/>
  <c r="B362" i="4"/>
  <c r="I361" i="4"/>
  <c r="G361" i="4" a="1"/>
  <c r="G361" i="4" s="1"/>
  <c r="F361" i="4"/>
  <c r="D361" i="4"/>
  <c r="C361" i="4"/>
  <c r="B361" i="4"/>
  <c r="H361" i="4" s="1"/>
  <c r="G360" i="4" a="1"/>
  <c r="G360" i="4" s="1"/>
  <c r="D360" i="4"/>
  <c r="C360" i="4"/>
  <c r="B360" i="4"/>
  <c r="G359" i="4" a="1"/>
  <c r="G359" i="4" s="1"/>
  <c r="D359" i="4"/>
  <c r="C359" i="4"/>
  <c r="I359" i="4" s="1"/>
  <c r="B359" i="4"/>
  <c r="G358" i="4" a="1"/>
  <c r="G358" i="4" s="1"/>
  <c r="F358" i="4"/>
  <c r="D358" i="4"/>
  <c r="C358" i="4"/>
  <c r="I358" i="4" s="1"/>
  <c r="B358" i="4"/>
  <c r="G357" i="4" a="1"/>
  <c r="G357" i="4" s="1"/>
  <c r="F357" i="4"/>
  <c r="D357" i="4"/>
  <c r="C357" i="4"/>
  <c r="I357" i="4" s="1"/>
  <c r="J357" i="4" s="1" a="1"/>
  <c r="J357" i="4" s="1"/>
  <c r="K357" i="4" s="1" a="1"/>
  <c r="K357" i="4" s="1"/>
  <c r="B357" i="4"/>
  <c r="G356" i="4" a="1"/>
  <c r="G356" i="4" s="1"/>
  <c r="D356" i="4"/>
  <c r="C356" i="4"/>
  <c r="B356" i="4"/>
  <c r="G355" i="4" a="1"/>
  <c r="G355" i="4" s="1"/>
  <c r="D355" i="4"/>
  <c r="C355" i="4"/>
  <c r="I355" i="4" s="1"/>
  <c r="B355" i="4"/>
  <c r="G354" i="4" a="1"/>
  <c r="G354" i="4" s="1"/>
  <c r="F354" i="4"/>
  <c r="D354" i="4"/>
  <c r="C354" i="4"/>
  <c r="H354" i="4" s="1"/>
  <c r="B354" i="4"/>
  <c r="G353" i="4" a="1"/>
  <c r="G353" i="4" s="1"/>
  <c r="F353" i="4"/>
  <c r="D353" i="4"/>
  <c r="C353" i="4"/>
  <c r="I353" i="4" s="1"/>
  <c r="B353" i="4"/>
  <c r="G352" i="4" a="1"/>
  <c r="G352" i="4" s="1"/>
  <c r="D352" i="4"/>
  <c r="C352" i="4"/>
  <c r="B352" i="4"/>
  <c r="G351" i="4" a="1"/>
  <c r="G351" i="4" s="1"/>
  <c r="D351" i="4"/>
  <c r="C351" i="4"/>
  <c r="I351" i="4" s="1"/>
  <c r="B351" i="4"/>
  <c r="G350" i="4" a="1"/>
  <c r="G350" i="4" s="1"/>
  <c r="D350" i="4"/>
  <c r="C350" i="4"/>
  <c r="I350" i="4" s="1"/>
  <c r="B350" i="4"/>
  <c r="G349" i="4" a="1"/>
  <c r="G349" i="4" s="1"/>
  <c r="D349" i="4"/>
  <c r="C349" i="4"/>
  <c r="I349" i="4" s="1"/>
  <c r="B349" i="4"/>
  <c r="G348" i="4" a="1"/>
  <c r="G348" i="4" s="1"/>
  <c r="D348" i="4"/>
  <c r="C348" i="4"/>
  <c r="I348" i="4" s="1"/>
  <c r="B348" i="4"/>
  <c r="G347" i="4" a="1"/>
  <c r="G347" i="4" s="1"/>
  <c r="D347" i="4"/>
  <c r="J347" i="4" s="1" a="1"/>
  <c r="J347" i="4" s="1"/>
  <c r="K347" i="4" s="1" a="1"/>
  <c r="K347" i="4" s="1"/>
  <c r="C347" i="4"/>
  <c r="I347" i="4" s="1"/>
  <c r="B347" i="4"/>
  <c r="G346" i="4" a="1"/>
  <c r="G346" i="4" s="1"/>
  <c r="F346" i="4"/>
  <c r="D346" i="4"/>
  <c r="C346" i="4"/>
  <c r="I346" i="4" s="1"/>
  <c r="J346" i="4" s="1" a="1"/>
  <c r="J346" i="4" s="1"/>
  <c r="K346" i="4" s="1" a="1"/>
  <c r="K346" i="4" s="1"/>
  <c r="B346" i="4"/>
  <c r="G345" i="4" a="1"/>
  <c r="G345" i="4" s="1"/>
  <c r="D345" i="4"/>
  <c r="F345" i="4" s="1"/>
  <c r="C345" i="4"/>
  <c r="I345" i="4" s="1"/>
  <c r="B345" i="4"/>
  <c r="H345" i="4" s="1"/>
  <c r="G344" i="4" a="1"/>
  <c r="G344" i="4" s="1"/>
  <c r="D344" i="4"/>
  <c r="C344" i="4"/>
  <c r="B344" i="4"/>
  <c r="G343" i="4" a="1"/>
  <c r="G343" i="4" s="1"/>
  <c r="D343" i="4"/>
  <c r="C343" i="4"/>
  <c r="I343" i="4" s="1"/>
  <c r="B343" i="4"/>
  <c r="G342" i="4" a="1"/>
  <c r="G342" i="4" s="1"/>
  <c r="F342" i="4"/>
  <c r="D342" i="4"/>
  <c r="C342" i="4"/>
  <c r="I342" i="4" s="1"/>
  <c r="B342" i="4"/>
  <c r="G341" i="4" a="1"/>
  <c r="G341" i="4" s="1"/>
  <c r="D341" i="4"/>
  <c r="C341" i="4"/>
  <c r="I341" i="4" s="1"/>
  <c r="B341" i="4"/>
  <c r="G340" i="4" a="1"/>
  <c r="G340" i="4" s="1"/>
  <c r="D340" i="4"/>
  <c r="F340" i="4" s="1"/>
  <c r="C340" i="4"/>
  <c r="B340" i="4"/>
  <c r="G339" i="4" a="1"/>
  <c r="G339" i="4" s="1"/>
  <c r="F339" i="4"/>
  <c r="D339" i="4"/>
  <c r="C339" i="4"/>
  <c r="I339" i="4" s="1"/>
  <c r="B339" i="4"/>
  <c r="G338" i="4" a="1"/>
  <c r="G338" i="4" s="1"/>
  <c r="D338" i="4"/>
  <c r="C338" i="4"/>
  <c r="I338" i="4" s="1"/>
  <c r="B338" i="4"/>
  <c r="G337" i="4" a="1"/>
  <c r="G337" i="4"/>
  <c r="D337" i="4"/>
  <c r="F337" i="4" s="1"/>
  <c r="C337" i="4"/>
  <c r="I337" i="4" s="1"/>
  <c r="B337" i="4"/>
  <c r="G336" i="4" a="1"/>
  <c r="G336" i="4" s="1"/>
  <c r="D336" i="4"/>
  <c r="C336" i="4"/>
  <c r="B336" i="4"/>
  <c r="G335" i="4" a="1"/>
  <c r="G335" i="4" s="1"/>
  <c r="D335" i="4"/>
  <c r="C335" i="4"/>
  <c r="I335" i="4" s="1"/>
  <c r="B335" i="4"/>
  <c r="G334" i="4" a="1"/>
  <c r="G334" i="4" s="1"/>
  <c r="F334" i="4"/>
  <c r="D334" i="4"/>
  <c r="C334" i="4"/>
  <c r="I334" i="4" s="1"/>
  <c r="B334" i="4"/>
  <c r="H334" i="4" s="1"/>
  <c r="G333" i="4" a="1"/>
  <c r="G333" i="4" s="1"/>
  <c r="D333" i="4"/>
  <c r="C333" i="4"/>
  <c r="H333" i="4" s="1"/>
  <c r="B333" i="4"/>
  <c r="G332" i="4" a="1"/>
  <c r="G332" i="4" s="1"/>
  <c r="D332" i="4"/>
  <c r="C332" i="4"/>
  <c r="B332" i="4"/>
  <c r="G331" i="4" a="1"/>
  <c r="G331" i="4" s="1"/>
  <c r="D331" i="4"/>
  <c r="C331" i="4"/>
  <c r="I331" i="4" s="1"/>
  <c r="B331" i="4"/>
  <c r="G330" i="4" a="1"/>
  <c r="G330" i="4" s="1"/>
  <c r="D330" i="4"/>
  <c r="C330" i="4"/>
  <c r="H330" i="4" s="1"/>
  <c r="B330" i="4"/>
  <c r="G329" i="4" a="1"/>
  <c r="G329" i="4" s="1"/>
  <c r="D329" i="4"/>
  <c r="F329" i="4" s="1"/>
  <c r="C329" i="4"/>
  <c r="B329" i="4"/>
  <c r="G328" i="4" a="1"/>
  <c r="G328" i="4" s="1"/>
  <c r="D328" i="4"/>
  <c r="C328" i="4"/>
  <c r="B328" i="4"/>
  <c r="G327" i="4" a="1"/>
  <c r="G327" i="4" s="1"/>
  <c r="D327" i="4"/>
  <c r="C327" i="4"/>
  <c r="I327" i="4" s="1"/>
  <c r="B327" i="4"/>
  <c r="G326" i="4" a="1"/>
  <c r="G326" i="4" s="1"/>
  <c r="F326" i="4"/>
  <c r="D326" i="4"/>
  <c r="C326" i="4"/>
  <c r="I326" i="4" s="1"/>
  <c r="B326" i="4"/>
  <c r="G325" i="4" a="1"/>
  <c r="G325" i="4" s="1"/>
  <c r="F325" i="4"/>
  <c r="D325" i="4"/>
  <c r="C325" i="4"/>
  <c r="I325" i="4" s="1"/>
  <c r="B325" i="4"/>
  <c r="G324" i="4" a="1"/>
  <c r="G324" i="4" s="1"/>
  <c r="D324" i="4"/>
  <c r="C324" i="4"/>
  <c r="B324" i="4"/>
  <c r="G323" i="4" a="1"/>
  <c r="G323" i="4" s="1"/>
  <c r="D323" i="4"/>
  <c r="C323" i="4"/>
  <c r="I323" i="4" s="1"/>
  <c r="B323" i="4"/>
  <c r="G322" i="4" a="1"/>
  <c r="G322" i="4" s="1"/>
  <c r="D322" i="4"/>
  <c r="C322" i="4"/>
  <c r="I322" i="4" s="1"/>
  <c r="B322" i="4"/>
  <c r="G321" i="4" a="1"/>
  <c r="G321" i="4" s="1"/>
  <c r="D321" i="4"/>
  <c r="F321" i="4" s="1"/>
  <c r="C321" i="4"/>
  <c r="B321" i="4"/>
  <c r="G320" i="4" a="1"/>
  <c r="G320" i="4" s="1"/>
  <c r="F320" i="4"/>
  <c r="D320" i="4"/>
  <c r="C320" i="4"/>
  <c r="I320" i="4" s="1"/>
  <c r="B320" i="4"/>
  <c r="G319" i="4" a="1"/>
  <c r="G319" i="4" s="1"/>
  <c r="D319" i="4"/>
  <c r="C319" i="4"/>
  <c r="I319" i="4" s="1"/>
  <c r="B319" i="4"/>
  <c r="G318" i="4" a="1"/>
  <c r="G318" i="4" s="1"/>
  <c r="D318" i="4"/>
  <c r="C318" i="4"/>
  <c r="B318" i="4"/>
  <c r="G317" i="4" a="1"/>
  <c r="G317" i="4" s="1"/>
  <c r="F317" i="4"/>
  <c r="D317" i="4"/>
  <c r="C317" i="4"/>
  <c r="I317" i="4" s="1"/>
  <c r="B317" i="4"/>
  <c r="G316" i="4" a="1"/>
  <c r="G316" i="4" s="1"/>
  <c r="D316" i="4"/>
  <c r="C316" i="4"/>
  <c r="I316" i="4" s="1"/>
  <c r="J316" i="4" s="1" a="1"/>
  <c r="J316" i="4" s="1"/>
  <c r="K316" i="4" s="1" a="1"/>
  <c r="K316" i="4" s="1"/>
  <c r="B316" i="4"/>
  <c r="G315" i="4" a="1"/>
  <c r="G315" i="4" s="1"/>
  <c r="D315" i="4"/>
  <c r="C315" i="4"/>
  <c r="I315" i="4" s="1"/>
  <c r="B315" i="4"/>
  <c r="G314" i="4" a="1"/>
  <c r="G314" i="4" s="1"/>
  <c r="F314" i="4"/>
  <c r="D314" i="4"/>
  <c r="C314" i="4"/>
  <c r="I314" i="4" s="1"/>
  <c r="B314" i="4"/>
  <c r="G313" i="4" a="1"/>
  <c r="G313" i="4" s="1"/>
  <c r="D313" i="4"/>
  <c r="C313" i="4"/>
  <c r="B313" i="4"/>
  <c r="G312" i="4" a="1"/>
  <c r="G312" i="4" s="1"/>
  <c r="D312" i="4"/>
  <c r="F312" i="4" s="1"/>
  <c r="C312" i="4"/>
  <c r="I312" i="4" s="1"/>
  <c r="B312" i="4"/>
  <c r="G311" i="4" a="1"/>
  <c r="G311" i="4" s="1"/>
  <c r="D311" i="4"/>
  <c r="C311" i="4"/>
  <c r="I311" i="4" s="1"/>
  <c r="B311" i="4"/>
  <c r="G310" i="4" a="1"/>
  <c r="G310" i="4" s="1"/>
  <c r="D310" i="4"/>
  <c r="C310" i="4"/>
  <c r="I310" i="4" s="1"/>
  <c r="B310" i="4"/>
  <c r="G309" i="4" a="1"/>
  <c r="G309" i="4"/>
  <c r="F309" i="4"/>
  <c r="D309" i="4"/>
  <c r="C309" i="4"/>
  <c r="I309" i="4" s="1"/>
  <c r="B309" i="4"/>
  <c r="G308" i="4" a="1"/>
  <c r="G308" i="4" s="1"/>
  <c r="F308" i="4"/>
  <c r="D308" i="4"/>
  <c r="C308" i="4"/>
  <c r="I308" i="4" s="1"/>
  <c r="B308" i="4"/>
  <c r="G307" i="4" a="1"/>
  <c r="G307" i="4" s="1"/>
  <c r="D307" i="4"/>
  <c r="C307" i="4"/>
  <c r="B307" i="4"/>
  <c r="G306" i="4" a="1"/>
  <c r="G306" i="4" s="1"/>
  <c r="D306" i="4"/>
  <c r="C306" i="4"/>
  <c r="B306" i="4"/>
  <c r="G305" i="4" a="1"/>
  <c r="G305" i="4" s="1"/>
  <c r="F305" i="4"/>
  <c r="D305" i="4"/>
  <c r="C305" i="4"/>
  <c r="I305" i="4" s="1"/>
  <c r="B305" i="4"/>
  <c r="G304" i="4" a="1"/>
  <c r="G304" i="4" s="1"/>
  <c r="D304" i="4"/>
  <c r="C304" i="4"/>
  <c r="B304" i="4"/>
  <c r="G303" i="4" a="1"/>
  <c r="G303" i="4" s="1"/>
  <c r="F303" i="4"/>
  <c r="D303" i="4"/>
  <c r="C303" i="4"/>
  <c r="B303" i="4"/>
  <c r="I302" i="4"/>
  <c r="G302" i="4" a="1"/>
  <c r="G302" i="4"/>
  <c r="D302" i="4"/>
  <c r="C302" i="4"/>
  <c r="B302" i="4"/>
  <c r="H302" i="4" s="1"/>
  <c r="G301" i="4" a="1"/>
  <c r="G301" i="4" s="1"/>
  <c r="D301" i="4"/>
  <c r="C301" i="4"/>
  <c r="I301" i="4" s="1"/>
  <c r="B301" i="4"/>
  <c r="G300" i="4" a="1"/>
  <c r="G300" i="4" s="1"/>
  <c r="F300" i="4"/>
  <c r="D300" i="4"/>
  <c r="C300" i="4"/>
  <c r="I300" i="4" s="1"/>
  <c r="B300" i="4"/>
  <c r="G299" i="4" a="1"/>
  <c r="G299" i="4" s="1"/>
  <c r="D299" i="4"/>
  <c r="C299" i="4"/>
  <c r="B299" i="4"/>
  <c r="G298" i="4" a="1"/>
  <c r="G298" i="4" s="1"/>
  <c r="D298" i="4"/>
  <c r="C298" i="4"/>
  <c r="I298" i="4" s="1"/>
  <c r="B298" i="4"/>
  <c r="G297" i="4" a="1"/>
  <c r="G297" i="4" s="1"/>
  <c r="F297" i="4"/>
  <c r="D297" i="4"/>
  <c r="C297" i="4"/>
  <c r="I297" i="4" s="1"/>
  <c r="B297" i="4"/>
  <c r="G296" i="4" a="1"/>
  <c r="G296" i="4" s="1"/>
  <c r="F296" i="4"/>
  <c r="D296" i="4"/>
  <c r="C296" i="4"/>
  <c r="H296" i="4" s="1"/>
  <c r="B296" i="4"/>
  <c r="G295" i="4" a="1"/>
  <c r="G295" i="4" s="1"/>
  <c r="D295" i="4"/>
  <c r="C295" i="4"/>
  <c r="B295" i="4"/>
  <c r="G294" i="4" a="1"/>
  <c r="G294" i="4" s="1"/>
  <c r="F294" i="4"/>
  <c r="D294" i="4"/>
  <c r="C294" i="4"/>
  <c r="I294" i="4" s="1"/>
  <c r="B294" i="4"/>
  <c r="I293" i="4"/>
  <c r="G293" i="4" a="1"/>
  <c r="G293" i="4" s="1"/>
  <c r="D293" i="4"/>
  <c r="F293" i="4" s="1"/>
  <c r="C293" i="4"/>
  <c r="B293" i="4"/>
  <c r="H293" i="4" s="1"/>
  <c r="G292" i="4" a="1"/>
  <c r="G292" i="4" s="1"/>
  <c r="D292" i="4"/>
  <c r="C292" i="4"/>
  <c r="I292" i="4" s="1"/>
  <c r="B292" i="4"/>
  <c r="G291" i="4" a="1"/>
  <c r="G291" i="4" s="1"/>
  <c r="D291" i="4"/>
  <c r="C291" i="4"/>
  <c r="I291" i="4" s="1"/>
  <c r="B291" i="4"/>
  <c r="H291" i="4" s="1"/>
  <c r="G290" i="4" a="1"/>
  <c r="G290" i="4" s="1"/>
  <c r="D290" i="4"/>
  <c r="C290" i="4"/>
  <c r="I290" i="4" s="1"/>
  <c r="B290" i="4"/>
  <c r="G289" i="4" a="1"/>
  <c r="G289" i="4" s="1"/>
  <c r="D289" i="4"/>
  <c r="F289" i="4" s="1"/>
  <c r="C289" i="4"/>
  <c r="B289" i="4"/>
  <c r="G288" i="4" a="1"/>
  <c r="G288" i="4"/>
  <c r="D288" i="4"/>
  <c r="C288" i="4"/>
  <c r="B288" i="4"/>
  <c r="G287" i="4" a="1"/>
  <c r="G287" i="4" s="1"/>
  <c r="D287" i="4"/>
  <c r="C287" i="4"/>
  <c r="H287" i="4" s="1"/>
  <c r="B287" i="4"/>
  <c r="G286" i="4" a="1"/>
  <c r="G286" i="4" s="1"/>
  <c r="D286" i="4"/>
  <c r="C286" i="4"/>
  <c r="I286" i="4" s="1"/>
  <c r="J286" i="4" s="1" a="1"/>
  <c r="J286" i="4" s="1"/>
  <c r="K286" i="4" s="1" a="1"/>
  <c r="K286" i="4" s="1"/>
  <c r="B286" i="4"/>
  <c r="G285" i="4" a="1"/>
  <c r="G285" i="4" s="1"/>
  <c r="D285" i="4"/>
  <c r="C285" i="4"/>
  <c r="I285" i="4" s="1"/>
  <c r="B285" i="4"/>
  <c r="H285" i="4" s="1"/>
  <c r="G284" i="4" a="1"/>
  <c r="G284" i="4" s="1"/>
  <c r="D284" i="4"/>
  <c r="C284" i="4"/>
  <c r="I284" i="4" s="1"/>
  <c r="B284" i="4"/>
  <c r="G283" i="4" a="1"/>
  <c r="G283" i="4" s="1"/>
  <c r="D283" i="4"/>
  <c r="C283" i="4"/>
  <c r="I283" i="4" s="1"/>
  <c r="B283" i="4"/>
  <c r="G282" i="4" a="1"/>
  <c r="G282" i="4" s="1"/>
  <c r="F282" i="4"/>
  <c r="D282" i="4"/>
  <c r="C282" i="4"/>
  <c r="I282" i="4" s="1"/>
  <c r="B282" i="4"/>
  <c r="G281" i="4" a="1"/>
  <c r="G281" i="4" s="1"/>
  <c r="F281" i="4"/>
  <c r="D281" i="4"/>
  <c r="C281" i="4"/>
  <c r="H281" i="4" s="1"/>
  <c r="B281" i="4"/>
  <c r="G280" i="4" a="1"/>
  <c r="G280" i="4" s="1"/>
  <c r="D280" i="4"/>
  <c r="C280" i="4"/>
  <c r="B280" i="4"/>
  <c r="G279" i="4" a="1"/>
  <c r="G279" i="4" s="1"/>
  <c r="F279" i="4"/>
  <c r="D279" i="4"/>
  <c r="C279" i="4"/>
  <c r="H279" i="4" s="1"/>
  <c r="B279" i="4"/>
  <c r="I278" i="4"/>
  <c r="G278" i="4" a="1"/>
  <c r="G278" i="4" s="1"/>
  <c r="D278" i="4"/>
  <c r="C278" i="4"/>
  <c r="B278" i="4"/>
  <c r="G277" i="4" a="1"/>
  <c r="G277" i="4" s="1"/>
  <c r="D277" i="4"/>
  <c r="C277" i="4"/>
  <c r="I277" i="4" s="1"/>
  <c r="J277" i="4" s="1" a="1"/>
  <c r="J277" i="4" s="1"/>
  <c r="K277" i="4" s="1" a="1"/>
  <c r="K277" i="4" s="1"/>
  <c r="B277" i="4"/>
  <c r="G276" i="4" a="1"/>
  <c r="G276" i="4" s="1"/>
  <c r="F276" i="4"/>
  <c r="D276" i="4"/>
  <c r="C276" i="4"/>
  <c r="I276" i="4" s="1"/>
  <c r="B276" i="4"/>
  <c r="G275" i="4" a="1"/>
  <c r="G275" i="4" s="1"/>
  <c r="D275" i="4"/>
  <c r="F275" i="4" s="1"/>
  <c r="C275" i="4"/>
  <c r="I275" i="4" s="1"/>
  <c r="B275" i="4"/>
  <c r="G274" i="4" a="1"/>
  <c r="G274" i="4" s="1"/>
  <c r="F274" i="4"/>
  <c r="D274" i="4"/>
  <c r="C274" i="4"/>
  <c r="I274" i="4" s="1"/>
  <c r="B274" i="4"/>
  <c r="I273" i="4"/>
  <c r="G273" i="4" a="1"/>
  <c r="G273" i="4" s="1"/>
  <c r="D273" i="4"/>
  <c r="F273" i="4" s="1"/>
  <c r="C273" i="4"/>
  <c r="B273" i="4"/>
  <c r="G272" i="4" a="1"/>
  <c r="G272" i="4" s="1"/>
  <c r="D272" i="4"/>
  <c r="C272" i="4"/>
  <c r="H272" i="4" s="1"/>
  <c r="B272" i="4"/>
  <c r="G271" i="4" a="1"/>
  <c r="G271" i="4" s="1"/>
  <c r="D271" i="4"/>
  <c r="C271" i="4"/>
  <c r="I271" i="4" s="1"/>
  <c r="B271" i="4"/>
  <c r="H271" i="4" s="1"/>
  <c r="G270" i="4" a="1"/>
  <c r="G270" i="4" s="1"/>
  <c r="F270" i="4"/>
  <c r="D270" i="4"/>
  <c r="C270" i="4"/>
  <c r="I270" i="4" s="1"/>
  <c r="B270" i="4"/>
  <c r="G269" i="4" a="1"/>
  <c r="G269" i="4" s="1"/>
  <c r="D269" i="4"/>
  <c r="F269" i="4" s="1"/>
  <c r="C269" i="4"/>
  <c r="I269" i="4" s="1"/>
  <c r="B269" i="4"/>
  <c r="G268" i="4" a="1"/>
  <c r="G268" i="4" s="1"/>
  <c r="F268" i="4"/>
  <c r="D268" i="4"/>
  <c r="C268" i="4"/>
  <c r="I268" i="4" s="1"/>
  <c r="B268" i="4"/>
  <c r="G267" i="4" a="1"/>
  <c r="G267" i="4" s="1"/>
  <c r="D267" i="4"/>
  <c r="C267" i="4"/>
  <c r="I267" i="4" s="1"/>
  <c r="B267" i="4"/>
  <c r="G266" i="4" a="1"/>
  <c r="G266" i="4" s="1"/>
  <c r="D266" i="4"/>
  <c r="C266" i="4"/>
  <c r="I266" i="4" s="1"/>
  <c r="B266" i="4"/>
  <c r="G265" i="4" a="1"/>
  <c r="G265" i="4" s="1"/>
  <c r="D265" i="4"/>
  <c r="F265" i="4" s="1"/>
  <c r="C265" i="4"/>
  <c r="B265" i="4"/>
  <c r="G264" i="4" a="1"/>
  <c r="G264" i="4" s="1"/>
  <c r="F264" i="4"/>
  <c r="D264" i="4"/>
  <c r="C264" i="4"/>
  <c r="H264" i="4" s="1"/>
  <c r="B264" i="4"/>
  <c r="G263" i="4" a="1"/>
  <c r="G263" i="4" s="1"/>
  <c r="D263" i="4"/>
  <c r="C263" i="4"/>
  <c r="I263" i="4" s="1"/>
  <c r="B263" i="4"/>
  <c r="G262" i="4" a="1"/>
  <c r="G262" i="4" s="1"/>
  <c r="F262" i="4"/>
  <c r="D262" i="4"/>
  <c r="C262" i="4"/>
  <c r="I262" i="4" s="1"/>
  <c r="J262" i="4" s="1" a="1"/>
  <c r="J262" i="4" s="1"/>
  <c r="K262" i="4" s="1" a="1"/>
  <c r="K262" i="4" s="1"/>
  <c r="B262" i="4"/>
  <c r="G261" i="4" a="1"/>
  <c r="G261" i="4" s="1"/>
  <c r="D261" i="4"/>
  <c r="C261" i="4"/>
  <c r="I261" i="4" s="1"/>
  <c r="B261" i="4"/>
  <c r="G260" i="4" a="1"/>
  <c r="G260" i="4" s="1"/>
  <c r="D260" i="4"/>
  <c r="C260" i="4"/>
  <c r="I260" i="4" s="1"/>
  <c r="B260" i="4"/>
  <c r="G259" i="4" a="1"/>
  <c r="G259" i="4" s="1"/>
  <c r="D259" i="4"/>
  <c r="C259" i="4"/>
  <c r="I259" i="4" s="1"/>
  <c r="B259" i="4"/>
  <c r="G258" i="4" a="1"/>
  <c r="G258" i="4" s="1"/>
  <c r="F258" i="4"/>
  <c r="D258" i="4"/>
  <c r="C258" i="4"/>
  <c r="I258" i="4" s="1"/>
  <c r="B258" i="4"/>
  <c r="G257" i="4" a="1"/>
  <c r="G257" i="4" s="1"/>
  <c r="D257" i="4"/>
  <c r="C257" i="4"/>
  <c r="H257" i="4" s="1"/>
  <c r="B257" i="4"/>
  <c r="G256" i="4" a="1"/>
  <c r="G256" i="4" s="1"/>
  <c r="D256" i="4"/>
  <c r="C256" i="4"/>
  <c r="H256" i="4" s="1"/>
  <c r="B256" i="4"/>
  <c r="G255" i="4" a="1"/>
  <c r="G255" i="4" s="1"/>
  <c r="F255" i="4"/>
  <c r="D255" i="4"/>
  <c r="C255" i="4"/>
  <c r="I255" i="4" s="1"/>
  <c r="B255" i="4"/>
  <c r="G254" i="4" a="1"/>
  <c r="G254" i="4" s="1"/>
  <c r="F254" i="4"/>
  <c r="D254" i="4"/>
  <c r="C254" i="4"/>
  <c r="I254" i="4" s="1"/>
  <c r="J254" i="4" s="1" a="1"/>
  <c r="J254" i="4" s="1"/>
  <c r="K254" i="4" s="1" a="1"/>
  <c r="K254" i="4" s="1"/>
  <c r="B254" i="4"/>
  <c r="G253" i="4" a="1"/>
  <c r="G253" i="4" s="1"/>
  <c r="D253" i="4"/>
  <c r="F253" i="4" s="1"/>
  <c r="C253" i="4"/>
  <c r="I253" i="4" s="1"/>
  <c r="B253" i="4"/>
  <c r="G252" i="4" a="1"/>
  <c r="G252" i="4" s="1"/>
  <c r="F252" i="4"/>
  <c r="D252" i="4"/>
  <c r="C252" i="4"/>
  <c r="I252" i="4" s="1"/>
  <c r="B252" i="4"/>
  <c r="G251" i="4" a="1"/>
  <c r="G251" i="4" s="1"/>
  <c r="D251" i="4"/>
  <c r="C251" i="4"/>
  <c r="I251" i="4" s="1"/>
  <c r="B251" i="4"/>
  <c r="H251" i="4" s="1"/>
  <c r="G250" i="4" a="1"/>
  <c r="G250" i="4" s="1"/>
  <c r="D250" i="4"/>
  <c r="C250" i="4"/>
  <c r="I250" i="4" s="1"/>
  <c r="B250" i="4"/>
  <c r="G249" i="4" a="1"/>
  <c r="G249" i="4" s="1"/>
  <c r="F249" i="4"/>
  <c r="D249" i="4"/>
  <c r="C249" i="4"/>
  <c r="B249" i="4"/>
  <c r="G248" i="4" a="1"/>
  <c r="G248" i="4" s="1"/>
  <c r="D248" i="4"/>
  <c r="C248" i="4"/>
  <c r="H248" i="4" s="1"/>
  <c r="B248" i="4"/>
  <c r="G247" i="4" a="1"/>
  <c r="G247" i="4" s="1"/>
  <c r="D247" i="4"/>
  <c r="C247" i="4"/>
  <c r="I247" i="4" s="1"/>
  <c r="B247" i="4"/>
  <c r="H247" i="4" s="1"/>
  <c r="G246" i="4" a="1"/>
  <c r="G246" i="4" s="1"/>
  <c r="D246" i="4"/>
  <c r="C246" i="4"/>
  <c r="B246" i="4"/>
  <c r="G245" i="4" a="1"/>
  <c r="G245" i="4" s="1"/>
  <c r="D245" i="4"/>
  <c r="C245" i="4"/>
  <c r="I245" i="4" s="1"/>
  <c r="J245" i="4" s="1" a="1"/>
  <c r="J245" i="4" s="1"/>
  <c r="K245" i="4" s="1" a="1"/>
  <c r="K245" i="4" s="1"/>
  <c r="B245" i="4"/>
  <c r="G244" i="4" a="1"/>
  <c r="G244" i="4" s="1"/>
  <c r="F244" i="4"/>
  <c r="D244" i="4"/>
  <c r="C244" i="4"/>
  <c r="I244" i="4" s="1"/>
  <c r="B244" i="4"/>
  <c r="G243" i="4" a="1"/>
  <c r="G243" i="4" s="1"/>
  <c r="D243" i="4"/>
  <c r="F243" i="4" s="1"/>
  <c r="C243" i="4"/>
  <c r="I243" i="4" s="1"/>
  <c r="B243" i="4"/>
  <c r="G242" i="4" a="1"/>
  <c r="G242" i="4" s="1"/>
  <c r="F242" i="4"/>
  <c r="D242" i="4"/>
  <c r="C242" i="4"/>
  <c r="I242" i="4" s="1"/>
  <c r="J242" i="4" s="1" a="1"/>
  <c r="J242" i="4" s="1"/>
  <c r="K242" i="4" s="1" a="1"/>
  <c r="K242" i="4" s="1"/>
  <c r="B242" i="4"/>
  <c r="I241" i="4"/>
  <c r="G241" i="4" a="1"/>
  <c r="G241" i="4" s="1"/>
  <c r="F241" i="4"/>
  <c r="D241" i="4"/>
  <c r="C241" i="4"/>
  <c r="B241" i="4"/>
  <c r="G240" i="4" a="1"/>
  <c r="G240" i="4" s="1"/>
  <c r="F240" i="4"/>
  <c r="D240" i="4"/>
  <c r="C240" i="4"/>
  <c r="H240" i="4" s="1"/>
  <c r="B240" i="4"/>
  <c r="G239" i="4" a="1"/>
  <c r="G239" i="4" s="1"/>
  <c r="D239" i="4"/>
  <c r="C239" i="4"/>
  <c r="I239" i="4" s="1"/>
  <c r="B239" i="4"/>
  <c r="H239" i="4" s="1"/>
  <c r="G238" i="4" a="1"/>
  <c r="G238" i="4" s="1"/>
  <c r="D238" i="4"/>
  <c r="C238" i="4"/>
  <c r="B238" i="4"/>
  <c r="G237" i="4" a="1"/>
  <c r="G237" i="4" s="1"/>
  <c r="D237" i="4"/>
  <c r="C237" i="4"/>
  <c r="B237" i="4"/>
  <c r="G236" i="4" a="1"/>
  <c r="G236" i="4" s="1"/>
  <c r="F236" i="4"/>
  <c r="D236" i="4"/>
  <c r="C236" i="4"/>
  <c r="I236" i="4" s="1"/>
  <c r="B236" i="4"/>
  <c r="G235" i="4" a="1"/>
  <c r="G235" i="4" s="1"/>
  <c r="D235" i="4"/>
  <c r="C235" i="4"/>
  <c r="I235" i="4" s="1"/>
  <c r="B235" i="4"/>
  <c r="G234" i="4" a="1"/>
  <c r="G234" i="4" s="1"/>
  <c r="D234" i="4"/>
  <c r="C234" i="4"/>
  <c r="I234" i="4" s="1"/>
  <c r="B234" i="4"/>
  <c r="G233" i="4" a="1"/>
  <c r="G233" i="4" s="1"/>
  <c r="F233" i="4"/>
  <c r="D233" i="4"/>
  <c r="C233" i="4"/>
  <c r="B233" i="4"/>
  <c r="G232" i="4" a="1"/>
  <c r="G232" i="4" s="1"/>
  <c r="F232" i="4"/>
  <c r="D232" i="4"/>
  <c r="C232" i="4"/>
  <c r="B232" i="4"/>
  <c r="G231" i="4" a="1"/>
  <c r="G231" i="4" s="1"/>
  <c r="D231" i="4"/>
  <c r="C231" i="4"/>
  <c r="I231" i="4" s="1"/>
  <c r="B231" i="4"/>
  <c r="G230" i="4" a="1"/>
  <c r="G230" i="4" s="1"/>
  <c r="F230" i="4"/>
  <c r="D230" i="4"/>
  <c r="C230" i="4"/>
  <c r="H230" i="4" s="1"/>
  <c r="B230" i="4"/>
  <c r="G229" i="4" a="1"/>
  <c r="G229" i="4" s="1"/>
  <c r="D229" i="4"/>
  <c r="C229" i="4"/>
  <c r="B229" i="4"/>
  <c r="G228" i="4" a="1"/>
  <c r="G228" i="4" s="1"/>
  <c r="D228" i="4"/>
  <c r="C228" i="4"/>
  <c r="I228" i="4" s="1"/>
  <c r="B228" i="4"/>
  <c r="G227" i="4" a="1"/>
  <c r="G227" i="4" s="1"/>
  <c r="D227" i="4"/>
  <c r="C227" i="4"/>
  <c r="I227" i="4" s="1"/>
  <c r="B227" i="4"/>
  <c r="G226" i="4" a="1"/>
  <c r="G226" i="4" s="1"/>
  <c r="F226" i="4"/>
  <c r="D226" i="4"/>
  <c r="C226" i="4"/>
  <c r="I226" i="4" s="1"/>
  <c r="B226" i="4"/>
  <c r="G225" i="4" a="1"/>
  <c r="G225" i="4" s="1"/>
  <c r="D225" i="4"/>
  <c r="F225" i="4" s="1"/>
  <c r="C225" i="4"/>
  <c r="I225" i="4" s="1"/>
  <c r="B225" i="4"/>
  <c r="G224" i="4" a="1"/>
  <c r="G224" i="4" s="1"/>
  <c r="F224" i="4"/>
  <c r="D224" i="4"/>
  <c r="C224" i="4"/>
  <c r="H224" i="4" s="1"/>
  <c r="B224" i="4"/>
  <c r="G223" i="4" a="1"/>
  <c r="G223" i="4" s="1"/>
  <c r="D223" i="4"/>
  <c r="C223" i="4"/>
  <c r="I223" i="4" s="1"/>
  <c r="B223" i="4"/>
  <c r="G222" i="4" a="1"/>
  <c r="G222" i="4" s="1"/>
  <c r="D222" i="4"/>
  <c r="C222" i="4"/>
  <c r="B222" i="4"/>
  <c r="G221" i="4" a="1"/>
  <c r="G221" i="4" s="1"/>
  <c r="D221" i="4"/>
  <c r="C221" i="4"/>
  <c r="H221" i="4" s="1"/>
  <c r="B221" i="4"/>
  <c r="G220" i="4" a="1"/>
  <c r="G220" i="4" s="1"/>
  <c r="F220" i="4"/>
  <c r="D220" i="4"/>
  <c r="C220" i="4"/>
  <c r="I220" i="4" s="1"/>
  <c r="B220" i="4"/>
  <c r="G219" i="4" a="1"/>
  <c r="G219" i="4" s="1"/>
  <c r="D219" i="4"/>
  <c r="C219" i="4"/>
  <c r="I219" i="4" s="1"/>
  <c r="B219" i="4"/>
  <c r="G218" i="4" a="1"/>
  <c r="G218" i="4" s="1"/>
  <c r="F218" i="4"/>
  <c r="D218" i="4"/>
  <c r="C218" i="4"/>
  <c r="I218" i="4" s="1"/>
  <c r="B218" i="4"/>
  <c r="G217" i="4" a="1"/>
  <c r="G217" i="4" s="1"/>
  <c r="F217" i="4"/>
  <c r="D217" i="4"/>
  <c r="C217" i="4"/>
  <c r="I217" i="4" s="1"/>
  <c r="J217" i="4" s="1" a="1"/>
  <c r="J217" i="4" s="1"/>
  <c r="K217" i="4" s="1" a="1"/>
  <c r="K217" i="4" s="1"/>
  <c r="B217" i="4"/>
  <c r="G216" i="4" a="1"/>
  <c r="G216" i="4" s="1"/>
  <c r="D216" i="4"/>
  <c r="C216" i="4"/>
  <c r="H216" i="4" s="1"/>
  <c r="B216" i="4"/>
  <c r="G215" i="4" a="1"/>
  <c r="G215" i="4" s="1"/>
  <c r="F215" i="4"/>
  <c r="D215" i="4"/>
  <c r="C215" i="4"/>
  <c r="I215" i="4" s="1"/>
  <c r="B215" i="4"/>
  <c r="G214" i="4" a="1"/>
  <c r="G214" i="4" s="1"/>
  <c r="F214" i="4"/>
  <c r="D214" i="4"/>
  <c r="C214" i="4"/>
  <c r="H214" i="4" s="1"/>
  <c r="B214" i="4"/>
  <c r="G213" i="4" a="1"/>
  <c r="G213" i="4" s="1"/>
  <c r="D213" i="4"/>
  <c r="C213" i="4"/>
  <c r="H213" i="4" s="1"/>
  <c r="B213" i="4"/>
  <c r="G212" i="4" a="1"/>
  <c r="G212" i="4"/>
  <c r="F212" i="4"/>
  <c r="D212" i="4"/>
  <c r="C212" i="4"/>
  <c r="I212" i="4" s="1"/>
  <c r="B212" i="4"/>
  <c r="H212" i="4" s="1"/>
  <c r="G211" i="4" a="1"/>
  <c r="G211" i="4" s="1"/>
  <c r="D211" i="4"/>
  <c r="C211" i="4"/>
  <c r="I211" i="4" s="1"/>
  <c r="B211" i="4"/>
  <c r="G210" i="4" a="1"/>
  <c r="G210" i="4" s="1"/>
  <c r="D210" i="4"/>
  <c r="F210" i="4" s="1"/>
  <c r="C210" i="4"/>
  <c r="I210" i="4" s="1"/>
  <c r="B210" i="4"/>
  <c r="G209" i="4" a="1"/>
  <c r="G209" i="4" s="1"/>
  <c r="F209" i="4"/>
  <c r="D209" i="4"/>
  <c r="C209" i="4"/>
  <c r="I209" i="4" s="1"/>
  <c r="B209" i="4"/>
  <c r="G208" i="4" a="1"/>
  <c r="G208" i="4" s="1"/>
  <c r="F208" i="4"/>
  <c r="D208" i="4"/>
  <c r="C208" i="4"/>
  <c r="H208" i="4" s="1"/>
  <c r="B208" i="4"/>
  <c r="G207" i="4" a="1"/>
  <c r="G207" i="4" s="1"/>
  <c r="D207" i="4"/>
  <c r="C207" i="4"/>
  <c r="I207" i="4" s="1"/>
  <c r="B207" i="4"/>
  <c r="G206" i="4" a="1"/>
  <c r="G206" i="4" s="1"/>
  <c r="D206" i="4"/>
  <c r="C206" i="4"/>
  <c r="B206" i="4"/>
  <c r="G205" i="4" a="1"/>
  <c r="G205" i="4" s="1"/>
  <c r="D205" i="4"/>
  <c r="C205" i="4"/>
  <c r="B205" i="4"/>
  <c r="G204" i="4" a="1"/>
  <c r="G204" i="4" s="1"/>
  <c r="F204" i="4"/>
  <c r="D204" i="4"/>
  <c r="C204" i="4"/>
  <c r="I204" i="4" s="1"/>
  <c r="B204" i="4"/>
  <c r="G203" i="4" a="1"/>
  <c r="G203" i="4" s="1"/>
  <c r="D203" i="4"/>
  <c r="C203" i="4"/>
  <c r="I203" i="4" s="1"/>
  <c r="B203" i="4"/>
  <c r="G202" i="4" a="1"/>
  <c r="G202" i="4" s="1"/>
  <c r="F202" i="4"/>
  <c r="D202" i="4"/>
  <c r="C202" i="4"/>
  <c r="I202" i="4" s="1"/>
  <c r="B202" i="4"/>
  <c r="G201" i="4" a="1"/>
  <c r="G201" i="4" s="1"/>
  <c r="F201" i="4"/>
  <c r="D201" i="4"/>
  <c r="C201" i="4"/>
  <c r="I201" i="4" s="1"/>
  <c r="B201" i="4"/>
  <c r="G200" i="4" a="1"/>
  <c r="G200" i="4" s="1"/>
  <c r="F200" i="4"/>
  <c r="D200" i="4"/>
  <c r="C200" i="4"/>
  <c r="B200" i="4"/>
  <c r="G199" i="4" a="1"/>
  <c r="G199" i="4" s="1"/>
  <c r="D199" i="4"/>
  <c r="C199" i="4"/>
  <c r="I199" i="4" s="1"/>
  <c r="B199" i="4"/>
  <c r="G198" i="4" a="1"/>
  <c r="G198" i="4" s="1"/>
  <c r="F198" i="4"/>
  <c r="D198" i="4"/>
  <c r="C198" i="4"/>
  <c r="H198" i="4" s="1"/>
  <c r="B198" i="4"/>
  <c r="G197" i="4" a="1"/>
  <c r="G197" i="4" s="1"/>
  <c r="D197" i="4"/>
  <c r="C197" i="4"/>
  <c r="I197" i="4" s="1"/>
  <c r="B197" i="4"/>
  <c r="G196" i="4" a="1"/>
  <c r="G196" i="4" s="1"/>
  <c r="D196" i="4"/>
  <c r="C196" i="4"/>
  <c r="I196" i="4" s="1"/>
  <c r="B196" i="4"/>
  <c r="G195" i="4" a="1"/>
  <c r="G195" i="4" s="1"/>
  <c r="D195" i="4"/>
  <c r="C195" i="4"/>
  <c r="I195" i="4" s="1"/>
  <c r="B195" i="4"/>
  <c r="G194" i="4" a="1"/>
  <c r="G194" i="4" s="1"/>
  <c r="D194" i="4"/>
  <c r="F194" i="4" s="1"/>
  <c r="C194" i="4"/>
  <c r="I194" i="4" s="1"/>
  <c r="B194" i="4"/>
  <c r="G193" i="4" a="1"/>
  <c r="G193" i="4" s="1"/>
  <c r="F193" i="4"/>
  <c r="D193" i="4"/>
  <c r="C193" i="4"/>
  <c r="I193" i="4" s="1"/>
  <c r="B193" i="4"/>
  <c r="G192" i="4" a="1"/>
  <c r="G192" i="4" s="1"/>
  <c r="D192" i="4"/>
  <c r="C192" i="4"/>
  <c r="B192" i="4"/>
  <c r="G191" i="4" a="1"/>
  <c r="G191" i="4" s="1"/>
  <c r="D191" i="4"/>
  <c r="C191" i="4"/>
  <c r="I191" i="4" s="1"/>
  <c r="B191" i="4"/>
  <c r="G190" i="4" a="1"/>
  <c r="G190" i="4" s="1"/>
  <c r="D190" i="4"/>
  <c r="C190" i="4"/>
  <c r="H190" i="4" s="1"/>
  <c r="B190" i="4"/>
  <c r="G189" i="4" a="1"/>
  <c r="G189" i="4" s="1"/>
  <c r="D189" i="4"/>
  <c r="C189" i="4"/>
  <c r="B189" i="4"/>
  <c r="H188" i="4"/>
  <c r="G188" i="4" a="1"/>
  <c r="G188" i="4" s="1"/>
  <c r="F188" i="4"/>
  <c r="D188" i="4"/>
  <c r="C188" i="4"/>
  <c r="I188" i="4" s="1"/>
  <c r="B188" i="4"/>
  <c r="G187" i="4" a="1"/>
  <c r="G187" i="4" s="1"/>
  <c r="D187" i="4"/>
  <c r="C187" i="4"/>
  <c r="I187" i="4" s="1"/>
  <c r="B187" i="4"/>
  <c r="G186" i="4" a="1"/>
  <c r="G186" i="4" s="1"/>
  <c r="F186" i="4"/>
  <c r="D186" i="4"/>
  <c r="C186" i="4"/>
  <c r="B186" i="4"/>
  <c r="G185" i="4" a="1"/>
  <c r="G185" i="4" s="1"/>
  <c r="D185" i="4"/>
  <c r="C185" i="4"/>
  <c r="I185" i="4" s="1"/>
  <c r="B185" i="4"/>
  <c r="G184" i="4" a="1"/>
  <c r="G184" i="4" s="1"/>
  <c r="F184" i="4"/>
  <c r="D184" i="4"/>
  <c r="C184" i="4"/>
  <c r="B184" i="4"/>
  <c r="G183" i="4" a="1"/>
  <c r="G183" i="4" s="1"/>
  <c r="D183" i="4"/>
  <c r="C183" i="4"/>
  <c r="I183" i="4" s="1"/>
  <c r="B183" i="4"/>
  <c r="G182" i="4" a="1"/>
  <c r="G182" i="4" s="1"/>
  <c r="D182" i="4"/>
  <c r="C182" i="4"/>
  <c r="B182" i="4"/>
  <c r="G181" i="4" a="1"/>
  <c r="G181" i="4" s="1"/>
  <c r="D181" i="4"/>
  <c r="C181" i="4"/>
  <c r="I181" i="4" s="1"/>
  <c r="B181" i="4"/>
  <c r="G180" i="4" a="1"/>
  <c r="G180" i="4" s="1"/>
  <c r="D180" i="4"/>
  <c r="C180" i="4"/>
  <c r="I180" i="4" s="1"/>
  <c r="J180" i="4" s="1" a="1"/>
  <c r="J180" i="4" s="1"/>
  <c r="K180" i="4" s="1" a="1"/>
  <c r="K180" i="4" s="1"/>
  <c r="B180" i="4"/>
  <c r="G179" i="4" a="1"/>
  <c r="G179" i="4" s="1"/>
  <c r="D179" i="4"/>
  <c r="C179" i="4"/>
  <c r="I179" i="4" s="1"/>
  <c r="B179" i="4"/>
  <c r="G178" i="4" a="1"/>
  <c r="G178" i="4" s="1"/>
  <c r="D178" i="4"/>
  <c r="C178" i="4"/>
  <c r="I178" i="4" s="1"/>
  <c r="B178" i="4"/>
  <c r="G177" i="4" a="1"/>
  <c r="G177" i="4" s="1"/>
  <c r="F177" i="4"/>
  <c r="D177" i="4"/>
  <c r="C177" i="4"/>
  <c r="I177" i="4" s="1"/>
  <c r="J177" i="4" s="1" a="1"/>
  <c r="J177" i="4" s="1"/>
  <c r="K177" i="4" s="1" a="1"/>
  <c r="K177" i="4" s="1"/>
  <c r="B177" i="4"/>
  <c r="G176" i="4" a="1"/>
  <c r="G176" i="4" s="1"/>
  <c r="D176" i="4"/>
  <c r="C176" i="4"/>
  <c r="B176" i="4"/>
  <c r="G175" i="4" a="1"/>
  <c r="G175" i="4" s="1"/>
  <c r="F175" i="4"/>
  <c r="D175" i="4"/>
  <c r="C175" i="4"/>
  <c r="I175" i="4" s="1"/>
  <c r="B175" i="4"/>
  <c r="G174" i="4" a="1"/>
  <c r="G174" i="4" s="1"/>
  <c r="F174" i="4"/>
  <c r="D174" i="4"/>
  <c r="C174" i="4"/>
  <c r="B174" i="4"/>
  <c r="G173" i="4" a="1"/>
  <c r="G173" i="4" s="1"/>
  <c r="D173" i="4"/>
  <c r="C173" i="4"/>
  <c r="B173" i="4"/>
  <c r="G172" i="4" a="1"/>
  <c r="G172" i="4" s="1"/>
  <c r="D172" i="4"/>
  <c r="C172" i="4"/>
  <c r="I172" i="4" s="1"/>
  <c r="B172" i="4"/>
  <c r="G171" i="4" a="1"/>
  <c r="G171" i="4" s="1"/>
  <c r="D171" i="4"/>
  <c r="C171" i="4"/>
  <c r="I171" i="4" s="1"/>
  <c r="B171" i="4"/>
  <c r="G170" i="4" a="1"/>
  <c r="G170" i="4" s="1"/>
  <c r="F170" i="4"/>
  <c r="D170" i="4"/>
  <c r="C170" i="4"/>
  <c r="I170" i="4" s="1"/>
  <c r="B170" i="4"/>
  <c r="G169" i="4" a="1"/>
  <c r="G169" i="4" s="1"/>
  <c r="D169" i="4"/>
  <c r="C169" i="4"/>
  <c r="I169" i="4" s="1"/>
  <c r="B169" i="4"/>
  <c r="G168" i="4" a="1"/>
  <c r="G168" i="4" s="1"/>
  <c r="D168" i="4"/>
  <c r="C168" i="4"/>
  <c r="I168" i="4" s="1"/>
  <c r="B168" i="4"/>
  <c r="G167" i="4" a="1"/>
  <c r="G167" i="4" s="1"/>
  <c r="F167" i="4"/>
  <c r="D167" i="4"/>
  <c r="C167" i="4"/>
  <c r="I167" i="4" s="1"/>
  <c r="B167" i="4"/>
  <c r="G166" i="4" a="1"/>
  <c r="G166" i="4" s="1"/>
  <c r="F166" i="4"/>
  <c r="D166" i="4"/>
  <c r="C166" i="4"/>
  <c r="I166" i="4" s="1"/>
  <c r="B166" i="4"/>
  <c r="G165" i="4" a="1"/>
  <c r="G165" i="4" s="1"/>
  <c r="D165" i="4"/>
  <c r="C165" i="4"/>
  <c r="I165" i="4" s="1"/>
  <c r="B165" i="4"/>
  <c r="G164" i="4" a="1"/>
  <c r="G164" i="4" s="1"/>
  <c r="F164" i="4"/>
  <c r="D164" i="4"/>
  <c r="C164" i="4"/>
  <c r="I164" i="4" s="1"/>
  <c r="J164" i="4" s="1" a="1"/>
  <c r="J164" i="4" s="1"/>
  <c r="K164" i="4" s="1" a="1"/>
  <c r="K164" i="4" s="1"/>
  <c r="B164" i="4"/>
  <c r="G163" i="4" a="1"/>
  <c r="G163" i="4" s="1"/>
  <c r="D163" i="4"/>
  <c r="C163" i="4"/>
  <c r="I163" i="4" s="1"/>
  <c r="B163" i="4"/>
  <c r="H163" i="4" s="1"/>
  <c r="G162" i="4" a="1"/>
  <c r="G162" i="4"/>
  <c r="F162" i="4"/>
  <c r="D162" i="4"/>
  <c r="C162" i="4"/>
  <c r="I162" i="4" s="1"/>
  <c r="J162" i="4" s="1" a="1"/>
  <c r="J162" i="4" s="1"/>
  <c r="K162" i="4" s="1" a="1"/>
  <c r="K162" i="4" s="1"/>
  <c r="B162" i="4"/>
  <c r="G161" i="4" a="1"/>
  <c r="G161" i="4" s="1"/>
  <c r="D161" i="4"/>
  <c r="C161" i="4"/>
  <c r="B161" i="4"/>
  <c r="G160" i="4" a="1"/>
  <c r="G160" i="4" s="1"/>
  <c r="F160" i="4"/>
  <c r="D160" i="4"/>
  <c r="C160" i="4"/>
  <c r="I160" i="4" s="1"/>
  <c r="B160" i="4"/>
  <c r="G159" i="4" a="1"/>
  <c r="G159" i="4" s="1"/>
  <c r="F159" i="4"/>
  <c r="D159" i="4"/>
  <c r="C159" i="4"/>
  <c r="I159" i="4" s="1"/>
  <c r="J159" i="4" s="1" a="1"/>
  <c r="J159" i="4" s="1"/>
  <c r="K159" i="4" s="1" a="1"/>
  <c r="K159" i="4" s="1"/>
  <c r="B159" i="4"/>
  <c r="G158" i="4" a="1"/>
  <c r="G158" i="4" s="1"/>
  <c r="F158" i="4"/>
  <c r="D158" i="4"/>
  <c r="C158" i="4"/>
  <c r="I158" i="4" s="1"/>
  <c r="B158" i="4"/>
  <c r="G157" i="4" a="1"/>
  <c r="G157" i="4" s="1"/>
  <c r="D157" i="4"/>
  <c r="C157" i="4"/>
  <c r="I157" i="4" s="1"/>
  <c r="B157" i="4"/>
  <c r="G156" i="4" a="1"/>
  <c r="G156" i="4" s="1"/>
  <c r="F156" i="4"/>
  <c r="D156" i="4"/>
  <c r="C156" i="4"/>
  <c r="I156" i="4" s="1"/>
  <c r="J156" i="4" s="1" a="1"/>
  <c r="J156" i="4" s="1"/>
  <c r="K156" i="4" s="1" a="1"/>
  <c r="K156" i="4" s="1"/>
  <c r="B156" i="4"/>
  <c r="G155" i="4" a="1"/>
  <c r="G155" i="4" s="1"/>
  <c r="D155" i="4"/>
  <c r="C155" i="4"/>
  <c r="I155" i="4" s="1"/>
  <c r="B155" i="4"/>
  <c r="H155" i="4" s="1"/>
  <c r="G154" i="4" a="1"/>
  <c r="G154" i="4" s="1"/>
  <c r="F154" i="4"/>
  <c r="D154" i="4"/>
  <c r="C154" i="4"/>
  <c r="I154" i="4" s="1"/>
  <c r="B154" i="4"/>
  <c r="G153" i="4" a="1"/>
  <c r="G153" i="4" s="1"/>
  <c r="D153" i="4"/>
  <c r="C153" i="4"/>
  <c r="B153" i="4"/>
  <c r="G152" i="4" a="1"/>
  <c r="G152" i="4" s="1"/>
  <c r="F152" i="4"/>
  <c r="D152" i="4"/>
  <c r="C152" i="4"/>
  <c r="I152" i="4" s="1"/>
  <c r="B152" i="4"/>
  <c r="G151" i="4" a="1"/>
  <c r="G151" i="4" s="1"/>
  <c r="D151" i="4"/>
  <c r="C151" i="4"/>
  <c r="I151" i="4" s="1"/>
  <c r="B151" i="4"/>
  <c r="G150" i="4" a="1"/>
  <c r="G150" i="4"/>
  <c r="D150" i="4"/>
  <c r="C150" i="4"/>
  <c r="B150" i="4"/>
  <c r="G149" i="4" a="1"/>
  <c r="G149" i="4" s="1"/>
  <c r="D149" i="4"/>
  <c r="C149" i="4"/>
  <c r="B149" i="4"/>
  <c r="G148" i="4" a="1"/>
  <c r="G148" i="4" s="1"/>
  <c r="D148" i="4"/>
  <c r="C148" i="4"/>
  <c r="I148" i="4" s="1"/>
  <c r="B148" i="4"/>
  <c r="G147" i="4" a="1"/>
  <c r="G147" i="4" s="1"/>
  <c r="F147" i="4"/>
  <c r="D147" i="4"/>
  <c r="C147" i="4"/>
  <c r="I147" i="4" s="1"/>
  <c r="B147" i="4"/>
  <c r="G146" i="4" a="1"/>
  <c r="G146" i="4" s="1"/>
  <c r="D146" i="4"/>
  <c r="C146" i="4"/>
  <c r="I146" i="4" s="1"/>
  <c r="B146" i="4"/>
  <c r="G145" i="4" a="1"/>
  <c r="G145" i="4" s="1"/>
  <c r="D145" i="4"/>
  <c r="C145" i="4"/>
  <c r="I145" i="4" s="1"/>
  <c r="B145" i="4"/>
  <c r="G144" i="4" a="1"/>
  <c r="G144" i="4" s="1"/>
  <c r="D144" i="4"/>
  <c r="C144" i="4"/>
  <c r="I144" i="4" s="1"/>
  <c r="B144" i="4"/>
  <c r="I143" i="4"/>
  <c r="G143" i="4" a="1"/>
  <c r="G143" i="4" s="1"/>
  <c r="D143" i="4"/>
  <c r="F143" i="4" s="1"/>
  <c r="C143" i="4"/>
  <c r="B143" i="4"/>
  <c r="H143" i="4" s="1"/>
  <c r="G142" i="4" a="1"/>
  <c r="G142" i="4" s="1"/>
  <c r="F142" i="4"/>
  <c r="D142" i="4"/>
  <c r="C142" i="4"/>
  <c r="I142" i="4" s="1"/>
  <c r="B142" i="4"/>
  <c r="G141" i="4" a="1"/>
  <c r="G141" i="4" s="1"/>
  <c r="D141" i="4"/>
  <c r="F141" i="4" s="1"/>
  <c r="C141" i="4"/>
  <c r="B141" i="4"/>
  <c r="G140" i="4" a="1"/>
  <c r="G140" i="4" s="1"/>
  <c r="F140" i="4"/>
  <c r="D140" i="4"/>
  <c r="C140" i="4"/>
  <c r="I140" i="4" s="1"/>
  <c r="B140" i="4"/>
  <c r="G139" i="4" a="1"/>
  <c r="G139" i="4" s="1"/>
  <c r="D139" i="4"/>
  <c r="C139" i="4"/>
  <c r="I139" i="4" s="1"/>
  <c r="B139" i="4"/>
  <c r="G138" i="4" a="1"/>
  <c r="G138" i="4" s="1"/>
  <c r="D138" i="4"/>
  <c r="C138" i="4"/>
  <c r="I138" i="4" s="1"/>
  <c r="B138" i="4"/>
  <c r="G137" i="4" a="1"/>
  <c r="G137" i="4" s="1"/>
  <c r="D137" i="4"/>
  <c r="F137" i="4" s="1"/>
  <c r="C137" i="4"/>
  <c r="I137" i="4" s="1"/>
  <c r="B137" i="4"/>
  <c r="G136" i="4" a="1"/>
  <c r="G136" i="4" s="1"/>
  <c r="D136" i="4"/>
  <c r="C136" i="4"/>
  <c r="I136" i="4" s="1"/>
  <c r="B136" i="4"/>
  <c r="I135" i="4"/>
  <c r="G135" i="4" a="1"/>
  <c r="G135" i="4" s="1"/>
  <c r="D135" i="4"/>
  <c r="C135" i="4"/>
  <c r="H135" i="4" s="1"/>
  <c r="B135" i="4"/>
  <c r="G134" i="4" a="1"/>
  <c r="G134" i="4" s="1"/>
  <c r="D134" i="4"/>
  <c r="C134" i="4"/>
  <c r="I134" i="4" s="1"/>
  <c r="B134" i="4"/>
  <c r="G133" i="4" a="1"/>
  <c r="G133" i="4" s="1"/>
  <c r="F133" i="4"/>
  <c r="D133" i="4"/>
  <c r="C133" i="4"/>
  <c r="B133" i="4"/>
  <c r="G132" i="4" a="1"/>
  <c r="G132" i="4" s="1"/>
  <c r="F132" i="4"/>
  <c r="D132" i="4"/>
  <c r="C132" i="4"/>
  <c r="I132" i="4" s="1"/>
  <c r="B132" i="4"/>
  <c r="G131" i="4" a="1"/>
  <c r="G131" i="4" s="1"/>
  <c r="D131" i="4"/>
  <c r="F131" i="4" s="1"/>
  <c r="C131" i="4"/>
  <c r="I131" i="4" s="1"/>
  <c r="B131" i="4"/>
  <c r="G130" i="4" a="1"/>
  <c r="G130" i="4"/>
  <c r="D130" i="4"/>
  <c r="F130" i="4" s="1"/>
  <c r="C130" i="4"/>
  <c r="I130" i="4" s="1"/>
  <c r="B130" i="4"/>
  <c r="G129" i="4" a="1"/>
  <c r="G129" i="4" s="1"/>
  <c r="D129" i="4"/>
  <c r="C129" i="4"/>
  <c r="B129" i="4"/>
  <c r="G128" i="4" a="1"/>
  <c r="G128" i="4" s="1"/>
  <c r="F128" i="4"/>
  <c r="D128" i="4"/>
  <c r="C128" i="4"/>
  <c r="I128" i="4" s="1"/>
  <c r="B128" i="4"/>
  <c r="G127" i="4" a="1"/>
  <c r="G127" i="4" s="1"/>
  <c r="F127" i="4"/>
  <c r="D127" i="4"/>
  <c r="C127" i="4"/>
  <c r="I127" i="4" s="1"/>
  <c r="J127" i="4" s="1" a="1"/>
  <c r="J127" i="4" s="1"/>
  <c r="K127" i="4" s="1" a="1"/>
  <c r="K127" i="4" s="1"/>
  <c r="B127" i="4"/>
  <c r="G126" i="4" a="1"/>
  <c r="G126" i="4" s="1"/>
  <c r="D126" i="4"/>
  <c r="C126" i="4"/>
  <c r="I126" i="4" s="1"/>
  <c r="B126" i="4"/>
  <c r="G125" i="4" a="1"/>
  <c r="G125" i="4" s="1"/>
  <c r="F125" i="4"/>
  <c r="D125" i="4"/>
  <c r="C125" i="4"/>
  <c r="I125" i="4" s="1"/>
  <c r="B125" i="4"/>
  <c r="G124" i="4" a="1"/>
  <c r="G124" i="4" s="1"/>
  <c r="F124" i="4"/>
  <c r="D124" i="4"/>
  <c r="C124" i="4"/>
  <c r="H124" i="4" s="1"/>
  <c r="B124" i="4"/>
  <c r="G123" i="4" a="1"/>
  <c r="G123" i="4" s="1"/>
  <c r="D123" i="4"/>
  <c r="C123" i="4"/>
  <c r="I123" i="4" s="1"/>
  <c r="B123" i="4"/>
  <c r="G122" i="4" a="1"/>
  <c r="G122" i="4" s="1"/>
  <c r="F122" i="4"/>
  <c r="D122" i="4"/>
  <c r="C122" i="4"/>
  <c r="B122" i="4"/>
  <c r="I121" i="4"/>
  <c r="G121" i="4" a="1"/>
  <c r="G121" i="4"/>
  <c r="D121" i="4"/>
  <c r="C121" i="4"/>
  <c r="B121" i="4"/>
  <c r="H121" i="4" s="1"/>
  <c r="G120" i="4" a="1"/>
  <c r="G120" i="4" s="1"/>
  <c r="D120" i="4"/>
  <c r="C120" i="4"/>
  <c r="H120" i="4" s="1"/>
  <c r="B120" i="4"/>
  <c r="G119" i="4" a="1"/>
  <c r="G119" i="4" s="1"/>
  <c r="D119" i="4"/>
  <c r="C119" i="4"/>
  <c r="I119" i="4" s="1"/>
  <c r="B119" i="4"/>
  <c r="G118" i="4" a="1"/>
  <c r="G118" i="4"/>
  <c r="F118" i="4"/>
  <c r="D118" i="4"/>
  <c r="C118" i="4"/>
  <c r="B118" i="4"/>
  <c r="G117" i="4" a="1"/>
  <c r="G117" i="4" s="1"/>
  <c r="D117" i="4"/>
  <c r="C117" i="4"/>
  <c r="I117" i="4" s="1"/>
  <c r="B117" i="4"/>
  <c r="G116" i="4" a="1"/>
  <c r="G116" i="4" s="1"/>
  <c r="D116" i="4"/>
  <c r="C116" i="4"/>
  <c r="I116" i="4" s="1"/>
  <c r="J116" i="4" s="1" a="1"/>
  <c r="J116" i="4" s="1"/>
  <c r="K116" i="4" s="1" a="1"/>
  <c r="K116" i="4" s="1"/>
  <c r="B116" i="4"/>
  <c r="G115" i="4" a="1"/>
  <c r="G115" i="4" s="1"/>
  <c r="F115" i="4"/>
  <c r="D115" i="4"/>
  <c r="C115" i="4"/>
  <c r="I115" i="4" s="1"/>
  <c r="B115" i="4"/>
  <c r="G114" i="4" a="1"/>
  <c r="G114" i="4" s="1"/>
  <c r="D114" i="4"/>
  <c r="C114" i="4"/>
  <c r="B114" i="4"/>
  <c r="G113" i="4" a="1"/>
  <c r="G113" i="4" s="1"/>
  <c r="D113" i="4"/>
  <c r="C113" i="4"/>
  <c r="I113" i="4" s="1"/>
  <c r="B113" i="4"/>
  <c r="G112" i="4" a="1"/>
  <c r="G112" i="4" s="1"/>
  <c r="D112" i="4"/>
  <c r="C112" i="4"/>
  <c r="B112" i="4"/>
  <c r="G111" i="4" a="1"/>
  <c r="G111" i="4" s="1"/>
  <c r="D111" i="4"/>
  <c r="C111" i="4"/>
  <c r="B111" i="4"/>
  <c r="G110" i="4" a="1"/>
  <c r="G110" i="4" s="1"/>
  <c r="D110" i="4"/>
  <c r="C110" i="4"/>
  <c r="B110" i="4"/>
  <c r="G109" i="4" a="1"/>
  <c r="G109" i="4" s="1"/>
  <c r="F109" i="4"/>
  <c r="D109" i="4"/>
  <c r="C109" i="4"/>
  <c r="I109" i="4" s="1"/>
  <c r="B109" i="4"/>
  <c r="G108" i="4" a="1"/>
  <c r="G108" i="4" s="1"/>
  <c r="F108" i="4"/>
  <c r="D108" i="4"/>
  <c r="C108" i="4"/>
  <c r="H108" i="4" s="1"/>
  <c r="B108" i="4"/>
  <c r="G107" i="4" a="1"/>
  <c r="G107" i="4" s="1"/>
  <c r="D107" i="4"/>
  <c r="C107" i="4"/>
  <c r="I107" i="4" s="1"/>
  <c r="B107" i="4"/>
  <c r="G106" i="4" a="1"/>
  <c r="G106" i="4" s="1"/>
  <c r="F106" i="4"/>
  <c r="D106" i="4"/>
  <c r="C106" i="4"/>
  <c r="B106" i="4"/>
  <c r="I105" i="4"/>
  <c r="G105" i="4" a="1"/>
  <c r="G105" i="4"/>
  <c r="D105" i="4"/>
  <c r="C105" i="4"/>
  <c r="B105" i="4"/>
  <c r="G104" i="4" a="1"/>
  <c r="G104" i="4" s="1"/>
  <c r="D104" i="4"/>
  <c r="C104" i="4"/>
  <c r="H104" i="4" s="1"/>
  <c r="B104" i="4"/>
  <c r="G103" i="4" a="1"/>
  <c r="G103" i="4" s="1"/>
  <c r="D103" i="4"/>
  <c r="C103" i="4"/>
  <c r="I103" i="4" s="1"/>
  <c r="B103" i="4"/>
  <c r="G102" i="4" a="1"/>
  <c r="G102" i="4" s="1"/>
  <c r="F102" i="4"/>
  <c r="D102" i="4"/>
  <c r="C102" i="4"/>
  <c r="I102" i="4" s="1"/>
  <c r="B102" i="4"/>
  <c r="G101" i="4" a="1"/>
  <c r="G101" i="4" s="1"/>
  <c r="D101" i="4"/>
  <c r="C101" i="4"/>
  <c r="I101" i="4" s="1"/>
  <c r="B101" i="4"/>
  <c r="G100" i="4" a="1"/>
  <c r="G100" i="4" s="1"/>
  <c r="D100" i="4"/>
  <c r="F100" i="4" s="1"/>
  <c r="C100" i="4"/>
  <c r="I100" i="4" s="1"/>
  <c r="B100" i="4"/>
  <c r="G99" i="4" a="1"/>
  <c r="G99" i="4"/>
  <c r="D99" i="4"/>
  <c r="C99" i="4"/>
  <c r="I99" i="4" s="1"/>
  <c r="B99" i="4"/>
  <c r="G98" i="4" a="1"/>
  <c r="G98" i="4" s="1"/>
  <c r="D98" i="4"/>
  <c r="C98" i="4"/>
  <c r="B98" i="4"/>
  <c r="I97" i="4"/>
  <c r="G97" i="4" a="1"/>
  <c r="G97" i="4" s="1"/>
  <c r="F97" i="4"/>
  <c r="D97" i="4"/>
  <c r="C97" i="4"/>
  <c r="H97" i="4" s="1"/>
  <c r="B97" i="4"/>
  <c r="G96" i="4" a="1"/>
  <c r="G96" i="4" s="1"/>
  <c r="F96" i="4"/>
  <c r="D96" i="4"/>
  <c r="C96" i="4"/>
  <c r="I96" i="4" s="1"/>
  <c r="B96" i="4"/>
  <c r="G95" i="4" a="1"/>
  <c r="G95" i="4" s="1"/>
  <c r="F95" i="4"/>
  <c r="D95" i="4"/>
  <c r="C95" i="4"/>
  <c r="H95" i="4" s="1"/>
  <c r="B95" i="4"/>
  <c r="G94" i="4" a="1"/>
  <c r="G94" i="4" s="1"/>
  <c r="F94" i="4"/>
  <c r="D94" i="4"/>
  <c r="C94" i="4"/>
  <c r="I94" i="4" s="1"/>
  <c r="B94" i="4"/>
  <c r="H94" i="4" s="1"/>
  <c r="G93" i="4" a="1"/>
  <c r="G93" i="4" s="1"/>
  <c r="D93" i="4"/>
  <c r="C93" i="4"/>
  <c r="I93" i="4" s="1"/>
  <c r="J93" i="4" s="1" a="1"/>
  <c r="J93" i="4" s="1"/>
  <c r="K93" i="4" s="1" a="1"/>
  <c r="K93" i="4" s="1"/>
  <c r="B93" i="4"/>
  <c r="G92" i="4" a="1"/>
  <c r="G92" i="4" s="1"/>
  <c r="D92" i="4"/>
  <c r="C92" i="4"/>
  <c r="I92" i="4" s="1"/>
  <c r="B92" i="4"/>
  <c r="G91" i="4" a="1"/>
  <c r="G91" i="4" s="1"/>
  <c r="F91" i="4"/>
  <c r="D91" i="4"/>
  <c r="C91" i="4"/>
  <c r="I91" i="4" s="1"/>
  <c r="B91" i="4"/>
  <c r="G90" i="4" a="1"/>
  <c r="G90" i="4" s="1"/>
  <c r="D90" i="4"/>
  <c r="C90" i="4"/>
  <c r="H90" i="4" s="1"/>
  <c r="B90" i="4"/>
  <c r="G89" i="4" a="1"/>
  <c r="G89" i="4" s="1"/>
  <c r="F89" i="4"/>
  <c r="D89" i="4"/>
  <c r="C89" i="4"/>
  <c r="I89" i="4" s="1"/>
  <c r="B89" i="4"/>
  <c r="G88" i="4" a="1"/>
  <c r="G88" i="4" s="1"/>
  <c r="F88" i="4"/>
  <c r="D88" i="4"/>
  <c r="C88" i="4"/>
  <c r="I88" i="4" s="1"/>
  <c r="B88" i="4"/>
  <c r="G87" i="4" a="1"/>
  <c r="G87" i="4" s="1"/>
  <c r="D87" i="4"/>
  <c r="C87" i="4"/>
  <c r="B87" i="4"/>
  <c r="G86" i="4" a="1"/>
  <c r="G86" i="4" s="1"/>
  <c r="F86" i="4"/>
  <c r="D86" i="4"/>
  <c r="C86" i="4"/>
  <c r="I86" i="4" s="1"/>
  <c r="B86" i="4"/>
  <c r="G85" i="4" a="1"/>
  <c r="G85" i="4" s="1"/>
  <c r="F85" i="4"/>
  <c r="D85" i="4"/>
  <c r="C85" i="4"/>
  <c r="I85" i="4" s="1"/>
  <c r="J85" i="4" s="1" a="1"/>
  <c r="J85" i="4" s="1"/>
  <c r="K85" i="4" s="1" a="1"/>
  <c r="K85" i="4" s="1"/>
  <c r="B85" i="4"/>
  <c r="G84" i="4" a="1"/>
  <c r="G84" i="4" s="1"/>
  <c r="D84" i="4"/>
  <c r="C84" i="4"/>
  <c r="H84" i="4" s="1"/>
  <c r="B84" i="4"/>
  <c r="G83" i="4" a="1"/>
  <c r="G83" i="4" s="1"/>
  <c r="D83" i="4"/>
  <c r="C83" i="4"/>
  <c r="I83" i="4" s="1"/>
  <c r="B83" i="4"/>
  <c r="G82" i="4" a="1"/>
  <c r="G82" i="4" s="1"/>
  <c r="D82" i="4"/>
  <c r="C82" i="4"/>
  <c r="B82" i="4"/>
  <c r="G81" i="4" a="1"/>
  <c r="G81" i="4"/>
  <c r="D81" i="4"/>
  <c r="F81" i="4" s="1"/>
  <c r="C81" i="4"/>
  <c r="I81" i="4" s="1"/>
  <c r="B81" i="4"/>
  <c r="G80" i="4" a="1"/>
  <c r="G80" i="4" s="1"/>
  <c r="D80" i="4"/>
  <c r="C80" i="4"/>
  <c r="I80" i="4" s="1"/>
  <c r="B80" i="4"/>
  <c r="G79" i="4" a="1"/>
  <c r="G79" i="4" s="1"/>
  <c r="D79" i="4"/>
  <c r="C79" i="4"/>
  <c r="I79" i="4" s="1"/>
  <c r="J79" i="4" s="1" a="1"/>
  <c r="J79" i="4" s="1"/>
  <c r="K79" i="4" s="1" a="1"/>
  <c r="K79" i="4" s="1"/>
  <c r="B79" i="4"/>
  <c r="G78" i="4" a="1"/>
  <c r="G78" i="4"/>
  <c r="D78" i="4"/>
  <c r="F78" i="4" s="1"/>
  <c r="C78" i="4"/>
  <c r="I78" i="4" s="1"/>
  <c r="B78" i="4"/>
  <c r="G77" i="4" a="1"/>
  <c r="G77" i="4" s="1"/>
  <c r="D77" i="4"/>
  <c r="C77" i="4"/>
  <c r="I77" i="4" s="1"/>
  <c r="B77" i="4"/>
  <c r="G76" i="4" a="1"/>
  <c r="G76" i="4" s="1"/>
  <c r="D76" i="4"/>
  <c r="C76" i="4"/>
  <c r="B76" i="4"/>
  <c r="G75" i="4" a="1"/>
  <c r="G75" i="4" s="1"/>
  <c r="D75" i="4"/>
  <c r="C75" i="4"/>
  <c r="I75" i="4" s="1"/>
  <c r="J75" i="4" s="1" a="1"/>
  <c r="J75" i="4" s="1"/>
  <c r="K75" i="4" s="1" a="1"/>
  <c r="K75" i="4" s="1"/>
  <c r="B75" i="4"/>
  <c r="G74" i="4" a="1"/>
  <c r="G74" i="4" s="1"/>
  <c r="D74" i="4"/>
  <c r="C74" i="4"/>
  <c r="B74" i="4"/>
  <c r="G73" i="4" a="1"/>
  <c r="G73" i="4"/>
  <c r="D73" i="4"/>
  <c r="F73" i="4" s="1"/>
  <c r="C73" i="4"/>
  <c r="H73" i="4" s="1"/>
  <c r="B73" i="4"/>
  <c r="G72" i="4" a="1"/>
  <c r="G72" i="4" s="1"/>
  <c r="D72" i="4"/>
  <c r="C72" i="4"/>
  <c r="I72" i="4" s="1"/>
  <c r="B72" i="4"/>
  <c r="G71" i="4" a="1"/>
  <c r="G71" i="4" s="1"/>
  <c r="D71" i="4"/>
  <c r="C71" i="4"/>
  <c r="I71" i="4" s="1"/>
  <c r="B71" i="4"/>
  <c r="G70" i="4" a="1"/>
  <c r="G70" i="4" s="1"/>
  <c r="F70" i="4"/>
  <c r="D70" i="4"/>
  <c r="C70" i="4"/>
  <c r="I70" i="4" s="1"/>
  <c r="J70" i="4" s="1" a="1"/>
  <c r="J70" i="4" s="1"/>
  <c r="K70" i="4" s="1" a="1"/>
  <c r="K70" i="4" s="1"/>
  <c r="B70" i="4"/>
  <c r="H70" i="4" s="1"/>
  <c r="G69" i="4" a="1"/>
  <c r="G69" i="4" s="1"/>
  <c r="D69" i="4"/>
  <c r="C69" i="4"/>
  <c r="I69" i="4" s="1"/>
  <c r="J69" i="4" s="1" a="1"/>
  <c r="J69" i="4" s="1"/>
  <c r="K69" i="4" s="1" a="1"/>
  <c r="K69" i="4" s="1"/>
  <c r="B69" i="4"/>
  <c r="G68" i="4" a="1"/>
  <c r="G68" i="4" s="1"/>
  <c r="D68" i="4"/>
  <c r="C68" i="4"/>
  <c r="I68" i="4" s="1"/>
  <c r="B68" i="4"/>
  <c r="G67" i="4" a="1"/>
  <c r="G67" i="4" s="1"/>
  <c r="D67" i="4"/>
  <c r="C67" i="4"/>
  <c r="B67" i="4"/>
  <c r="G66" i="4" a="1"/>
  <c r="G66" i="4" s="1"/>
  <c r="D66" i="4"/>
  <c r="F66" i="4" s="1"/>
  <c r="C66" i="4"/>
  <c r="B66" i="4"/>
  <c r="G65" i="4" a="1"/>
  <c r="G65" i="4"/>
  <c r="D65" i="4"/>
  <c r="F65" i="4" s="1"/>
  <c r="C65" i="4"/>
  <c r="I65" i="4" s="1"/>
  <c r="B65" i="4"/>
  <c r="G64" i="4" a="1"/>
  <c r="G64" i="4" s="1"/>
  <c r="D64" i="4"/>
  <c r="C64" i="4"/>
  <c r="I64" i="4" s="1"/>
  <c r="B64" i="4"/>
  <c r="G63" i="4" a="1"/>
  <c r="G63" i="4" s="1"/>
  <c r="D63" i="4"/>
  <c r="C63" i="4"/>
  <c r="I63" i="4" s="1"/>
  <c r="B63" i="4"/>
  <c r="G62" i="4" a="1"/>
  <c r="G62" i="4" s="1"/>
  <c r="F62" i="4"/>
  <c r="D62" i="4"/>
  <c r="C62" i="4"/>
  <c r="I62" i="4" s="1"/>
  <c r="J62" i="4" s="1" a="1"/>
  <c r="J62" i="4" s="1"/>
  <c r="K62" i="4" s="1" a="1"/>
  <c r="K62" i="4" s="1"/>
  <c r="B62" i="4"/>
  <c r="G61" i="4" a="1"/>
  <c r="G61" i="4" s="1"/>
  <c r="D61" i="4"/>
  <c r="C61" i="4"/>
  <c r="I61" i="4" s="1"/>
  <c r="J61" i="4" s="1" a="1"/>
  <c r="J61" i="4" s="1"/>
  <c r="K61" i="4" s="1" a="1"/>
  <c r="K61" i="4" s="1"/>
  <c r="B61" i="4"/>
  <c r="G60" i="4" a="1"/>
  <c r="G60" i="4" s="1"/>
  <c r="D60" i="4"/>
  <c r="C60" i="4"/>
  <c r="I60" i="4" s="1"/>
  <c r="B60" i="4"/>
  <c r="G59" i="4" a="1"/>
  <c r="G59" i="4" s="1"/>
  <c r="F59" i="4"/>
  <c r="D59" i="4"/>
  <c r="C59" i="4"/>
  <c r="B59" i="4"/>
  <c r="G58" i="4" a="1"/>
  <c r="G58" i="4" s="1"/>
  <c r="D58" i="4"/>
  <c r="C58" i="4"/>
  <c r="I58" i="4" s="1"/>
  <c r="J58" i="4" s="1" a="1"/>
  <c r="J58" i="4" s="1"/>
  <c r="K58" i="4" s="1" a="1"/>
  <c r="K58" i="4" s="1"/>
  <c r="B58" i="4"/>
  <c r="G57" i="4" a="1"/>
  <c r="G57" i="4"/>
  <c r="F57" i="4"/>
  <c r="D57" i="4"/>
  <c r="C57" i="4"/>
  <c r="I57" i="4" s="1"/>
  <c r="B57" i="4"/>
  <c r="G56" i="4" a="1"/>
  <c r="G56" i="4" s="1"/>
  <c r="D56" i="4"/>
  <c r="C56" i="4"/>
  <c r="I56" i="4" s="1"/>
  <c r="B56" i="4"/>
  <c r="G55" i="4" a="1"/>
  <c r="G55" i="4" s="1"/>
  <c r="D55" i="4"/>
  <c r="C55" i="4"/>
  <c r="I55" i="4" s="1"/>
  <c r="J55" i="4" s="1" a="1"/>
  <c r="J55" i="4" s="1"/>
  <c r="K55" i="4" s="1" a="1"/>
  <c r="K55" i="4" s="1"/>
  <c r="B55" i="4"/>
  <c r="G54" i="4" a="1"/>
  <c r="G54" i="4" s="1"/>
  <c r="F54" i="4"/>
  <c r="D54" i="4"/>
  <c r="C54" i="4"/>
  <c r="I54" i="4" s="1"/>
  <c r="B54" i="4"/>
  <c r="H54" i="4" s="1"/>
  <c r="G53" i="4" a="1"/>
  <c r="G53" i="4" s="1"/>
  <c r="D53" i="4"/>
  <c r="C53" i="4"/>
  <c r="I53" i="4" s="1"/>
  <c r="B53" i="4"/>
  <c r="G52" i="4" a="1"/>
  <c r="G52" i="4" s="1"/>
  <c r="D52" i="4"/>
  <c r="C52" i="4"/>
  <c r="I52" i="4" s="1"/>
  <c r="B52" i="4"/>
  <c r="H52" i="4" s="1"/>
  <c r="G51" i="4" a="1"/>
  <c r="G51" i="4" s="1"/>
  <c r="D51" i="4"/>
  <c r="C51" i="4"/>
  <c r="I51" i="4" s="1"/>
  <c r="B51" i="4"/>
  <c r="G50" i="4" a="1"/>
  <c r="G50" i="4" s="1"/>
  <c r="D50" i="4"/>
  <c r="F50" i="4" s="1"/>
  <c r="C50" i="4"/>
  <c r="I50" i="4" s="1"/>
  <c r="B50" i="4"/>
  <c r="H50" i="4" s="1"/>
  <c r="G49" i="4" a="1"/>
  <c r="G49" i="4" s="1"/>
  <c r="D49" i="4"/>
  <c r="C49" i="4"/>
  <c r="I49" i="4" s="1"/>
  <c r="B49" i="4"/>
  <c r="G48" i="4" a="1"/>
  <c r="G48" i="4" s="1"/>
  <c r="D48" i="4"/>
  <c r="C48" i="4"/>
  <c r="I48" i="4" s="1"/>
  <c r="B48" i="4"/>
  <c r="G47" i="4" a="1"/>
  <c r="G47" i="4" s="1"/>
  <c r="D47" i="4"/>
  <c r="C47" i="4"/>
  <c r="B47" i="4"/>
  <c r="G46" i="4" a="1"/>
  <c r="G46" i="4" s="1"/>
  <c r="F46" i="4"/>
  <c r="D46" i="4"/>
  <c r="C46" i="4"/>
  <c r="I46" i="4" s="1"/>
  <c r="J46" i="4" s="1" a="1"/>
  <c r="J46" i="4" s="1"/>
  <c r="K46" i="4" s="1" a="1"/>
  <c r="K46" i="4" s="1"/>
  <c r="B46" i="4"/>
  <c r="G45" i="4" a="1"/>
  <c r="G45" i="4" s="1"/>
  <c r="D45" i="4"/>
  <c r="C45" i="4"/>
  <c r="I45" i="4" s="1"/>
  <c r="B45" i="4"/>
  <c r="G44" i="4" a="1"/>
  <c r="G44" i="4" s="1"/>
  <c r="F44" i="4"/>
  <c r="D44" i="4"/>
  <c r="C44" i="4"/>
  <c r="I44" i="4" s="1"/>
  <c r="B44" i="4"/>
  <c r="G43" i="4" a="1"/>
  <c r="G43" i="4" s="1"/>
  <c r="F43" i="4"/>
  <c r="D43" i="4"/>
  <c r="C43" i="4"/>
  <c r="I43" i="4" s="1"/>
  <c r="B43" i="4"/>
  <c r="G42" i="4" a="1"/>
  <c r="G42" i="4" s="1"/>
  <c r="D42" i="4"/>
  <c r="C42" i="4"/>
  <c r="I42" i="4" s="1"/>
  <c r="J42" i="4" s="1" a="1"/>
  <c r="J42" i="4" s="1"/>
  <c r="K42" i="4" s="1" a="1"/>
  <c r="K42" i="4" s="1"/>
  <c r="B42" i="4"/>
  <c r="G41" i="4" a="1"/>
  <c r="G41" i="4"/>
  <c r="F41" i="4"/>
  <c r="D41" i="4"/>
  <c r="C41" i="4"/>
  <c r="I41" i="4" s="1"/>
  <c r="B41" i="4"/>
  <c r="H41" i="4" s="1"/>
  <c r="G40" i="4" a="1"/>
  <c r="G40" i="4" s="1"/>
  <c r="D40" i="4"/>
  <c r="C40" i="4"/>
  <c r="I40" i="4" s="1"/>
  <c r="B40" i="4"/>
  <c r="G39" i="4" a="1"/>
  <c r="G39" i="4" s="1"/>
  <c r="D39" i="4"/>
  <c r="C39" i="4"/>
  <c r="I39" i="4" s="1"/>
  <c r="B39" i="4"/>
  <c r="G38" i="4" a="1"/>
  <c r="G38" i="4" s="1"/>
  <c r="D38" i="4"/>
  <c r="C38" i="4"/>
  <c r="I38" i="4" s="1"/>
  <c r="B38" i="4"/>
  <c r="H38" i="4" s="1"/>
  <c r="G37" i="4" a="1"/>
  <c r="G37" i="4" s="1"/>
  <c r="D37" i="4"/>
  <c r="C37" i="4"/>
  <c r="I37" i="4" s="1"/>
  <c r="B37" i="4"/>
  <c r="G36" i="4" a="1"/>
  <c r="G36" i="4" s="1"/>
  <c r="D36" i="4"/>
  <c r="C36" i="4"/>
  <c r="I36" i="4" s="1"/>
  <c r="B36" i="4"/>
  <c r="I35" i="4"/>
  <c r="H35" i="4"/>
  <c r="G35" i="4" a="1"/>
  <c r="G35" i="4" s="1"/>
  <c r="D35" i="4"/>
  <c r="C35" i="4"/>
  <c r="B35" i="4"/>
  <c r="G34" i="4" a="1"/>
  <c r="G34" i="4" s="1"/>
  <c r="D34" i="4"/>
  <c r="C34" i="4"/>
  <c r="I34" i="4" s="1"/>
  <c r="B34" i="4"/>
  <c r="H34" i="4" s="1"/>
  <c r="G33" i="4" a="1"/>
  <c r="G33" i="4" s="1"/>
  <c r="D33" i="4"/>
  <c r="F33" i="4" s="1"/>
  <c r="C33" i="4"/>
  <c r="I33" i="4" s="1"/>
  <c r="B33" i="4"/>
  <c r="G32" i="4" a="1"/>
  <c r="G32" i="4" s="1"/>
  <c r="D32" i="4"/>
  <c r="C32" i="4"/>
  <c r="I32" i="4" s="1"/>
  <c r="B32" i="4"/>
  <c r="G31" i="4" a="1"/>
  <c r="G31" i="4" s="1"/>
  <c r="F31" i="4"/>
  <c r="D31" i="4"/>
  <c r="C31" i="4"/>
  <c r="I31" i="4" s="1"/>
  <c r="B31" i="4"/>
  <c r="G30" i="4" a="1"/>
  <c r="G30" i="4" s="1"/>
  <c r="D30" i="4"/>
  <c r="F30" i="4" s="1"/>
  <c r="C30" i="4"/>
  <c r="I30" i="4" s="1"/>
  <c r="B30" i="4"/>
  <c r="G29" i="4" a="1"/>
  <c r="G29" i="4"/>
  <c r="D29" i="4"/>
  <c r="C29" i="4"/>
  <c r="I29" i="4" s="1"/>
  <c r="B29" i="4"/>
  <c r="G28" i="4" a="1"/>
  <c r="G28" i="4" s="1"/>
  <c r="D28" i="4"/>
  <c r="C28" i="4"/>
  <c r="I28" i="4" s="1"/>
  <c r="J28" i="4" s="1" a="1"/>
  <c r="J28" i="4" s="1"/>
  <c r="K28" i="4" s="1" a="1"/>
  <c r="K28" i="4" s="1"/>
  <c r="B28" i="4"/>
  <c r="G27" i="4" a="1"/>
  <c r="G27" i="4" s="1"/>
  <c r="D27" i="4"/>
  <c r="C27" i="4"/>
  <c r="I27" i="4" s="1"/>
  <c r="B27" i="4"/>
  <c r="G26" i="4" a="1"/>
  <c r="G26" i="4" s="1"/>
  <c r="D26" i="4"/>
  <c r="C26" i="4"/>
  <c r="I26" i="4" s="1"/>
  <c r="B26" i="4"/>
  <c r="H25" i="4"/>
  <c r="G25" i="4" a="1"/>
  <c r="G25" i="4" s="1"/>
  <c r="D25" i="4"/>
  <c r="C25" i="4"/>
  <c r="I25" i="4" s="1"/>
  <c r="B25" i="4"/>
  <c r="G24" i="4" a="1"/>
  <c r="G24" i="4" s="1"/>
  <c r="D24" i="4"/>
  <c r="C24" i="4"/>
  <c r="I24" i="4" s="1"/>
  <c r="B24" i="4"/>
  <c r="G23" i="4" a="1"/>
  <c r="G23" i="4" s="1"/>
  <c r="D23" i="4"/>
  <c r="C23" i="4"/>
  <c r="I23" i="4" s="1"/>
  <c r="B23" i="4"/>
  <c r="G22" i="4" a="1"/>
  <c r="G22" i="4" s="1"/>
  <c r="D22" i="4"/>
  <c r="C22" i="4"/>
  <c r="I22" i="4" s="1"/>
  <c r="J22" i="4" s="1" a="1"/>
  <c r="J22" i="4" s="1"/>
  <c r="K22" i="4" s="1" a="1"/>
  <c r="K22" i="4" s="1"/>
  <c r="B22" i="4"/>
  <c r="G21" i="4" a="1"/>
  <c r="G21" i="4" s="1"/>
  <c r="D21" i="4"/>
  <c r="C21" i="4"/>
  <c r="H21" i="4" s="1"/>
  <c r="B21" i="4"/>
  <c r="G20" i="4" a="1"/>
  <c r="G20" i="4" s="1"/>
  <c r="D20" i="4"/>
  <c r="C20" i="4"/>
  <c r="I20" i="4" s="1"/>
  <c r="B20" i="4"/>
  <c r="G19" i="4" a="1"/>
  <c r="G19" i="4" s="1"/>
  <c r="D19" i="4"/>
  <c r="C19" i="4"/>
  <c r="I19" i="4" s="1"/>
  <c r="B19" i="4"/>
  <c r="G18" i="4" a="1"/>
  <c r="G18" i="4" s="1"/>
  <c r="D18" i="4"/>
  <c r="C18" i="4"/>
  <c r="I18" i="4" s="1"/>
  <c r="B18" i="4"/>
  <c r="G17" i="4" a="1"/>
  <c r="G17" i="4" s="1"/>
  <c r="F17" i="4"/>
  <c r="D17" i="4"/>
  <c r="C17" i="4"/>
  <c r="H17" i="4" s="1"/>
  <c r="B17" i="4"/>
  <c r="G16" i="4" a="1"/>
  <c r="G16" i="4" s="1"/>
  <c r="D16" i="4"/>
  <c r="C16" i="4"/>
  <c r="I16" i="4" s="1"/>
  <c r="B16" i="4"/>
  <c r="G15" i="4" a="1"/>
  <c r="G15" i="4" s="1"/>
  <c r="D15" i="4"/>
  <c r="C15" i="4"/>
  <c r="I15" i="4" s="1"/>
  <c r="B15" i="4"/>
  <c r="G14" i="4" a="1"/>
  <c r="G14" i="4" s="1"/>
  <c r="F14" i="4"/>
  <c r="D14" i="4"/>
  <c r="C14" i="4"/>
  <c r="I14" i="4" s="1"/>
  <c r="B14" i="4"/>
  <c r="G13" i="4" a="1"/>
  <c r="G13" i="4" s="1"/>
  <c r="D13" i="4"/>
  <c r="C13" i="4"/>
  <c r="I13" i="4" s="1"/>
  <c r="B13" i="4"/>
  <c r="G12" i="4" a="1"/>
  <c r="G12" i="4" s="1"/>
  <c r="D12" i="4"/>
  <c r="C12" i="4"/>
  <c r="I12" i="4" s="1"/>
  <c r="B12" i="4"/>
  <c r="H12" i="4" s="1"/>
  <c r="G11" i="4" a="1"/>
  <c r="G11" i="4" s="1"/>
  <c r="F11" i="4"/>
  <c r="D11" i="4"/>
  <c r="C11" i="4"/>
  <c r="I11" i="4" s="1"/>
  <c r="B11" i="4"/>
  <c r="G10" i="4" a="1"/>
  <c r="G10" i="4" s="1"/>
  <c r="D10" i="4"/>
  <c r="C10" i="4"/>
  <c r="H10" i="4" s="1"/>
  <c r="B10" i="4"/>
  <c r="I9" i="4"/>
  <c r="G9" i="4" a="1"/>
  <c r="G9" i="4" s="1"/>
  <c r="F9" i="4"/>
  <c r="D9" i="4"/>
  <c r="C9" i="4"/>
  <c r="H9" i="4" s="1"/>
  <c r="B9" i="4"/>
  <c r="G8" i="4" a="1"/>
  <c r="G8" i="4" s="1"/>
  <c r="D8" i="4"/>
  <c r="C8" i="4"/>
  <c r="I8" i="4" s="1"/>
  <c r="B8" i="4"/>
  <c r="G7" i="4" a="1"/>
  <c r="G7" i="4" s="1"/>
  <c r="F7" i="4"/>
  <c r="D7" i="4"/>
  <c r="C7" i="4"/>
  <c r="I7" i="4" s="1"/>
  <c r="J7" i="4" s="1" a="1"/>
  <c r="J7" i="4" s="1"/>
  <c r="K7" i="4" s="1" a="1"/>
  <c r="K7" i="4" s="1"/>
  <c r="B7" i="4"/>
  <c r="G6" i="4" a="1"/>
  <c r="G6" i="4" s="1"/>
  <c r="D6" i="4"/>
  <c r="C6" i="4"/>
  <c r="H6" i="4" s="1"/>
  <c r="B6" i="4"/>
  <c r="G5" i="4" a="1"/>
  <c r="G5" i="4" s="1"/>
  <c r="D5" i="4"/>
  <c r="C5" i="4"/>
  <c r="B5" i="4"/>
  <c r="G4" i="4" a="1"/>
  <c r="G4" i="4" s="1"/>
  <c r="D4" i="4"/>
  <c r="C4" i="4"/>
  <c r="I4" i="4" s="1"/>
  <c r="J4" i="4" s="1" a="1"/>
  <c r="J4" i="4" s="1"/>
  <c r="K4" i="4" s="1" a="1"/>
  <c r="K4" i="4" s="1"/>
  <c r="B4" i="4"/>
  <c r="G3" i="4" a="1"/>
  <c r="G3" i="4" s="1"/>
  <c r="F3" i="4"/>
  <c r="D3" i="4"/>
  <c r="C3" i="4"/>
  <c r="I3" i="4" s="1"/>
  <c r="B3" i="4"/>
  <c r="G2" i="4" a="1"/>
  <c r="G2" i="4" s="1"/>
  <c r="D2" i="4"/>
  <c r="C2" i="4"/>
  <c r="I2" i="4" s="1"/>
  <c r="B2" i="4"/>
  <c r="J1290" i="4" l="1" a="1"/>
  <c r="J1290" i="4" s="1"/>
  <c r="K1290" i="4" s="1" a="1"/>
  <c r="K1290" i="4" s="1"/>
  <c r="J1294" i="4" a="1"/>
  <c r="J1294" i="4" s="1"/>
  <c r="K1294" i="4" s="1" a="1"/>
  <c r="K1294" i="4" s="1"/>
  <c r="J1306" i="4" a="1"/>
  <c r="J1306" i="4" s="1"/>
  <c r="K1306" i="4" s="1" a="1"/>
  <c r="K1306" i="4" s="1"/>
  <c r="J1218" i="4" a="1"/>
  <c r="J1218" i="4" s="1"/>
  <c r="K1218" i="4" s="1" a="1"/>
  <c r="K1218" i="4" s="1"/>
  <c r="F1266" i="4"/>
  <c r="J1286" i="4" a="1"/>
  <c r="J1286" i="4" s="1"/>
  <c r="K1286" i="4" s="1" a="1"/>
  <c r="K1286" i="4" s="1"/>
  <c r="J1246" i="4" a="1"/>
  <c r="J1246" i="4" s="1"/>
  <c r="K1246" i="4" s="1" a="1"/>
  <c r="K1246" i="4" s="1"/>
  <c r="F1286" i="4"/>
  <c r="J1310" i="4" a="1"/>
  <c r="J1310" i="4" s="1"/>
  <c r="K1310" i="4" s="1" a="1"/>
  <c r="K1310" i="4" s="1"/>
  <c r="J1302" i="4" a="1"/>
  <c r="J1302" i="4" s="1"/>
  <c r="K1302" i="4" s="1" a="1"/>
  <c r="K1302" i="4" s="1"/>
  <c r="J16" i="4" a="1"/>
  <c r="J16" i="4" s="1"/>
  <c r="K16" i="4" s="1" a="1"/>
  <c r="K16" i="4" s="1"/>
  <c r="J18" i="4" a="1"/>
  <c r="J18" i="4" s="1"/>
  <c r="K18" i="4" s="1" a="1"/>
  <c r="K18" i="4" s="1"/>
  <c r="H19" i="4"/>
  <c r="H22" i="4"/>
  <c r="F24" i="4"/>
  <c r="J27" i="4" a="1"/>
  <c r="J27" i="4" s="1"/>
  <c r="K27" i="4" s="1" a="1"/>
  <c r="K27" i="4" s="1"/>
  <c r="H28" i="4"/>
  <c r="J35" i="4" a="1"/>
  <c r="J35" i="4" s="1"/>
  <c r="K35" i="4" s="1" a="1"/>
  <c r="K35" i="4" s="1"/>
  <c r="J37" i="4" a="1"/>
  <c r="J37" i="4" s="1"/>
  <c r="K37" i="4" s="1" a="1"/>
  <c r="K37" i="4" s="1"/>
  <c r="J39" i="4" a="1"/>
  <c r="J39" i="4" s="1"/>
  <c r="K39" i="4" s="1" a="1"/>
  <c r="K39" i="4" s="1"/>
  <c r="H49" i="4"/>
  <c r="I67" i="4"/>
  <c r="H67" i="4"/>
  <c r="J65" i="4" a="1"/>
  <c r="J65" i="4" s="1"/>
  <c r="K65" i="4" s="1" a="1"/>
  <c r="K65" i="4" s="1"/>
  <c r="J2" i="4" a="1"/>
  <c r="J2" i="4" s="1"/>
  <c r="K2" i="4" s="1" a="1"/>
  <c r="K2" i="4" s="1"/>
  <c r="F4" i="4"/>
  <c r="H5" i="4"/>
  <c r="J8" i="4" a="1"/>
  <c r="J8" i="4" s="1"/>
  <c r="K8" i="4" s="1" a="1"/>
  <c r="K8" i="4" s="1"/>
  <c r="J12" i="4" a="1"/>
  <c r="J12" i="4" s="1"/>
  <c r="K12" i="4" s="1" a="1"/>
  <c r="K12" i="4" s="1"/>
  <c r="J14" i="4" a="1"/>
  <c r="J14" i="4" s="1"/>
  <c r="K14" i="4" s="1" a="1"/>
  <c r="K14" i="4" s="1"/>
  <c r="I17" i="4"/>
  <c r="J17" i="4" s="1" a="1"/>
  <c r="J17" i="4" s="1"/>
  <c r="K17" i="4" s="1" a="1"/>
  <c r="K17" i="4" s="1"/>
  <c r="F18" i="4"/>
  <c r="F21" i="4"/>
  <c r="F25" i="4"/>
  <c r="H26" i="4"/>
  <c r="F27" i="4"/>
  <c r="F28" i="4"/>
  <c r="J29" i="4" a="1"/>
  <c r="J29" i="4" s="1"/>
  <c r="K29" i="4" s="1" a="1"/>
  <c r="K29" i="4" s="1"/>
  <c r="J34" i="4" a="1"/>
  <c r="J34" i="4" s="1"/>
  <c r="K34" i="4" s="1" a="1"/>
  <c r="K34" i="4" s="1"/>
  <c r="H36" i="4"/>
  <c r="F39" i="4"/>
  <c r="F45" i="4"/>
  <c r="H47" i="4"/>
  <c r="I47" i="4"/>
  <c r="F48" i="4"/>
  <c r="F49" i="4"/>
  <c r="J50" i="4" a="1"/>
  <c r="J50" i="4" s="1"/>
  <c r="K50" i="4" s="1" a="1"/>
  <c r="K50" i="4" s="1"/>
  <c r="H59" i="4"/>
  <c r="I59" i="4"/>
  <c r="F60" i="4"/>
  <c r="I6" i="4"/>
  <c r="I10" i="4"/>
  <c r="J15" i="4" a="1"/>
  <c r="J15" i="4" s="1"/>
  <c r="K15" i="4" s="1" a="1"/>
  <c r="K15" i="4" s="1"/>
  <c r="J20" i="4" a="1"/>
  <c r="J20" i="4" s="1"/>
  <c r="K20" i="4" s="1" a="1"/>
  <c r="K20" i="4" s="1"/>
  <c r="J24" i="4" a="1"/>
  <c r="J24" i="4" s="1"/>
  <c r="K24" i="4" s="1" a="1"/>
  <c r="K24" i="4" s="1"/>
  <c r="J26" i="4" a="1"/>
  <c r="J26" i="4" s="1"/>
  <c r="K26" i="4" s="1" a="1"/>
  <c r="K26" i="4" s="1"/>
  <c r="H30" i="4"/>
  <c r="J32" i="4" a="1"/>
  <c r="J32" i="4" s="1"/>
  <c r="K32" i="4" s="1" a="1"/>
  <c r="K32" i="4" s="1"/>
  <c r="F34" i="4"/>
  <c r="J36" i="4" a="1"/>
  <c r="J36" i="4" s="1"/>
  <c r="K36" i="4" s="1" a="1"/>
  <c r="K36" i="4" s="1"/>
  <c r="F38" i="4"/>
  <c r="J44" i="4" a="1"/>
  <c r="J44" i="4" s="1"/>
  <c r="K44" i="4" s="1" a="1"/>
  <c r="K44" i="4" s="1"/>
  <c r="J52" i="4" a="1"/>
  <c r="J52" i="4" s="1"/>
  <c r="K52" i="4" s="1" a="1"/>
  <c r="K52" i="4" s="1"/>
  <c r="F55" i="4"/>
  <c r="J57" i="4" a="1"/>
  <c r="J57" i="4" s="1"/>
  <c r="K57" i="4" s="1" a="1"/>
  <c r="K57" i="4" s="1"/>
  <c r="F61" i="4"/>
  <c r="J63" i="4" a="1"/>
  <c r="J63" i="4" s="1"/>
  <c r="K63" i="4" s="1" a="1"/>
  <c r="K63" i="4" s="1"/>
  <c r="H68" i="4"/>
  <c r="J71" i="4" a="1"/>
  <c r="J71" i="4" s="1"/>
  <c r="K71" i="4" s="1" a="1"/>
  <c r="K71" i="4" s="1"/>
  <c r="I73" i="4"/>
  <c r="J73" i="4" s="1" a="1"/>
  <c r="J73" i="4" s="1"/>
  <c r="K73" i="4" s="1" a="1"/>
  <c r="K73" i="4" s="1"/>
  <c r="F74" i="4"/>
  <c r="H76" i="4"/>
  <c r="I76" i="4"/>
  <c r="F77" i="4"/>
  <c r="J78" i="4" a="1"/>
  <c r="J78" i="4" s="1"/>
  <c r="K78" i="4" s="1" a="1"/>
  <c r="K78" i="4" s="1"/>
  <c r="J81" i="4" a="1"/>
  <c r="J81" i="4" s="1"/>
  <c r="K81" i="4" s="1" a="1"/>
  <c r="K81" i="4" s="1"/>
  <c r="F82" i="4"/>
  <c r="J99" i="4" a="1"/>
  <c r="J99" i="4" s="1"/>
  <c r="K99" i="4" s="1" a="1"/>
  <c r="K99" i="4" s="1"/>
  <c r="H102" i="4"/>
  <c r="J103" i="4" a="1"/>
  <c r="J103" i="4" s="1"/>
  <c r="K103" i="4" s="1" a="1"/>
  <c r="K103" i="4" s="1"/>
  <c r="F105" i="4"/>
  <c r="F110" i="4"/>
  <c r="H111" i="4"/>
  <c r="I111" i="4"/>
  <c r="F112" i="4"/>
  <c r="H114" i="4"/>
  <c r="F116" i="4"/>
  <c r="J117" i="4" a="1"/>
  <c r="J117" i="4" s="1"/>
  <c r="K117" i="4" s="1" a="1"/>
  <c r="K117" i="4" s="1"/>
  <c r="J119" i="4" a="1"/>
  <c r="J119" i="4" s="1"/>
  <c r="K119" i="4" s="1" a="1"/>
  <c r="K119" i="4" s="1"/>
  <c r="F121" i="4"/>
  <c r="F126" i="4"/>
  <c r="F129" i="4"/>
  <c r="J130" i="4" a="1"/>
  <c r="J130" i="4" s="1"/>
  <c r="K130" i="4" s="1" a="1"/>
  <c r="K130" i="4" s="1"/>
  <c r="H133" i="4"/>
  <c r="F134" i="4"/>
  <c r="J137" i="4" a="1"/>
  <c r="J137" i="4" s="1"/>
  <c r="K137" i="4" s="1" a="1"/>
  <c r="K137" i="4" s="1"/>
  <c r="H141" i="4"/>
  <c r="F145" i="4"/>
  <c r="H147" i="4"/>
  <c r="F148" i="4"/>
  <c r="F149" i="4"/>
  <c r="J152" i="4" a="1"/>
  <c r="J152" i="4" s="1"/>
  <c r="K152" i="4" s="1" a="1"/>
  <c r="K152" i="4" s="1"/>
  <c r="F155" i="4"/>
  <c r="J157" i="4" a="1"/>
  <c r="J157" i="4" s="1"/>
  <c r="K157" i="4" s="1" a="1"/>
  <c r="K157" i="4" s="1"/>
  <c r="F161" i="4"/>
  <c r="J165" i="4" a="1"/>
  <c r="J165" i="4" s="1"/>
  <c r="K165" i="4" s="1" a="1"/>
  <c r="K165" i="4" s="1"/>
  <c r="J167" i="4" a="1"/>
  <c r="J167" i="4" s="1"/>
  <c r="K167" i="4" s="1" a="1"/>
  <c r="K167" i="4" s="1"/>
  <c r="H171" i="4"/>
  <c r="F172" i="4"/>
  <c r="H175" i="4"/>
  <c r="F191" i="4"/>
  <c r="J197" i="4" a="1"/>
  <c r="J197" i="4" s="1"/>
  <c r="K197" i="4" s="1" a="1"/>
  <c r="K197" i="4" s="1"/>
  <c r="H206" i="4"/>
  <c r="I206" i="4"/>
  <c r="F207" i="4"/>
  <c r="F211" i="4"/>
  <c r="H215" i="4"/>
  <c r="J220" i="4" a="1"/>
  <c r="J220" i="4" s="1"/>
  <c r="K220" i="4" s="1" a="1"/>
  <c r="K220" i="4" s="1"/>
  <c r="F222" i="4"/>
  <c r="J223" i="4" a="1"/>
  <c r="J223" i="4" s="1"/>
  <c r="K223" i="4" s="1" a="1"/>
  <c r="K223" i="4" s="1"/>
  <c r="H227" i="4"/>
  <c r="H229" i="4"/>
  <c r="H233" i="4"/>
  <c r="I233" i="4"/>
  <c r="F234" i="4"/>
  <c r="H238" i="4"/>
  <c r="I238" i="4"/>
  <c r="F239" i="4"/>
  <c r="H244" i="4"/>
  <c r="H246" i="4"/>
  <c r="I246" i="4"/>
  <c r="J60" i="4" a="1"/>
  <c r="J60" i="4" s="1"/>
  <c r="K60" i="4" s="1" a="1"/>
  <c r="K60" i="4" s="1"/>
  <c r="J64" i="4" a="1"/>
  <c r="J64" i="4" s="1"/>
  <c r="K64" i="4" s="1" a="1"/>
  <c r="K64" i="4" s="1"/>
  <c r="J68" i="4" a="1"/>
  <c r="J68" i="4" s="1"/>
  <c r="K68" i="4" s="1" a="1"/>
  <c r="K68" i="4" s="1"/>
  <c r="J72" i="4" a="1"/>
  <c r="J72" i="4" s="1"/>
  <c r="K72" i="4" s="1" a="1"/>
  <c r="K72" i="4" s="1"/>
  <c r="F76" i="4"/>
  <c r="I84" i="4"/>
  <c r="J86" i="4" a="1"/>
  <c r="J86" i="4" s="1"/>
  <c r="K86" i="4" s="1" a="1"/>
  <c r="K86" i="4" s="1"/>
  <c r="J89" i="4" a="1"/>
  <c r="J89" i="4" s="1"/>
  <c r="K89" i="4" s="1" a="1"/>
  <c r="K89" i="4" s="1"/>
  <c r="J92" i="4" a="1"/>
  <c r="J92" i="4" s="1"/>
  <c r="K92" i="4" s="1" a="1"/>
  <c r="K92" i="4" s="1"/>
  <c r="I95" i="4"/>
  <c r="J102" i="4" a="1"/>
  <c r="J102" i="4" s="1"/>
  <c r="K102" i="4" s="1" a="1"/>
  <c r="K102" i="4" s="1"/>
  <c r="J125" i="4" a="1"/>
  <c r="J125" i="4" s="1"/>
  <c r="K125" i="4" s="1" a="1"/>
  <c r="K125" i="4" s="1"/>
  <c r="J128" i="4" a="1"/>
  <c r="J128" i="4" s="1"/>
  <c r="K128" i="4" s="1" a="1"/>
  <c r="K128" i="4" s="1"/>
  <c r="J147" i="4" a="1"/>
  <c r="J147" i="4" s="1"/>
  <c r="K147" i="4" s="1" a="1"/>
  <c r="K147" i="4" s="1"/>
  <c r="J158" i="4" a="1"/>
  <c r="J158" i="4" s="1"/>
  <c r="K158" i="4" s="1" a="1"/>
  <c r="K158" i="4" s="1"/>
  <c r="J175" i="4" a="1"/>
  <c r="J175" i="4" s="1"/>
  <c r="K175" i="4" s="1" a="1"/>
  <c r="K175" i="4" s="1"/>
  <c r="H179" i="4"/>
  <c r="F181" i="4"/>
  <c r="F187" i="4"/>
  <c r="H191" i="4"/>
  <c r="J195" i="4" a="1"/>
  <c r="J195" i="4" s="1"/>
  <c r="K195" i="4" s="1" a="1"/>
  <c r="K195" i="4" s="1"/>
  <c r="J202" i="4" a="1"/>
  <c r="J202" i="4" s="1"/>
  <c r="K202" i="4" s="1" a="1"/>
  <c r="K202" i="4" s="1"/>
  <c r="H204" i="4"/>
  <c r="H207" i="4"/>
  <c r="J215" i="4" a="1"/>
  <c r="J215" i="4" s="1"/>
  <c r="K215" i="4" s="1" a="1"/>
  <c r="K215" i="4" s="1"/>
  <c r="H218" i="4"/>
  <c r="H236" i="4"/>
  <c r="J252" i="4" a="1"/>
  <c r="J252" i="4" s="1"/>
  <c r="K252" i="4" s="1" a="1"/>
  <c r="K252" i="4" s="1"/>
  <c r="J255" i="4" a="1"/>
  <c r="J255" i="4" s="1"/>
  <c r="K255" i="4" s="1" a="1"/>
  <c r="K255" i="4" s="1"/>
  <c r="H258" i="4"/>
  <c r="J268" i="4" a="1"/>
  <c r="J268" i="4" s="1"/>
  <c r="K268" i="4" s="1" a="1"/>
  <c r="K268" i="4" s="1"/>
  <c r="J274" i="4" a="1"/>
  <c r="J274" i="4" s="1"/>
  <c r="K274" i="4" s="1" a="1"/>
  <c r="K274" i="4" s="1"/>
  <c r="H278" i="4"/>
  <c r="I281" i="4"/>
  <c r="H87" i="4"/>
  <c r="I87" i="4"/>
  <c r="F99" i="4"/>
  <c r="J100" i="4" a="1"/>
  <c r="J100" i="4" s="1"/>
  <c r="K100" i="4" s="1" a="1"/>
  <c r="K100" i="4" s="1"/>
  <c r="H105" i="4"/>
  <c r="J107" i="4" a="1"/>
  <c r="J107" i="4" s="1"/>
  <c r="K107" i="4" s="1" a="1"/>
  <c r="K107" i="4" s="1"/>
  <c r="H110" i="4"/>
  <c r="I110" i="4"/>
  <c r="J110" i="4" s="1" a="1"/>
  <c r="J110" i="4" s="1"/>
  <c r="K110" i="4" s="1" a="1"/>
  <c r="K110" i="4" s="1"/>
  <c r="F119" i="4"/>
  <c r="J123" i="4" a="1"/>
  <c r="J123" i="4" s="1"/>
  <c r="K123" i="4" s="1" a="1"/>
  <c r="K123" i="4" s="1"/>
  <c r="J131" i="4" a="1"/>
  <c r="J131" i="4" s="1"/>
  <c r="K131" i="4" s="1" a="1"/>
  <c r="K131" i="4" s="1"/>
  <c r="F135" i="4"/>
  <c r="F138" i="4"/>
  <c r="J139" i="4" a="1"/>
  <c r="J139" i="4" s="1"/>
  <c r="K139" i="4" s="1" a="1"/>
  <c r="K139" i="4" s="1"/>
  <c r="F146" i="4"/>
  <c r="J148" i="4" a="1"/>
  <c r="J148" i="4" s="1"/>
  <c r="K148" i="4" s="1" a="1"/>
  <c r="K148" i="4" s="1"/>
  <c r="F150" i="4"/>
  <c r="J155" i="4" a="1"/>
  <c r="J155" i="4" s="1"/>
  <c r="K155" i="4" s="1" a="1"/>
  <c r="K155" i="4" s="1"/>
  <c r="H159" i="4"/>
  <c r="J163" i="4" a="1"/>
  <c r="J163" i="4" s="1"/>
  <c r="K163" i="4" s="1" a="1"/>
  <c r="K163" i="4" s="1"/>
  <c r="J172" i="4" a="1"/>
  <c r="J172" i="4" s="1"/>
  <c r="K172" i="4" s="1" a="1"/>
  <c r="K172" i="4" s="1"/>
  <c r="J183" i="4" a="1"/>
  <c r="J183" i="4" s="1"/>
  <c r="K183" i="4" s="1" a="1"/>
  <c r="K183" i="4" s="1"/>
  <c r="J191" i="4" a="1"/>
  <c r="J191" i="4" s="1"/>
  <c r="K191" i="4" s="1" a="1"/>
  <c r="K191" i="4" s="1"/>
  <c r="J194" i="4" a="1"/>
  <c r="J194" i="4" s="1"/>
  <c r="K194" i="4" s="1" a="1"/>
  <c r="K194" i="4" s="1"/>
  <c r="H196" i="4"/>
  <c r="J199" i="4" a="1"/>
  <c r="J199" i="4" s="1"/>
  <c r="K199" i="4" s="1" a="1"/>
  <c r="K199" i="4" s="1"/>
  <c r="J207" i="4" a="1"/>
  <c r="J207" i="4" s="1"/>
  <c r="K207" i="4" s="1" a="1"/>
  <c r="K207" i="4" s="1"/>
  <c r="H219" i="4"/>
  <c r="F221" i="4"/>
  <c r="F223" i="4"/>
  <c r="H226" i="4"/>
  <c r="H228" i="4"/>
  <c r="J231" i="4" a="1"/>
  <c r="J231" i="4" s="1"/>
  <c r="K231" i="4" s="1" a="1"/>
  <c r="K231" i="4" s="1"/>
  <c r="J239" i="4" a="1"/>
  <c r="J239" i="4" s="1"/>
  <c r="K239" i="4" s="1" a="1"/>
  <c r="K239" i="4" s="1"/>
  <c r="F246" i="4"/>
  <c r="J247" i="4" a="1"/>
  <c r="J247" i="4" s="1"/>
  <c r="K247" i="4" s="1" a="1"/>
  <c r="K247" i="4" s="1"/>
  <c r="H250" i="4"/>
  <c r="J253" i="4" a="1"/>
  <c r="J253" i="4" s="1"/>
  <c r="K253" i="4" s="1" a="1"/>
  <c r="K253" i="4" s="1"/>
  <c r="H254" i="4"/>
  <c r="H83" i="4"/>
  <c r="I108" i="4"/>
  <c r="I124" i="4"/>
  <c r="I214" i="4"/>
  <c r="I257" i="4"/>
  <c r="H286" i="4"/>
  <c r="I354" i="4"/>
  <c r="I386" i="4"/>
  <c r="I442" i="4"/>
  <c r="J459" i="4" a="1"/>
  <c r="J459" i="4" s="1"/>
  <c r="K459" i="4" s="1" a="1"/>
  <c r="K459" i="4" s="1"/>
  <c r="J461" i="4" a="1"/>
  <c r="J461" i="4" s="1"/>
  <c r="K461" i="4" s="1" a="1"/>
  <c r="K461" i="4" s="1"/>
  <c r="I480" i="4"/>
  <c r="J488" i="4" a="1"/>
  <c r="J488" i="4" s="1"/>
  <c r="K488" i="4" s="1" a="1"/>
  <c r="K488" i="4" s="1"/>
  <c r="J492" i="4" a="1"/>
  <c r="J492" i="4" s="1"/>
  <c r="K492" i="4" s="1" a="1"/>
  <c r="K492" i="4" s="1"/>
  <c r="H545" i="4"/>
  <c r="F247" i="4"/>
  <c r="H249" i="4"/>
  <c r="F256" i="4"/>
  <c r="F257" i="4"/>
  <c r="H260" i="4"/>
  <c r="J263" i="4" a="1"/>
  <c r="J263" i="4" s="1"/>
  <c r="K263" i="4" s="1" a="1"/>
  <c r="K263" i="4" s="1"/>
  <c r="H266" i="4"/>
  <c r="J269" i="4" a="1"/>
  <c r="J269" i="4" s="1"/>
  <c r="K269" i="4" s="1" a="1"/>
  <c r="K269" i="4" s="1"/>
  <c r="H270" i="4"/>
  <c r="J271" i="4" a="1"/>
  <c r="J271" i="4" s="1"/>
  <c r="K271" i="4" s="1" a="1"/>
  <c r="K271" i="4" s="1"/>
  <c r="F278" i="4"/>
  <c r="F280" i="4"/>
  <c r="H282" i="4"/>
  <c r="H284" i="4"/>
  <c r="F288" i="4"/>
  <c r="H289" i="4"/>
  <c r="I289" i="4"/>
  <c r="F290" i="4"/>
  <c r="F295" i="4"/>
  <c r="J297" i="4" a="1"/>
  <c r="J297" i="4" s="1"/>
  <c r="K297" i="4" s="1" a="1"/>
  <c r="K297" i="4" s="1"/>
  <c r="H299" i="4"/>
  <c r="F301" i="4"/>
  <c r="H304" i="4"/>
  <c r="H305" i="4"/>
  <c r="H306" i="4"/>
  <c r="I306" i="4"/>
  <c r="F307" i="4"/>
  <c r="H313" i="4"/>
  <c r="H314" i="4"/>
  <c r="F316" i="4"/>
  <c r="F318" i="4"/>
  <c r="F327" i="4"/>
  <c r="H331" i="4"/>
  <c r="J334" i="4" a="1"/>
  <c r="J334" i="4" s="1"/>
  <c r="K334" i="4" s="1" a="1"/>
  <c r="K334" i="4" s="1"/>
  <c r="F335" i="4"/>
  <c r="F336" i="4"/>
  <c r="J337" i="4" a="1"/>
  <c r="J337" i="4" s="1"/>
  <c r="K337" i="4" s="1" a="1"/>
  <c r="K337" i="4" s="1"/>
  <c r="H340" i="4"/>
  <c r="J343" i="4" a="1"/>
  <c r="J343" i="4" s="1"/>
  <c r="K343" i="4" s="1" a="1"/>
  <c r="K343" i="4" s="1"/>
  <c r="J349" i="4" a="1"/>
  <c r="J349" i="4" s="1"/>
  <c r="K349" i="4" s="1" a="1"/>
  <c r="K349" i="4" s="1"/>
  <c r="H350" i="4"/>
  <c r="F352" i="4"/>
  <c r="J353" i="4" a="1"/>
  <c r="J353" i="4" s="1"/>
  <c r="K353" i="4" s="1" a="1"/>
  <c r="K353" i="4" s="1"/>
  <c r="F359" i="4"/>
  <c r="J365" i="4" a="1"/>
  <c r="J365" i="4" s="1"/>
  <c r="K365" i="4" s="1" a="1"/>
  <c r="K365" i="4" s="1"/>
  <c r="H366" i="4"/>
  <c r="F377" i="4"/>
  <c r="H378" i="4"/>
  <c r="I378" i="4"/>
  <c r="F379" i="4"/>
  <c r="J383" i="4" a="1"/>
  <c r="J383" i="4" s="1"/>
  <c r="K383" i="4" s="1" a="1"/>
  <c r="K383" i="4" s="1"/>
  <c r="F390" i="4"/>
  <c r="J392" i="4" a="1"/>
  <c r="J392" i="4" s="1"/>
  <c r="K392" i="4" s="1" a="1"/>
  <c r="K392" i="4" s="1"/>
  <c r="H393" i="4"/>
  <c r="F396" i="4"/>
  <c r="J399" i="4" a="1"/>
  <c r="J399" i="4" s="1"/>
  <c r="K399" i="4" s="1" a="1"/>
  <c r="K399" i="4" s="1"/>
  <c r="F401" i="4"/>
  <c r="J413" i="4" a="1"/>
  <c r="J413" i="4" s="1"/>
  <c r="K413" i="4" s="1" a="1"/>
  <c r="K413" i="4" s="1"/>
  <c r="J416" i="4" a="1"/>
  <c r="J416" i="4" s="1"/>
  <c r="K416" i="4" s="1" a="1"/>
  <c r="K416" i="4" s="1"/>
  <c r="J421" i="4" a="1"/>
  <c r="J421" i="4" s="1"/>
  <c r="K421" i="4" s="1" a="1"/>
  <c r="K421" i="4" s="1"/>
  <c r="J424" i="4" a="1"/>
  <c r="J424" i="4" s="1"/>
  <c r="K424" i="4" s="1" a="1"/>
  <c r="K424" i="4" s="1"/>
  <c r="J429" i="4" a="1"/>
  <c r="J429" i="4" s="1"/>
  <c r="K429" i="4" s="1" a="1"/>
  <c r="K429" i="4" s="1"/>
  <c r="H433" i="4"/>
  <c r="F435" i="4"/>
  <c r="F436" i="4"/>
  <c r="J437" i="4" a="1"/>
  <c r="J437" i="4" s="1"/>
  <c r="K437" i="4" s="1" a="1"/>
  <c r="K437" i="4" s="1"/>
  <c r="F444" i="4"/>
  <c r="J445" i="4" a="1"/>
  <c r="J445" i="4" s="1"/>
  <c r="K445" i="4" s="1" a="1"/>
  <c r="K445" i="4" s="1"/>
  <c r="J449" i="4" a="1"/>
  <c r="J449" i="4" s="1"/>
  <c r="K449" i="4" s="1" a="1"/>
  <c r="K449" i="4" s="1"/>
  <c r="J452" i="4" a="1"/>
  <c r="J452" i="4" s="1"/>
  <c r="K452" i="4" s="1" a="1"/>
  <c r="K452" i="4" s="1"/>
  <c r="J455" i="4" a="1"/>
  <c r="J455" i="4" s="1"/>
  <c r="K455" i="4" s="1" a="1"/>
  <c r="K455" i="4" s="1"/>
  <c r="J460" i="4" a="1"/>
  <c r="J460" i="4" s="1"/>
  <c r="K460" i="4" s="1" a="1"/>
  <c r="K460" i="4" s="1"/>
  <c r="H462" i="4"/>
  <c r="I462" i="4"/>
  <c r="F463" i="4"/>
  <c r="J465" i="4" a="1"/>
  <c r="J465" i="4" s="1"/>
  <c r="K465" i="4" s="1" a="1"/>
  <c r="K465" i="4" s="1"/>
  <c r="J467" i="4" a="1"/>
  <c r="J467" i="4" s="1"/>
  <c r="K467" i="4" s="1" a="1"/>
  <c r="K467" i="4" s="1"/>
  <c r="J469" i="4" a="1"/>
  <c r="J469" i="4" s="1"/>
  <c r="K469" i="4" s="1" a="1"/>
  <c r="K469" i="4" s="1"/>
  <c r="J472" i="4" a="1"/>
  <c r="J472" i="4" s="1"/>
  <c r="K472" i="4" s="1" a="1"/>
  <c r="K472" i="4" s="1"/>
  <c r="H474" i="4"/>
  <c r="F480" i="4"/>
  <c r="J483" i="4" a="1"/>
  <c r="J483" i="4" s="1"/>
  <c r="K483" i="4" s="1" a="1"/>
  <c r="K483" i="4" s="1"/>
  <c r="F487" i="4"/>
  <c r="H489" i="4"/>
  <c r="J493" i="4" a="1"/>
  <c r="J493" i="4" s="1"/>
  <c r="K493" i="4" s="1" a="1"/>
  <c r="K493" i="4" s="1"/>
  <c r="F496" i="4"/>
  <c r="J497" i="4" a="1"/>
  <c r="J497" i="4" s="1"/>
  <c r="K497" i="4" s="1" a="1"/>
  <c r="K497" i="4" s="1"/>
  <c r="J506" i="4" a="1"/>
  <c r="J506" i="4" s="1"/>
  <c r="K506" i="4" s="1" a="1"/>
  <c r="K506" i="4" s="1"/>
  <c r="H509" i="4"/>
  <c r="J512" i="4" a="1"/>
  <c r="J512" i="4" s="1"/>
  <c r="K512" i="4" s="1" a="1"/>
  <c r="K512" i="4" s="1"/>
  <c r="F516" i="4"/>
  <c r="F520" i="4"/>
  <c r="H521" i="4"/>
  <c r="H523" i="4"/>
  <c r="H524" i="4"/>
  <c r="H525" i="4"/>
  <c r="H530" i="4"/>
  <c r="H534" i="4"/>
  <c r="F536" i="4"/>
  <c r="H537" i="4"/>
  <c r="J549" i="4" a="1"/>
  <c r="J549" i="4" s="1"/>
  <c r="K549" i="4" s="1" a="1"/>
  <c r="K549" i="4" s="1"/>
  <c r="F554" i="4"/>
  <c r="F555" i="4"/>
  <c r="F556" i="4"/>
  <c r="F560" i="4"/>
  <c r="J562" i="4" a="1"/>
  <c r="J562" i="4" s="1"/>
  <c r="K562" i="4" s="1" a="1"/>
  <c r="K562" i="4" s="1"/>
  <c r="H563" i="4"/>
  <c r="H564" i="4"/>
  <c r="H565" i="4"/>
  <c r="F570" i="4"/>
  <c r="F571" i="4"/>
  <c r="F572" i="4"/>
  <c r="F576" i="4"/>
  <c r="H579" i="4"/>
  <c r="H580" i="4"/>
  <c r="H581" i="4"/>
  <c r="J584" i="4" a="1"/>
  <c r="J584" i="4" s="1"/>
  <c r="K584" i="4" s="1" a="1"/>
  <c r="K584" i="4" s="1"/>
  <c r="J587" i="4" a="1"/>
  <c r="J587" i="4" s="1"/>
  <c r="K587" i="4" s="1" a="1"/>
  <c r="K587" i="4" s="1"/>
  <c r="J589" i="4" a="1"/>
  <c r="J589" i="4" s="1"/>
  <c r="K589" i="4" s="1" a="1"/>
  <c r="K589" i="4" s="1"/>
  <c r="H592" i="4"/>
  <c r="J597" i="4" a="1"/>
  <c r="J597" i="4" s="1"/>
  <c r="K597" i="4" s="1" a="1"/>
  <c r="K597" i="4" s="1"/>
  <c r="F599" i="4"/>
  <c r="J601" i="4" a="1"/>
  <c r="J601" i="4" s="1"/>
  <c r="K601" i="4" s="1" a="1"/>
  <c r="K601" i="4" s="1"/>
  <c r="F607" i="4"/>
  <c r="H608" i="4"/>
  <c r="I608" i="4"/>
  <c r="F609" i="4"/>
  <c r="J625" i="4" a="1"/>
  <c r="J625" i="4" s="1"/>
  <c r="K625" i="4" s="1" a="1"/>
  <c r="K625" i="4" s="1"/>
  <c r="H626" i="4"/>
  <c r="F656" i="4"/>
  <c r="J294" i="4" a="1"/>
  <c r="J294" i="4" s="1"/>
  <c r="K294" i="4" s="1" a="1"/>
  <c r="K294" i="4" s="1"/>
  <c r="J300" i="4" a="1"/>
  <c r="J300" i="4" s="1"/>
  <c r="K300" i="4" s="1" a="1"/>
  <c r="K300" i="4" s="1"/>
  <c r="J314" i="4" a="1"/>
  <c r="J314" i="4" s="1"/>
  <c r="K314" i="4" s="1" a="1"/>
  <c r="K314" i="4" s="1"/>
  <c r="J320" i="4" a="1"/>
  <c r="J320" i="4" s="1"/>
  <c r="K320" i="4" s="1" a="1"/>
  <c r="K320" i="4" s="1"/>
  <c r="J326" i="4" a="1"/>
  <c r="J326" i="4" s="1"/>
  <c r="K326" i="4" s="1" a="1"/>
  <c r="K326" i="4" s="1"/>
  <c r="I330" i="4"/>
  <c r="J355" i="4" a="1"/>
  <c r="J355" i="4" s="1"/>
  <c r="K355" i="4" s="1" a="1"/>
  <c r="K355" i="4" s="1"/>
  <c r="J375" i="4" a="1"/>
  <c r="J375" i="4" s="1"/>
  <c r="K375" i="4" s="1" a="1"/>
  <c r="K375" i="4" s="1"/>
  <c r="I402" i="4"/>
  <c r="J417" i="4" a="1"/>
  <c r="J417" i="4" s="1"/>
  <c r="K417" i="4" s="1" a="1"/>
  <c r="K417" i="4" s="1"/>
  <c r="J425" i="4" a="1"/>
  <c r="J425" i="4" s="1"/>
  <c r="K425" i="4" s="1" a="1"/>
  <c r="K425" i="4" s="1"/>
  <c r="J430" i="4" a="1"/>
  <c r="J430" i="4" s="1"/>
  <c r="K430" i="4" s="1" a="1"/>
  <c r="K430" i="4" s="1"/>
  <c r="H439" i="4"/>
  <c r="J441" i="4" a="1"/>
  <c r="J441" i="4" s="1"/>
  <c r="K441" i="4" s="1" a="1"/>
  <c r="K441" i="4" s="1"/>
  <c r="H441" i="4"/>
  <c r="J450" i="4" a="1"/>
  <c r="J450" i="4" s="1"/>
  <c r="K450" i="4" s="1" a="1"/>
  <c r="K450" i="4" s="1"/>
  <c r="I458" i="4"/>
  <c r="I470" i="4"/>
  <c r="F529" i="4"/>
  <c r="J544" i="4" a="1"/>
  <c r="J544" i="4" s="1"/>
  <c r="K544" i="4" s="1" a="1"/>
  <c r="K544" i="4" s="1"/>
  <c r="J559" i="4" a="1"/>
  <c r="J559" i="4" s="1"/>
  <c r="K559" i="4" s="1" a="1"/>
  <c r="K559" i="4" s="1"/>
  <c r="J565" i="4" a="1"/>
  <c r="J565" i="4" s="1"/>
  <c r="K565" i="4" s="1" a="1"/>
  <c r="K565" i="4" s="1"/>
  <c r="J575" i="4" a="1"/>
  <c r="J575" i="4" s="1"/>
  <c r="K575" i="4" s="1" a="1"/>
  <c r="K575" i="4" s="1"/>
  <c r="J581" i="4" a="1"/>
  <c r="J581" i="4" s="1"/>
  <c r="K581" i="4" s="1" a="1"/>
  <c r="K581" i="4" s="1"/>
  <c r="J606" i="4" a="1"/>
  <c r="J606" i="4" s="1"/>
  <c r="K606" i="4" s="1" a="1"/>
  <c r="K606" i="4" s="1"/>
  <c r="J615" i="4" a="1"/>
  <c r="J615" i="4" s="1"/>
  <c r="K615" i="4" s="1" a="1"/>
  <c r="K615" i="4" s="1"/>
  <c r="H633" i="4"/>
  <c r="F634" i="4"/>
  <c r="H259" i="4"/>
  <c r="J261" i="4" a="1"/>
  <c r="J261" i="4" s="1"/>
  <c r="K261" i="4" s="1" a="1"/>
  <c r="K261" i="4" s="1"/>
  <c r="F263" i="4"/>
  <c r="H265" i="4"/>
  <c r="F271" i="4"/>
  <c r="H276" i="4"/>
  <c r="H280" i="4"/>
  <c r="F284" i="4"/>
  <c r="J285" i="4" a="1"/>
  <c r="J285" i="4" s="1"/>
  <c r="K285" i="4" s="1" a="1"/>
  <c r="K285" i="4" s="1"/>
  <c r="H290" i="4"/>
  <c r="H295" i="4"/>
  <c r="H298" i="4"/>
  <c r="F302" i="4"/>
  <c r="F306" i="4"/>
  <c r="H307" i="4"/>
  <c r="J312" i="4" a="1"/>
  <c r="J312" i="4" s="1"/>
  <c r="K312" i="4" s="1" a="1"/>
  <c r="K312" i="4" s="1"/>
  <c r="F313" i="4"/>
  <c r="H318" i="4"/>
  <c r="I318" i="4"/>
  <c r="J323" i="4" a="1"/>
  <c r="J323" i="4" s="1"/>
  <c r="K323" i="4" s="1" a="1"/>
  <c r="K323" i="4" s="1"/>
  <c r="J338" i="4" a="1"/>
  <c r="J338" i="4" s="1"/>
  <c r="K338" i="4" s="1" a="1"/>
  <c r="K338" i="4" s="1"/>
  <c r="H342" i="4"/>
  <c r="F343" i="4"/>
  <c r="J345" i="4" a="1"/>
  <c r="J345" i="4" s="1"/>
  <c r="K345" i="4" s="1" a="1"/>
  <c r="K345" i="4" s="1"/>
  <c r="F348" i="4"/>
  <c r="F349" i="4"/>
  <c r="H356" i="4"/>
  <c r="F364" i="4"/>
  <c r="F365" i="4"/>
  <c r="F369" i="4"/>
  <c r="H370" i="4"/>
  <c r="I370" i="4"/>
  <c r="F372" i="4"/>
  <c r="F374" i="4"/>
  <c r="H377" i="4"/>
  <c r="F383" i="4"/>
  <c r="J385" i="4" a="1"/>
  <c r="J385" i="4" s="1"/>
  <c r="K385" i="4" s="1" a="1"/>
  <c r="K385" i="4" s="1"/>
  <c r="H388" i="4"/>
  <c r="H390" i="4"/>
  <c r="F397" i="4"/>
  <c r="F406" i="4"/>
  <c r="J414" i="4" a="1"/>
  <c r="J414" i="4" s="1"/>
  <c r="K414" i="4" s="1" a="1"/>
  <c r="K414" i="4" s="1"/>
  <c r="I420" i="4"/>
  <c r="F421" i="4"/>
  <c r="F424" i="4"/>
  <c r="F429" i="4"/>
  <c r="H436" i="4"/>
  <c r="J439" i="4" a="1"/>
  <c r="J439" i="4" s="1"/>
  <c r="K439" i="4" s="1" a="1"/>
  <c r="K439" i="4" s="1"/>
  <c r="F441" i="4"/>
  <c r="J444" i="4" a="1"/>
  <c r="J444" i="4" s="1"/>
  <c r="K444" i="4" s="1" a="1"/>
  <c r="K444" i="4" s="1"/>
  <c r="F445" i="4"/>
  <c r="J447" i="4" a="1"/>
  <c r="J447" i="4" s="1"/>
  <c r="K447" i="4" s="1" a="1"/>
  <c r="K447" i="4" s="1"/>
  <c r="F449" i="4"/>
  <c r="J453" i="4" a="1"/>
  <c r="J453" i="4" s="1"/>
  <c r="K453" i="4" s="1" a="1"/>
  <c r="K453" i="4" s="1"/>
  <c r="F455" i="4"/>
  <c r="H457" i="4"/>
  <c r="F460" i="4"/>
  <c r="H461" i="4"/>
  <c r="J466" i="4" a="1"/>
  <c r="J466" i="4" s="1"/>
  <c r="K466" i="4" s="1" a="1"/>
  <c r="K466" i="4" s="1"/>
  <c r="F467" i="4"/>
  <c r="F469" i="4"/>
  <c r="F472" i="4"/>
  <c r="J474" i="4" a="1"/>
  <c r="J474" i="4" s="1"/>
  <c r="K474" i="4" s="1" a="1"/>
  <c r="K474" i="4" s="1"/>
  <c r="F477" i="4"/>
  <c r="J482" i="4" a="1"/>
  <c r="J482" i="4" s="1"/>
  <c r="K482" i="4" s="1" a="1"/>
  <c r="K482" i="4" s="1"/>
  <c r="J491" i="4" a="1"/>
  <c r="J491" i="4" s="1"/>
  <c r="K491" i="4" s="1" a="1"/>
  <c r="K491" i="4" s="1"/>
  <c r="F493" i="4"/>
  <c r="F503" i="4"/>
  <c r="F508" i="4"/>
  <c r="F512" i="4"/>
  <c r="J513" i="4" a="1"/>
  <c r="J513" i="4" s="1"/>
  <c r="K513" i="4" s="1" a="1"/>
  <c r="K513" i="4" s="1"/>
  <c r="H513" i="4"/>
  <c r="H515" i="4"/>
  <c r="H516" i="4"/>
  <c r="H517" i="4"/>
  <c r="J520" i="4" a="1"/>
  <c r="J520" i="4" s="1"/>
  <c r="K520" i="4" s="1" a="1"/>
  <c r="K520" i="4" s="1"/>
  <c r="J523" i="4" a="1"/>
  <c r="J523" i="4" s="1"/>
  <c r="K523" i="4" s="1" a="1"/>
  <c r="K523" i="4" s="1"/>
  <c r="F524" i="4"/>
  <c r="F528" i="4"/>
  <c r="F534" i="4"/>
  <c r="F537" i="4"/>
  <c r="J541" i="4" a="1"/>
  <c r="J541" i="4" s="1"/>
  <c r="K541" i="4" s="1" a="1"/>
  <c r="K541" i="4" s="1"/>
  <c r="F543" i="4"/>
  <c r="H546" i="4"/>
  <c r="F549" i="4"/>
  <c r="J554" i="4" a="1"/>
  <c r="J554" i="4" s="1"/>
  <c r="K554" i="4" s="1" a="1"/>
  <c r="K554" i="4" s="1"/>
  <c r="H555" i="4"/>
  <c r="H556" i="4"/>
  <c r="H557" i="4"/>
  <c r="F562" i="4"/>
  <c r="F563" i="4"/>
  <c r="F564" i="4"/>
  <c r="F568" i="4"/>
  <c r="J570" i="4" a="1"/>
  <c r="J570" i="4" s="1"/>
  <c r="K570" i="4" s="1" a="1"/>
  <c r="K570" i="4" s="1"/>
  <c r="H571" i="4"/>
  <c r="H572" i="4"/>
  <c r="H573" i="4"/>
  <c r="J576" i="4" a="1"/>
  <c r="J576" i="4" s="1"/>
  <c r="K576" i="4" s="1" a="1"/>
  <c r="K576" i="4" s="1"/>
  <c r="F578" i="4"/>
  <c r="F579" i="4"/>
  <c r="F580" i="4"/>
  <c r="F584" i="4"/>
  <c r="F585" i="4"/>
  <c r="J586" i="4" a="1"/>
  <c r="J586" i="4" s="1"/>
  <c r="K586" i="4" s="1" a="1"/>
  <c r="K586" i="4" s="1"/>
  <c r="F589" i="4"/>
  <c r="J599" i="4" a="1"/>
  <c r="J599" i="4" s="1"/>
  <c r="K599" i="4" s="1" a="1"/>
  <c r="K599" i="4" s="1"/>
  <c r="F602" i="4"/>
  <c r="F603" i="4"/>
  <c r="J604" i="4" a="1"/>
  <c r="J604" i="4" s="1"/>
  <c r="K604" i="4" s="1" a="1"/>
  <c r="K604" i="4" s="1"/>
  <c r="F606" i="4"/>
  <c r="H607" i="4"/>
  <c r="F608" i="4"/>
  <c r="J609" i="4" a="1"/>
  <c r="J609" i="4" s="1"/>
  <c r="K609" i="4" s="1" a="1"/>
  <c r="K609" i="4" s="1"/>
  <c r="H618" i="4"/>
  <c r="F626" i="4"/>
  <c r="H643" i="4"/>
  <c r="F651" i="4"/>
  <c r="H660" i="4"/>
  <c r="J794" i="4" a="1"/>
  <c r="J794" i="4" s="1"/>
  <c r="K794" i="4" s="1" a="1"/>
  <c r="K794" i="4" s="1"/>
  <c r="I813" i="4"/>
  <c r="H628" i="4"/>
  <c r="H632" i="4"/>
  <c r="J636" i="4" a="1"/>
  <c r="J636" i="4" s="1"/>
  <c r="K636" i="4" s="1" a="1"/>
  <c r="K636" i="4" s="1"/>
  <c r="F638" i="4"/>
  <c r="F649" i="4"/>
  <c r="H651" i="4"/>
  <c r="J652" i="4" a="1"/>
  <c r="J652" i="4" s="1"/>
  <c r="K652" i="4" s="1" a="1"/>
  <c r="K652" i="4" s="1"/>
  <c r="H656" i="4"/>
  <c r="H658" i="4"/>
  <c r="H675" i="4"/>
  <c r="H677" i="4"/>
  <c r="F681" i="4"/>
  <c r="F687" i="4"/>
  <c r="F692" i="4"/>
  <c r="J707" i="4" a="1"/>
  <c r="J707" i="4" s="1"/>
  <c r="K707" i="4" s="1" a="1"/>
  <c r="K707" i="4" s="1"/>
  <c r="F717" i="4"/>
  <c r="H718" i="4"/>
  <c r="J721" i="4" a="1"/>
  <c r="J721" i="4" s="1"/>
  <c r="K721" i="4" s="1" a="1"/>
  <c r="K721" i="4" s="1"/>
  <c r="J724" i="4" a="1"/>
  <c r="J724" i="4" s="1"/>
  <c r="K724" i="4" s="1" a="1"/>
  <c r="K724" i="4" s="1"/>
  <c r="J729" i="4" a="1"/>
  <c r="J729" i="4" s="1"/>
  <c r="K729" i="4" s="1" a="1"/>
  <c r="K729" i="4" s="1"/>
  <c r="J732" i="4" a="1"/>
  <c r="J732" i="4" s="1"/>
  <c r="K732" i="4" s="1" a="1"/>
  <c r="K732" i="4" s="1"/>
  <c r="J737" i="4" a="1"/>
  <c r="J737" i="4" s="1"/>
  <c r="K737" i="4" s="1" a="1"/>
  <c r="K737" i="4" s="1"/>
  <c r="J740" i="4" a="1"/>
  <c r="J740" i="4" s="1"/>
  <c r="K740" i="4" s="1" a="1"/>
  <c r="K740" i="4" s="1"/>
  <c r="J745" i="4" a="1"/>
  <c r="J745" i="4" s="1"/>
  <c r="K745" i="4" s="1" a="1"/>
  <c r="K745" i="4" s="1"/>
  <c r="H746" i="4"/>
  <c r="H748" i="4"/>
  <c r="F754" i="4"/>
  <c r="F760" i="4"/>
  <c r="H762" i="4"/>
  <c r="J766" i="4" a="1"/>
  <c r="J766" i="4" s="1"/>
  <c r="K766" i="4" s="1" a="1"/>
  <c r="K766" i="4" s="1"/>
  <c r="J769" i="4" a="1"/>
  <c r="J769" i="4" s="1"/>
  <c r="K769" i="4" s="1" a="1"/>
  <c r="K769" i="4" s="1"/>
  <c r="H771" i="4"/>
  <c r="I771" i="4"/>
  <c r="F772" i="4"/>
  <c r="J774" i="4" a="1"/>
  <c r="J774" i="4" s="1"/>
  <c r="K774" i="4" s="1" a="1"/>
  <c r="K774" i="4" s="1"/>
  <c r="J777" i="4" a="1"/>
  <c r="J777" i="4" s="1"/>
  <c r="K777" i="4" s="1" a="1"/>
  <c r="K777" i="4" s="1"/>
  <c r="H780" i="4"/>
  <c r="J782" i="4" a="1"/>
  <c r="J782" i="4" s="1"/>
  <c r="K782" i="4" s="1" a="1"/>
  <c r="K782" i="4" s="1"/>
  <c r="H786" i="4"/>
  <c r="F789" i="4"/>
  <c r="J790" i="4" a="1"/>
  <c r="J790" i="4" s="1"/>
  <c r="K790" i="4" s="1" a="1"/>
  <c r="K790" i="4" s="1"/>
  <c r="H793" i="4"/>
  <c r="H797" i="4"/>
  <c r="F799" i="4"/>
  <c r="J801" i="4" a="1"/>
  <c r="J801" i="4" s="1"/>
  <c r="K801" i="4" s="1" a="1"/>
  <c r="K801" i="4" s="1"/>
  <c r="F803" i="4"/>
  <c r="F812" i="4"/>
  <c r="H821" i="4"/>
  <c r="F823" i="4"/>
  <c r="F826" i="4"/>
  <c r="H827" i="4"/>
  <c r="J835" i="4" a="1"/>
  <c r="J835" i="4" s="1"/>
  <c r="K835" i="4" s="1" a="1"/>
  <c r="K835" i="4" s="1"/>
  <c r="H835" i="4"/>
  <c r="F837" i="4"/>
  <c r="F842" i="4"/>
  <c r="J851" i="4" a="1"/>
  <c r="J851" i="4" s="1"/>
  <c r="K851" i="4" s="1" a="1"/>
  <c r="K851" i="4" s="1"/>
  <c r="J855" i="4" a="1"/>
  <c r="J855" i="4" s="1"/>
  <c r="K855" i="4" s="1" a="1"/>
  <c r="K855" i="4" s="1"/>
  <c r="F867" i="4"/>
  <c r="J641" i="4" a="1"/>
  <c r="J641" i="4" s="1"/>
  <c r="K641" i="4" s="1" a="1"/>
  <c r="K641" i="4" s="1"/>
  <c r="J644" i="4" a="1"/>
  <c r="J644" i="4" s="1"/>
  <c r="K644" i="4" s="1" a="1"/>
  <c r="K644" i="4" s="1"/>
  <c r="F646" i="4"/>
  <c r="J648" i="4" a="1"/>
  <c r="J648" i="4" s="1"/>
  <c r="K648" i="4" s="1" a="1"/>
  <c r="K648" i="4" s="1"/>
  <c r="F650" i="4"/>
  <c r="H653" i="4"/>
  <c r="F658" i="4"/>
  <c r="J659" i="4" a="1"/>
  <c r="J659" i="4" s="1"/>
  <c r="K659" i="4" s="1" a="1"/>
  <c r="K659" i="4" s="1"/>
  <c r="H662" i="4"/>
  <c r="I662" i="4"/>
  <c r="F663" i="4"/>
  <c r="J667" i="4" a="1"/>
  <c r="J667" i="4" s="1"/>
  <c r="K667" i="4" s="1" a="1"/>
  <c r="K667" i="4" s="1"/>
  <c r="H668" i="4"/>
  <c r="F669" i="4"/>
  <c r="H670" i="4"/>
  <c r="I675" i="4"/>
  <c r="F676" i="4"/>
  <c r="J680" i="4" a="1"/>
  <c r="J680" i="4" s="1"/>
  <c r="K680" i="4" s="1" a="1"/>
  <c r="K680" i="4" s="1"/>
  <c r="F682" i="4"/>
  <c r="J684" i="4" a="1"/>
  <c r="J684" i="4" s="1"/>
  <c r="K684" i="4" s="1" a="1"/>
  <c r="K684" i="4" s="1"/>
  <c r="J689" i="4" a="1"/>
  <c r="J689" i="4" s="1"/>
  <c r="K689" i="4" s="1" a="1"/>
  <c r="K689" i="4" s="1"/>
  <c r="F691" i="4"/>
  <c r="H692" i="4"/>
  <c r="F695" i="4"/>
  <c r="J696" i="4" a="1"/>
  <c r="J696" i="4" s="1"/>
  <c r="K696" i="4" s="1" a="1"/>
  <c r="K696" i="4" s="1"/>
  <c r="J699" i="4" a="1"/>
  <c r="J699" i="4" s="1"/>
  <c r="K699" i="4" s="1" a="1"/>
  <c r="K699" i="4" s="1"/>
  <c r="F709" i="4"/>
  <c r="H710" i="4"/>
  <c r="J713" i="4" a="1"/>
  <c r="J713" i="4" s="1"/>
  <c r="K713" i="4" s="1" a="1"/>
  <c r="K713" i="4" s="1"/>
  <c r="F715" i="4"/>
  <c r="J716" i="4" a="1"/>
  <c r="J716" i="4" s="1"/>
  <c r="K716" i="4" s="1" a="1"/>
  <c r="K716" i="4" s="1"/>
  <c r="F718" i="4"/>
  <c r="H720" i="4"/>
  <c r="F724" i="4"/>
  <c r="F726" i="4"/>
  <c r="H728" i="4"/>
  <c r="F732" i="4"/>
  <c r="H736" i="4"/>
  <c r="F740" i="4"/>
  <c r="H744" i="4"/>
  <c r="J746" i="4" a="1"/>
  <c r="J746" i="4" s="1"/>
  <c r="K746" i="4" s="1" a="1"/>
  <c r="K746" i="4" s="1"/>
  <c r="H776" i="4"/>
  <c r="J798" i="4" a="1"/>
  <c r="J798" i="4" s="1"/>
  <c r="K798" i="4" s="1" a="1"/>
  <c r="K798" i="4" s="1"/>
  <c r="F810" i="4"/>
  <c r="F813" i="4"/>
  <c r="J814" i="4" a="1"/>
  <c r="J814" i="4" s="1"/>
  <c r="K814" i="4" s="1" a="1"/>
  <c r="K814" i="4" s="1"/>
  <c r="H818" i="4"/>
  <c r="F820" i="4"/>
  <c r="J822" i="4" a="1"/>
  <c r="J822" i="4" s="1"/>
  <c r="K822" i="4" s="1" a="1"/>
  <c r="K822" i="4" s="1"/>
  <c r="F830" i="4"/>
  <c r="J832" i="4" a="1"/>
  <c r="J832" i="4" s="1"/>
  <c r="K832" i="4" s="1" a="1"/>
  <c r="K832" i="4" s="1"/>
  <c r="F843" i="4"/>
  <c r="J852" i="4" a="1"/>
  <c r="J852" i="4" s="1"/>
  <c r="K852" i="4" s="1" a="1"/>
  <c r="K852" i="4" s="1"/>
  <c r="I864" i="4"/>
  <c r="J864" i="4" s="1" a="1"/>
  <c r="J864" i="4" s="1"/>
  <c r="K864" i="4" s="1" a="1"/>
  <c r="K864" i="4" s="1"/>
  <c r="J866" i="4" a="1"/>
  <c r="J866" i="4" s="1"/>
  <c r="K866" i="4" s="1" a="1"/>
  <c r="K866" i="4" s="1"/>
  <c r="J875" i="4" a="1"/>
  <c r="J875" i="4" s="1"/>
  <c r="K875" i="4" s="1" a="1"/>
  <c r="K875" i="4" s="1"/>
  <c r="H879" i="4"/>
  <c r="I884" i="4"/>
  <c r="J668" i="4" a="1"/>
  <c r="J668" i="4" s="1"/>
  <c r="K668" i="4" s="1" a="1"/>
  <c r="K668" i="4" s="1"/>
  <c r="J673" i="4" a="1"/>
  <c r="J673" i="4" s="1"/>
  <c r="K673" i="4" s="1" a="1"/>
  <c r="K673" i="4" s="1"/>
  <c r="H676" i="4"/>
  <c r="H691" i="4"/>
  <c r="J692" i="4" a="1"/>
  <c r="J692" i="4" s="1"/>
  <c r="K692" i="4" s="1" a="1"/>
  <c r="K692" i="4" s="1"/>
  <c r="H697" i="4"/>
  <c r="J705" i="4" a="1"/>
  <c r="J705" i="4" s="1"/>
  <c r="K705" i="4" s="1" a="1"/>
  <c r="K705" i="4" s="1"/>
  <c r="J708" i="4" a="1"/>
  <c r="J708" i="4" s="1"/>
  <c r="K708" i="4" s="1" a="1"/>
  <c r="K708" i="4" s="1"/>
  <c r="F710" i="4"/>
  <c r="H712" i="4"/>
  <c r="F716" i="4"/>
  <c r="F722" i="4"/>
  <c r="J723" i="4" a="1"/>
  <c r="J723" i="4" s="1"/>
  <c r="K723" i="4" s="1" a="1"/>
  <c r="K723" i="4" s="1"/>
  <c r="F730" i="4"/>
  <c r="J731" i="4" a="1"/>
  <c r="J731" i="4" s="1"/>
  <c r="K731" i="4" s="1" a="1"/>
  <c r="K731" i="4" s="1"/>
  <c r="F738" i="4"/>
  <c r="J739" i="4" a="1"/>
  <c r="J739" i="4" s="1"/>
  <c r="K739" i="4" s="1" a="1"/>
  <c r="K739" i="4" s="1"/>
  <c r="F746" i="4"/>
  <c r="J747" i="4" a="1"/>
  <c r="J747" i="4" s="1"/>
  <c r="K747" i="4" s="1" a="1"/>
  <c r="K747" i="4" s="1"/>
  <c r="F751" i="4"/>
  <c r="J752" i="4" a="1"/>
  <c r="J752" i="4" s="1"/>
  <c r="K752" i="4" s="1" a="1"/>
  <c r="K752" i="4" s="1"/>
  <c r="H753" i="4"/>
  <c r="J754" i="4" a="1"/>
  <c r="J754" i="4" s="1"/>
  <c r="K754" i="4" s="1" a="1"/>
  <c r="K754" i="4" s="1"/>
  <c r="H757" i="4"/>
  <c r="H760" i="4"/>
  <c r="J768" i="4" a="1"/>
  <c r="J768" i="4" s="1"/>
  <c r="K768" i="4" s="1" a="1"/>
  <c r="K768" i="4" s="1"/>
  <c r="F778" i="4"/>
  <c r="F782" i="4"/>
  <c r="I789" i="4"/>
  <c r="J792" i="4" a="1"/>
  <c r="J792" i="4" s="1"/>
  <c r="K792" i="4" s="1" a="1"/>
  <c r="K792" i="4" s="1"/>
  <c r="F827" i="4"/>
  <c r="H829" i="4"/>
  <c r="H830" i="4"/>
  <c r="F834" i="4"/>
  <c r="J842" i="4" a="1"/>
  <c r="J842" i="4" s="1"/>
  <c r="K842" i="4" s="1" a="1"/>
  <c r="K842" i="4" s="1"/>
  <c r="H852" i="4"/>
  <c r="F853" i="4"/>
  <c r="J854" i="4" a="1"/>
  <c r="J854" i="4" s="1"/>
  <c r="K854" i="4" s="1" a="1"/>
  <c r="K854" i="4" s="1"/>
  <c r="F855" i="4"/>
  <c r="J856" i="4" a="1"/>
  <c r="J856" i="4" s="1"/>
  <c r="K856" i="4" s="1" a="1"/>
  <c r="K856" i="4" s="1"/>
  <c r="F857" i="4"/>
  <c r="H889" i="4"/>
  <c r="I889" i="4"/>
  <c r="J937" i="4" a="1"/>
  <c r="J937" i="4" s="1"/>
  <c r="K937" i="4" s="1" a="1"/>
  <c r="K937" i="4" s="1"/>
  <c r="J939" i="4" a="1"/>
  <c r="J939" i="4" s="1"/>
  <c r="K939" i="4" s="1" a="1"/>
  <c r="K939" i="4" s="1"/>
  <c r="J975" i="4" a="1"/>
  <c r="J975" i="4" s="1"/>
  <c r="K975" i="4" s="1" a="1"/>
  <c r="K975" i="4" s="1"/>
  <c r="J977" i="4" a="1"/>
  <c r="J977" i="4" s="1"/>
  <c r="K977" i="4" s="1" a="1"/>
  <c r="K977" i="4" s="1"/>
  <c r="J989" i="4" a="1"/>
  <c r="J989" i="4" s="1"/>
  <c r="K989" i="4" s="1" a="1"/>
  <c r="K989" i="4" s="1"/>
  <c r="J999" i="4" a="1"/>
  <c r="J999" i="4" s="1"/>
  <c r="K999" i="4" s="1" a="1"/>
  <c r="K999" i="4" s="1"/>
  <c r="J1009" i="4" a="1"/>
  <c r="J1009" i="4" s="1"/>
  <c r="K1009" i="4" s="1" a="1"/>
  <c r="K1009" i="4" s="1"/>
  <c r="J1023" i="4" a="1"/>
  <c r="J1023" i="4" s="1"/>
  <c r="K1023" i="4" s="1" a="1"/>
  <c r="K1023" i="4" s="1"/>
  <c r="J1042" i="4" a="1"/>
  <c r="J1042" i="4" s="1"/>
  <c r="K1042" i="4" s="1" a="1"/>
  <c r="K1042" i="4" s="1"/>
  <c r="J1046" i="4" a="1"/>
  <c r="J1046" i="4" s="1"/>
  <c r="K1046" i="4" s="1" a="1"/>
  <c r="K1046" i="4" s="1"/>
  <c r="J1057" i="4" a="1"/>
  <c r="J1057" i="4" s="1"/>
  <c r="K1057" i="4" s="1" a="1"/>
  <c r="K1057" i="4" s="1"/>
  <c r="I1059" i="4"/>
  <c r="J1066" i="4" a="1"/>
  <c r="J1066" i="4" s="1"/>
  <c r="K1066" i="4" s="1" a="1"/>
  <c r="K1066" i="4" s="1"/>
  <c r="H1074" i="4"/>
  <c r="J863" i="4" a="1"/>
  <c r="J863" i="4" s="1"/>
  <c r="K863" i="4" s="1" a="1"/>
  <c r="K863" i="4" s="1"/>
  <c r="H865" i="4"/>
  <c r="F869" i="4"/>
  <c r="J871" i="4" a="1"/>
  <c r="J871" i="4" s="1"/>
  <c r="K871" i="4" s="1" a="1"/>
  <c r="K871" i="4" s="1"/>
  <c r="J872" i="4" a="1"/>
  <c r="J872" i="4" s="1"/>
  <c r="K872" i="4" s="1" a="1"/>
  <c r="K872" i="4" s="1"/>
  <c r="F876" i="4"/>
  <c r="J878" i="4" a="1"/>
  <c r="J878" i="4" s="1"/>
  <c r="K878" i="4" s="1" a="1"/>
  <c r="K878" i="4" s="1"/>
  <c r="F881" i="4"/>
  <c r="F886" i="4"/>
  <c r="F888" i="4"/>
  <c r="F900" i="4"/>
  <c r="J907" i="4" a="1"/>
  <c r="J907" i="4" s="1"/>
  <c r="K907" i="4" s="1" a="1"/>
  <c r="K907" i="4" s="1"/>
  <c r="J910" i="4" a="1"/>
  <c r="J910" i="4" s="1"/>
  <c r="K910" i="4" s="1" a="1"/>
  <c r="K910" i="4" s="1"/>
  <c r="J912" i="4" a="1"/>
  <c r="J912" i="4" s="1"/>
  <c r="K912" i="4" s="1" a="1"/>
  <c r="K912" i="4" s="1"/>
  <c r="F913" i="4"/>
  <c r="F919" i="4"/>
  <c r="H920" i="4"/>
  <c r="F947" i="4"/>
  <c r="J949" i="4" a="1"/>
  <c r="J949" i="4" s="1"/>
  <c r="K949" i="4" s="1" a="1"/>
  <c r="K949" i="4" s="1"/>
  <c r="F950" i="4"/>
  <c r="F955" i="4"/>
  <c r="F958" i="4"/>
  <c r="F963" i="4"/>
  <c r="F966" i="4"/>
  <c r="F971" i="4"/>
  <c r="H975" i="4"/>
  <c r="F976" i="4"/>
  <c r="F982" i="4"/>
  <c r="J984" i="4" a="1"/>
  <c r="J984" i="4" s="1"/>
  <c r="K984" i="4" s="1" a="1"/>
  <c r="K984" i="4" s="1"/>
  <c r="F986" i="4"/>
  <c r="F988" i="4"/>
  <c r="F991" i="4"/>
  <c r="F998" i="4"/>
  <c r="F1005" i="4"/>
  <c r="F1006" i="4"/>
  <c r="H1016" i="4"/>
  <c r="I1016" i="4"/>
  <c r="F1019" i="4"/>
  <c r="H1021" i="4"/>
  <c r="J1024" i="4" a="1"/>
  <c r="J1024" i="4" s="1"/>
  <c r="K1024" i="4" s="1" a="1"/>
  <c r="K1024" i="4" s="1"/>
  <c r="F1026" i="4"/>
  <c r="J1030" i="4" a="1"/>
  <c r="J1030" i="4" s="1"/>
  <c r="K1030" i="4" s="1" a="1"/>
  <c r="K1030" i="4" s="1"/>
  <c r="H1032" i="4"/>
  <c r="I1032" i="4"/>
  <c r="F1035" i="4"/>
  <c r="F1039" i="4"/>
  <c r="H1040" i="4"/>
  <c r="I1086" i="4"/>
  <c r="J891" i="4" a="1"/>
  <c r="J891" i="4" s="1"/>
  <c r="K891" i="4" s="1" a="1"/>
  <c r="K891" i="4" s="1"/>
  <c r="H902" i="4"/>
  <c r="J904" i="4" a="1"/>
  <c r="J904" i="4" s="1"/>
  <c r="K904" i="4" s="1" a="1"/>
  <c r="K904" i="4" s="1"/>
  <c r="J915" i="4" a="1"/>
  <c r="J915" i="4" s="1"/>
  <c r="K915" i="4" s="1" a="1"/>
  <c r="K915" i="4" s="1"/>
  <c r="J921" i="4" a="1"/>
  <c r="J921" i="4" s="1"/>
  <c r="K921" i="4" s="1" a="1"/>
  <c r="K921" i="4" s="1"/>
  <c r="I930" i="4"/>
  <c r="I983" i="4"/>
  <c r="J983" i="4" s="1" a="1"/>
  <c r="J983" i="4" s="1"/>
  <c r="K983" i="4" s="1" a="1"/>
  <c r="K983" i="4" s="1"/>
  <c r="F872" i="4"/>
  <c r="J873" i="4" a="1"/>
  <c r="J873" i="4" s="1"/>
  <c r="K873" i="4" s="1" a="1"/>
  <c r="K873" i="4" s="1"/>
  <c r="H876" i="4"/>
  <c r="H880" i="4"/>
  <c r="H881" i="4"/>
  <c r="J883" i="4" a="1"/>
  <c r="J883" i="4" s="1"/>
  <c r="K883" i="4" s="1" a="1"/>
  <c r="K883" i="4" s="1"/>
  <c r="H886" i="4"/>
  <c r="F887" i="4"/>
  <c r="H888" i="4"/>
  <c r="J895" i="4" a="1"/>
  <c r="J895" i="4" s="1"/>
  <c r="K895" i="4" s="1" a="1"/>
  <c r="K895" i="4" s="1"/>
  <c r="H897" i="4"/>
  <c r="F899" i="4"/>
  <c r="H900" i="4"/>
  <c r="I900" i="4"/>
  <c r="F901" i="4"/>
  <c r="J905" i="4" a="1"/>
  <c r="J905" i="4" s="1"/>
  <c r="K905" i="4" s="1" a="1"/>
  <c r="K905" i="4" s="1"/>
  <c r="J911" i="4" a="1"/>
  <c r="J911" i="4" s="1"/>
  <c r="K911" i="4" s="1" a="1"/>
  <c r="K911" i="4" s="1"/>
  <c r="J913" i="4" a="1"/>
  <c r="J913" i="4" s="1"/>
  <c r="K913" i="4" s="1" a="1"/>
  <c r="K913" i="4" s="1"/>
  <c r="F924" i="4"/>
  <c r="J935" i="4" a="1"/>
  <c r="J935" i="4" s="1"/>
  <c r="K935" i="4" s="1" a="1"/>
  <c r="K935" i="4" s="1"/>
  <c r="F938" i="4"/>
  <c r="J944" i="4" a="1"/>
  <c r="J944" i="4" s="1"/>
  <c r="K944" i="4" s="1" a="1"/>
  <c r="K944" i="4" s="1"/>
  <c r="J945" i="4" a="1"/>
  <c r="J945" i="4" s="1"/>
  <c r="K945" i="4" s="1" a="1"/>
  <c r="K945" i="4" s="1"/>
  <c r="J950" i="4" a="1"/>
  <c r="J950" i="4" s="1"/>
  <c r="K950" i="4" s="1" a="1"/>
  <c r="K950" i="4" s="1"/>
  <c r="J953" i="4" a="1"/>
  <c r="J953" i="4" s="1"/>
  <c r="K953" i="4" s="1" a="1"/>
  <c r="K953" i="4" s="1"/>
  <c r="H955" i="4"/>
  <c r="J958" i="4" a="1"/>
  <c r="J958" i="4" s="1"/>
  <c r="K958" i="4" s="1" a="1"/>
  <c r="K958" i="4" s="1"/>
  <c r="J961" i="4" a="1"/>
  <c r="J961" i="4" s="1"/>
  <c r="K961" i="4" s="1" a="1"/>
  <c r="K961" i="4" s="1"/>
  <c r="H963" i="4"/>
  <c r="J966" i="4" a="1"/>
  <c r="J966" i="4" s="1"/>
  <c r="K966" i="4" s="1" a="1"/>
  <c r="K966" i="4" s="1"/>
  <c r="J969" i="4" a="1"/>
  <c r="J969" i="4" s="1"/>
  <c r="K969" i="4" s="1" a="1"/>
  <c r="K969" i="4" s="1"/>
  <c r="H971" i="4"/>
  <c r="F980" i="4"/>
  <c r="F981" i="4"/>
  <c r="H985" i="4"/>
  <c r="H988" i="4"/>
  <c r="J991" i="4" a="1"/>
  <c r="J991" i="4" s="1"/>
  <c r="K991" i="4" s="1" a="1"/>
  <c r="K991" i="4" s="1"/>
  <c r="F993" i="4"/>
  <c r="H1002" i="4"/>
  <c r="J1005" i="4" a="1"/>
  <c r="J1005" i="4" s="1"/>
  <c r="K1005" i="4" s="1" a="1"/>
  <c r="K1005" i="4" s="1"/>
  <c r="J1008" i="4" a="1"/>
  <c r="J1008" i="4" s="1"/>
  <c r="K1008" i="4" s="1" a="1"/>
  <c r="K1008" i="4" s="1"/>
  <c r="H1015" i="4"/>
  <c r="J1017" i="4" a="1"/>
  <c r="J1017" i="4" s="1"/>
  <c r="K1017" i="4" s="1" a="1"/>
  <c r="K1017" i="4" s="1"/>
  <c r="H1018" i="4"/>
  <c r="H1019" i="4"/>
  <c r="J1026" i="4" a="1"/>
  <c r="J1026" i="4" s="1"/>
  <c r="K1026" i="4" s="1" a="1"/>
  <c r="K1026" i="4" s="1"/>
  <c r="F1028" i="4"/>
  <c r="H1033" i="4"/>
  <c r="H1034" i="4"/>
  <c r="H1035" i="4"/>
  <c r="F1037" i="4"/>
  <c r="J1038" i="4" a="1"/>
  <c r="J1038" i="4" s="1"/>
  <c r="K1038" i="4" s="1" a="1"/>
  <c r="K1038" i="4" s="1"/>
  <c r="H1039" i="4"/>
  <c r="F1040" i="4"/>
  <c r="F1047" i="4"/>
  <c r="H1051" i="4"/>
  <c r="I1051" i="4"/>
  <c r="J1058" i="4" a="1"/>
  <c r="J1058" i="4" s="1"/>
  <c r="K1058" i="4" s="1" a="1"/>
  <c r="K1058" i="4" s="1"/>
  <c r="J1065" i="4" a="1"/>
  <c r="J1065" i="4" s="1"/>
  <c r="K1065" i="4" s="1" a="1"/>
  <c r="K1065" i="4" s="1"/>
  <c r="J1068" i="4" a="1"/>
  <c r="J1068" i="4" s="1"/>
  <c r="K1068" i="4" s="1" a="1"/>
  <c r="K1068" i="4" s="1"/>
  <c r="J1069" i="4" a="1"/>
  <c r="J1069" i="4" s="1"/>
  <c r="K1069" i="4" s="1" a="1"/>
  <c r="K1069" i="4" s="1"/>
  <c r="I1078" i="4"/>
  <c r="I1096" i="4"/>
  <c r="J1096" i="4" s="1" a="1"/>
  <c r="J1096" i="4" s="1"/>
  <c r="K1096" i="4" s="1" a="1"/>
  <c r="K1096" i="4" s="1"/>
  <c r="H1096" i="4"/>
  <c r="I1100" i="4"/>
  <c r="H1127" i="4"/>
  <c r="H1154" i="4"/>
  <c r="H1207" i="4"/>
  <c r="J1217" i="4" a="1"/>
  <c r="J1217" i="4" s="1"/>
  <c r="K1217" i="4" s="1" a="1"/>
  <c r="K1217" i="4" s="1"/>
  <c r="H1266" i="4"/>
  <c r="F1085" i="4"/>
  <c r="H1094" i="4"/>
  <c r="I1094" i="4"/>
  <c r="F1095" i="4"/>
  <c r="F1099" i="4"/>
  <c r="F1105" i="4"/>
  <c r="F1133" i="4"/>
  <c r="H1134" i="4"/>
  <c r="I1134" i="4"/>
  <c r="F1143" i="4"/>
  <c r="F1146" i="4"/>
  <c r="J1154" i="4" a="1"/>
  <c r="J1154" i="4" s="1"/>
  <c r="K1154" i="4" s="1" a="1"/>
  <c r="K1154" i="4" s="1"/>
  <c r="F1158" i="4"/>
  <c r="F1177" i="4"/>
  <c r="J1179" i="4" a="1"/>
  <c r="J1179" i="4" s="1"/>
  <c r="K1179" i="4" s="1" a="1"/>
  <c r="K1179" i="4" s="1"/>
  <c r="F1183" i="4"/>
  <c r="H1193" i="4"/>
  <c r="I1193" i="4"/>
  <c r="F1194" i="4"/>
  <c r="F1196" i="4"/>
  <c r="F1220" i="4"/>
  <c r="F1227" i="4"/>
  <c r="F1230" i="4"/>
  <c r="H1231" i="4"/>
  <c r="F1233" i="4"/>
  <c r="F1253" i="4"/>
  <c r="J1268" i="4" a="1"/>
  <c r="J1268" i="4" s="1"/>
  <c r="K1268" i="4" s="1" a="1"/>
  <c r="K1268" i="4" s="1"/>
  <c r="F1271" i="4"/>
  <c r="F1274" i="4"/>
  <c r="F1284" i="4"/>
  <c r="J1298" i="4" a="1"/>
  <c r="J1298" i="4" s="1"/>
  <c r="K1298" i="4" s="1" a="1"/>
  <c r="K1298" i="4" s="1"/>
  <c r="F1299" i="4"/>
  <c r="F1301" i="4"/>
  <c r="F1305" i="4"/>
  <c r="F1309" i="4"/>
  <c r="H1311" i="4"/>
  <c r="J1314" i="4" a="1"/>
  <c r="J1314" i="4" s="1"/>
  <c r="K1314" i="4" s="1" a="1"/>
  <c r="K1314" i="4" s="1"/>
  <c r="F1045" i="4"/>
  <c r="F1054" i="4"/>
  <c r="J1055" i="4" a="1"/>
  <c r="J1055" i="4" s="1"/>
  <c r="K1055" i="4" s="1" a="1"/>
  <c r="K1055" i="4" s="1"/>
  <c r="F1058" i="4"/>
  <c r="H1067" i="4"/>
  <c r="H1070" i="4"/>
  <c r="I1070" i="4"/>
  <c r="F1071" i="4"/>
  <c r="H1075" i="4"/>
  <c r="H1080" i="4"/>
  <c r="J1082" i="4" a="1"/>
  <c r="J1082" i="4" s="1"/>
  <c r="K1082" i="4" s="1" a="1"/>
  <c r="K1082" i="4" s="1"/>
  <c r="H1088" i="4"/>
  <c r="F1096" i="4"/>
  <c r="J1104" i="4" a="1"/>
  <c r="J1104" i="4" s="1"/>
  <c r="K1104" i="4" s="1" a="1"/>
  <c r="K1104" i="4" s="1"/>
  <c r="H1108" i="4"/>
  <c r="H1113" i="4"/>
  <c r="I1113" i="4"/>
  <c r="F1114" i="4"/>
  <c r="H1118" i="4"/>
  <c r="J1120" i="4" a="1"/>
  <c r="J1120" i="4" s="1"/>
  <c r="K1120" i="4" s="1" a="1"/>
  <c r="K1120" i="4" s="1"/>
  <c r="F1124" i="4"/>
  <c r="H1126" i="4"/>
  <c r="H1135" i="4"/>
  <c r="F1136" i="4"/>
  <c r="F1138" i="4"/>
  <c r="F1144" i="4"/>
  <c r="J1149" i="4" a="1"/>
  <c r="J1149" i="4" s="1"/>
  <c r="K1149" i="4" s="1" a="1"/>
  <c r="K1149" i="4" s="1"/>
  <c r="H1150" i="4"/>
  <c r="F1156" i="4"/>
  <c r="F1163" i="4"/>
  <c r="H1166" i="4"/>
  <c r="I1166" i="4"/>
  <c r="F1168" i="4"/>
  <c r="F1175" i="4"/>
  <c r="H1185" i="4"/>
  <c r="J1188" i="4" a="1"/>
  <c r="J1188" i="4" s="1"/>
  <c r="K1188" i="4" s="1" a="1"/>
  <c r="K1188" i="4" s="1"/>
  <c r="F1201" i="4"/>
  <c r="J1203" i="4" a="1"/>
  <c r="J1203" i="4" s="1"/>
  <c r="K1203" i="4" s="1" a="1"/>
  <c r="K1203" i="4" s="1"/>
  <c r="F1207" i="4"/>
  <c r="J1214" i="4" a="1"/>
  <c r="J1214" i="4" s="1"/>
  <c r="K1214" i="4" s="1" a="1"/>
  <c r="K1214" i="4" s="1"/>
  <c r="J1219" i="4" a="1"/>
  <c r="J1219" i="4" s="1"/>
  <c r="K1219" i="4" s="1" a="1"/>
  <c r="K1219" i="4" s="1"/>
  <c r="J1222" i="4" a="1"/>
  <c r="J1222" i="4" s="1"/>
  <c r="K1222" i="4" s="1" a="1"/>
  <c r="K1222" i="4" s="1"/>
  <c r="J1226" i="4" a="1"/>
  <c r="J1226" i="4" s="1"/>
  <c r="K1226" i="4" s="1" a="1"/>
  <c r="K1226" i="4" s="1"/>
  <c r="J1231" i="4" a="1"/>
  <c r="J1231" i="4" s="1"/>
  <c r="K1231" i="4" s="1" a="1"/>
  <c r="K1231" i="4" s="1"/>
  <c r="H1244" i="4"/>
  <c r="H1252" i="4"/>
  <c r="H1262" i="4"/>
  <c r="F1263" i="4"/>
  <c r="F1264" i="4"/>
  <c r="F1275" i="4"/>
  <c r="F1277" i="4"/>
  <c r="F1281" i="4"/>
  <c r="F1285" i="4"/>
  <c r="F1293" i="4"/>
  <c r="J1077" i="4" a="1"/>
  <c r="J1077" i="4" s="1"/>
  <c r="K1077" i="4" s="1" a="1"/>
  <c r="K1077" i="4" s="1"/>
  <c r="I1102" i="4"/>
  <c r="H1110" i="4"/>
  <c r="H1117" i="4"/>
  <c r="J1121" i="4" a="1"/>
  <c r="J1121" i="4" s="1"/>
  <c r="K1121" i="4" s="1" a="1"/>
  <c r="K1121" i="4" s="1"/>
  <c r="F1128" i="4"/>
  <c r="J1128" i="4" a="1"/>
  <c r="J1128" i="4" s="1"/>
  <c r="K1128" i="4" s="1" a="1"/>
  <c r="K1128" i="4" s="1"/>
  <c r="J1137" i="4" a="1"/>
  <c r="J1137" i="4" s="1"/>
  <c r="K1137" i="4" s="1" a="1"/>
  <c r="K1137" i="4" s="1"/>
  <c r="F1149" i="4"/>
  <c r="F1155" i="4"/>
  <c r="F1164" i="4"/>
  <c r="H1172" i="4"/>
  <c r="H1175" i="4"/>
  <c r="H1177" i="4"/>
  <c r="F1180" i="4"/>
  <c r="F1188" i="4"/>
  <c r="F1190" i="4"/>
  <c r="H1191" i="4"/>
  <c r="H1196" i="4"/>
  <c r="I1196" i="4"/>
  <c r="F1200" i="4"/>
  <c r="F1202" i="4"/>
  <c r="H1204" i="4"/>
  <c r="F1205" i="4"/>
  <c r="F1210" i="4"/>
  <c r="H1215" i="4"/>
  <c r="I1215" i="4"/>
  <c r="F1218" i="4"/>
  <c r="F1241" i="4"/>
  <c r="H1242" i="4"/>
  <c r="I1242" i="4"/>
  <c r="J1248" i="4" a="1"/>
  <c r="J1248" i="4" s="1"/>
  <c r="K1248" i="4" s="1" a="1"/>
  <c r="K1248" i="4" s="1"/>
  <c r="F1251" i="4"/>
  <c r="H1253" i="4"/>
  <c r="H1254" i="4"/>
  <c r="J1262" i="4" a="1"/>
  <c r="J1262" i="4" s="1"/>
  <c r="K1262" i="4" s="1" a="1"/>
  <c r="K1262" i="4" s="1"/>
  <c r="J1267" i="4" a="1"/>
  <c r="J1267" i="4" s="1"/>
  <c r="K1267" i="4" s="1" a="1"/>
  <c r="K1267" i="4" s="1"/>
  <c r="F1268" i="4"/>
  <c r="J1280" i="4" a="1"/>
  <c r="J1280" i="4" s="1"/>
  <c r="K1280" i="4" s="1" a="1"/>
  <c r="K1280" i="4" s="1"/>
  <c r="F1282" i="4"/>
  <c r="J1283" i="4" a="1"/>
  <c r="J1283" i="4" s="1"/>
  <c r="K1283" i="4" s="1" a="1"/>
  <c r="K1283" i="4" s="1"/>
  <c r="F1290" i="4"/>
  <c r="J1301" i="4" a="1"/>
  <c r="J1301" i="4" s="1"/>
  <c r="K1301" i="4" s="1" a="1"/>
  <c r="K1301" i="4" s="1"/>
  <c r="F1303" i="4"/>
  <c r="J1309" i="4" a="1"/>
  <c r="J1309" i="4" s="1"/>
  <c r="K1309" i="4" s="1" a="1"/>
  <c r="K1309" i="4" s="1"/>
  <c r="F1311" i="4"/>
  <c r="F1314" i="4"/>
  <c r="H1316" i="4"/>
  <c r="J47" i="4" a="1"/>
  <c r="J47" i="4" s="1"/>
  <c r="K47" i="4" s="1" a="1"/>
  <c r="K47" i="4" s="1"/>
  <c r="H55" i="4"/>
  <c r="J76" i="4" a="1"/>
  <c r="J76" i="4" s="1"/>
  <c r="K76" i="4" s="1" a="1"/>
  <c r="K76" i="4" s="1"/>
  <c r="H79" i="4"/>
  <c r="J87" i="4" a="1"/>
  <c r="J87" i="4" s="1"/>
  <c r="K87" i="4" s="1" a="1"/>
  <c r="K87" i="4" s="1"/>
  <c r="I90" i="4"/>
  <c r="J90" i="4" s="1" a="1"/>
  <c r="J90" i="4" s="1"/>
  <c r="K90" i="4" s="1" a="1"/>
  <c r="K90" i="4" s="1"/>
  <c r="J94" i="4" a="1"/>
  <c r="J94" i="4" s="1"/>
  <c r="K94" i="4" s="1" a="1"/>
  <c r="K94" i="4" s="1"/>
  <c r="H100" i="4"/>
  <c r="I104" i="4"/>
  <c r="J105" i="4" a="1"/>
  <c r="J105" i="4" s="1"/>
  <c r="K105" i="4" s="1" a="1"/>
  <c r="K105" i="4" s="1"/>
  <c r="J108" i="4" a="1"/>
  <c r="J108" i="4" s="1"/>
  <c r="K108" i="4" s="1" a="1"/>
  <c r="K108" i="4" s="1"/>
  <c r="J111" i="4" a="1"/>
  <c r="J111" i="4" s="1"/>
  <c r="K111" i="4" s="1" a="1"/>
  <c r="K111" i="4" s="1"/>
  <c r="I114" i="4"/>
  <c r="J114" i="4" s="1" a="1"/>
  <c r="J114" i="4" s="1"/>
  <c r="K114" i="4" s="1" a="1"/>
  <c r="K114" i="4" s="1"/>
  <c r="I120" i="4"/>
  <c r="J145" i="4" a="1"/>
  <c r="J145" i="4" s="1"/>
  <c r="K145" i="4" s="1" a="1"/>
  <c r="K145" i="4" s="1"/>
  <c r="H148" i="4"/>
  <c r="H164" i="4"/>
  <c r="F169" i="4"/>
  <c r="J170" i="4" a="1"/>
  <c r="J170" i="4" s="1"/>
  <c r="K170" i="4" s="1" a="1"/>
  <c r="K170" i="4" s="1"/>
  <c r="J171" i="4" a="1"/>
  <c r="J171" i="4" s="1"/>
  <c r="K171" i="4" s="1" a="1"/>
  <c r="K171" i="4" s="1"/>
  <c r="H174" i="4"/>
  <c r="I174" i="4"/>
  <c r="F178" i="4"/>
  <c r="H180" i="4"/>
  <c r="J38" i="4" a="1"/>
  <c r="J38" i="4" s="1"/>
  <c r="K38" i="4" s="1" a="1"/>
  <c r="K38" i="4" s="1"/>
  <c r="H4" i="4"/>
  <c r="I5" i="4"/>
  <c r="J5" i="4" s="1" a="1"/>
  <c r="J5" i="4" s="1"/>
  <c r="K5" i="4" s="1" a="1"/>
  <c r="K5" i="4" s="1"/>
  <c r="F6" i="4"/>
  <c r="F13" i="4"/>
  <c r="H15" i="4"/>
  <c r="J19" i="4" a="1"/>
  <c r="J19" i="4" s="1"/>
  <c r="K19" i="4" s="1" a="1"/>
  <c r="K19" i="4" s="1"/>
  <c r="F20" i="4"/>
  <c r="F23" i="4"/>
  <c r="H27" i="4"/>
  <c r="F32" i="4"/>
  <c r="J33" i="4" a="1"/>
  <c r="J33" i="4" s="1"/>
  <c r="K33" i="4" s="1" a="1"/>
  <c r="K33" i="4" s="1"/>
  <c r="F35" i="4"/>
  <c r="F36" i="4"/>
  <c r="J40" i="4" a="1"/>
  <c r="J40" i="4" s="1"/>
  <c r="K40" i="4" s="1" a="1"/>
  <c r="K40" i="4" s="1"/>
  <c r="H42" i="4"/>
  <c r="J43" i="4" a="1"/>
  <c r="J43" i="4" s="1"/>
  <c r="K43" i="4" s="1" a="1"/>
  <c r="K43" i="4" s="1"/>
  <c r="H43" i="4"/>
  <c r="F47" i="4"/>
  <c r="F53" i="4"/>
  <c r="F56" i="4"/>
  <c r="F58" i="4"/>
  <c r="H60" i="4"/>
  <c r="H62" i="4"/>
  <c r="H63" i="4"/>
  <c r="H66" i="4"/>
  <c r="I66" i="4"/>
  <c r="J66" i="4" s="1" a="1"/>
  <c r="J66" i="4" s="1"/>
  <c r="K66" i="4" s="1" a="1"/>
  <c r="K66" i="4" s="1"/>
  <c r="F67" i="4"/>
  <c r="H71" i="4"/>
  <c r="H75" i="4"/>
  <c r="F80" i="4"/>
  <c r="H82" i="4"/>
  <c r="I82" i="4"/>
  <c r="J82" i="4" s="1" a="1"/>
  <c r="J82" i="4" s="1"/>
  <c r="K82" i="4" s="1" a="1"/>
  <c r="K82" i="4" s="1"/>
  <c r="F83" i="4"/>
  <c r="F87" i="4"/>
  <c r="H89" i="4"/>
  <c r="H92" i="4"/>
  <c r="J96" i="4" a="1"/>
  <c r="J96" i="4" s="1"/>
  <c r="K96" i="4" s="1" a="1"/>
  <c r="K96" i="4" s="1"/>
  <c r="J97" i="4" a="1"/>
  <c r="J97" i="4" s="1"/>
  <c r="K97" i="4" s="1" a="1"/>
  <c r="K97" i="4" s="1"/>
  <c r="F98" i="4"/>
  <c r="F101" i="4"/>
  <c r="H103" i="4"/>
  <c r="J104" i="4" a="1"/>
  <c r="J104" i="4" s="1"/>
  <c r="K104" i="4" s="1" a="1"/>
  <c r="K104" i="4" s="1"/>
  <c r="F111" i="4"/>
  <c r="J113" i="4" a="1"/>
  <c r="J113" i="4" s="1"/>
  <c r="K113" i="4" s="1" a="1"/>
  <c r="K113" i="4" s="1"/>
  <c r="H113" i="4"/>
  <c r="H116" i="4"/>
  <c r="H118" i="4"/>
  <c r="H119" i="4"/>
  <c r="J120" i="4" a="1"/>
  <c r="J120" i="4" s="1"/>
  <c r="K120" i="4" s="1" a="1"/>
  <c r="K120" i="4" s="1"/>
  <c r="H139" i="4"/>
  <c r="J140" i="4" a="1"/>
  <c r="J140" i="4" s="1"/>
  <c r="K140" i="4" s="1" a="1"/>
  <c r="K140" i="4" s="1"/>
  <c r="H140" i="4"/>
  <c r="J144" i="4" a="1"/>
  <c r="J144" i="4" s="1"/>
  <c r="K144" i="4" s="1" a="1"/>
  <c r="K144" i="4" s="1"/>
  <c r="H150" i="4"/>
  <c r="F151" i="4"/>
  <c r="F153" i="4"/>
  <c r="H156" i="4"/>
  <c r="H162" i="4"/>
  <c r="F163" i="4"/>
  <c r="F165" i="4"/>
  <c r="H167" i="4"/>
  <c r="J168" i="4" a="1"/>
  <c r="J168" i="4" s="1"/>
  <c r="K168" i="4" s="1" a="1"/>
  <c r="K168" i="4" s="1"/>
  <c r="H168" i="4"/>
  <c r="H173" i="4"/>
  <c r="I173" i="4"/>
  <c r="J173" i="4" s="1" a="1"/>
  <c r="J173" i="4" s="1"/>
  <c r="K173" i="4" s="1" a="1"/>
  <c r="K173" i="4" s="1"/>
  <c r="I186" i="4"/>
  <c r="J186" i="4" s="1" a="1"/>
  <c r="J186" i="4" s="1"/>
  <c r="K186" i="4" s="1" a="1"/>
  <c r="K186" i="4" s="1"/>
  <c r="H186" i="4"/>
  <c r="J10" i="4" a="1"/>
  <c r="J10" i="4" s="1"/>
  <c r="K10" i="4" s="1" a="1"/>
  <c r="K10" i="4" s="1"/>
  <c r="J13" i="4" a="1"/>
  <c r="J13" i="4" s="1"/>
  <c r="K13" i="4" s="1" a="1"/>
  <c r="K13" i="4" s="1"/>
  <c r="J30" i="4" a="1"/>
  <c r="J30" i="4" s="1"/>
  <c r="K30" i="4" s="1" a="1"/>
  <c r="K30" i="4" s="1"/>
  <c r="J3" i="4" a="1"/>
  <c r="J3" i="4" s="1"/>
  <c r="K3" i="4" s="1" a="1"/>
  <c r="K3" i="4" s="1"/>
  <c r="H7" i="4"/>
  <c r="H18" i="4"/>
  <c r="J25" i="4" a="1"/>
  <c r="J25" i="4" s="1"/>
  <c r="K25" i="4" s="1" a="1"/>
  <c r="K25" i="4" s="1"/>
  <c r="J31" i="4" a="1"/>
  <c r="J31" i="4" s="1"/>
  <c r="K31" i="4" s="1" a="1"/>
  <c r="K31" i="4" s="1"/>
  <c r="H31" i="4"/>
  <c r="H39" i="4"/>
  <c r="J41" i="4" a="1"/>
  <c r="J41" i="4" s="1"/>
  <c r="K41" i="4" s="1" a="1"/>
  <c r="K41" i="4" s="1"/>
  <c r="J45" i="4" a="1"/>
  <c r="J45" i="4" s="1"/>
  <c r="K45" i="4" s="1" a="1"/>
  <c r="K45" i="4" s="1"/>
  <c r="J48" i="4" a="1"/>
  <c r="J48" i="4" s="1"/>
  <c r="K48" i="4" s="1" a="1"/>
  <c r="K48" i="4" s="1"/>
  <c r="J51" i="4" a="1"/>
  <c r="J51" i="4" s="1"/>
  <c r="K51" i="4" s="1" a="1"/>
  <c r="K51" i="4" s="1"/>
  <c r="H51" i="4"/>
  <c r="J54" i="4" a="1"/>
  <c r="J54" i="4" s="1"/>
  <c r="K54" i="4" s="1" a="1"/>
  <c r="K54" i="4" s="1"/>
  <c r="H57" i="4"/>
  <c r="F64" i="4"/>
  <c r="F69" i="4"/>
  <c r="F72" i="4"/>
  <c r="H74" i="4"/>
  <c r="I74" i="4"/>
  <c r="J74" i="4" s="1" a="1"/>
  <c r="J74" i="4" s="1"/>
  <c r="K74" i="4" s="1" a="1"/>
  <c r="K74" i="4" s="1"/>
  <c r="F75" i="4"/>
  <c r="J77" i="4" a="1"/>
  <c r="J77" i="4" s="1"/>
  <c r="K77" i="4" s="1" a="1"/>
  <c r="K77" i="4" s="1"/>
  <c r="F79" i="4"/>
  <c r="H81" i="4"/>
  <c r="H86" i="4"/>
  <c r="J88" i="4" a="1"/>
  <c r="J88" i="4" s="1"/>
  <c r="K88" i="4" s="1" a="1"/>
  <c r="K88" i="4" s="1"/>
  <c r="F90" i="4"/>
  <c r="J91" i="4" a="1"/>
  <c r="J91" i="4" s="1"/>
  <c r="K91" i="4" s="1" a="1"/>
  <c r="K91" i="4" s="1"/>
  <c r="F92" i="4"/>
  <c r="F93" i="4"/>
  <c r="H99" i="4"/>
  <c r="F104" i="4"/>
  <c r="H106" i="4"/>
  <c r="I106" i="4"/>
  <c r="J106" i="4" s="1" a="1"/>
  <c r="J106" i="4" s="1"/>
  <c r="K106" i="4" s="1" a="1"/>
  <c r="K106" i="4" s="1"/>
  <c r="F107" i="4"/>
  <c r="J109" i="4" a="1"/>
  <c r="J109" i="4" s="1"/>
  <c r="K109" i="4" s="1" a="1"/>
  <c r="K109" i="4" s="1"/>
  <c r="H112" i="4"/>
  <c r="I112" i="4"/>
  <c r="F113" i="4"/>
  <c r="F114" i="4"/>
  <c r="J115" i="4" a="1"/>
  <c r="J115" i="4" s="1"/>
  <c r="K115" i="4" s="1" a="1"/>
  <c r="K115" i="4" s="1"/>
  <c r="F117" i="4"/>
  <c r="F120" i="4"/>
  <c r="H122" i="4"/>
  <c r="I122" i="4"/>
  <c r="J122" i="4" s="1" a="1"/>
  <c r="J122" i="4" s="1"/>
  <c r="K122" i="4" s="1" a="1"/>
  <c r="K122" i="4" s="1"/>
  <c r="F123" i="4"/>
  <c r="J126" i="4" a="1"/>
  <c r="J126" i="4" s="1"/>
  <c r="K126" i="4" s="1" a="1"/>
  <c r="K126" i="4" s="1"/>
  <c r="H127" i="4"/>
  <c r="H131" i="4"/>
  <c r="J132" i="4" a="1"/>
  <c r="J132" i="4" s="1"/>
  <c r="K132" i="4" s="1" a="1"/>
  <c r="K132" i="4" s="1"/>
  <c r="H132" i="4"/>
  <c r="J136" i="4" a="1"/>
  <c r="J136" i="4" s="1"/>
  <c r="K136" i="4" s="1" a="1"/>
  <c r="K136" i="4" s="1"/>
  <c r="J142" i="4" a="1"/>
  <c r="J142" i="4" s="1"/>
  <c r="K142" i="4" s="1" a="1"/>
  <c r="K142" i="4" s="1"/>
  <c r="J143" i="4" a="1"/>
  <c r="J143" i="4" s="1"/>
  <c r="K143" i="4" s="1" a="1"/>
  <c r="K143" i="4" s="1"/>
  <c r="J146" i="4" a="1"/>
  <c r="J146" i="4" s="1"/>
  <c r="K146" i="4" s="1" a="1"/>
  <c r="K146" i="4" s="1"/>
  <c r="H151" i="4"/>
  <c r="J154" i="4" a="1"/>
  <c r="J154" i="4" s="1"/>
  <c r="K154" i="4" s="1" a="1"/>
  <c r="K154" i="4" s="1"/>
  <c r="F157" i="4"/>
  <c r="H172" i="4"/>
  <c r="F173" i="4"/>
  <c r="J181" i="4" a="1"/>
  <c r="J181" i="4" s="1"/>
  <c r="K181" i="4" s="1" a="1"/>
  <c r="K181" i="4" s="1"/>
  <c r="F185" i="4"/>
  <c r="J6" i="4" a="1"/>
  <c r="J6" i="4" s="1"/>
  <c r="K6" i="4" s="1" a="1"/>
  <c r="K6" i="4" s="1"/>
  <c r="J9" i="4" a="1"/>
  <c r="J9" i="4" s="1"/>
  <c r="K9" i="4" s="1" a="1"/>
  <c r="K9" i="4" s="1"/>
  <c r="F10" i="4"/>
  <c r="F5" i="4"/>
  <c r="H11" i="4"/>
  <c r="H14" i="4"/>
  <c r="F16" i="4"/>
  <c r="H3" i="4"/>
  <c r="F8" i="4"/>
  <c r="J11" i="4" a="1"/>
  <c r="J11" i="4" s="1"/>
  <c r="K11" i="4" s="1" a="1"/>
  <c r="K11" i="4" s="1"/>
  <c r="F12" i="4"/>
  <c r="H13" i="4"/>
  <c r="F15" i="4"/>
  <c r="F19" i="4"/>
  <c r="H20" i="4"/>
  <c r="I21" i="4"/>
  <c r="J21" i="4" s="1" a="1"/>
  <c r="J21" i="4" s="1"/>
  <c r="K21" i="4" s="1" a="1"/>
  <c r="K21" i="4" s="1"/>
  <c r="F22" i="4"/>
  <c r="J23" i="4" a="1"/>
  <c r="J23" i="4" s="1"/>
  <c r="K23" i="4" s="1" a="1"/>
  <c r="K23" i="4" s="1"/>
  <c r="H23" i="4"/>
  <c r="F26" i="4"/>
  <c r="F29" i="4"/>
  <c r="H33" i="4"/>
  <c r="F37" i="4"/>
  <c r="F40" i="4"/>
  <c r="F42" i="4"/>
  <c r="H44" i="4"/>
  <c r="H46" i="4"/>
  <c r="J49" i="4" a="1"/>
  <c r="J49" i="4" s="1"/>
  <c r="K49" i="4" s="1" a="1"/>
  <c r="K49" i="4" s="1"/>
  <c r="F51" i="4"/>
  <c r="F52" i="4"/>
  <c r="J53" i="4" a="1"/>
  <c r="J53" i="4" s="1"/>
  <c r="K53" i="4" s="1" a="1"/>
  <c r="K53" i="4" s="1"/>
  <c r="J56" i="4" a="1"/>
  <c r="J56" i="4" s="1"/>
  <c r="K56" i="4" s="1" a="1"/>
  <c r="K56" i="4" s="1"/>
  <c r="H58" i="4"/>
  <c r="J59" i="4" a="1"/>
  <c r="J59" i="4" s="1"/>
  <c r="K59" i="4" s="1" a="1"/>
  <c r="K59" i="4" s="1"/>
  <c r="F63" i="4"/>
  <c r="H65" i="4"/>
  <c r="J67" i="4" a="1"/>
  <c r="J67" i="4" s="1"/>
  <c r="K67" i="4" s="1" a="1"/>
  <c r="K67" i="4" s="1"/>
  <c r="F68" i="4"/>
  <c r="F71" i="4"/>
  <c r="H78" i="4"/>
  <c r="J80" i="4" a="1"/>
  <c r="J80" i="4" s="1"/>
  <c r="K80" i="4" s="1" a="1"/>
  <c r="K80" i="4" s="1"/>
  <c r="J83" i="4" a="1"/>
  <c r="J83" i="4" s="1"/>
  <c r="K83" i="4" s="1" a="1"/>
  <c r="K83" i="4" s="1"/>
  <c r="F84" i="4"/>
  <c r="J84" i="4" a="1"/>
  <c r="J84" i="4" s="1"/>
  <c r="K84" i="4" s="1" a="1"/>
  <c r="K84" i="4" s="1"/>
  <c r="H91" i="4"/>
  <c r="J95" i="4" a="1"/>
  <c r="J95" i="4" s="1"/>
  <c r="K95" i="4" s="1" a="1"/>
  <c r="K95" i="4" s="1"/>
  <c r="H98" i="4"/>
  <c r="I98" i="4"/>
  <c r="J98" i="4" s="1" a="1"/>
  <c r="J98" i="4" s="1"/>
  <c r="K98" i="4" s="1" a="1"/>
  <c r="K98" i="4" s="1"/>
  <c r="J101" i="4" a="1"/>
  <c r="J101" i="4" s="1"/>
  <c r="K101" i="4" s="1" a="1"/>
  <c r="K101" i="4" s="1"/>
  <c r="F103" i="4"/>
  <c r="J112" i="4" a="1"/>
  <c r="J112" i="4" s="1"/>
  <c r="K112" i="4" s="1" a="1"/>
  <c r="K112" i="4" s="1"/>
  <c r="I118" i="4"/>
  <c r="J118" i="4" s="1" a="1"/>
  <c r="J118" i="4" s="1"/>
  <c r="K118" i="4" s="1" a="1"/>
  <c r="K118" i="4" s="1"/>
  <c r="J121" i="4" a="1"/>
  <c r="J121" i="4" s="1"/>
  <c r="K121" i="4" s="1" a="1"/>
  <c r="K121" i="4" s="1"/>
  <c r="J124" i="4" a="1"/>
  <c r="J124" i="4" s="1"/>
  <c r="K124" i="4" s="1" a="1"/>
  <c r="K124" i="4" s="1"/>
  <c r="J134" i="4" a="1"/>
  <c r="J134" i="4" s="1"/>
  <c r="K134" i="4" s="1" a="1"/>
  <c r="K134" i="4" s="1"/>
  <c r="J135" i="4" a="1"/>
  <c r="J135" i="4" s="1"/>
  <c r="K135" i="4" s="1" a="1"/>
  <c r="K135" i="4" s="1"/>
  <c r="J138" i="4" a="1"/>
  <c r="J138" i="4" s="1"/>
  <c r="K138" i="4" s="1" a="1"/>
  <c r="K138" i="4" s="1"/>
  <c r="F139" i="4"/>
  <c r="H149" i="4"/>
  <c r="I149" i="4"/>
  <c r="J149" i="4" s="1" a="1"/>
  <c r="J149" i="4" s="1"/>
  <c r="K149" i="4" s="1" a="1"/>
  <c r="K149" i="4" s="1"/>
  <c r="H160" i="4"/>
  <c r="F168" i="4"/>
  <c r="J169" i="4" a="1"/>
  <c r="J169" i="4" s="1"/>
  <c r="K169" i="4" s="1" a="1"/>
  <c r="K169" i="4" s="1"/>
  <c r="H182" i="4"/>
  <c r="I182" i="4"/>
  <c r="H187" i="4"/>
  <c r="H195" i="4"/>
  <c r="J196" i="4" a="1"/>
  <c r="J196" i="4" s="1"/>
  <c r="K196" i="4" s="1" a="1"/>
  <c r="K196" i="4" s="1"/>
  <c r="F197" i="4"/>
  <c r="H203" i="4"/>
  <c r="J210" i="4" a="1"/>
  <c r="J210" i="4" s="1"/>
  <c r="K210" i="4" s="1" a="1"/>
  <c r="K210" i="4" s="1"/>
  <c r="J214" i="4" a="1"/>
  <c r="J214" i="4" s="1"/>
  <c r="K214" i="4" s="1" a="1"/>
  <c r="K214" i="4" s="1"/>
  <c r="F219" i="4"/>
  <c r="I221" i="4"/>
  <c r="J221" i="4" s="1" a="1"/>
  <c r="J221" i="4" s="1"/>
  <c r="K221" i="4" s="1" a="1"/>
  <c r="K221" i="4" s="1"/>
  <c r="H223" i="4"/>
  <c r="J225" i="4" a="1"/>
  <c r="J225" i="4" s="1"/>
  <c r="K225" i="4" s="1" a="1"/>
  <c r="K225" i="4" s="1"/>
  <c r="J228" i="4" a="1"/>
  <c r="J228" i="4" s="1"/>
  <c r="K228" i="4" s="1" a="1"/>
  <c r="K228" i="4" s="1"/>
  <c r="F229" i="4"/>
  <c r="J233" i="4" a="1"/>
  <c r="J233" i="4" s="1"/>
  <c r="K233" i="4" s="1" a="1"/>
  <c r="K233" i="4" s="1"/>
  <c r="H235" i="4"/>
  <c r="H245" i="4"/>
  <c r="J246" i="4" a="1"/>
  <c r="J246" i="4" s="1"/>
  <c r="K246" i="4" s="1" a="1"/>
  <c r="K246" i="4" s="1"/>
  <c r="J250" i="4" a="1"/>
  <c r="J250" i="4" s="1"/>
  <c r="K250" i="4" s="1" a="1"/>
  <c r="K250" i="4" s="1"/>
  <c r="F251" i="4"/>
  <c r="H255" i="4"/>
  <c r="J260" i="4" a="1"/>
  <c r="J260" i="4" s="1"/>
  <c r="K260" i="4" s="1" a="1"/>
  <c r="K260" i="4" s="1"/>
  <c r="F261" i="4"/>
  <c r="H263" i="4"/>
  <c r="J266" i="4" a="1"/>
  <c r="J266" i="4" s="1"/>
  <c r="K266" i="4" s="1" a="1"/>
  <c r="K266" i="4" s="1"/>
  <c r="F267" i="4"/>
  <c r="J270" i="4" a="1"/>
  <c r="J270" i="4" s="1"/>
  <c r="K270" i="4" s="1" a="1"/>
  <c r="K270" i="4" s="1"/>
  <c r="H277" i="4"/>
  <c r="J281" i="4" a="1"/>
  <c r="J281" i="4" s="1"/>
  <c r="K281" i="4" s="1" a="1"/>
  <c r="K281" i="4" s="1"/>
  <c r="H283" i="4"/>
  <c r="I287" i="4"/>
  <c r="J287" i="4" s="1" a="1"/>
  <c r="J287" i="4" s="1"/>
  <c r="K287" i="4" s="1" a="1"/>
  <c r="K287" i="4" s="1"/>
  <c r="J292" i="4" a="1"/>
  <c r="J292" i="4" s="1"/>
  <c r="K292" i="4" s="1" a="1"/>
  <c r="K292" i="4" s="1"/>
  <c r="H297" i="4"/>
  <c r="J298" i="4" a="1"/>
  <c r="J298" i="4" s="1"/>
  <c r="K298" i="4" s="1" a="1"/>
  <c r="K298" i="4" s="1"/>
  <c r="F299" i="4"/>
  <c r="J301" i="4" a="1"/>
  <c r="J301" i="4" s="1"/>
  <c r="K301" i="4" s="1" a="1"/>
  <c r="K301" i="4" s="1"/>
  <c r="J305" i="4" a="1"/>
  <c r="J305" i="4" s="1"/>
  <c r="K305" i="4" s="1" a="1"/>
  <c r="K305" i="4" s="1"/>
  <c r="J308" i="4" a="1"/>
  <c r="J308" i="4" s="1"/>
  <c r="K308" i="4" s="1" a="1"/>
  <c r="K308" i="4" s="1"/>
  <c r="H310" i="4"/>
  <c r="J311" i="4" a="1"/>
  <c r="J311" i="4" s="1"/>
  <c r="K311" i="4" s="1" a="1"/>
  <c r="K311" i="4" s="1"/>
  <c r="H322" i="4"/>
  <c r="F328" i="4"/>
  <c r="H329" i="4"/>
  <c r="J331" i="4" a="1"/>
  <c r="J331" i="4" s="1"/>
  <c r="K331" i="4" s="1" a="1"/>
  <c r="K331" i="4" s="1"/>
  <c r="H337" i="4"/>
  <c r="H338" i="4"/>
  <c r="F344" i="4"/>
  <c r="H347" i="4"/>
  <c r="F351" i="4"/>
  <c r="H353" i="4"/>
  <c r="F356" i="4"/>
  <c r="I356" i="4"/>
  <c r="J356" i="4" s="1" a="1"/>
  <c r="J356" i="4" s="1"/>
  <c r="K356" i="4" s="1" a="1"/>
  <c r="K356" i="4" s="1"/>
  <c r="H358" i="4"/>
  <c r="J361" i="4" a="1"/>
  <c r="J361" i="4" s="1"/>
  <c r="K361" i="4" s="1" a="1"/>
  <c r="K361" i="4" s="1"/>
  <c r="I362" i="4"/>
  <c r="J362" i="4" s="1" a="1"/>
  <c r="J362" i="4" s="1"/>
  <c r="K362" i="4" s="1" a="1"/>
  <c r="K362" i="4" s="1"/>
  <c r="H364" i="4"/>
  <c r="F366" i="4"/>
  <c r="J367" i="4" a="1"/>
  <c r="J367" i="4" s="1"/>
  <c r="K367" i="4" s="1" a="1"/>
  <c r="K367" i="4" s="1"/>
  <c r="H367" i="4"/>
  <c r="F376" i="4"/>
  <c r="H381" i="4"/>
  <c r="F384" i="4"/>
  <c r="H389" i="4"/>
  <c r="I390" i="4"/>
  <c r="J390" i="4" s="1" a="1"/>
  <c r="J390" i="4" s="1"/>
  <c r="K390" i="4" s="1" a="1"/>
  <c r="K390" i="4" s="1"/>
  <c r="F391" i="4"/>
  <c r="H394" i="4"/>
  <c r="J394" i="4" a="1"/>
  <c r="J394" i="4" s="1"/>
  <c r="K394" i="4" s="1" a="1"/>
  <c r="K394" i="4" s="1"/>
  <c r="J396" i="4" a="1"/>
  <c r="J396" i="4" s="1"/>
  <c r="K396" i="4" s="1" a="1"/>
  <c r="K396" i="4" s="1"/>
  <c r="H406" i="4"/>
  <c r="H410" i="4"/>
  <c r="H434" i="4"/>
  <c r="I190" i="4"/>
  <c r="J206" i="4" a="1"/>
  <c r="J206" i="4" s="1"/>
  <c r="K206" i="4" s="1" a="1"/>
  <c r="K206" i="4" s="1"/>
  <c r="I213" i="4"/>
  <c r="J213" i="4" s="1" a="1"/>
  <c r="J213" i="4" s="1"/>
  <c r="K213" i="4" s="1" a="1"/>
  <c r="K213" i="4" s="1"/>
  <c r="J238" i="4" a="1"/>
  <c r="J238" i="4" s="1"/>
  <c r="K238" i="4" s="1" a="1"/>
  <c r="K238" i="4" s="1"/>
  <c r="J257" i="4" a="1"/>
  <c r="J257" i="4" s="1"/>
  <c r="K257" i="4" s="1" a="1"/>
  <c r="K257" i="4" s="1"/>
  <c r="J278" i="4" a="1"/>
  <c r="J278" i="4" s="1"/>
  <c r="K278" i="4" s="1" a="1"/>
  <c r="K278" i="4" s="1"/>
  <c r="J289" i="4" a="1"/>
  <c r="J289" i="4" s="1"/>
  <c r="K289" i="4" s="1" a="1"/>
  <c r="K289" i="4" s="1"/>
  <c r="I295" i="4"/>
  <c r="J295" i="4" s="1" a="1"/>
  <c r="J295" i="4" s="1"/>
  <c r="K295" i="4" s="1" a="1"/>
  <c r="K295" i="4" s="1"/>
  <c r="I307" i="4"/>
  <c r="J307" i="4" s="1" a="1"/>
  <c r="J307" i="4" s="1"/>
  <c r="K307" i="4" s="1" a="1"/>
  <c r="K307" i="4" s="1"/>
  <c r="H319" i="4"/>
  <c r="H321" i="4"/>
  <c r="J322" i="4" a="1"/>
  <c r="J322" i="4" s="1"/>
  <c r="K322" i="4" s="1" a="1"/>
  <c r="K322" i="4" s="1"/>
  <c r="H324" i="4"/>
  <c r="H326" i="4"/>
  <c r="H327" i="4"/>
  <c r="J330" i="4" a="1"/>
  <c r="J330" i="4" s="1"/>
  <c r="K330" i="4" s="1" a="1"/>
  <c r="K330" i="4" s="1"/>
  <c r="J341" i="4" a="1"/>
  <c r="J341" i="4" s="1"/>
  <c r="K341" i="4" s="1" a="1"/>
  <c r="K341" i="4" s="1"/>
  <c r="H343" i="4"/>
  <c r="H346" i="4"/>
  <c r="H355" i="4"/>
  <c r="J364" i="4" a="1"/>
  <c r="J364" i="4" s="1"/>
  <c r="K364" i="4" s="1" a="1"/>
  <c r="K364" i="4" s="1"/>
  <c r="J369" i="4" a="1"/>
  <c r="J369" i="4" s="1"/>
  <c r="K369" i="4" s="1" a="1"/>
  <c r="K369" i="4" s="1"/>
  <c r="J370" i="4" a="1"/>
  <c r="J370" i="4" s="1"/>
  <c r="K370" i="4" s="1" a="1"/>
  <c r="K370" i="4" s="1"/>
  <c r="J373" i="4" a="1"/>
  <c r="J373" i="4" s="1"/>
  <c r="K373" i="4" s="1" a="1"/>
  <c r="K373" i="4" s="1"/>
  <c r="H375" i="4"/>
  <c r="J378" i="4" a="1"/>
  <c r="J378" i="4" s="1"/>
  <c r="K378" i="4" s="1" a="1"/>
  <c r="K378" i="4" s="1"/>
  <c r="J381" i="4" a="1"/>
  <c r="J381" i="4" s="1"/>
  <c r="K381" i="4" s="1" a="1"/>
  <c r="K381" i="4" s="1"/>
  <c r="H383" i="4"/>
  <c r="J386" i="4" a="1"/>
  <c r="J386" i="4" s="1"/>
  <c r="K386" i="4" s="1" a="1"/>
  <c r="K386" i="4" s="1"/>
  <c r="J389" i="4" a="1"/>
  <c r="J389" i="4" s="1"/>
  <c r="K389" i="4" s="1" a="1"/>
  <c r="K389" i="4" s="1"/>
  <c r="H398" i="4"/>
  <c r="J403" i="4" a="1"/>
  <c r="J403" i="4" s="1"/>
  <c r="K403" i="4" s="1" a="1"/>
  <c r="K403" i="4" s="1"/>
  <c r="J415" i="4" a="1"/>
  <c r="J415" i="4" s="1"/>
  <c r="K415" i="4" s="1" a="1"/>
  <c r="K415" i="4" s="1"/>
  <c r="H415" i="4"/>
  <c r="H423" i="4"/>
  <c r="J431" i="4" a="1"/>
  <c r="J431" i="4" s="1"/>
  <c r="K431" i="4" s="1" a="1"/>
  <c r="K431" i="4" s="1"/>
  <c r="H431" i="4"/>
  <c r="F176" i="4"/>
  <c r="F180" i="4"/>
  <c r="F183" i="4"/>
  <c r="H189" i="4"/>
  <c r="I189" i="4"/>
  <c r="J189" i="4" s="1" a="1"/>
  <c r="J189" i="4" s="1"/>
  <c r="K189" i="4" s="1" a="1"/>
  <c r="K189" i="4" s="1"/>
  <c r="F190" i="4"/>
  <c r="J193" i="4" a="1"/>
  <c r="J193" i="4" s="1"/>
  <c r="K193" i="4" s="1" a="1"/>
  <c r="K193" i="4" s="1"/>
  <c r="F195" i="4"/>
  <c r="F196" i="4"/>
  <c r="I198" i="4"/>
  <c r="F199" i="4"/>
  <c r="H200" i="4"/>
  <c r="F203" i="4"/>
  <c r="H205" i="4"/>
  <c r="I205" i="4"/>
  <c r="J205" i="4" s="1" a="1"/>
  <c r="J205" i="4" s="1"/>
  <c r="K205" i="4" s="1" a="1"/>
  <c r="K205" i="4" s="1"/>
  <c r="F206" i="4"/>
  <c r="J209" i="4" a="1"/>
  <c r="J209" i="4" s="1"/>
  <c r="K209" i="4" s="1" a="1"/>
  <c r="K209" i="4" s="1"/>
  <c r="H210" i="4"/>
  <c r="J212" i="4" a="1"/>
  <c r="J212" i="4" s="1"/>
  <c r="K212" i="4" s="1" a="1"/>
  <c r="K212" i="4" s="1"/>
  <c r="F213" i="4"/>
  <c r="F216" i="4"/>
  <c r="H220" i="4"/>
  <c r="H222" i="4"/>
  <c r="J226" i="4" a="1"/>
  <c r="J226" i="4" s="1"/>
  <c r="K226" i="4" s="1" a="1"/>
  <c r="K226" i="4" s="1"/>
  <c r="F228" i="4"/>
  <c r="I230" i="4"/>
  <c r="J230" i="4" s="1" a="1"/>
  <c r="J230" i="4" s="1"/>
  <c r="K230" i="4" s="1" a="1"/>
  <c r="K230" i="4" s="1"/>
  <c r="F231" i="4"/>
  <c r="H232" i="4"/>
  <c r="J234" i="4" a="1"/>
  <c r="J234" i="4" s="1"/>
  <c r="K234" i="4" s="1" a="1"/>
  <c r="K234" i="4" s="1"/>
  <c r="F235" i="4"/>
  <c r="H237" i="4"/>
  <c r="I237" i="4"/>
  <c r="J237" i="4" s="1" a="1"/>
  <c r="J237" i="4" s="1"/>
  <c r="K237" i="4" s="1" a="1"/>
  <c r="K237" i="4" s="1"/>
  <c r="F238" i="4"/>
  <c r="H241" i="4"/>
  <c r="H242" i="4"/>
  <c r="J244" i="4" a="1"/>
  <c r="J244" i="4" s="1"/>
  <c r="K244" i="4" s="1" a="1"/>
  <c r="K244" i="4" s="1"/>
  <c r="F245" i="4"/>
  <c r="F248" i="4"/>
  <c r="I249" i="4"/>
  <c r="J249" i="4" s="1" a="1"/>
  <c r="J249" i="4" s="1"/>
  <c r="K249" i="4" s="1" a="1"/>
  <c r="K249" i="4" s="1"/>
  <c r="F250" i="4"/>
  <c r="H252" i="4"/>
  <c r="F260" i="4"/>
  <c r="H261" i="4"/>
  <c r="H262" i="4"/>
  <c r="I265" i="4"/>
  <c r="J265" i="4" s="1" a="1"/>
  <c r="J265" i="4" s="1"/>
  <c r="K265" i="4" s="1" a="1"/>
  <c r="K265" i="4" s="1"/>
  <c r="F266" i="4"/>
  <c r="H267" i="4"/>
  <c r="H268" i="4"/>
  <c r="F272" i="4"/>
  <c r="H273" i="4"/>
  <c r="H274" i="4"/>
  <c r="J276" i="4" a="1"/>
  <c r="J276" i="4" s="1"/>
  <c r="K276" i="4" s="1" a="1"/>
  <c r="K276" i="4" s="1"/>
  <c r="F277" i="4"/>
  <c r="J282" i="4" a="1"/>
  <c r="J282" i="4" s="1"/>
  <c r="K282" i="4" s="1" a="1"/>
  <c r="K282" i="4" s="1"/>
  <c r="F283" i="4"/>
  <c r="F286" i="4"/>
  <c r="F287" i="4"/>
  <c r="H288" i="4"/>
  <c r="F292" i="4"/>
  <c r="H294" i="4"/>
  <c r="F298" i="4"/>
  <c r="H301" i="4"/>
  <c r="H303" i="4"/>
  <c r="I303" i="4"/>
  <c r="F304" i="4"/>
  <c r="J309" i="4" a="1"/>
  <c r="J309" i="4" s="1"/>
  <c r="K309" i="4" s="1" a="1"/>
  <c r="K309" i="4" s="1"/>
  <c r="H315" i="4"/>
  <c r="J319" i="4" a="1"/>
  <c r="J319" i="4" s="1"/>
  <c r="K319" i="4" s="1" a="1"/>
  <c r="K319" i="4" s="1"/>
  <c r="F322" i="4"/>
  <c r="F324" i="4"/>
  <c r="J325" i="4" a="1"/>
  <c r="J325" i="4" s="1"/>
  <c r="K325" i="4" s="1" a="1"/>
  <c r="K325" i="4" s="1"/>
  <c r="I329" i="4"/>
  <c r="J329" i="4" s="1" a="1"/>
  <c r="J329" i="4" s="1"/>
  <c r="K329" i="4" s="1" a="1"/>
  <c r="K329" i="4" s="1"/>
  <c r="F330" i="4"/>
  <c r="H332" i="4"/>
  <c r="I332" i="4"/>
  <c r="J332" i="4" s="1" a="1"/>
  <c r="J332" i="4" s="1"/>
  <c r="K332" i="4" s="1" a="1"/>
  <c r="K332" i="4" s="1"/>
  <c r="F333" i="4"/>
  <c r="H335" i="4"/>
  <c r="I340" i="4"/>
  <c r="J340" i="4" s="1" a="1"/>
  <c r="J340" i="4" s="1"/>
  <c r="K340" i="4" s="1" a="1"/>
  <c r="K340" i="4" s="1"/>
  <c r="F341" i="4"/>
  <c r="H348" i="4"/>
  <c r="F350" i="4"/>
  <c r="J351" i="4" a="1"/>
  <c r="J351" i="4" s="1"/>
  <c r="K351" i="4" s="1" a="1"/>
  <c r="K351" i="4" s="1"/>
  <c r="H351" i="4"/>
  <c r="F360" i="4"/>
  <c r="J363" i="4" a="1"/>
  <c r="J363" i="4" s="1"/>
  <c r="K363" i="4" s="1" a="1"/>
  <c r="K363" i="4" s="1"/>
  <c r="H363" i="4"/>
  <c r="F367" i="4"/>
  <c r="F370" i="4"/>
  <c r="I372" i="4"/>
  <c r="J372" i="4" s="1" a="1"/>
  <c r="J372" i="4" s="1"/>
  <c r="K372" i="4" s="1" a="1"/>
  <c r="K372" i="4" s="1"/>
  <c r="F373" i="4"/>
  <c r="F378" i="4"/>
  <c r="F380" i="4"/>
  <c r="I380" i="4"/>
  <c r="J380" i="4" s="1" a="1"/>
  <c r="J380" i="4" s="1"/>
  <c r="K380" i="4" s="1" a="1"/>
  <c r="K380" i="4" s="1"/>
  <c r="F381" i="4"/>
  <c r="H382" i="4"/>
  <c r="F386" i="4"/>
  <c r="F388" i="4"/>
  <c r="I388" i="4"/>
  <c r="J388" i="4" s="1" a="1"/>
  <c r="J388" i="4" s="1"/>
  <c r="K388" i="4" s="1" a="1"/>
  <c r="K388" i="4" s="1"/>
  <c r="F389" i="4"/>
  <c r="J393" i="4" a="1"/>
  <c r="J393" i="4" s="1"/>
  <c r="K393" i="4" s="1" a="1"/>
  <c r="K393" i="4" s="1"/>
  <c r="F394" i="4"/>
  <c r="J395" i="4" a="1"/>
  <c r="J395" i="4" s="1"/>
  <c r="K395" i="4" s="1" a="1"/>
  <c r="K395" i="4" s="1"/>
  <c r="F400" i="4"/>
  <c r="H401" i="4"/>
  <c r="H404" i="4"/>
  <c r="I404" i="4"/>
  <c r="J404" i="4" s="1" a="1"/>
  <c r="J404" i="4" s="1"/>
  <c r="K404" i="4" s="1" a="1"/>
  <c r="K404" i="4" s="1"/>
  <c r="J405" i="4" a="1"/>
  <c r="J405" i="4" s="1"/>
  <c r="K405" i="4" s="1" a="1"/>
  <c r="K405" i="4" s="1"/>
  <c r="J411" i="4" a="1"/>
  <c r="J411" i="4" s="1"/>
  <c r="K411" i="4" s="1" a="1"/>
  <c r="K411" i="4" s="1"/>
  <c r="J423" i="4" a="1"/>
  <c r="J423" i="4" s="1"/>
  <c r="K423" i="4" s="1" a="1"/>
  <c r="K423" i="4" s="1"/>
  <c r="J435" i="4" a="1"/>
  <c r="J435" i="4" s="1"/>
  <c r="K435" i="4" s="1" a="1"/>
  <c r="K435" i="4" s="1"/>
  <c r="J178" i="4" a="1"/>
  <c r="J178" i="4" s="1"/>
  <c r="K178" i="4" s="1" a="1"/>
  <c r="K178" i="4" s="1"/>
  <c r="F179" i="4"/>
  <c r="F182" i="4"/>
  <c r="H183" i="4"/>
  <c r="J185" i="4" a="1"/>
  <c r="J185" i="4" s="1"/>
  <c r="K185" i="4" s="1" a="1"/>
  <c r="K185" i="4" s="1"/>
  <c r="J188" i="4" a="1"/>
  <c r="J188" i="4" s="1"/>
  <c r="K188" i="4" s="1" a="1"/>
  <c r="K188" i="4" s="1"/>
  <c r="F189" i="4"/>
  <c r="F192" i="4"/>
  <c r="H194" i="4"/>
  <c r="H199" i="4"/>
  <c r="J201" i="4" a="1"/>
  <c r="J201" i="4" s="1"/>
  <c r="K201" i="4" s="1" a="1"/>
  <c r="K201" i="4" s="1"/>
  <c r="H202" i="4"/>
  <c r="J204" i="4" a="1"/>
  <c r="J204" i="4" s="1"/>
  <c r="K204" i="4" s="1" a="1"/>
  <c r="K204" i="4" s="1"/>
  <c r="F205" i="4"/>
  <c r="H211" i="4"/>
  <c r="J218" i="4" a="1"/>
  <c r="J218" i="4" s="1"/>
  <c r="K218" i="4" s="1" a="1"/>
  <c r="K218" i="4" s="1"/>
  <c r="I222" i="4"/>
  <c r="J222" i="4" s="1" a="1"/>
  <c r="J222" i="4" s="1"/>
  <c r="K222" i="4" s="1" a="1"/>
  <c r="K222" i="4" s="1"/>
  <c r="F227" i="4"/>
  <c r="I229" i="4"/>
  <c r="J229" i="4" s="1" a="1"/>
  <c r="J229" i="4" s="1"/>
  <c r="K229" i="4" s="1" a="1"/>
  <c r="K229" i="4" s="1"/>
  <c r="H231" i="4"/>
  <c r="H234" i="4"/>
  <c r="J236" i="4" a="1"/>
  <c r="J236" i="4" s="1"/>
  <c r="K236" i="4" s="1" a="1"/>
  <c r="K236" i="4" s="1"/>
  <c r="F237" i="4"/>
  <c r="J241" i="4" a="1"/>
  <c r="J241" i="4" s="1"/>
  <c r="K241" i="4" s="1" a="1"/>
  <c r="K241" i="4" s="1"/>
  <c r="H243" i="4"/>
  <c r="H253" i="4"/>
  <c r="J258" i="4" a="1"/>
  <c r="J258" i="4" s="1"/>
  <c r="K258" i="4" s="1" a="1"/>
  <c r="K258" i="4" s="1"/>
  <c r="F259" i="4"/>
  <c r="H269" i="4"/>
  <c r="J273" i="4" a="1"/>
  <c r="J273" i="4" s="1"/>
  <c r="K273" i="4" s="1" a="1"/>
  <c r="K273" i="4" s="1"/>
  <c r="H275" i="4"/>
  <c r="I279" i="4"/>
  <c r="J279" i="4" s="1" a="1"/>
  <c r="J279" i="4" s="1"/>
  <c r="K279" i="4" s="1" a="1"/>
  <c r="K279" i="4" s="1"/>
  <c r="J284" i="4" a="1"/>
  <c r="J284" i="4" s="1"/>
  <c r="K284" i="4" s="1" a="1"/>
  <c r="K284" i="4" s="1"/>
  <c r="F285" i="4"/>
  <c r="J290" i="4" a="1"/>
  <c r="J290" i="4" s="1"/>
  <c r="K290" i="4" s="1" a="1"/>
  <c r="K290" i="4" s="1"/>
  <c r="F291" i="4"/>
  <c r="J293" i="4" a="1"/>
  <c r="J293" i="4" s="1"/>
  <c r="K293" i="4" s="1" a="1"/>
  <c r="K293" i="4" s="1"/>
  <c r="I299" i="4"/>
  <c r="J302" i="4" a="1"/>
  <c r="J302" i="4" s="1"/>
  <c r="K302" i="4" s="1" a="1"/>
  <c r="K302" i="4" s="1"/>
  <c r="J303" i="4" a="1"/>
  <c r="J303" i="4" s="1"/>
  <c r="K303" i="4" s="1" a="1"/>
  <c r="K303" i="4" s="1"/>
  <c r="F310" i="4"/>
  <c r="H311" i="4"/>
  <c r="J315" i="4" a="1"/>
  <c r="J315" i="4" s="1"/>
  <c r="K315" i="4" s="1" a="1"/>
  <c r="K315" i="4" s="1"/>
  <c r="J317" i="4" a="1"/>
  <c r="J317" i="4" s="1"/>
  <c r="K317" i="4" s="1" a="1"/>
  <c r="K317" i="4" s="1"/>
  <c r="J318" i="4" a="1"/>
  <c r="J318" i="4" s="1"/>
  <c r="K318" i="4" s="1" a="1"/>
  <c r="K318" i="4" s="1"/>
  <c r="H323" i="4"/>
  <c r="F332" i="4"/>
  <c r="F338" i="4"/>
  <c r="J339" i="4" a="1"/>
  <c r="J339" i="4" s="1"/>
  <c r="K339" i="4" s="1" a="1"/>
  <c r="K339" i="4" s="1"/>
  <c r="H339" i="4"/>
  <c r="J348" i="4" a="1"/>
  <c r="J348" i="4" s="1"/>
  <c r="K348" i="4" s="1" a="1"/>
  <c r="K348" i="4" s="1"/>
  <c r="J354" i="4" a="1"/>
  <c r="J354" i="4" s="1"/>
  <c r="K354" i="4" s="1" a="1"/>
  <c r="K354" i="4" s="1"/>
  <c r="J359" i="4" a="1"/>
  <c r="J359" i="4" s="1"/>
  <c r="K359" i="4" s="1" a="1"/>
  <c r="K359" i="4" s="1"/>
  <c r="H359" i="4"/>
  <c r="F368" i="4"/>
  <c r="J371" i="4" a="1"/>
  <c r="J371" i="4" s="1"/>
  <c r="K371" i="4" s="1" a="1"/>
  <c r="K371" i="4" s="1"/>
  <c r="H371" i="4"/>
  <c r="J376" i="4" a="1"/>
  <c r="J376" i="4" s="1"/>
  <c r="K376" i="4" s="1" a="1"/>
  <c r="K376" i="4" s="1"/>
  <c r="J379" i="4" a="1"/>
  <c r="J379" i="4" s="1"/>
  <c r="K379" i="4" s="1" a="1"/>
  <c r="K379" i="4" s="1"/>
  <c r="H379" i="4"/>
  <c r="J384" i="4" a="1"/>
  <c r="J384" i="4" s="1"/>
  <c r="K384" i="4" s="1" a="1"/>
  <c r="K384" i="4" s="1"/>
  <c r="J387" i="4" a="1"/>
  <c r="J387" i="4" s="1"/>
  <c r="K387" i="4" s="1" a="1"/>
  <c r="K387" i="4" s="1"/>
  <c r="H387" i="4"/>
  <c r="J397" i="4" a="1"/>
  <c r="J397" i="4" s="1"/>
  <c r="K397" i="4" s="1" a="1"/>
  <c r="K397" i="4" s="1"/>
  <c r="H399" i="4"/>
  <c r="J402" i="4" a="1"/>
  <c r="J402" i="4" s="1"/>
  <c r="K402" i="4" s="1" a="1"/>
  <c r="K402" i="4" s="1"/>
  <c r="H414" i="4"/>
  <c r="H418" i="4"/>
  <c r="J420" i="4" a="1"/>
  <c r="J420" i="4" s="1"/>
  <c r="K420" i="4" s="1" a="1"/>
  <c r="K420" i="4" s="1"/>
  <c r="H422" i="4"/>
  <c r="H426" i="4"/>
  <c r="H430" i="4"/>
  <c r="J442" i="4" a="1"/>
  <c r="J442" i="4" s="1"/>
  <c r="K442" i="4" s="1" a="1"/>
  <c r="K442" i="4" s="1"/>
  <c r="H450" i="4"/>
  <c r="H469" i="4"/>
  <c r="J470" i="4" a="1"/>
  <c r="J470" i="4" s="1"/>
  <c r="K470" i="4" s="1" a="1"/>
  <c r="K470" i="4" s="1"/>
  <c r="J476" i="4" a="1"/>
  <c r="J476" i="4" s="1"/>
  <c r="K476" i="4" s="1" a="1"/>
  <c r="K476" i="4" s="1"/>
  <c r="H481" i="4"/>
  <c r="H486" i="4"/>
  <c r="J489" i="4" a="1"/>
  <c r="J489" i="4" s="1"/>
  <c r="K489" i="4" s="1" a="1"/>
  <c r="K489" i="4" s="1"/>
  <c r="H494" i="4"/>
  <c r="H505" i="4"/>
  <c r="J521" i="4" a="1"/>
  <c r="J521" i="4" s="1"/>
  <c r="K521" i="4" s="1" a="1"/>
  <c r="K521" i="4" s="1"/>
  <c r="J522" i="4" a="1"/>
  <c r="J522" i="4" s="1"/>
  <c r="K522" i="4" s="1" a="1"/>
  <c r="K522" i="4" s="1"/>
  <c r="J532" i="4" a="1"/>
  <c r="J532" i="4" s="1"/>
  <c r="K532" i="4" s="1" a="1"/>
  <c r="K532" i="4" s="1"/>
  <c r="I537" i="4"/>
  <c r="J545" i="4" a="1"/>
  <c r="J545" i="4" s="1"/>
  <c r="K545" i="4" s="1" a="1"/>
  <c r="K545" i="4" s="1"/>
  <c r="J578" i="4" a="1"/>
  <c r="J578" i="4" s="1"/>
  <c r="K578" i="4" s="1" a="1"/>
  <c r="K578" i="4" s="1"/>
  <c r="J583" i="4" a="1"/>
  <c r="J583" i="4" s="1"/>
  <c r="K583" i="4" s="1" a="1"/>
  <c r="K583" i="4" s="1"/>
  <c r="H586" i="4"/>
  <c r="J593" i="4" a="1"/>
  <c r="J593" i="4" s="1"/>
  <c r="K593" i="4" s="1" a="1"/>
  <c r="K593" i="4" s="1"/>
  <c r="H593" i="4"/>
  <c r="J600" i="4" a="1"/>
  <c r="J600" i="4" s="1"/>
  <c r="K600" i="4" s="1" a="1"/>
  <c r="K600" i="4" s="1"/>
  <c r="H603" i="4"/>
  <c r="J605" i="4" a="1"/>
  <c r="J605" i="4" s="1"/>
  <c r="K605" i="4" s="1" a="1"/>
  <c r="K605" i="4" s="1"/>
  <c r="H609" i="4"/>
  <c r="J614" i="4" a="1"/>
  <c r="J614" i="4" s="1"/>
  <c r="K614" i="4" s="1" a="1"/>
  <c r="K614" i="4" s="1"/>
  <c r="H615" i="4"/>
  <c r="F621" i="4"/>
  <c r="H622" i="4"/>
  <c r="I622" i="4"/>
  <c r="J622" i="4" s="1" a="1"/>
  <c r="J622" i="4" s="1"/>
  <c r="K622" i="4" s="1" a="1"/>
  <c r="K622" i="4" s="1"/>
  <c r="F623" i="4"/>
  <c r="I626" i="4"/>
  <c r="J626" i="4" s="1" a="1"/>
  <c r="J626" i="4" s="1"/>
  <c r="K626" i="4" s="1" a="1"/>
  <c r="K626" i="4" s="1"/>
  <c r="F627" i="4"/>
  <c r="H634" i="4"/>
  <c r="H405" i="4"/>
  <c r="J406" i="4" a="1"/>
  <c r="J406" i="4" s="1"/>
  <c r="K406" i="4" s="1" a="1"/>
  <c r="K406" i="4" s="1"/>
  <c r="F407" i="4"/>
  <c r="J408" i="4" a="1"/>
  <c r="J408" i="4" s="1"/>
  <c r="K408" i="4" s="1" a="1"/>
  <c r="K408" i="4" s="1"/>
  <c r="J409" i="4" a="1"/>
  <c r="J409" i="4" s="1"/>
  <c r="K409" i="4" s="1" a="1"/>
  <c r="K409" i="4" s="1"/>
  <c r="F410" i="4"/>
  <c r="J412" i="4" a="1"/>
  <c r="J412" i="4" s="1"/>
  <c r="K412" i="4" s="1" a="1"/>
  <c r="K412" i="4" s="1"/>
  <c r="F413" i="4"/>
  <c r="F419" i="4"/>
  <c r="H425" i="4"/>
  <c r="J427" i="4" a="1"/>
  <c r="J427" i="4" s="1"/>
  <c r="K427" i="4" s="1" a="1"/>
  <c r="K427" i="4" s="1"/>
  <c r="H428" i="4"/>
  <c r="H429" i="4"/>
  <c r="J432" i="4" a="1"/>
  <c r="J432" i="4" s="1"/>
  <c r="K432" i="4" s="1" a="1"/>
  <c r="K432" i="4" s="1"/>
  <c r="J433" i="4" a="1"/>
  <c r="J433" i="4" s="1"/>
  <c r="K433" i="4" s="1" a="1"/>
  <c r="K433" i="4" s="1"/>
  <c r="F434" i="4"/>
  <c r="F437" i="4"/>
  <c r="J438" i="4" a="1"/>
  <c r="J438" i="4" s="1"/>
  <c r="K438" i="4" s="1" a="1"/>
  <c r="K438" i="4" s="1"/>
  <c r="H438" i="4"/>
  <c r="J440" i="4" a="1"/>
  <c r="J440" i="4" s="1"/>
  <c r="K440" i="4" s="1" a="1"/>
  <c r="K440" i="4" s="1"/>
  <c r="F442" i="4"/>
  <c r="F447" i="4"/>
  <c r="H449" i="4"/>
  <c r="F451" i="4"/>
  <c r="F454" i="4"/>
  <c r="F456" i="4"/>
  <c r="F461" i="4"/>
  <c r="H468" i="4"/>
  <c r="F470" i="4"/>
  <c r="J478" i="4" a="1"/>
  <c r="J478" i="4" s="1"/>
  <c r="K478" i="4" s="1" a="1"/>
  <c r="K478" i="4" s="1"/>
  <c r="F491" i="4"/>
  <c r="H493" i="4"/>
  <c r="H497" i="4"/>
  <c r="H498" i="4"/>
  <c r="F501" i="4"/>
  <c r="F505" i="4"/>
  <c r="F509" i="4"/>
  <c r="I516" i="4"/>
  <c r="J516" i="4" s="1" a="1"/>
  <c r="J516" i="4" s="1"/>
  <c r="K516" i="4" s="1" a="1"/>
  <c r="K516" i="4" s="1"/>
  <c r="F517" i="4"/>
  <c r="H518" i="4"/>
  <c r="F522" i="4"/>
  <c r="F523" i="4"/>
  <c r="F526" i="4"/>
  <c r="J530" i="4" a="1"/>
  <c r="J530" i="4" s="1"/>
  <c r="K530" i="4" s="1" a="1"/>
  <c r="K530" i="4" s="1"/>
  <c r="F531" i="4"/>
  <c r="F532" i="4"/>
  <c r="H533" i="4"/>
  <c r="J535" i="4" a="1"/>
  <c r="J535" i="4" s="1"/>
  <c r="K535" i="4" s="1" a="1"/>
  <c r="K535" i="4" s="1"/>
  <c r="I540" i="4"/>
  <c r="J540" i="4" s="1" a="1"/>
  <c r="J540" i="4" s="1"/>
  <c r="K540" i="4" s="1" a="1"/>
  <c r="K540" i="4" s="1"/>
  <c r="F541" i="4"/>
  <c r="H542" i="4"/>
  <c r="F546" i="4"/>
  <c r="H547" i="4"/>
  <c r="H548" i="4"/>
  <c r="J552" i="4" a="1"/>
  <c r="J552" i="4" s="1"/>
  <c r="K552" i="4" s="1" a="1"/>
  <c r="K552" i="4" s="1"/>
  <c r="J553" i="4" a="1"/>
  <c r="J553" i="4" s="1"/>
  <c r="K553" i="4" s="1" a="1"/>
  <c r="K553" i="4" s="1"/>
  <c r="H553" i="4"/>
  <c r="H554" i="4"/>
  <c r="F558" i="4"/>
  <c r="J561" i="4" a="1"/>
  <c r="J561" i="4" s="1"/>
  <c r="K561" i="4" s="1" a="1"/>
  <c r="K561" i="4" s="1"/>
  <c r="H561" i="4"/>
  <c r="H562" i="4"/>
  <c r="F566" i="4"/>
  <c r="J569" i="4" a="1"/>
  <c r="J569" i="4" s="1"/>
  <c r="K569" i="4" s="1" a="1"/>
  <c r="K569" i="4" s="1"/>
  <c r="H569" i="4"/>
  <c r="H570" i="4"/>
  <c r="F574" i="4"/>
  <c r="J577" i="4" a="1"/>
  <c r="J577" i="4" s="1"/>
  <c r="K577" i="4" s="1" a="1"/>
  <c r="K577" i="4" s="1"/>
  <c r="H577" i="4"/>
  <c r="H578" i="4"/>
  <c r="F582" i="4"/>
  <c r="J585" i="4" a="1"/>
  <c r="J585" i="4" s="1"/>
  <c r="K585" i="4" s="1" a="1"/>
  <c r="K585" i="4" s="1"/>
  <c r="H585" i="4"/>
  <c r="H587" i="4"/>
  <c r="H588" i="4"/>
  <c r="J592" i="4" a="1"/>
  <c r="J592" i="4" s="1"/>
  <c r="K592" i="4" s="1" a="1"/>
  <c r="K592" i="4" s="1"/>
  <c r="F593" i="4"/>
  <c r="F597" i="4"/>
  <c r="H598" i="4"/>
  <c r="H600" i="4"/>
  <c r="H602" i="4"/>
  <c r="H604" i="4"/>
  <c r="J607" i="4" a="1"/>
  <c r="J607" i="4" s="1"/>
  <c r="K607" i="4" s="1" a="1"/>
  <c r="K607" i="4" s="1"/>
  <c r="H611" i="4"/>
  <c r="J613" i="4" a="1"/>
  <c r="J613" i="4" s="1"/>
  <c r="K613" i="4" s="1" a="1"/>
  <c r="K613" i="4" s="1"/>
  <c r="H617" i="4"/>
  <c r="F618" i="4"/>
  <c r="H625" i="4"/>
  <c r="F632" i="4"/>
  <c r="J633" i="4" a="1"/>
  <c r="J633" i="4" s="1"/>
  <c r="K633" i="4" s="1" a="1"/>
  <c r="K633" i="4" s="1"/>
  <c r="I634" i="4"/>
  <c r="J634" i="4" s="1" a="1"/>
  <c r="J634" i="4" s="1"/>
  <c r="K634" i="4" s="1" a="1"/>
  <c r="K634" i="4" s="1"/>
  <c r="F635" i="4"/>
  <c r="J443" i="4" a="1"/>
  <c r="J443" i="4" s="1"/>
  <c r="K443" i="4" s="1" a="1"/>
  <c r="K443" i="4" s="1"/>
  <c r="J446" i="4" a="1"/>
  <c r="J446" i="4" s="1"/>
  <c r="K446" i="4" s="1" a="1"/>
  <c r="K446" i="4" s="1"/>
  <c r="H446" i="4"/>
  <c r="J448" i="4" a="1"/>
  <c r="J448" i="4" s="1"/>
  <c r="K448" i="4" s="1" a="1"/>
  <c r="K448" i="4" s="1"/>
  <c r="J457" i="4" a="1"/>
  <c r="J457" i="4" s="1"/>
  <c r="K457" i="4" s="1" a="1"/>
  <c r="K457" i="4" s="1"/>
  <c r="J458" i="4" a="1"/>
  <c r="J458" i="4" s="1"/>
  <c r="K458" i="4" s="1" a="1"/>
  <c r="K458" i="4" s="1"/>
  <c r="J462" i="4" a="1"/>
  <c r="J462" i="4" s="1"/>
  <c r="K462" i="4" s="1" a="1"/>
  <c r="K462" i="4" s="1"/>
  <c r="H467" i="4"/>
  <c r="J468" i="4" a="1"/>
  <c r="J468" i="4" s="1"/>
  <c r="K468" i="4" s="1" a="1"/>
  <c r="K468" i="4" s="1"/>
  <c r="H472" i="4"/>
  <c r="H477" i="4"/>
  <c r="J480" i="4" a="1"/>
  <c r="J480" i="4" s="1"/>
  <c r="K480" i="4" s="1" a="1"/>
  <c r="K480" i="4" s="1"/>
  <c r="J485" i="4" a="1"/>
  <c r="J485" i="4" s="1"/>
  <c r="K485" i="4" s="1" a="1"/>
  <c r="K485" i="4" s="1"/>
  <c r="J499" i="4" a="1"/>
  <c r="J499" i="4" s="1"/>
  <c r="K499" i="4" s="1" a="1"/>
  <c r="K499" i="4" s="1"/>
  <c r="J515" i="4" a="1"/>
  <c r="J515" i="4" s="1"/>
  <c r="K515" i="4" s="1" a="1"/>
  <c r="K515" i="4" s="1"/>
  <c r="J519" i="4" a="1"/>
  <c r="J519" i="4" s="1"/>
  <c r="K519" i="4" s="1" a="1"/>
  <c r="K519" i="4" s="1"/>
  <c r="F521" i="4"/>
  <c r="J528" i="4" a="1"/>
  <c r="J528" i="4" s="1"/>
  <c r="K528" i="4" s="1" a="1"/>
  <c r="K528" i="4" s="1"/>
  <c r="J538" i="4" a="1"/>
  <c r="J538" i="4" s="1"/>
  <c r="K538" i="4" s="1" a="1"/>
  <c r="K538" i="4" s="1"/>
  <c r="J543" i="4" a="1"/>
  <c r="J543" i="4" s="1"/>
  <c r="K543" i="4" s="1" a="1"/>
  <c r="K543" i="4" s="1"/>
  <c r="F545" i="4"/>
  <c r="J548" i="4" a="1"/>
  <c r="J548" i="4" s="1"/>
  <c r="K548" i="4" s="1" a="1"/>
  <c r="K548" i="4" s="1"/>
  <c r="J560" i="4" a="1"/>
  <c r="J560" i="4" s="1"/>
  <c r="K560" i="4" s="1" a="1"/>
  <c r="K560" i="4" s="1"/>
  <c r="J568" i="4" a="1"/>
  <c r="J568" i="4" s="1"/>
  <c r="K568" i="4" s="1" a="1"/>
  <c r="K568" i="4" s="1"/>
  <c r="J588" i="4" a="1"/>
  <c r="J588" i="4" s="1"/>
  <c r="K588" i="4" s="1" a="1"/>
  <c r="K588" i="4" s="1"/>
  <c r="J595" i="4" a="1"/>
  <c r="J595" i="4" s="1"/>
  <c r="K595" i="4" s="1" a="1"/>
  <c r="K595" i="4" s="1"/>
  <c r="J602" i="4" a="1"/>
  <c r="J602" i="4" s="1"/>
  <c r="K602" i="4" s="1" a="1"/>
  <c r="K602" i="4" s="1"/>
  <c r="H616" i="4"/>
  <c r="J619" i="4" a="1"/>
  <c r="J619" i="4" s="1"/>
  <c r="K619" i="4" s="1" a="1"/>
  <c r="K619" i="4" s="1"/>
  <c r="H621" i="4"/>
  <c r="F630" i="4"/>
  <c r="F637" i="4"/>
  <c r="H638" i="4"/>
  <c r="I638" i="4"/>
  <c r="J638" i="4" s="1" a="1"/>
  <c r="J638" i="4" s="1"/>
  <c r="K638" i="4" s="1" a="1"/>
  <c r="K638" i="4" s="1"/>
  <c r="J391" i="4" a="1"/>
  <c r="J391" i="4" s="1"/>
  <c r="K391" i="4" s="1" a="1"/>
  <c r="K391" i="4" s="1"/>
  <c r="H391" i="4"/>
  <c r="H396" i="4"/>
  <c r="H397" i="4"/>
  <c r="J398" i="4" a="1"/>
  <c r="J398" i="4" s="1"/>
  <c r="K398" i="4" s="1" a="1"/>
  <c r="K398" i="4" s="1"/>
  <c r="F399" i="4"/>
  <c r="J400" i="4" a="1"/>
  <c r="J400" i="4" s="1"/>
  <c r="K400" i="4" s="1" a="1"/>
  <c r="K400" i="4" s="1"/>
  <c r="F402" i="4"/>
  <c r="F405" i="4"/>
  <c r="J407" i="4" a="1"/>
  <c r="J407" i="4" s="1"/>
  <c r="K407" i="4" s="1" a="1"/>
  <c r="K407" i="4" s="1"/>
  <c r="H407" i="4"/>
  <c r="H412" i="4"/>
  <c r="F414" i="4"/>
  <c r="F416" i="4"/>
  <c r="H417" i="4"/>
  <c r="J419" i="4" a="1"/>
  <c r="J419" i="4" s="1"/>
  <c r="K419" i="4" s="1" a="1"/>
  <c r="K419" i="4" s="1"/>
  <c r="H421" i="4"/>
  <c r="J422" i="4" a="1"/>
  <c r="J422" i="4" s="1"/>
  <c r="K422" i="4" s="1" a="1"/>
  <c r="K422" i="4" s="1"/>
  <c r="F423" i="4"/>
  <c r="F427" i="4"/>
  <c r="F431" i="4"/>
  <c r="F432" i="4"/>
  <c r="F438" i="4"/>
  <c r="F440" i="4"/>
  <c r="H444" i="4"/>
  <c r="H445" i="4"/>
  <c r="H447" i="4"/>
  <c r="J451" i="4" a="1"/>
  <c r="J451" i="4" s="1"/>
  <c r="K451" i="4" s="1" a="1"/>
  <c r="K451" i="4" s="1"/>
  <c r="F453" i="4"/>
  <c r="J454" i="4" a="1"/>
  <c r="J454" i="4" s="1"/>
  <c r="K454" i="4" s="1" a="1"/>
  <c r="K454" i="4" s="1"/>
  <c r="H455" i="4"/>
  <c r="J456" i="4" a="1"/>
  <c r="J456" i="4" s="1"/>
  <c r="K456" i="4" s="1" a="1"/>
  <c r="K456" i="4" s="1"/>
  <c r="F458" i="4"/>
  <c r="F462" i="4"/>
  <c r="I464" i="4"/>
  <c r="J464" i="4" s="1" a="1"/>
  <c r="J464" i="4" s="1"/>
  <c r="K464" i="4" s="1" a="1"/>
  <c r="K464" i="4" s="1"/>
  <c r="F466" i="4"/>
  <c r="F468" i="4"/>
  <c r="J473" i="4" a="1"/>
  <c r="J473" i="4" s="1"/>
  <c r="K473" i="4" s="1" a="1"/>
  <c r="K473" i="4" s="1"/>
  <c r="F479" i="4"/>
  <c r="F495" i="4"/>
  <c r="J496" i="4" a="1"/>
  <c r="J496" i="4" s="1"/>
  <c r="K496" i="4" s="1" a="1"/>
  <c r="K496" i="4" s="1"/>
  <c r="F497" i="4"/>
  <c r="F499" i="4"/>
  <c r="F502" i="4"/>
  <c r="F510" i="4"/>
  <c r="F518" i="4"/>
  <c r="I524" i="4"/>
  <c r="J524" i="4" s="1" a="1"/>
  <c r="J524" i="4" s="1"/>
  <c r="K524" i="4" s="1" a="1"/>
  <c r="K524" i="4" s="1"/>
  <c r="F525" i="4"/>
  <c r="H526" i="4"/>
  <c r="F530" i="4"/>
  <c r="H531" i="4"/>
  <c r="H532" i="4"/>
  <c r="J536" i="4" a="1"/>
  <c r="J536" i="4" s="1"/>
  <c r="K536" i="4" s="1" a="1"/>
  <c r="K536" i="4" s="1"/>
  <c r="J537" i="4" a="1"/>
  <c r="J537" i="4" s="1"/>
  <c r="K537" i="4" s="1" a="1"/>
  <c r="K537" i="4" s="1"/>
  <c r="H538" i="4"/>
  <c r="F542" i="4"/>
  <c r="J546" i="4" a="1"/>
  <c r="J546" i="4" s="1"/>
  <c r="K546" i="4" s="1" a="1"/>
  <c r="K546" i="4" s="1"/>
  <c r="F547" i="4"/>
  <c r="F548" i="4"/>
  <c r="H549" i="4"/>
  <c r="J551" i="4" a="1"/>
  <c r="J551" i="4" s="1"/>
  <c r="K551" i="4" s="1" a="1"/>
  <c r="K551" i="4" s="1"/>
  <c r="I556" i="4"/>
  <c r="J556" i="4" s="1" a="1"/>
  <c r="J556" i="4" s="1"/>
  <c r="K556" i="4" s="1" a="1"/>
  <c r="K556" i="4" s="1"/>
  <c r="F557" i="4"/>
  <c r="H558" i="4"/>
  <c r="I564" i="4"/>
  <c r="J564" i="4" s="1" a="1"/>
  <c r="J564" i="4" s="1"/>
  <c r="K564" i="4" s="1" a="1"/>
  <c r="K564" i="4" s="1"/>
  <c r="F565" i="4"/>
  <c r="H566" i="4"/>
  <c r="I572" i="4"/>
  <c r="J572" i="4" s="1" a="1"/>
  <c r="J572" i="4" s="1"/>
  <c r="K572" i="4" s="1" a="1"/>
  <c r="K572" i="4" s="1"/>
  <c r="F573" i="4"/>
  <c r="H574" i="4"/>
  <c r="I580" i="4"/>
  <c r="J580" i="4" s="1" a="1"/>
  <c r="J580" i="4" s="1"/>
  <c r="K580" i="4" s="1" a="1"/>
  <c r="K580" i="4" s="1"/>
  <c r="F581" i="4"/>
  <c r="H582" i="4"/>
  <c r="H584" i="4"/>
  <c r="F587" i="4"/>
  <c r="F588" i="4"/>
  <c r="H589" i="4"/>
  <c r="J591" i="4" a="1"/>
  <c r="J591" i="4" s="1"/>
  <c r="K591" i="4" s="1" a="1"/>
  <c r="K591" i="4" s="1"/>
  <c r="F594" i="4"/>
  <c r="H594" i="4"/>
  <c r="H596" i="4"/>
  <c r="F598" i="4"/>
  <c r="H601" i="4"/>
  <c r="F611" i="4"/>
  <c r="H612" i="4"/>
  <c r="I618" i="4"/>
  <c r="J618" i="4" s="1" a="1"/>
  <c r="J618" i="4" s="1"/>
  <c r="K618" i="4" s="1" a="1"/>
  <c r="K618" i="4" s="1"/>
  <c r="J627" i="4" a="1"/>
  <c r="J627" i="4" s="1"/>
  <c r="K627" i="4" s="1" a="1"/>
  <c r="K627" i="4" s="1"/>
  <c r="H629" i="4"/>
  <c r="H646" i="4"/>
  <c r="I646" i="4"/>
  <c r="J646" i="4" s="1" a="1"/>
  <c r="J646" i="4" s="1"/>
  <c r="K646" i="4" s="1" a="1"/>
  <c r="K646" i="4" s="1"/>
  <c r="J647" i="4" a="1"/>
  <c r="J647" i="4" s="1"/>
  <c r="K647" i="4" s="1" a="1"/>
  <c r="K647" i="4" s="1"/>
  <c r="I658" i="4"/>
  <c r="H664" i="4"/>
  <c r="F666" i="4"/>
  <c r="I674" i="4"/>
  <c r="J675" i="4" a="1"/>
  <c r="J675" i="4" s="1"/>
  <c r="K675" i="4" s="1" a="1"/>
  <c r="K675" i="4" s="1"/>
  <c r="J686" i="4" a="1"/>
  <c r="J686" i="4" s="1"/>
  <c r="K686" i="4" s="1" a="1"/>
  <c r="K686" i="4" s="1"/>
  <c r="F690" i="4"/>
  <c r="J691" i="4" a="1"/>
  <c r="J691" i="4" s="1"/>
  <c r="K691" i="4" s="1" a="1"/>
  <c r="K691" i="4" s="1"/>
  <c r="I780" i="4"/>
  <c r="J780" i="4" s="1" a="1"/>
  <c r="J780" i="4" s="1"/>
  <c r="K780" i="4" s="1" a="1"/>
  <c r="K780" i="4" s="1"/>
  <c r="H782" i="4"/>
  <c r="J784" i="4" a="1"/>
  <c r="J784" i="4" s="1"/>
  <c r="K784" i="4" s="1" a="1"/>
  <c r="K784" i="4" s="1"/>
  <c r="J789" i="4" a="1"/>
  <c r="J789" i="4" s="1"/>
  <c r="K789" i="4" s="1" a="1"/>
  <c r="K789" i="4" s="1"/>
  <c r="J795" i="4" a="1"/>
  <c r="J795" i="4" s="1"/>
  <c r="K795" i="4" s="1" a="1"/>
  <c r="K795" i="4" s="1"/>
  <c r="J809" i="4" a="1"/>
  <c r="J809" i="4" s="1"/>
  <c r="K809" i="4" s="1" a="1"/>
  <c r="K809" i="4" s="1"/>
  <c r="J813" i="4" a="1"/>
  <c r="J813" i="4" s="1"/>
  <c r="K813" i="4" s="1" a="1"/>
  <c r="K813" i="4" s="1"/>
  <c r="F824" i="4"/>
  <c r="I827" i="4"/>
  <c r="I829" i="4"/>
  <c r="J836" i="4" a="1"/>
  <c r="J836" i="4" s="1"/>
  <c r="K836" i="4" s="1" a="1"/>
  <c r="K836" i="4" s="1"/>
  <c r="J865" i="4" a="1"/>
  <c r="J865" i="4" s="1"/>
  <c r="K865" i="4" s="1" a="1"/>
  <c r="K865" i="4" s="1"/>
  <c r="F865" i="4"/>
  <c r="H869" i="4"/>
  <c r="I869" i="4"/>
  <c r="F645" i="4"/>
  <c r="J662" i="4" a="1"/>
  <c r="J662" i="4" s="1"/>
  <c r="K662" i="4" s="1" a="1"/>
  <c r="K662" i="4" s="1"/>
  <c r="H665" i="4"/>
  <c r="H682" i="4"/>
  <c r="I682" i="4"/>
  <c r="F683" i="4"/>
  <c r="J683" i="4" a="1"/>
  <c r="J683" i="4" s="1"/>
  <c r="K683" i="4" s="1" a="1"/>
  <c r="K683" i="4" s="1"/>
  <c r="F684" i="4"/>
  <c r="H685" i="4"/>
  <c r="J688" i="4" a="1"/>
  <c r="J688" i="4" s="1"/>
  <c r="K688" i="4" s="1" a="1"/>
  <c r="K688" i="4" s="1"/>
  <c r="H689" i="4"/>
  <c r="F697" i="4"/>
  <c r="I702" i="4"/>
  <c r="J702" i="4" s="1" a="1"/>
  <c r="J702" i="4" s="1"/>
  <c r="K702" i="4" s="1" a="1"/>
  <c r="K702" i="4" s="1"/>
  <c r="F703" i="4"/>
  <c r="H705" i="4"/>
  <c r="I710" i="4"/>
  <c r="J710" i="4" s="1" a="1"/>
  <c r="J710" i="4" s="1"/>
  <c r="K710" i="4" s="1" a="1"/>
  <c r="K710" i="4" s="1"/>
  <c r="F711" i="4"/>
  <c r="H713" i="4"/>
  <c r="I718" i="4"/>
  <c r="J718" i="4" s="1" a="1"/>
  <c r="J718" i="4" s="1"/>
  <c r="K718" i="4" s="1" a="1"/>
  <c r="K718" i="4" s="1"/>
  <c r="F719" i="4"/>
  <c r="H721" i="4"/>
  <c r="I726" i="4"/>
  <c r="J726" i="4" s="1" a="1"/>
  <c r="J726" i="4" s="1"/>
  <c r="K726" i="4" s="1" a="1"/>
  <c r="K726" i="4" s="1"/>
  <c r="F727" i="4"/>
  <c r="H729" i="4"/>
  <c r="I734" i="4"/>
  <c r="J734" i="4" s="1" a="1"/>
  <c r="J734" i="4" s="1"/>
  <c r="K734" i="4" s="1" a="1"/>
  <c r="K734" i="4" s="1"/>
  <c r="F735" i="4"/>
  <c r="H737" i="4"/>
  <c r="I742" i="4"/>
  <c r="J742" i="4" s="1" a="1"/>
  <c r="J742" i="4" s="1"/>
  <c r="K742" i="4" s="1" a="1"/>
  <c r="K742" i="4" s="1"/>
  <c r="F743" i="4"/>
  <c r="H745" i="4"/>
  <c r="F756" i="4"/>
  <c r="I757" i="4"/>
  <c r="J757" i="4" s="1" a="1"/>
  <c r="J757" i="4" s="1"/>
  <c r="K757" i="4" s="1" a="1"/>
  <c r="K757" i="4" s="1"/>
  <c r="H763" i="4"/>
  <c r="J764" i="4" a="1"/>
  <c r="J764" i="4" s="1"/>
  <c r="K764" i="4" s="1" a="1"/>
  <c r="K764" i="4" s="1"/>
  <c r="H766" i="4"/>
  <c r="H772" i="4"/>
  <c r="I772" i="4"/>
  <c r="J772" i="4" s="1" a="1"/>
  <c r="J772" i="4" s="1"/>
  <c r="K772" i="4" s="1" a="1"/>
  <c r="K772" i="4" s="1"/>
  <c r="I773" i="4"/>
  <c r="J773" i="4" s="1" a="1"/>
  <c r="J773" i="4" s="1"/>
  <c r="K773" i="4" s="1" a="1"/>
  <c r="K773" i="4" s="1"/>
  <c r="F774" i="4"/>
  <c r="H779" i="4"/>
  <c r="I788" i="4"/>
  <c r="J788" i="4" s="1" a="1"/>
  <c r="J788" i="4" s="1"/>
  <c r="K788" i="4" s="1" a="1"/>
  <c r="K788" i="4" s="1"/>
  <c r="I805" i="4"/>
  <c r="J805" i="4" s="1" a="1"/>
  <c r="J805" i="4" s="1"/>
  <c r="K805" i="4" s="1" a="1"/>
  <c r="K805" i="4" s="1"/>
  <c r="F806" i="4"/>
  <c r="H812" i="4"/>
  <c r="I812" i="4"/>
  <c r="J812" i="4" s="1" a="1"/>
  <c r="J812" i="4" s="1"/>
  <c r="K812" i="4" s="1" a="1"/>
  <c r="K812" i="4" s="1"/>
  <c r="H820" i="4"/>
  <c r="I820" i="4"/>
  <c r="J820" i="4" s="1" a="1"/>
  <c r="J820" i="4" s="1"/>
  <c r="K820" i="4" s="1" a="1"/>
  <c r="K820" i="4" s="1"/>
  <c r="I821" i="4"/>
  <c r="J821" i="4" s="1" a="1"/>
  <c r="J821" i="4" s="1"/>
  <c r="K821" i="4" s="1" a="1"/>
  <c r="K821" i="4" s="1"/>
  <c r="H825" i="4"/>
  <c r="F835" i="4"/>
  <c r="F836" i="4"/>
  <c r="H845" i="4"/>
  <c r="H855" i="4"/>
  <c r="H642" i="4"/>
  <c r="F644" i="4"/>
  <c r="F647" i="4"/>
  <c r="J649" i="4" a="1"/>
  <c r="J649" i="4" s="1"/>
  <c r="K649" i="4" s="1" a="1"/>
  <c r="K649" i="4" s="1"/>
  <c r="F653" i="4"/>
  <c r="I654" i="4"/>
  <c r="J654" i="4" s="1" a="1"/>
  <c r="J654" i="4" s="1"/>
  <c r="K654" i="4" s="1" a="1"/>
  <c r="K654" i="4" s="1"/>
  <c r="F655" i="4"/>
  <c r="H657" i="4"/>
  <c r="J664" i="4" a="1"/>
  <c r="J664" i="4" s="1"/>
  <c r="K664" i="4" s="1" a="1"/>
  <c r="K664" i="4" s="1"/>
  <c r="F665" i="4"/>
  <c r="H667" i="4"/>
  <c r="I670" i="4"/>
  <c r="J670" i="4" s="1" a="1"/>
  <c r="J670" i="4" s="1"/>
  <c r="K670" i="4" s="1" a="1"/>
  <c r="K670" i="4" s="1"/>
  <c r="F671" i="4"/>
  <c r="H673" i="4"/>
  <c r="F677" i="4"/>
  <c r="H678" i="4"/>
  <c r="J681" i="4" a="1"/>
  <c r="J681" i="4" s="1"/>
  <c r="K681" i="4" s="1" a="1"/>
  <c r="K681" i="4" s="1"/>
  <c r="F689" i="4"/>
  <c r="F693" i="4"/>
  <c r="H694" i="4"/>
  <c r="H696" i="4"/>
  <c r="H698" i="4"/>
  <c r="I698" i="4"/>
  <c r="J698" i="4" s="1" a="1"/>
  <c r="J698" i="4" s="1"/>
  <c r="K698" i="4" s="1" a="1"/>
  <c r="K698" i="4" s="1"/>
  <c r="H699" i="4"/>
  <c r="H701" i="4"/>
  <c r="J704" i="4" a="1"/>
  <c r="J704" i="4" s="1"/>
  <c r="K704" i="4" s="1" a="1"/>
  <c r="K704" i="4" s="1"/>
  <c r="F705" i="4"/>
  <c r="H707" i="4"/>
  <c r="H709" i="4"/>
  <c r="J712" i="4" a="1"/>
  <c r="J712" i="4" s="1"/>
  <c r="K712" i="4" s="1" a="1"/>
  <c r="K712" i="4" s="1"/>
  <c r="F713" i="4"/>
  <c r="H715" i="4"/>
  <c r="H717" i="4"/>
  <c r="J720" i="4" a="1"/>
  <c r="J720" i="4" s="1"/>
  <c r="K720" i="4" s="1" a="1"/>
  <c r="K720" i="4" s="1"/>
  <c r="F721" i="4"/>
  <c r="H723" i="4"/>
  <c r="H725" i="4"/>
  <c r="J728" i="4" a="1"/>
  <c r="J728" i="4" s="1"/>
  <c r="K728" i="4" s="1" a="1"/>
  <c r="K728" i="4" s="1"/>
  <c r="F729" i="4"/>
  <c r="H731" i="4"/>
  <c r="H733" i="4"/>
  <c r="J736" i="4" a="1"/>
  <c r="J736" i="4" s="1"/>
  <c r="K736" i="4" s="1" a="1"/>
  <c r="K736" i="4" s="1"/>
  <c r="F737" i="4"/>
  <c r="H739" i="4"/>
  <c r="H741" i="4"/>
  <c r="J744" i="4" a="1"/>
  <c r="J744" i="4" s="1"/>
  <c r="K744" i="4" s="1" a="1"/>
  <c r="K744" i="4" s="1"/>
  <c r="F745" i="4"/>
  <c r="H747" i="4"/>
  <c r="F748" i="4"/>
  <c r="J749" i="4" a="1"/>
  <c r="J749" i="4" s="1"/>
  <c r="K749" i="4" s="1" a="1"/>
  <c r="K749" i="4" s="1"/>
  <c r="J751" i="4" a="1"/>
  <c r="J751" i="4" s="1"/>
  <c r="K751" i="4" s="1" a="1"/>
  <c r="K751" i="4" s="1"/>
  <c r="F752" i="4"/>
  <c r="H752" i="4"/>
  <c r="F755" i="4"/>
  <c r="H758" i="4"/>
  <c r="F763" i="4"/>
  <c r="H765" i="4"/>
  <c r="H768" i="4"/>
  <c r="F769" i="4"/>
  <c r="H770" i="4"/>
  <c r="F773" i="4"/>
  <c r="H774" i="4"/>
  <c r="J776" i="4" a="1"/>
  <c r="J776" i="4" s="1"/>
  <c r="K776" i="4" s="1" a="1"/>
  <c r="K776" i="4" s="1"/>
  <c r="F777" i="4"/>
  <c r="H778" i="4"/>
  <c r="F779" i="4"/>
  <c r="F780" i="4"/>
  <c r="H781" i="4"/>
  <c r="J785" i="4" a="1"/>
  <c r="J785" i="4" s="1"/>
  <c r="K785" i="4" s="1" a="1"/>
  <c r="K785" i="4" s="1"/>
  <c r="J787" i="4" a="1"/>
  <c r="J787" i="4" s="1"/>
  <c r="K787" i="4" s="1" a="1"/>
  <c r="K787" i="4" s="1"/>
  <c r="H787" i="4"/>
  <c r="F791" i="4"/>
  <c r="I797" i="4"/>
  <c r="J797" i="4" s="1" a="1"/>
  <c r="J797" i="4" s="1"/>
  <c r="K797" i="4" s="1" a="1"/>
  <c r="K797" i="4" s="1"/>
  <c r="F798" i="4"/>
  <c r="H804" i="4"/>
  <c r="I804" i="4"/>
  <c r="J804" i="4" s="1" a="1"/>
  <c r="J804" i="4" s="1"/>
  <c r="K804" i="4" s="1" a="1"/>
  <c r="K804" i="4" s="1"/>
  <c r="F805" i="4"/>
  <c r="H806" i="4"/>
  <c r="J808" i="4" a="1"/>
  <c r="J808" i="4" s="1"/>
  <c r="K808" i="4" s="1" a="1"/>
  <c r="K808" i="4" s="1"/>
  <c r="J811" i="4" a="1"/>
  <c r="J811" i="4" s="1"/>
  <c r="K811" i="4" s="1" a="1"/>
  <c r="K811" i="4" s="1"/>
  <c r="H811" i="4"/>
  <c r="F815" i="4"/>
  <c r="J819" i="4" a="1"/>
  <c r="J819" i="4" s="1"/>
  <c r="K819" i="4" s="1" a="1"/>
  <c r="K819" i="4" s="1"/>
  <c r="H819" i="4"/>
  <c r="H822" i="4"/>
  <c r="J824" i="4" a="1"/>
  <c r="J824" i="4" s="1"/>
  <c r="K824" i="4" s="1" a="1"/>
  <c r="K824" i="4" s="1"/>
  <c r="H826" i="4"/>
  <c r="H828" i="4"/>
  <c r="I828" i="4"/>
  <c r="J828" i="4" s="1" a="1"/>
  <c r="J828" i="4" s="1"/>
  <c r="K828" i="4" s="1" a="1"/>
  <c r="K828" i="4" s="1"/>
  <c r="F829" i="4"/>
  <c r="J830" i="4" a="1"/>
  <c r="J830" i="4" s="1"/>
  <c r="K830" i="4" s="1" a="1"/>
  <c r="K830" i="4" s="1"/>
  <c r="I833" i="4"/>
  <c r="J833" i="4" s="1" a="1"/>
  <c r="J833" i="4" s="1"/>
  <c r="K833" i="4" s="1" a="1"/>
  <c r="K833" i="4" s="1"/>
  <c r="H833" i="4"/>
  <c r="H837" i="4"/>
  <c r="I837" i="4"/>
  <c r="J841" i="4" a="1"/>
  <c r="J841" i="4" s="1"/>
  <c r="K841" i="4" s="1" a="1"/>
  <c r="K841" i="4" s="1"/>
  <c r="J844" i="4" a="1"/>
  <c r="J844" i="4" s="1"/>
  <c r="K844" i="4" s="1" a="1"/>
  <c r="K844" i="4" s="1"/>
  <c r="J845" i="4" a="1"/>
  <c r="J845" i="4" s="1"/>
  <c r="K845" i="4" s="1" a="1"/>
  <c r="K845" i="4" s="1"/>
  <c r="F846" i="4"/>
  <c r="H867" i="4"/>
  <c r="I867" i="4"/>
  <c r="F612" i="4"/>
  <c r="F617" i="4"/>
  <c r="H619" i="4"/>
  <c r="F620" i="4"/>
  <c r="F622" i="4"/>
  <c r="F624" i="4"/>
  <c r="H627" i="4"/>
  <c r="F628" i="4"/>
  <c r="F629" i="4"/>
  <c r="H630" i="4"/>
  <c r="I630" i="4"/>
  <c r="J630" i="4" s="1" a="1"/>
  <c r="J630" i="4" s="1"/>
  <c r="K630" i="4" s="1" a="1"/>
  <c r="K630" i="4" s="1"/>
  <c r="F631" i="4"/>
  <c r="F633" i="4"/>
  <c r="F636" i="4"/>
  <c r="J637" i="4" a="1"/>
  <c r="J637" i="4" s="1"/>
  <c r="K637" i="4" s="1" a="1"/>
  <c r="K637" i="4" s="1"/>
  <c r="H637" i="4"/>
  <c r="H640" i="4"/>
  <c r="H641" i="4"/>
  <c r="F642" i="4"/>
  <c r="I642" i="4"/>
  <c r="J642" i="4" s="1" a="1"/>
  <c r="J642" i="4" s="1"/>
  <c r="K642" i="4" s="1" a="1"/>
  <c r="K642" i="4" s="1"/>
  <c r="F643" i="4"/>
  <c r="H644" i="4"/>
  <c r="F648" i="4"/>
  <c r="H649" i="4"/>
  <c r="J656" i="4" a="1"/>
  <c r="J656" i="4" s="1"/>
  <c r="K656" i="4" s="1" a="1"/>
  <c r="K656" i="4" s="1"/>
  <c r="F657" i="4"/>
  <c r="F660" i="4"/>
  <c r="H661" i="4"/>
  <c r="H666" i="4"/>
  <c r="I666" i="4"/>
  <c r="F667" i="4"/>
  <c r="F668" i="4"/>
  <c r="H669" i="4"/>
  <c r="J672" i="4" a="1"/>
  <c r="J672" i="4" s="1"/>
  <c r="K672" i="4" s="1" a="1"/>
  <c r="K672" i="4" s="1"/>
  <c r="F673" i="4"/>
  <c r="I678" i="4"/>
  <c r="J678" i="4" s="1" a="1"/>
  <c r="J678" i="4" s="1"/>
  <c r="K678" i="4" s="1" a="1"/>
  <c r="K678" i="4" s="1"/>
  <c r="F679" i="4"/>
  <c r="H681" i="4"/>
  <c r="F685" i="4"/>
  <c r="H686" i="4"/>
  <c r="H688" i="4"/>
  <c r="F688" i="4"/>
  <c r="I690" i="4"/>
  <c r="J690" i="4" s="1" a="1"/>
  <c r="J690" i="4" s="1"/>
  <c r="K690" i="4" s="1" a="1"/>
  <c r="K690" i="4" s="1"/>
  <c r="J694" i="4" a="1"/>
  <c r="J694" i="4" s="1"/>
  <c r="K694" i="4" s="1" a="1"/>
  <c r="K694" i="4" s="1"/>
  <c r="J697" i="4" a="1"/>
  <c r="J697" i="4" s="1"/>
  <c r="K697" i="4" s="1" a="1"/>
  <c r="K697" i="4" s="1"/>
  <c r="F698" i="4"/>
  <c r="H700" i="4"/>
  <c r="J703" i="4" a="1"/>
  <c r="J703" i="4" s="1"/>
  <c r="K703" i="4" s="1" a="1"/>
  <c r="K703" i="4" s="1"/>
  <c r="H706" i="4"/>
  <c r="I706" i="4"/>
  <c r="H708" i="4"/>
  <c r="J711" i="4" a="1"/>
  <c r="J711" i="4" s="1"/>
  <c r="K711" i="4" s="1" a="1"/>
  <c r="K711" i="4" s="1"/>
  <c r="H714" i="4"/>
  <c r="I714" i="4"/>
  <c r="H716" i="4"/>
  <c r="J719" i="4" a="1"/>
  <c r="J719" i="4" s="1"/>
  <c r="K719" i="4" s="1" a="1"/>
  <c r="K719" i="4" s="1"/>
  <c r="H722" i="4"/>
  <c r="I722" i="4"/>
  <c r="F723" i="4"/>
  <c r="H724" i="4"/>
  <c r="J727" i="4" a="1"/>
  <c r="J727" i="4" s="1"/>
  <c r="K727" i="4" s="1" a="1"/>
  <c r="K727" i="4" s="1"/>
  <c r="H730" i="4"/>
  <c r="I730" i="4"/>
  <c r="F731" i="4"/>
  <c r="H732" i="4"/>
  <c r="J735" i="4" a="1"/>
  <c r="J735" i="4" s="1"/>
  <c r="K735" i="4" s="1" a="1"/>
  <c r="K735" i="4" s="1"/>
  <c r="H738" i="4"/>
  <c r="I738" i="4"/>
  <c r="F739" i="4"/>
  <c r="H740" i="4"/>
  <c r="J743" i="4" a="1"/>
  <c r="J743" i="4" s="1"/>
  <c r="K743" i="4" s="1" a="1"/>
  <c r="K743" i="4" s="1"/>
  <c r="H749" i="4"/>
  <c r="J753" i="4" a="1"/>
  <c r="J753" i="4" s="1"/>
  <c r="K753" i="4" s="1" a="1"/>
  <c r="K753" i="4" s="1"/>
  <c r="H755" i="4"/>
  <c r="J760" i="4" a="1"/>
  <c r="J760" i="4" s="1"/>
  <c r="K760" i="4" s="1" a="1"/>
  <c r="K760" i="4" s="1"/>
  <c r="J761" i="4" a="1"/>
  <c r="J761" i="4" s="1"/>
  <c r="K761" i="4" s="1" a="1"/>
  <c r="K761" i="4" s="1"/>
  <c r="J771" i="4" a="1"/>
  <c r="J771" i="4" s="1"/>
  <c r="K771" i="4" s="1" a="1"/>
  <c r="K771" i="4" s="1"/>
  <c r="J781" i="4" a="1"/>
  <c r="J781" i="4" s="1"/>
  <c r="K781" i="4" s="1" a="1"/>
  <c r="K781" i="4" s="1"/>
  <c r="F786" i="4"/>
  <c r="J793" i="4" a="1"/>
  <c r="J793" i="4" s="1"/>
  <c r="K793" i="4" s="1" a="1"/>
  <c r="K793" i="4" s="1"/>
  <c r="H794" i="4"/>
  <c r="I796" i="4"/>
  <c r="J796" i="4" s="1" a="1"/>
  <c r="J796" i="4" s="1"/>
  <c r="K796" i="4" s="1" a="1"/>
  <c r="K796" i="4" s="1"/>
  <c r="H798" i="4"/>
  <c r="J800" i="4" a="1"/>
  <c r="J800" i="4" s="1"/>
  <c r="K800" i="4" s="1" a="1"/>
  <c r="K800" i="4" s="1"/>
  <c r="H801" i="4"/>
  <c r="J802" i="4" a="1"/>
  <c r="J802" i="4" s="1"/>
  <c r="K802" i="4" s="1" a="1"/>
  <c r="K802" i="4" s="1"/>
  <c r="J803" i="4" a="1"/>
  <c r="J803" i="4" s="1"/>
  <c r="K803" i="4" s="1" a="1"/>
  <c r="K803" i="4" s="1"/>
  <c r="H810" i="4"/>
  <c r="J817" i="4" a="1"/>
  <c r="J817" i="4" s="1"/>
  <c r="K817" i="4" s="1" a="1"/>
  <c r="K817" i="4" s="1"/>
  <c r="F818" i="4"/>
  <c r="H838" i="4"/>
  <c r="J839" i="4" a="1"/>
  <c r="J839" i="4" s="1"/>
  <c r="K839" i="4" s="1" a="1"/>
  <c r="K839" i="4" s="1"/>
  <c r="H842" i="4"/>
  <c r="J847" i="4" a="1"/>
  <c r="J847" i="4" s="1"/>
  <c r="K847" i="4" s="1" a="1"/>
  <c r="K847" i="4" s="1"/>
  <c r="J849" i="4" a="1"/>
  <c r="J849" i="4" s="1"/>
  <c r="K849" i="4" s="1" a="1"/>
  <c r="K849" i="4" s="1"/>
  <c r="J853" i="4" a="1"/>
  <c r="J853" i="4" s="1"/>
  <c r="K853" i="4" s="1" a="1"/>
  <c r="K853" i="4" s="1"/>
  <c r="H860" i="4"/>
  <c r="J859" i="4" a="1"/>
  <c r="J859" i="4" s="1"/>
  <c r="K859" i="4" s="1" a="1"/>
  <c r="K859" i="4" s="1"/>
  <c r="H873" i="4"/>
  <c r="I876" i="4"/>
  <c r="J887" i="4" a="1"/>
  <c r="J887" i="4" s="1"/>
  <c r="K887" i="4" s="1" a="1"/>
  <c r="K887" i="4" s="1"/>
  <c r="H892" i="4"/>
  <c r="J894" i="4" a="1"/>
  <c r="J894" i="4" s="1"/>
  <c r="K894" i="4" s="1" a="1"/>
  <c r="K894" i="4" s="1"/>
  <c r="F896" i="4"/>
  <c r="I896" i="4"/>
  <c r="J896" i="4" s="1" a="1"/>
  <c r="J896" i="4" s="1"/>
  <c r="K896" i="4" s="1" a="1"/>
  <c r="K896" i="4" s="1"/>
  <c r="F897" i="4"/>
  <c r="I897" i="4"/>
  <c r="J897" i="4" s="1" a="1"/>
  <c r="J897" i="4" s="1"/>
  <c r="K897" i="4" s="1" a="1"/>
  <c r="K897" i="4" s="1"/>
  <c r="H903" i="4"/>
  <c r="F905" i="4"/>
  <c r="F908" i="4"/>
  <c r="F909" i="4"/>
  <c r="H910" i="4"/>
  <c r="F914" i="4"/>
  <c r="F916" i="4"/>
  <c r="H917" i="4"/>
  <c r="I919" i="4"/>
  <c r="F920" i="4"/>
  <c r="I920" i="4"/>
  <c r="J920" i="4" s="1" a="1"/>
  <c r="J920" i="4" s="1"/>
  <c r="K920" i="4" s="1" a="1"/>
  <c r="K920" i="4" s="1"/>
  <c r="J929" i="4" a="1"/>
  <c r="J929" i="4" s="1"/>
  <c r="K929" i="4" s="1" a="1"/>
  <c r="K929" i="4" s="1"/>
  <c r="H935" i="4"/>
  <c r="F821" i="4"/>
  <c r="F822" i="4"/>
  <c r="J826" i="4" a="1"/>
  <c r="J826" i="4" s="1"/>
  <c r="K826" i="4" s="1" a="1"/>
  <c r="K826" i="4" s="1"/>
  <c r="J827" i="4" a="1"/>
  <c r="J827" i="4" s="1"/>
  <c r="K827" i="4" s="1" a="1"/>
  <c r="K827" i="4" s="1"/>
  <c r="F831" i="4"/>
  <c r="J834" i="4" a="1"/>
  <c r="J834" i="4" s="1"/>
  <c r="K834" i="4" s="1" a="1"/>
  <c r="K834" i="4" s="1"/>
  <c r="F838" i="4"/>
  <c r="H846" i="4"/>
  <c r="J850" i="4" a="1"/>
  <c r="J850" i="4" s="1"/>
  <c r="K850" i="4" s="1" a="1"/>
  <c r="K850" i="4" s="1"/>
  <c r="F854" i="4"/>
  <c r="H857" i="4"/>
  <c r="H858" i="4"/>
  <c r="I858" i="4"/>
  <c r="J858" i="4" s="1" a="1"/>
  <c r="J858" i="4" s="1"/>
  <c r="K858" i="4" s="1" a="1"/>
  <c r="K858" i="4" s="1"/>
  <c r="F859" i="4"/>
  <c r="H861" i="4"/>
  <c r="I861" i="4"/>
  <c r="F862" i="4"/>
  <c r="F863" i="4"/>
  <c r="H863" i="4"/>
  <c r="J868" i="4" a="1"/>
  <c r="J868" i="4" s="1"/>
  <c r="K868" i="4" s="1" a="1"/>
  <c r="K868" i="4" s="1"/>
  <c r="J870" i="4" a="1"/>
  <c r="J870" i="4" s="1"/>
  <c r="K870" i="4" s="1" a="1"/>
  <c r="K870" i="4" s="1"/>
  <c r="H870" i="4"/>
  <c r="H871" i="4"/>
  <c r="F873" i="4"/>
  <c r="J879" i="4" a="1"/>
  <c r="J879" i="4" s="1"/>
  <c r="K879" i="4" s="1" a="1"/>
  <c r="K879" i="4" s="1"/>
  <c r="J886" i="4" a="1"/>
  <c r="J886" i="4" s="1"/>
  <c r="K886" i="4" s="1" a="1"/>
  <c r="K886" i="4" s="1"/>
  <c r="F893" i="4"/>
  <c r="H894" i="4"/>
  <c r="J902" i="4" a="1"/>
  <c r="J902" i="4" s="1"/>
  <c r="K902" i="4" s="1" a="1"/>
  <c r="K902" i="4" s="1"/>
  <c r="H904" i="4"/>
  <c r="H905" i="4"/>
  <c r="H911" i="4"/>
  <c r="H921" i="4"/>
  <c r="H922" i="4"/>
  <c r="I922" i="4"/>
  <c r="J928" i="4" a="1"/>
  <c r="J928" i="4" s="1"/>
  <c r="K928" i="4" s="1" a="1"/>
  <c r="K928" i="4" s="1"/>
  <c r="H928" i="4"/>
  <c r="J942" i="4" a="1"/>
  <c r="J942" i="4" s="1"/>
  <c r="K942" i="4" s="1" a="1"/>
  <c r="K942" i="4" s="1"/>
  <c r="H944" i="4"/>
  <c r="J880" i="4" a="1"/>
  <c r="J880" i="4" s="1"/>
  <c r="K880" i="4" s="1" a="1"/>
  <c r="K880" i="4" s="1"/>
  <c r="J888" i="4" a="1"/>
  <c r="J888" i="4" s="1"/>
  <c r="K888" i="4" s="1" a="1"/>
  <c r="K888" i="4" s="1"/>
  <c r="J899" i="4" a="1"/>
  <c r="J899" i="4" s="1"/>
  <c r="K899" i="4" s="1" a="1"/>
  <c r="K899" i="4" s="1"/>
  <c r="J936" i="4" a="1"/>
  <c r="J936" i="4" s="1"/>
  <c r="K936" i="4" s="1" a="1"/>
  <c r="K936" i="4" s="1"/>
  <c r="I951" i="4"/>
  <c r="H951" i="4"/>
  <c r="I959" i="4"/>
  <c r="H959" i="4"/>
  <c r="F850" i="4"/>
  <c r="F851" i="4"/>
  <c r="F858" i="4"/>
  <c r="H859" i="4"/>
  <c r="J862" i="4" a="1"/>
  <c r="J862" i="4" s="1"/>
  <c r="K862" i="4" s="1" a="1"/>
  <c r="K862" i="4" s="1"/>
  <c r="H866" i="4"/>
  <c r="F868" i="4"/>
  <c r="F870" i="4"/>
  <c r="H878" i="4"/>
  <c r="F880" i="4"/>
  <c r="F883" i="4"/>
  <c r="F891" i="4"/>
  <c r="F906" i="4"/>
  <c r="H907" i="4"/>
  <c r="H909" i="4"/>
  <c r="J918" i="4" a="1"/>
  <c r="J918" i="4" s="1"/>
  <c r="K918" i="4" s="1" a="1"/>
  <c r="K918" i="4" s="1"/>
  <c r="F922" i="4"/>
  <c r="H923" i="4"/>
  <c r="J927" i="4" a="1"/>
  <c r="J927" i="4" s="1"/>
  <c r="K927" i="4" s="1" a="1"/>
  <c r="K927" i="4" s="1"/>
  <c r="F930" i="4"/>
  <c r="F942" i="4"/>
  <c r="H943" i="4"/>
  <c r="F946" i="4"/>
  <c r="I952" i="4"/>
  <c r="J952" i="4" s="1" a="1"/>
  <c r="J952" i="4" s="1"/>
  <c r="K952" i="4" s="1" a="1"/>
  <c r="K952" i="4" s="1"/>
  <c r="H952" i="4"/>
  <c r="I960" i="4"/>
  <c r="H960" i="4"/>
  <c r="H929" i="4"/>
  <c r="J934" i="4" a="1"/>
  <c r="J934" i="4" s="1"/>
  <c r="K934" i="4" s="1" a="1"/>
  <c r="K934" i="4" s="1"/>
  <c r="F935" i="4"/>
  <c r="H937" i="4"/>
  <c r="H945" i="4"/>
  <c r="H946" i="4"/>
  <c r="H953" i="4"/>
  <c r="H954" i="4"/>
  <c r="H961" i="4"/>
  <c r="H962" i="4"/>
  <c r="H969" i="4"/>
  <c r="H970" i="4"/>
  <c r="J976" i="4" a="1"/>
  <c r="J976" i="4" s="1"/>
  <c r="K976" i="4" s="1" a="1"/>
  <c r="K976" i="4" s="1"/>
  <c r="H976" i="4"/>
  <c r="F978" i="4"/>
  <c r="J981" i="4" a="1"/>
  <c r="J981" i="4" s="1"/>
  <c r="K981" i="4" s="1" a="1"/>
  <c r="K981" i="4" s="1"/>
  <c r="F983" i="4"/>
  <c r="I994" i="4"/>
  <c r="F1003" i="4"/>
  <c r="J1006" i="4" a="1"/>
  <c r="J1006" i="4" s="1"/>
  <c r="K1006" i="4" s="1" a="1"/>
  <c r="K1006" i="4" s="1"/>
  <c r="F1011" i="4"/>
  <c r="F1015" i="4"/>
  <c r="H1023" i="4"/>
  <c r="H1026" i="4"/>
  <c r="H1027" i="4"/>
  <c r="H1038" i="4"/>
  <c r="H1041" i="4"/>
  <c r="F1043" i="4"/>
  <c r="F1046" i="4"/>
  <c r="H1047" i="4"/>
  <c r="H1050" i="4"/>
  <c r="J1052" i="4" a="1"/>
  <c r="J1052" i="4" s="1"/>
  <c r="K1052" i="4" s="1" a="1"/>
  <c r="K1052" i="4" s="1"/>
  <c r="H1058" i="4"/>
  <c r="F1061" i="4"/>
  <c r="I1062" i="4"/>
  <c r="F1063" i="4"/>
  <c r="F1064" i="4"/>
  <c r="H1064" i="4"/>
  <c r="H1065" i="4"/>
  <c r="I1067" i="4"/>
  <c r="F1068" i="4"/>
  <c r="J1072" i="4" a="1"/>
  <c r="J1072" i="4" s="1"/>
  <c r="K1072" i="4" s="1" a="1"/>
  <c r="K1072" i="4" s="1"/>
  <c r="J1080" i="4" a="1"/>
  <c r="J1080" i="4" s="1"/>
  <c r="K1080" i="4" s="1" a="1"/>
  <c r="K1080" i="4" s="1"/>
  <c r="F1081" i="4"/>
  <c r="F1086" i="4"/>
  <c r="F1089" i="4"/>
  <c r="H1089" i="4"/>
  <c r="H1090" i="4"/>
  <c r="F1094" i="4"/>
  <c r="F1098" i="4"/>
  <c r="F1100" i="4"/>
  <c r="F1108" i="4"/>
  <c r="F1113" i="4"/>
  <c r="F1115" i="4"/>
  <c r="J1116" i="4" a="1"/>
  <c r="J1116" i="4" s="1"/>
  <c r="K1116" i="4" s="1" a="1"/>
  <c r="K1116" i="4" s="1"/>
  <c r="F1117" i="4"/>
  <c r="F1129" i="4"/>
  <c r="F1130" i="4"/>
  <c r="F1134" i="4"/>
  <c r="F1145" i="4"/>
  <c r="F1150" i="4"/>
  <c r="J1155" i="4" a="1"/>
  <c r="J1155" i="4" s="1"/>
  <c r="K1155" i="4" s="1" a="1"/>
  <c r="K1155" i="4" s="1"/>
  <c r="J1165" i="4" a="1"/>
  <c r="J1165" i="4" s="1"/>
  <c r="K1165" i="4" s="1" a="1"/>
  <c r="K1165" i="4" s="1"/>
  <c r="H1171" i="4"/>
  <c r="J974" i="4" a="1"/>
  <c r="J974" i="4" s="1"/>
  <c r="K974" i="4" s="1" a="1"/>
  <c r="K974" i="4" s="1"/>
  <c r="I979" i="4"/>
  <c r="J979" i="4" s="1" a="1"/>
  <c r="J979" i="4" s="1"/>
  <c r="K979" i="4" s="1" a="1"/>
  <c r="K979" i="4" s="1"/>
  <c r="J985" i="4" a="1"/>
  <c r="J985" i="4" s="1"/>
  <c r="K985" i="4" s="1" a="1"/>
  <c r="K985" i="4" s="1"/>
  <c r="I992" i="4"/>
  <c r="J992" i="4" s="1" a="1"/>
  <c r="J992" i="4" s="1"/>
  <c r="K992" i="4" s="1" a="1"/>
  <c r="K992" i="4" s="1"/>
  <c r="J1013" i="4" a="1"/>
  <c r="J1013" i="4" s="1"/>
  <c r="K1013" i="4" s="1" a="1"/>
  <c r="K1013" i="4" s="1"/>
  <c r="J1014" i="4" a="1"/>
  <c r="J1014" i="4" s="1"/>
  <c r="K1014" i="4" s="1" a="1"/>
  <c r="K1014" i="4" s="1"/>
  <c r="H1030" i="4"/>
  <c r="J1034" i="4" a="1"/>
  <c r="J1034" i="4" s="1"/>
  <c r="K1034" i="4" s="1" a="1"/>
  <c r="K1034" i="4" s="1"/>
  <c r="J1041" i="4" a="1"/>
  <c r="J1041" i="4" s="1"/>
  <c r="K1041" i="4" s="1" a="1"/>
  <c r="K1041" i="4" s="1"/>
  <c r="J1045" i="4" a="1"/>
  <c r="J1045" i="4" s="1"/>
  <c r="K1045" i="4" s="1" a="1"/>
  <c r="K1045" i="4" s="1"/>
  <c r="H1054" i="4"/>
  <c r="J1056" i="4" a="1"/>
  <c r="J1056" i="4" s="1"/>
  <c r="K1056" i="4" s="1" a="1"/>
  <c r="K1056" i="4" s="1"/>
  <c r="J1060" i="4" a="1"/>
  <c r="J1060" i="4" s="1"/>
  <c r="K1060" i="4" s="1" a="1"/>
  <c r="K1060" i="4" s="1"/>
  <c r="J1070" i="4" a="1"/>
  <c r="J1070" i="4" s="1"/>
  <c r="K1070" i="4" s="1" a="1"/>
  <c r="K1070" i="4" s="1"/>
  <c r="J1074" i="4" a="1"/>
  <c r="J1074" i="4" s="1"/>
  <c r="K1074" i="4" s="1" a="1"/>
  <c r="K1074" i="4" s="1"/>
  <c r="J1091" i="4" a="1"/>
  <c r="J1091" i="4" s="1"/>
  <c r="K1091" i="4" s="1" a="1"/>
  <c r="K1091" i="4" s="1"/>
  <c r="H1107" i="4"/>
  <c r="J1109" i="4" a="1"/>
  <c r="J1109" i="4" s="1"/>
  <c r="K1109" i="4" s="1" a="1"/>
  <c r="K1109" i="4" s="1"/>
  <c r="F1112" i="4"/>
  <c r="F1116" i="4"/>
  <c r="H1121" i="4"/>
  <c r="J1135" i="4" a="1"/>
  <c r="J1135" i="4" s="1"/>
  <c r="K1135" i="4" s="1" a="1"/>
  <c r="K1135" i="4" s="1"/>
  <c r="F1137" i="4"/>
  <c r="I1143" i="4"/>
  <c r="J1143" i="4" s="1" a="1"/>
  <c r="J1143" i="4" s="1"/>
  <c r="K1143" i="4" s="1" a="1"/>
  <c r="K1143" i="4" s="1"/>
  <c r="H1143" i="4"/>
  <c r="J1151" i="4" a="1"/>
  <c r="J1151" i="4" s="1"/>
  <c r="K1151" i="4" s="1" a="1"/>
  <c r="K1151" i="4" s="1"/>
  <c r="J1153" i="4" a="1"/>
  <c r="J1153" i="4" s="1"/>
  <c r="K1153" i="4" s="1" a="1"/>
  <c r="K1153" i="4" s="1"/>
  <c r="F1154" i="4"/>
  <c r="H1158" i="4"/>
  <c r="F1161" i="4"/>
  <c r="I1162" i="4"/>
  <c r="J1162" i="4" s="1" a="1"/>
  <c r="J1162" i="4" s="1"/>
  <c r="K1162" i="4" s="1" a="1"/>
  <c r="K1162" i="4" s="1"/>
  <c r="H1162" i="4"/>
  <c r="H1164" i="4"/>
  <c r="I1164" i="4"/>
  <c r="J1164" i="4" s="1" a="1"/>
  <c r="J1164" i="4" s="1"/>
  <c r="K1164" i="4" s="1" a="1"/>
  <c r="K1164" i="4" s="1"/>
  <c r="F1165" i="4"/>
  <c r="I1187" i="4"/>
  <c r="H1187" i="4"/>
  <c r="F951" i="4"/>
  <c r="F954" i="4"/>
  <c r="J957" i="4" a="1"/>
  <c r="J957" i="4" s="1"/>
  <c r="K957" i="4" s="1" a="1"/>
  <c r="K957" i="4" s="1"/>
  <c r="F959" i="4"/>
  <c r="J960" i="4" a="1"/>
  <c r="J960" i="4" s="1"/>
  <c r="K960" i="4" s="1" a="1"/>
  <c r="K960" i="4" s="1"/>
  <c r="F962" i="4"/>
  <c r="J965" i="4" a="1"/>
  <c r="J965" i="4" s="1"/>
  <c r="K965" i="4" s="1" a="1"/>
  <c r="K965" i="4" s="1"/>
  <c r="F967" i="4"/>
  <c r="H967" i="4"/>
  <c r="J968" i="4" a="1"/>
  <c r="J968" i="4" s="1"/>
  <c r="K968" i="4" s="1" a="1"/>
  <c r="K968" i="4" s="1"/>
  <c r="H968" i="4"/>
  <c r="F970" i="4"/>
  <c r="J973" i="4" a="1"/>
  <c r="J973" i="4" s="1"/>
  <c r="K973" i="4" s="1" a="1"/>
  <c r="K973" i="4" s="1"/>
  <c r="H977" i="4"/>
  <c r="H978" i="4"/>
  <c r="F984" i="4"/>
  <c r="F985" i="4"/>
  <c r="H986" i="4"/>
  <c r="H987" i="4"/>
  <c r="H989" i="4"/>
  <c r="J990" i="4" a="1"/>
  <c r="J990" i="4" s="1"/>
  <c r="K990" i="4" s="1" a="1"/>
  <c r="K990" i="4" s="1"/>
  <c r="H991" i="4"/>
  <c r="F992" i="4"/>
  <c r="H995" i="4"/>
  <c r="I995" i="4"/>
  <c r="J995" i="4" s="1" a="1"/>
  <c r="J995" i="4" s="1"/>
  <c r="K995" i="4" s="1" a="1"/>
  <c r="K995" i="4" s="1"/>
  <c r="F996" i="4"/>
  <c r="F1000" i="4"/>
  <c r="H1000" i="4"/>
  <c r="J1001" i="4" a="1"/>
  <c r="J1001" i="4" s="1"/>
  <c r="K1001" i="4" s="1" a="1"/>
  <c r="K1001" i="4" s="1"/>
  <c r="F1002" i="4"/>
  <c r="H1003" i="4"/>
  <c r="I1003" i="4"/>
  <c r="J1003" i="4" s="1" a="1"/>
  <c r="J1003" i="4" s="1"/>
  <c r="K1003" i="4" s="1" a="1"/>
  <c r="K1003" i="4" s="1"/>
  <c r="F1004" i="4"/>
  <c r="H1005" i="4"/>
  <c r="J1007" i="4" a="1"/>
  <c r="J1007" i="4" s="1"/>
  <c r="K1007" i="4" s="1" a="1"/>
  <c r="K1007" i="4" s="1"/>
  <c r="F1008" i="4"/>
  <c r="H1008" i="4"/>
  <c r="F1010" i="4"/>
  <c r="H1011" i="4"/>
  <c r="I1011" i="4"/>
  <c r="J1011" i="4" s="1" a="1"/>
  <c r="J1011" i="4" s="1"/>
  <c r="K1011" i="4" s="1" a="1"/>
  <c r="K1011" i="4" s="1"/>
  <c r="F1012" i="4"/>
  <c r="H1013" i="4"/>
  <c r="F1014" i="4"/>
  <c r="J1015" i="4" a="1"/>
  <c r="J1015" i="4" s="1"/>
  <c r="K1015" i="4" s="1" a="1"/>
  <c r="K1015" i="4" s="1"/>
  <c r="F1016" i="4"/>
  <c r="F1018" i="4"/>
  <c r="F1020" i="4"/>
  <c r="J1021" i="4" a="1"/>
  <c r="J1021" i="4" s="1"/>
  <c r="K1021" i="4" s="1" a="1"/>
  <c r="K1021" i="4" s="1"/>
  <c r="J1022" i="4" a="1"/>
  <c r="J1022" i="4" s="1"/>
  <c r="K1022" i="4" s="1" a="1"/>
  <c r="K1022" i="4" s="1"/>
  <c r="H1025" i="4"/>
  <c r="F1027" i="4"/>
  <c r="F1030" i="4"/>
  <c r="F1031" i="4"/>
  <c r="H1031" i="4"/>
  <c r="F1032" i="4"/>
  <c r="I1033" i="4"/>
  <c r="J1033" i="4" s="1" a="1"/>
  <c r="J1033" i="4" s="1"/>
  <c r="K1033" i="4" s="1" a="1"/>
  <c r="K1033" i="4" s="1"/>
  <c r="F1034" i="4"/>
  <c r="J1037" i="4" a="1"/>
  <c r="J1037" i="4" s="1"/>
  <c r="K1037" i="4" s="1" a="1"/>
  <c r="K1037" i="4" s="1"/>
  <c r="J1039" i="4" a="1"/>
  <c r="J1039" i="4" s="1"/>
  <c r="K1039" i="4" s="1" a="1"/>
  <c r="K1039" i="4" s="1"/>
  <c r="J1040" i="4" a="1"/>
  <c r="J1040" i="4" s="1"/>
  <c r="K1040" i="4" s="1" a="1"/>
  <c r="K1040" i="4" s="1"/>
  <c r="H1042" i="4"/>
  <c r="H1043" i="4"/>
  <c r="F1053" i="4"/>
  <c r="F1056" i="4"/>
  <c r="H1056" i="4"/>
  <c r="F1057" i="4"/>
  <c r="H1057" i="4"/>
  <c r="H1066" i="4"/>
  <c r="F1069" i="4"/>
  <c r="F1070" i="4"/>
  <c r="F1074" i="4"/>
  <c r="F1078" i="4"/>
  <c r="H1083" i="4"/>
  <c r="J1088" i="4" a="1"/>
  <c r="J1088" i="4" s="1"/>
  <c r="K1088" i="4" s="1" a="1"/>
  <c r="K1088" i="4" s="1"/>
  <c r="F1091" i="4"/>
  <c r="H1093" i="4"/>
  <c r="H1104" i="4"/>
  <c r="I1105" i="4"/>
  <c r="F1106" i="4"/>
  <c r="F1109" i="4"/>
  <c r="H1109" i="4"/>
  <c r="H1112" i="4"/>
  <c r="H1115" i="4"/>
  <c r="J1117" i="4" a="1"/>
  <c r="J1117" i="4" s="1"/>
  <c r="K1117" i="4" s="1" a="1"/>
  <c r="K1117" i="4" s="1"/>
  <c r="F1121" i="4"/>
  <c r="H1125" i="4"/>
  <c r="J1127" i="4" a="1"/>
  <c r="J1127" i="4" s="1"/>
  <c r="K1127" i="4" s="1" a="1"/>
  <c r="K1127" i="4" s="1"/>
  <c r="F1131" i="4"/>
  <c r="I1141" i="4"/>
  <c r="J1141" i="4" s="1" a="1"/>
  <c r="J1141" i="4" s="1"/>
  <c r="K1141" i="4" s="1" a="1"/>
  <c r="K1141" i="4" s="1"/>
  <c r="H1141" i="4"/>
  <c r="H1142" i="4"/>
  <c r="H1144" i="4"/>
  <c r="I1170" i="4"/>
  <c r="J1170" i="4" s="1" a="1"/>
  <c r="J1170" i="4" s="1"/>
  <c r="K1170" i="4" s="1" a="1"/>
  <c r="K1170" i="4" s="1"/>
  <c r="H1170" i="4"/>
  <c r="J1172" i="4" a="1"/>
  <c r="J1172" i="4" s="1"/>
  <c r="K1172" i="4" s="1" a="1"/>
  <c r="K1172" i="4" s="1"/>
  <c r="F1174" i="4"/>
  <c r="J925" i="4" a="1"/>
  <c r="J925" i="4" s="1"/>
  <c r="K925" i="4" s="1" a="1"/>
  <c r="K925" i="4" s="1"/>
  <c r="F928" i="4"/>
  <c r="H931" i="4"/>
  <c r="I931" i="4"/>
  <c r="F932" i="4"/>
  <c r="F937" i="4"/>
  <c r="F940" i="4"/>
  <c r="F944" i="4"/>
  <c r="H947" i="4"/>
  <c r="I947" i="4"/>
  <c r="J947" i="4" s="1" a="1"/>
  <c r="J947" i="4" s="1"/>
  <c r="K947" i="4" s="1" a="1"/>
  <c r="K947" i="4" s="1"/>
  <c r="F948" i="4"/>
  <c r="I955" i="4"/>
  <c r="J955" i="4" s="1" a="1"/>
  <c r="J955" i="4" s="1"/>
  <c r="K955" i="4" s="1" a="1"/>
  <c r="K955" i="4" s="1"/>
  <c r="I963" i="4"/>
  <c r="J963" i="4" s="1" a="1"/>
  <c r="J963" i="4" s="1"/>
  <c r="K963" i="4" s="1" a="1"/>
  <c r="K963" i="4" s="1"/>
  <c r="I971" i="4"/>
  <c r="J971" i="4" s="1" a="1"/>
  <c r="J971" i="4" s="1"/>
  <c r="K971" i="4" s="1" a="1"/>
  <c r="K971" i="4" s="1"/>
  <c r="J982" i="4" a="1"/>
  <c r="J982" i="4" s="1"/>
  <c r="K982" i="4" s="1" a="1"/>
  <c r="K982" i="4" s="1"/>
  <c r="J987" i="4" a="1"/>
  <c r="J987" i="4" s="1"/>
  <c r="K987" i="4" s="1" a="1"/>
  <c r="K987" i="4" s="1"/>
  <c r="J993" i="4" a="1"/>
  <c r="J993" i="4" s="1"/>
  <c r="K993" i="4" s="1" a="1"/>
  <c r="K993" i="4" s="1"/>
  <c r="J998" i="4" a="1"/>
  <c r="J998" i="4" s="1"/>
  <c r="K998" i="4" s="1" a="1"/>
  <c r="K998" i="4" s="1"/>
  <c r="H999" i="4"/>
  <c r="J1016" i="4" a="1"/>
  <c r="J1016" i="4" s="1"/>
  <c r="K1016" i="4" s="1" a="1"/>
  <c r="K1016" i="4" s="1"/>
  <c r="I1019" i="4"/>
  <c r="J1019" i="4" s="1" a="1"/>
  <c r="J1019" i="4" s="1"/>
  <c r="K1019" i="4" s="1" a="1"/>
  <c r="K1019" i="4" s="1"/>
  <c r="J1025" i="4" a="1"/>
  <c r="J1025" i="4" s="1"/>
  <c r="K1025" i="4" s="1" a="1"/>
  <c r="K1025" i="4" s="1"/>
  <c r="J1032" i="4" a="1"/>
  <c r="J1032" i="4" s="1"/>
  <c r="K1032" i="4" s="1" a="1"/>
  <c r="K1032" i="4" s="1"/>
  <c r="H1046" i="4"/>
  <c r="J1059" i="4" a="1"/>
  <c r="J1059" i="4" s="1"/>
  <c r="K1059" i="4" s="1" a="1"/>
  <c r="K1059" i="4" s="1"/>
  <c r="I1085" i="4"/>
  <c r="J1085" i="4" s="1" a="1"/>
  <c r="J1085" i="4" s="1"/>
  <c r="K1085" i="4" s="1" a="1"/>
  <c r="K1085" i="4" s="1"/>
  <c r="J1086" i="4" a="1"/>
  <c r="J1086" i="4" s="1"/>
  <c r="K1086" i="4" s="1" a="1"/>
  <c r="K1086" i="4" s="1"/>
  <c r="J1094" i="4" a="1"/>
  <c r="J1094" i="4" s="1"/>
  <c r="K1094" i="4" s="1" a="1"/>
  <c r="K1094" i="4" s="1"/>
  <c r="J1098" i="4" a="1"/>
  <c r="J1098" i="4" s="1"/>
  <c r="K1098" i="4" s="1" a="1"/>
  <c r="K1098" i="4" s="1"/>
  <c r="J1100" i="4" a="1"/>
  <c r="J1100" i="4" s="1"/>
  <c r="K1100" i="4" s="1" a="1"/>
  <c r="K1100" i="4" s="1"/>
  <c r="J1102" i="4" a="1"/>
  <c r="J1102" i="4" s="1"/>
  <c r="K1102" i="4" s="1" a="1"/>
  <c r="K1102" i="4" s="1"/>
  <c r="I1108" i="4"/>
  <c r="J1129" i="4" a="1"/>
  <c r="J1129" i="4" s="1"/>
  <c r="K1129" i="4" s="1" a="1"/>
  <c r="K1129" i="4" s="1"/>
  <c r="J1134" i="4" a="1"/>
  <c r="J1134" i="4" s="1"/>
  <c r="K1134" i="4" s="1" a="1"/>
  <c r="K1134" i="4" s="1"/>
  <c r="J1150" i="4" a="1"/>
  <c r="J1150" i="4" s="1"/>
  <c r="K1150" i="4" s="1" a="1"/>
  <c r="K1150" i="4" s="1"/>
  <c r="I1159" i="4"/>
  <c r="J1159" i="4" s="1" a="1"/>
  <c r="J1159" i="4" s="1"/>
  <c r="K1159" i="4" s="1" a="1"/>
  <c r="K1159" i="4" s="1"/>
  <c r="I1161" i="4"/>
  <c r="J1161" i="4" s="1" a="1"/>
  <c r="J1161" i="4" s="1"/>
  <c r="K1161" i="4" s="1" a="1"/>
  <c r="K1161" i="4" s="1"/>
  <c r="H1161" i="4"/>
  <c r="I1163" i="4"/>
  <c r="J1163" i="4" s="1" a="1"/>
  <c r="J1163" i="4" s="1"/>
  <c r="K1163" i="4" s="1" a="1"/>
  <c r="K1163" i="4" s="1"/>
  <c r="H1163" i="4"/>
  <c r="I1169" i="4"/>
  <c r="J1169" i="4" s="1" a="1"/>
  <c r="J1169" i="4" s="1"/>
  <c r="K1169" i="4" s="1" a="1"/>
  <c r="K1169" i="4" s="1"/>
  <c r="H1169" i="4"/>
  <c r="F1172" i="4"/>
  <c r="H1173" i="4"/>
  <c r="I1173" i="4"/>
  <c r="J1173" i="4" s="1" a="1"/>
  <c r="J1173" i="4" s="1"/>
  <c r="K1173" i="4" s="1" a="1"/>
  <c r="K1173" i="4" s="1"/>
  <c r="F1182" i="4"/>
  <c r="F1135" i="4"/>
  <c r="H1137" i="4"/>
  <c r="H1138" i="4"/>
  <c r="I1138" i="4"/>
  <c r="J1138" i="4" s="1" a="1"/>
  <c r="J1138" i="4" s="1"/>
  <c r="K1138" i="4" s="1" a="1"/>
  <c r="K1138" i="4" s="1"/>
  <c r="J1142" i="4" a="1"/>
  <c r="J1142" i="4" s="1"/>
  <c r="K1142" i="4" s="1" a="1"/>
  <c r="K1142" i="4" s="1"/>
  <c r="H1145" i="4"/>
  <c r="H1146" i="4"/>
  <c r="I1146" i="4"/>
  <c r="F1147" i="4"/>
  <c r="H1149" i="4"/>
  <c r="H1156" i="4"/>
  <c r="I1156" i="4"/>
  <c r="J1156" i="4" s="1" a="1"/>
  <c r="J1156" i="4" s="1"/>
  <c r="K1156" i="4" s="1" a="1"/>
  <c r="K1156" i="4" s="1"/>
  <c r="F1157" i="4"/>
  <c r="H1174" i="4"/>
  <c r="J1175" i="4" a="1"/>
  <c r="J1175" i="4" s="1"/>
  <c r="K1175" i="4" s="1" a="1"/>
  <c r="K1175" i="4" s="1"/>
  <c r="J1177" i="4" a="1"/>
  <c r="J1177" i="4" s="1"/>
  <c r="K1177" i="4" s="1" a="1"/>
  <c r="K1177" i="4" s="1"/>
  <c r="H1180" i="4"/>
  <c r="H1182" i="4"/>
  <c r="J1183" i="4" a="1"/>
  <c r="J1183" i="4" s="1"/>
  <c r="K1183" i="4" s="1" a="1"/>
  <c r="K1183" i="4" s="1"/>
  <c r="H1183" i="4"/>
  <c r="J1185" i="4" a="1"/>
  <c r="J1185" i="4" s="1"/>
  <c r="K1185" i="4" s="1" a="1"/>
  <c r="K1185" i="4" s="1"/>
  <c r="H1188" i="4"/>
  <c r="H1190" i="4"/>
  <c r="F1191" i="4"/>
  <c r="I1191" i="4"/>
  <c r="J1191" i="4" s="1" a="1"/>
  <c r="J1191" i="4" s="1"/>
  <c r="K1191" i="4" s="1" a="1"/>
  <c r="K1191" i="4" s="1"/>
  <c r="H1194" i="4"/>
  <c r="J1198" i="4" a="1"/>
  <c r="J1198" i="4" s="1"/>
  <c r="K1198" i="4" s="1" a="1"/>
  <c r="K1198" i="4" s="1"/>
  <c r="H1198" i="4"/>
  <c r="F1199" i="4"/>
  <c r="J1200" i="4" a="1"/>
  <c r="J1200" i="4" s="1"/>
  <c r="K1200" i="4" s="1" a="1"/>
  <c r="K1200" i="4" s="1"/>
  <c r="I1201" i="4"/>
  <c r="J1201" i="4" s="1" a="1"/>
  <c r="J1201" i="4" s="1"/>
  <c r="K1201" i="4" s="1" a="1"/>
  <c r="K1201" i="4" s="1"/>
  <c r="I1204" i="4"/>
  <c r="H1208" i="4"/>
  <c r="H1223" i="4"/>
  <c r="F1224" i="4"/>
  <c r="J1238" i="4" a="1"/>
  <c r="J1238" i="4" s="1"/>
  <c r="K1238" i="4" s="1" a="1"/>
  <c r="K1238" i="4" s="1"/>
  <c r="J1241" i="4" a="1"/>
  <c r="J1241" i="4" s="1"/>
  <c r="K1241" i="4" s="1" a="1"/>
  <c r="K1241" i="4" s="1"/>
  <c r="I1252" i="4"/>
  <c r="J1252" i="4" s="1" a="1"/>
  <c r="J1252" i="4" s="1"/>
  <c r="K1252" i="4" s="1" a="1"/>
  <c r="K1252" i="4" s="1"/>
  <c r="H1267" i="4"/>
  <c r="H1279" i="4"/>
  <c r="H1285" i="4"/>
  <c r="I1285" i="4"/>
  <c r="J1285" i="4" s="1" a="1"/>
  <c r="J1285" i="4" s="1"/>
  <c r="K1285" i="4" s="1" a="1"/>
  <c r="K1285" i="4" s="1"/>
  <c r="J1178" i="4" a="1"/>
  <c r="J1178" i="4" s="1"/>
  <c r="K1178" i="4" s="1" a="1"/>
  <c r="K1178" i="4" s="1"/>
  <c r="F1179" i="4"/>
  <c r="H1192" i="4"/>
  <c r="J1193" i="4" a="1"/>
  <c r="J1193" i="4" s="1"/>
  <c r="K1193" i="4" s="1" a="1"/>
  <c r="K1193" i="4" s="1"/>
  <c r="F1198" i="4"/>
  <c r="J1207" i="4" a="1"/>
  <c r="J1207" i="4" s="1"/>
  <c r="K1207" i="4" s="1" a="1"/>
  <c r="K1207" i="4" s="1"/>
  <c r="J1216" i="4" a="1"/>
  <c r="J1216" i="4" s="1"/>
  <c r="K1216" i="4" s="1" a="1"/>
  <c r="K1216" i="4" s="1"/>
  <c r="F1223" i="4"/>
  <c r="J1223" i="4" a="1"/>
  <c r="J1223" i="4" s="1"/>
  <c r="K1223" i="4" s="1" a="1"/>
  <c r="K1223" i="4" s="1"/>
  <c r="F1231" i="4"/>
  <c r="F1232" i="4"/>
  <c r="F1238" i="4"/>
  <c r="J1239" i="4" a="1"/>
  <c r="J1239" i="4" s="1"/>
  <c r="K1239" i="4" s="1" a="1"/>
  <c r="K1239" i="4" s="1"/>
  <c r="I1244" i="4"/>
  <c r="J1244" i="4" s="1" a="1"/>
  <c r="J1244" i="4" s="1"/>
  <c r="K1244" i="4" s="1" a="1"/>
  <c r="K1244" i="4" s="1"/>
  <c r="J1249" i="4" a="1"/>
  <c r="J1249" i="4" s="1"/>
  <c r="K1249" i="4" s="1" a="1"/>
  <c r="K1249" i="4" s="1"/>
  <c r="J1250" i="4" a="1"/>
  <c r="J1250" i="4" s="1"/>
  <c r="K1250" i="4" s="1" a="1"/>
  <c r="K1250" i="4" s="1"/>
  <c r="F1256" i="4"/>
  <c r="H1259" i="4"/>
  <c r="J1261" i="4" a="1"/>
  <c r="J1261" i="4" s="1"/>
  <c r="K1261" i="4" s="1" a="1"/>
  <c r="K1261" i="4" s="1"/>
  <c r="H1263" i="4"/>
  <c r="J1277" i="4" a="1"/>
  <c r="J1277" i="4" s="1"/>
  <c r="K1277" i="4" s="1" a="1"/>
  <c r="K1277" i="4" s="1"/>
  <c r="I1282" i="4"/>
  <c r="J1282" i="4" s="1" a="1"/>
  <c r="J1282" i="4" s="1"/>
  <c r="K1282" i="4" s="1" a="1"/>
  <c r="K1282" i="4" s="1"/>
  <c r="H1282" i="4"/>
  <c r="J1190" i="4" a="1"/>
  <c r="J1190" i="4" s="1"/>
  <c r="K1190" i="4" s="1" a="1"/>
  <c r="K1190" i="4" s="1"/>
  <c r="H1222" i="4"/>
  <c r="H1230" i="4"/>
  <c r="J1232" i="4" a="1"/>
  <c r="J1232" i="4" s="1"/>
  <c r="K1232" i="4" s="1" a="1"/>
  <c r="K1232" i="4" s="1"/>
  <c r="H1243" i="4"/>
  <c r="H1255" i="4"/>
  <c r="J1269" i="4" a="1"/>
  <c r="J1269" i="4" s="1"/>
  <c r="K1269" i="4" s="1" a="1"/>
  <c r="K1269" i="4" s="1"/>
  <c r="I1271" i="4"/>
  <c r="J1271" i="4" s="1" a="1"/>
  <c r="J1271" i="4" s="1"/>
  <c r="K1271" i="4" s="1" a="1"/>
  <c r="K1271" i="4" s="1"/>
  <c r="H1271" i="4"/>
  <c r="H1151" i="4"/>
  <c r="H1167" i="4"/>
  <c r="I1167" i="4"/>
  <c r="J1167" i="4" s="1" a="1"/>
  <c r="J1167" i="4" s="1"/>
  <c r="K1167" i="4" s="1" a="1"/>
  <c r="K1167" i="4" s="1"/>
  <c r="H1178" i="4"/>
  <c r="J1199" i="4" a="1"/>
  <c r="J1199" i="4" s="1"/>
  <c r="K1199" i="4" s="1" a="1"/>
  <c r="K1199" i="4" s="1"/>
  <c r="J1206" i="4" a="1"/>
  <c r="J1206" i="4" s="1"/>
  <c r="K1206" i="4" s="1" a="1"/>
  <c r="K1206" i="4" s="1"/>
  <c r="H1209" i="4"/>
  <c r="F1211" i="4"/>
  <c r="H1214" i="4"/>
  <c r="I1221" i="4"/>
  <c r="J1221" i="4" s="1" a="1"/>
  <c r="J1221" i="4" s="1"/>
  <c r="K1221" i="4" s="1" a="1"/>
  <c r="K1221" i="4" s="1"/>
  <c r="H1221" i="4"/>
  <c r="F1226" i="4"/>
  <c r="J1227" i="4" a="1"/>
  <c r="J1227" i="4" s="1"/>
  <c r="K1227" i="4" s="1" a="1"/>
  <c r="K1227" i="4" s="1"/>
  <c r="J1229" i="4" a="1"/>
  <c r="J1229" i="4" s="1"/>
  <c r="K1229" i="4" s="1" a="1"/>
  <c r="K1229" i="4" s="1"/>
  <c r="H1229" i="4"/>
  <c r="I1234" i="4"/>
  <c r="J1234" i="4" s="1" a="1"/>
  <c r="J1234" i="4" s="1"/>
  <c r="K1234" i="4" s="1" a="1"/>
  <c r="K1234" i="4" s="1"/>
  <c r="H1241" i="4"/>
  <c r="F1244" i="4"/>
  <c r="J1247" i="4" a="1"/>
  <c r="J1247" i="4" s="1"/>
  <c r="K1247" i="4" s="1" a="1"/>
  <c r="K1247" i="4" s="1"/>
  <c r="H1249" i="4"/>
  <c r="H1250" i="4"/>
  <c r="I1253" i="4"/>
  <c r="J1253" i="4" s="1" a="1"/>
  <c r="J1253" i="4" s="1"/>
  <c r="K1253" i="4" s="1" a="1"/>
  <c r="K1253" i="4" s="1"/>
  <c r="F1254" i="4"/>
  <c r="F1257" i="4"/>
  <c r="I1258" i="4"/>
  <c r="J1258" i="4" s="1" a="1"/>
  <c r="J1258" i="4" s="1"/>
  <c r="K1258" i="4" s="1" a="1"/>
  <c r="K1258" i="4" s="1"/>
  <c r="H1260" i="4"/>
  <c r="I1260" i="4"/>
  <c r="I1274" i="4"/>
  <c r="J1274" i="4" s="1" a="1"/>
  <c r="J1274" i="4" s="1"/>
  <c r="K1274" i="4" s="1" a="1"/>
  <c r="K1274" i="4" s="1"/>
  <c r="H1284" i="4"/>
  <c r="I1284" i="4"/>
  <c r="J1284" i="4" s="1" a="1"/>
  <c r="J1284" i="4" s="1"/>
  <c r="K1284" i="4" s="1" a="1"/>
  <c r="K1284" i="4" s="1"/>
  <c r="J1260" i="4" a="1"/>
  <c r="J1260" i="4" s="1"/>
  <c r="K1260" i="4" s="1" a="1"/>
  <c r="K1260" i="4" s="1"/>
  <c r="F1261" i="4"/>
  <c r="J1266" i="4" a="1"/>
  <c r="J1266" i="4" s="1"/>
  <c r="K1266" i="4" s="1" a="1"/>
  <c r="K1266" i="4" s="1"/>
  <c r="F1269" i="4"/>
  <c r="H1270" i="4"/>
  <c r="F1272" i="4"/>
  <c r="H1276" i="4"/>
  <c r="H1278" i="4"/>
  <c r="J1287" i="4" a="1"/>
  <c r="J1287" i="4" s="1"/>
  <c r="K1287" i="4" s="1" a="1"/>
  <c r="K1287" i="4" s="1"/>
  <c r="H1288" i="4"/>
  <c r="I1288" i="4"/>
  <c r="H1290" i="4"/>
  <c r="H1295" i="4"/>
  <c r="H1301" i="4"/>
  <c r="H1302" i="4"/>
  <c r="F1304" i="4"/>
  <c r="J1307" i="4" a="1"/>
  <c r="J1307" i="4" s="1"/>
  <c r="K1307" i="4" s="1" a="1"/>
  <c r="K1307" i="4" s="1"/>
  <c r="J1311" i="4" a="1"/>
  <c r="J1311" i="4" s="1"/>
  <c r="K1311" i="4" s="1" a="1"/>
  <c r="K1311" i="4" s="1"/>
  <c r="I1311" i="4"/>
  <c r="F1315" i="4"/>
  <c r="F1316" i="4"/>
  <c r="I1316" i="4"/>
  <c r="J1316" i="4" s="1" a="1"/>
  <c r="J1316" i="4" s="1"/>
  <c r="K1316" i="4" s="1" a="1"/>
  <c r="K1316" i="4" s="1"/>
  <c r="H1303" i="4"/>
  <c r="J1308" i="4" a="1"/>
  <c r="J1308" i="4" s="1"/>
  <c r="K1308" i="4" s="1" a="1"/>
  <c r="K1308" i="4" s="1"/>
  <c r="H1216" i="4"/>
  <c r="F1219" i="4"/>
  <c r="F1222" i="4"/>
  <c r="H1224" i="4"/>
  <c r="H1225" i="4"/>
  <c r="H1226" i="4"/>
  <c r="F1240" i="4"/>
  <c r="J1242" i="4" a="1"/>
  <c r="J1242" i="4" s="1"/>
  <c r="K1242" i="4" s="1" a="1"/>
  <c r="K1242" i="4" s="1"/>
  <c r="F1243" i="4"/>
  <c r="F1246" i="4"/>
  <c r="F1248" i="4"/>
  <c r="F1255" i="4"/>
  <c r="H1268" i="4"/>
  <c r="H1269" i="4"/>
  <c r="H1277" i="4"/>
  <c r="F1280" i="4"/>
  <c r="H1283" i="4"/>
  <c r="F1287" i="4"/>
  <c r="H1292" i="4"/>
  <c r="I1292" i="4"/>
  <c r="J1292" i="4" s="1" a="1"/>
  <c r="J1292" i="4" s="1"/>
  <c r="K1292" i="4" s="1" a="1"/>
  <c r="K1292" i="4" s="1"/>
  <c r="H1293" i="4"/>
  <c r="F1294" i="4"/>
  <c r="H1298" i="4"/>
  <c r="H1300" i="4"/>
  <c r="H1306" i="4"/>
  <c r="H1309" i="4"/>
  <c r="H1310" i="4"/>
  <c r="H1314" i="4"/>
  <c r="J1295" i="4" a="1"/>
  <c r="J1295" i="4" s="1"/>
  <c r="K1295" i="4" s="1" a="1"/>
  <c r="K1295" i="4" s="1"/>
  <c r="H1307" i="4"/>
  <c r="H129" i="4"/>
  <c r="J166" i="4" a="1"/>
  <c r="J166" i="4" s="1"/>
  <c r="K166" i="4" s="1" a="1"/>
  <c r="K166" i="4" s="1"/>
  <c r="H178" i="4"/>
  <c r="H184" i="4"/>
  <c r="I184" i="4"/>
  <c r="J184" i="4" s="1" a="1"/>
  <c r="J184" i="4" s="1"/>
  <c r="K184" i="4" s="1" a="1"/>
  <c r="K184" i="4" s="1"/>
  <c r="H192" i="4"/>
  <c r="I192" i="4"/>
  <c r="J192" i="4" s="1" a="1"/>
  <c r="J192" i="4" s="1"/>
  <c r="K192" i="4" s="1" a="1"/>
  <c r="K192" i="4" s="1"/>
  <c r="F136" i="4"/>
  <c r="H137" i="4"/>
  <c r="F144" i="4"/>
  <c r="H145" i="4"/>
  <c r="F171" i="4"/>
  <c r="J179" i="4" a="1"/>
  <c r="J179" i="4" s="1"/>
  <c r="K179" i="4" s="1" a="1"/>
  <c r="K179" i="4" s="1"/>
  <c r="H126" i="4"/>
  <c r="H128" i="4"/>
  <c r="H130" i="4"/>
  <c r="H138" i="4"/>
  <c r="H146" i="4"/>
  <c r="H107" i="4"/>
  <c r="H115" i="4"/>
  <c r="H123" i="4"/>
  <c r="I133" i="4"/>
  <c r="J133" i="4" s="1" a="1"/>
  <c r="J133" i="4" s="1"/>
  <c r="K133" i="4" s="1" a="1"/>
  <c r="K133" i="4" s="1"/>
  <c r="I141" i="4"/>
  <c r="J141" i="4" s="1" a="1"/>
  <c r="J141" i="4" s="1"/>
  <c r="K141" i="4" s="1" a="1"/>
  <c r="K141" i="4" s="1"/>
  <c r="I150" i="4"/>
  <c r="J150" i="4" s="1" a="1"/>
  <c r="J150" i="4" s="1"/>
  <c r="K150" i="4" s="1" a="1"/>
  <c r="K150" i="4" s="1"/>
  <c r="I153" i="4"/>
  <c r="J153" i="4" s="1" a="1"/>
  <c r="J153" i="4" s="1"/>
  <c r="K153" i="4" s="1" a="1"/>
  <c r="K153" i="4" s="1"/>
  <c r="H153" i="4"/>
  <c r="H154" i="4"/>
  <c r="H157" i="4"/>
  <c r="H158" i="4"/>
  <c r="H165" i="4"/>
  <c r="H166" i="4"/>
  <c r="H170" i="4"/>
  <c r="J174" i="4" a="1"/>
  <c r="J174" i="4" s="1"/>
  <c r="K174" i="4" s="1" a="1"/>
  <c r="K174" i="4" s="1"/>
  <c r="H181" i="4"/>
  <c r="J187" i="4" a="1"/>
  <c r="J187" i="4" s="1"/>
  <c r="K187" i="4" s="1" a="1"/>
  <c r="K187" i="4" s="1"/>
  <c r="H197" i="4"/>
  <c r="H8" i="4"/>
  <c r="H16" i="4"/>
  <c r="H24" i="4"/>
  <c r="H32" i="4"/>
  <c r="H40" i="4"/>
  <c r="H48" i="4"/>
  <c r="H56" i="4"/>
  <c r="H64" i="4"/>
  <c r="H72" i="4"/>
  <c r="H80" i="4"/>
  <c r="H88" i="4"/>
  <c r="H96" i="4"/>
  <c r="H136" i="4"/>
  <c r="H144" i="4"/>
  <c r="H176" i="4"/>
  <c r="I176" i="4"/>
  <c r="J176" i="4" s="1" a="1"/>
  <c r="J176" i="4" s="1"/>
  <c r="K176" i="4" s="1" a="1"/>
  <c r="K176" i="4" s="1"/>
  <c r="H29" i="4"/>
  <c r="H37" i="4"/>
  <c r="H45" i="4"/>
  <c r="H53" i="4"/>
  <c r="H61" i="4"/>
  <c r="H69" i="4"/>
  <c r="H77" i="4"/>
  <c r="H85" i="4"/>
  <c r="H93" i="4"/>
  <c r="H101" i="4"/>
  <c r="H109" i="4"/>
  <c r="H117" i="4"/>
  <c r="H125" i="4"/>
  <c r="J160" i="4" a="1"/>
  <c r="J160" i="4" s="1"/>
  <c r="K160" i="4" s="1" a="1"/>
  <c r="K160" i="4" s="1"/>
  <c r="I161" i="4"/>
  <c r="J161" i="4" s="1" a="1"/>
  <c r="J161" i="4" s="1"/>
  <c r="K161" i="4" s="1" a="1"/>
  <c r="K161" i="4" s="1"/>
  <c r="H161" i="4"/>
  <c r="I129" i="4"/>
  <c r="J129" i="4" s="1" a="1"/>
  <c r="J129" i="4" s="1"/>
  <c r="K129" i="4" s="1" a="1"/>
  <c r="K129" i="4" s="1"/>
  <c r="H134" i="4"/>
  <c r="H142" i="4"/>
  <c r="J151" i="4" a="1"/>
  <c r="J151" i="4" s="1"/>
  <c r="K151" i="4" s="1" a="1"/>
  <c r="K151" i="4" s="1"/>
  <c r="H152" i="4"/>
  <c r="J198" i="4" a="1"/>
  <c r="J198" i="4" s="1"/>
  <c r="K198" i="4" s="1" a="1"/>
  <c r="K198" i="4" s="1"/>
  <c r="J182" i="4" a="1"/>
  <c r="J182" i="4" s="1"/>
  <c r="K182" i="4" s="1" a="1"/>
  <c r="K182" i="4" s="1"/>
  <c r="J190" i="4" a="1"/>
  <c r="J190" i="4" s="1"/>
  <c r="K190" i="4" s="1" a="1"/>
  <c r="K190" i="4" s="1"/>
  <c r="I200" i="4"/>
  <c r="J200" i="4" s="1" a="1"/>
  <c r="J200" i="4" s="1"/>
  <c r="K200" i="4" s="1" a="1"/>
  <c r="K200" i="4" s="1"/>
  <c r="I208" i="4"/>
  <c r="J208" i="4" s="1" a="1"/>
  <c r="J208" i="4" s="1"/>
  <c r="K208" i="4" s="1" a="1"/>
  <c r="K208" i="4" s="1"/>
  <c r="I216" i="4"/>
  <c r="J216" i="4" s="1" a="1"/>
  <c r="J216" i="4" s="1"/>
  <c r="K216" i="4" s="1" a="1"/>
  <c r="K216" i="4" s="1"/>
  <c r="I224" i="4"/>
  <c r="J224" i="4" s="1" a="1"/>
  <c r="J224" i="4" s="1"/>
  <c r="K224" i="4" s="1" a="1"/>
  <c r="K224" i="4" s="1"/>
  <c r="I232" i="4"/>
  <c r="J232" i="4" s="1" a="1"/>
  <c r="J232" i="4" s="1"/>
  <c r="K232" i="4" s="1" a="1"/>
  <c r="K232" i="4" s="1"/>
  <c r="I240" i="4"/>
  <c r="J240" i="4" s="1" a="1"/>
  <c r="J240" i="4" s="1"/>
  <c r="K240" i="4" s="1" a="1"/>
  <c r="K240" i="4" s="1"/>
  <c r="I248" i="4"/>
  <c r="J248" i="4" s="1" a="1"/>
  <c r="J248" i="4" s="1"/>
  <c r="K248" i="4" s="1" a="1"/>
  <c r="K248" i="4" s="1"/>
  <c r="I256" i="4"/>
  <c r="J256" i="4" s="1" a="1"/>
  <c r="J256" i="4" s="1"/>
  <c r="K256" i="4" s="1" a="1"/>
  <c r="K256" i="4" s="1"/>
  <c r="I264" i="4"/>
  <c r="J264" i="4" s="1" a="1"/>
  <c r="J264" i="4" s="1"/>
  <c r="K264" i="4" s="1" a="1"/>
  <c r="K264" i="4" s="1"/>
  <c r="I272" i="4"/>
  <c r="J272" i="4" s="1" a="1"/>
  <c r="J272" i="4" s="1"/>
  <c r="K272" i="4" s="1" a="1"/>
  <c r="K272" i="4" s="1"/>
  <c r="I280" i="4"/>
  <c r="J280" i="4" s="1" a="1"/>
  <c r="J280" i="4" s="1"/>
  <c r="K280" i="4" s="1" a="1"/>
  <c r="K280" i="4" s="1"/>
  <c r="I288" i="4"/>
  <c r="J288" i="4" s="1" a="1"/>
  <c r="J288" i="4" s="1"/>
  <c r="K288" i="4" s="1" a="1"/>
  <c r="K288" i="4" s="1"/>
  <c r="I296" i="4"/>
  <c r="J296" i="4" s="1" a="1"/>
  <c r="J296" i="4" s="1"/>
  <c r="K296" i="4" s="1" a="1"/>
  <c r="K296" i="4" s="1"/>
  <c r="I304" i="4"/>
  <c r="J304" i="4" s="1" a="1"/>
  <c r="J304" i="4" s="1"/>
  <c r="K304" i="4" s="1" a="1"/>
  <c r="K304" i="4" s="1"/>
  <c r="J310" i="4" a="1"/>
  <c r="J310" i="4" s="1"/>
  <c r="K310" i="4" s="1" a="1"/>
  <c r="K310" i="4" s="1"/>
  <c r="I313" i="4"/>
  <c r="J313" i="4" s="1" a="1"/>
  <c r="J313" i="4" s="1"/>
  <c r="K313" i="4" s="1" a="1"/>
  <c r="K313" i="4" s="1"/>
  <c r="I321" i="4"/>
  <c r="J321" i="4" s="1" a="1"/>
  <c r="J321" i="4" s="1"/>
  <c r="K321" i="4" s="1" a="1"/>
  <c r="K321" i="4" s="1"/>
  <c r="I328" i="4"/>
  <c r="J328" i="4" s="1" a="1"/>
  <c r="J328" i="4" s="1"/>
  <c r="K328" i="4" s="1" a="1"/>
  <c r="K328" i="4" s="1"/>
  <c r="H328" i="4"/>
  <c r="H341" i="4"/>
  <c r="H349" i="4"/>
  <c r="H357" i="4"/>
  <c r="H365" i="4"/>
  <c r="H373" i="4"/>
  <c r="J203" i="4" a="1"/>
  <c r="J203" i="4" s="1"/>
  <c r="K203" i="4" s="1" a="1"/>
  <c r="K203" i="4" s="1"/>
  <c r="J211" i="4" a="1"/>
  <c r="J211" i="4" s="1"/>
  <c r="K211" i="4" s="1" a="1"/>
  <c r="K211" i="4" s="1"/>
  <c r="J219" i="4" a="1"/>
  <c r="J219" i="4" s="1"/>
  <c r="K219" i="4" s="1" a="1"/>
  <c r="K219" i="4" s="1"/>
  <c r="J227" i="4" a="1"/>
  <c r="J227" i="4" s="1"/>
  <c r="K227" i="4" s="1" a="1"/>
  <c r="K227" i="4" s="1"/>
  <c r="J235" i="4" a="1"/>
  <c r="J235" i="4" s="1"/>
  <c r="K235" i="4" s="1" a="1"/>
  <c r="K235" i="4" s="1"/>
  <c r="J243" i="4" a="1"/>
  <c r="J243" i="4" s="1"/>
  <c r="K243" i="4" s="1" a="1"/>
  <c r="K243" i="4" s="1"/>
  <c r="J251" i="4" a="1"/>
  <c r="J251" i="4" s="1"/>
  <c r="K251" i="4" s="1" a="1"/>
  <c r="K251" i="4" s="1"/>
  <c r="J259" i="4" a="1"/>
  <c r="J259" i="4" s="1"/>
  <c r="K259" i="4" s="1" a="1"/>
  <c r="K259" i="4" s="1"/>
  <c r="J267" i="4" a="1"/>
  <c r="J267" i="4" s="1"/>
  <c r="K267" i="4" s="1" a="1"/>
  <c r="K267" i="4" s="1"/>
  <c r="J275" i="4" a="1"/>
  <c r="J275" i="4" s="1"/>
  <c r="K275" i="4" s="1" a="1"/>
  <c r="K275" i="4" s="1"/>
  <c r="J283" i="4" a="1"/>
  <c r="J283" i="4" s="1"/>
  <c r="K283" i="4" s="1" a="1"/>
  <c r="K283" i="4" s="1"/>
  <c r="J291" i="4" a="1"/>
  <c r="J291" i="4" s="1"/>
  <c r="K291" i="4" s="1" a="1"/>
  <c r="K291" i="4" s="1"/>
  <c r="J299" i="4" a="1"/>
  <c r="J299" i="4" s="1"/>
  <c r="K299" i="4" s="1" a="1"/>
  <c r="K299" i="4" s="1"/>
  <c r="H308" i="4"/>
  <c r="F315" i="4"/>
  <c r="H316" i="4"/>
  <c r="F323" i="4"/>
  <c r="H325" i="4"/>
  <c r="F331" i="4"/>
  <c r="I336" i="4"/>
  <c r="J336" i="4" s="1" a="1"/>
  <c r="J336" i="4" s="1"/>
  <c r="K336" i="4" s="1" a="1"/>
  <c r="K336" i="4" s="1"/>
  <c r="H336" i="4"/>
  <c r="H292" i="4"/>
  <c r="H300" i="4"/>
  <c r="J306" i="4" a="1"/>
  <c r="J306" i="4" s="1"/>
  <c r="K306" i="4" s="1" a="1"/>
  <c r="K306" i="4" s="1"/>
  <c r="H309" i="4"/>
  <c r="H317" i="4"/>
  <c r="J335" i="4" a="1"/>
  <c r="J335" i="4" s="1"/>
  <c r="K335" i="4" s="1" a="1"/>
  <c r="K335" i="4" s="1"/>
  <c r="J342" i="4" a="1"/>
  <c r="J342" i="4" s="1"/>
  <c r="K342" i="4" s="1" a="1"/>
  <c r="K342" i="4" s="1"/>
  <c r="J350" i="4" a="1"/>
  <c r="J350" i="4" s="1"/>
  <c r="K350" i="4" s="1" a="1"/>
  <c r="K350" i="4" s="1"/>
  <c r="J358" i="4" a="1"/>
  <c r="J358" i="4" s="1"/>
  <c r="K358" i="4" s="1" a="1"/>
  <c r="K358" i="4" s="1"/>
  <c r="J366" i="4" a="1"/>
  <c r="J366" i="4" s="1"/>
  <c r="K366" i="4" s="1" a="1"/>
  <c r="K366" i="4" s="1"/>
  <c r="J374" i="4" a="1"/>
  <c r="J374" i="4" s="1"/>
  <c r="K374" i="4" s="1" a="1"/>
  <c r="K374" i="4" s="1"/>
  <c r="H169" i="4"/>
  <c r="H177" i="4"/>
  <c r="H185" i="4"/>
  <c r="H193" i="4"/>
  <c r="H201" i="4"/>
  <c r="H209" i="4"/>
  <c r="H217" i="4"/>
  <c r="H225" i="4"/>
  <c r="I344" i="4"/>
  <c r="J344" i="4" s="1" a="1"/>
  <c r="J344" i="4" s="1"/>
  <c r="K344" i="4" s="1" a="1"/>
  <c r="K344" i="4" s="1"/>
  <c r="H344" i="4"/>
  <c r="F347" i="4"/>
  <c r="I352" i="4"/>
  <c r="J352" i="4" s="1" a="1"/>
  <c r="J352" i="4" s="1"/>
  <c r="K352" i="4" s="1" a="1"/>
  <c r="K352" i="4" s="1"/>
  <c r="H352" i="4"/>
  <c r="F355" i="4"/>
  <c r="I360" i="4"/>
  <c r="J360" i="4" s="1" a="1"/>
  <c r="J360" i="4" s="1"/>
  <c r="K360" i="4" s="1" a="1"/>
  <c r="K360" i="4" s="1"/>
  <c r="H360" i="4"/>
  <c r="F363" i="4"/>
  <c r="I368" i="4"/>
  <c r="J368" i="4" s="1" a="1"/>
  <c r="J368" i="4" s="1"/>
  <c r="K368" i="4" s="1" a="1"/>
  <c r="K368" i="4" s="1"/>
  <c r="H368" i="4"/>
  <c r="F371" i="4"/>
  <c r="J327" i="4" a="1"/>
  <c r="J327" i="4" s="1"/>
  <c r="K327" i="4" s="1" a="1"/>
  <c r="K327" i="4" s="1"/>
  <c r="F311" i="4"/>
  <c r="H312" i="4"/>
  <c r="F319" i="4"/>
  <c r="H320" i="4"/>
  <c r="I324" i="4"/>
  <c r="J324" i="4" s="1" a="1"/>
  <c r="J324" i="4" s="1"/>
  <c r="K324" i="4" s="1" a="1"/>
  <c r="K324" i="4" s="1"/>
  <c r="I333" i="4"/>
  <c r="J333" i="4" s="1" a="1"/>
  <c r="J333" i="4" s="1"/>
  <c r="K333" i="4" s="1" a="1"/>
  <c r="K333" i="4" s="1"/>
  <c r="F474" i="4"/>
  <c r="H475" i="4"/>
  <c r="F478" i="4"/>
  <c r="J500" i="4" a="1"/>
  <c r="J500" i="4" s="1"/>
  <c r="K500" i="4" s="1" a="1"/>
  <c r="K500" i="4" s="1"/>
  <c r="H476" i="4"/>
  <c r="F482" i="4"/>
  <c r="H483" i="4"/>
  <c r="H484" i="4"/>
  <c r="F489" i="4"/>
  <c r="I503" i="4"/>
  <c r="J503" i="4" s="1" a="1"/>
  <c r="J503" i="4" s="1"/>
  <c r="K503" i="4" s="1" a="1"/>
  <c r="K503" i="4" s="1"/>
  <c r="H503" i="4"/>
  <c r="H454" i="4"/>
  <c r="F475" i="4"/>
  <c r="J477" i="4" a="1"/>
  <c r="J477" i="4" s="1"/>
  <c r="K477" i="4" s="1" a="1"/>
  <c r="K477" i="4" s="1"/>
  <c r="H478" i="4"/>
  <c r="H488" i="4"/>
  <c r="F490" i="4"/>
  <c r="H491" i="4"/>
  <c r="H492" i="4"/>
  <c r="H502" i="4"/>
  <c r="I502" i="4"/>
  <c r="J502" i="4" s="1" a="1"/>
  <c r="J502" i="4" s="1"/>
  <c r="K502" i="4" s="1" a="1"/>
  <c r="K502" i="4" s="1"/>
  <c r="J505" i="4" a="1"/>
  <c r="J505" i="4" s="1"/>
  <c r="K505" i="4" s="1" a="1"/>
  <c r="K505" i="4" s="1"/>
  <c r="J509" i="4" a="1"/>
  <c r="J509" i="4" s="1"/>
  <c r="K509" i="4" s="1" a="1"/>
  <c r="K509" i="4" s="1"/>
  <c r="H512" i="4"/>
  <c r="F514" i="4"/>
  <c r="H395" i="4"/>
  <c r="H403" i="4"/>
  <c r="H411" i="4"/>
  <c r="H419" i="4"/>
  <c r="H427" i="4"/>
  <c r="H435" i="4"/>
  <c r="H443" i="4"/>
  <c r="H451" i="4"/>
  <c r="H459" i="4"/>
  <c r="F483" i="4"/>
  <c r="J486" i="4" a="1"/>
  <c r="J486" i="4" s="1"/>
  <c r="K486" i="4" s="1" a="1"/>
  <c r="K486" i="4" s="1"/>
  <c r="I487" i="4"/>
  <c r="J487" i="4" s="1" a="1"/>
  <c r="J487" i="4" s="1"/>
  <c r="K487" i="4" s="1" a="1"/>
  <c r="K487" i="4" s="1"/>
  <c r="H487" i="4"/>
  <c r="H496" i="4"/>
  <c r="F498" i="4"/>
  <c r="H499" i="4"/>
  <c r="H500" i="4"/>
  <c r="J508" i="4" a="1"/>
  <c r="J508" i="4" s="1"/>
  <c r="K508" i="4" s="1" a="1"/>
  <c r="K508" i="4" s="1"/>
  <c r="F515" i="4"/>
  <c r="H376" i="4"/>
  <c r="H384" i="4"/>
  <c r="H392" i="4"/>
  <c r="H400" i="4"/>
  <c r="H408" i="4"/>
  <c r="H416" i="4"/>
  <c r="H424" i="4"/>
  <c r="H432" i="4"/>
  <c r="H440" i="4"/>
  <c r="H448" i="4"/>
  <c r="H456" i="4"/>
  <c r="I463" i="4"/>
  <c r="J463" i="4" s="1" a="1"/>
  <c r="J463" i="4" s="1"/>
  <c r="K463" i="4" s="1" a="1"/>
  <c r="K463" i="4" s="1"/>
  <c r="H463" i="4"/>
  <c r="J494" i="4" a="1"/>
  <c r="J494" i="4" s="1"/>
  <c r="K494" i="4" s="1" a="1"/>
  <c r="K494" i="4" s="1"/>
  <c r="I495" i="4"/>
  <c r="J495" i="4" s="1" a="1"/>
  <c r="J495" i="4" s="1"/>
  <c r="K495" i="4" s="1" a="1"/>
  <c r="K495" i="4" s="1"/>
  <c r="H495" i="4"/>
  <c r="I511" i="4"/>
  <c r="J511" i="4" s="1" a="1"/>
  <c r="J511" i="4" s="1"/>
  <c r="K511" i="4" s="1" a="1"/>
  <c r="K511" i="4" s="1"/>
  <c r="H511" i="4"/>
  <c r="I471" i="4"/>
  <c r="J471" i="4" s="1" a="1"/>
  <c r="J471" i="4" s="1"/>
  <c r="K471" i="4" s="1" a="1"/>
  <c r="K471" i="4" s="1"/>
  <c r="H471" i="4"/>
  <c r="I475" i="4"/>
  <c r="J475" i="4" s="1" a="1"/>
  <c r="J475" i="4" s="1"/>
  <c r="K475" i="4" s="1" a="1"/>
  <c r="K475" i="4" s="1"/>
  <c r="H510" i="4"/>
  <c r="I510" i="4"/>
  <c r="J510" i="4" s="1" a="1"/>
  <c r="J510" i="4" s="1"/>
  <c r="K510" i="4" s="1" a="1"/>
  <c r="K510" i="4" s="1"/>
  <c r="H507" i="4"/>
  <c r="H508" i="4"/>
  <c r="I479" i="4"/>
  <c r="J479" i="4" s="1" a="1"/>
  <c r="J479" i="4" s="1"/>
  <c r="K479" i="4" s="1" a="1"/>
  <c r="K479" i="4" s="1"/>
  <c r="H479" i="4"/>
  <c r="J501" i="4" a="1"/>
  <c r="J501" i="4" s="1"/>
  <c r="K501" i="4" s="1" a="1"/>
  <c r="K501" i="4" s="1"/>
  <c r="H504" i="4"/>
  <c r="F506" i="4"/>
  <c r="I518" i="4"/>
  <c r="J518" i="4" s="1" a="1"/>
  <c r="J518" i="4" s="1"/>
  <c r="K518" i="4" s="1" a="1"/>
  <c r="K518" i="4" s="1"/>
  <c r="I526" i="4"/>
  <c r="J526" i="4" s="1" a="1"/>
  <c r="J526" i="4" s="1"/>
  <c r="K526" i="4" s="1" a="1"/>
  <c r="K526" i="4" s="1"/>
  <c r="I534" i="4"/>
  <c r="J534" i="4" s="1" a="1"/>
  <c r="J534" i="4" s="1"/>
  <c r="K534" i="4" s="1" a="1"/>
  <c r="K534" i="4" s="1"/>
  <c r="I542" i="4"/>
  <c r="J542" i="4" s="1" a="1"/>
  <c r="J542" i="4" s="1"/>
  <c r="K542" i="4" s="1" a="1"/>
  <c r="K542" i="4" s="1"/>
  <c r="I550" i="4"/>
  <c r="J550" i="4" s="1" a="1"/>
  <c r="J550" i="4" s="1"/>
  <c r="K550" i="4" s="1" a="1"/>
  <c r="K550" i="4" s="1"/>
  <c r="I558" i="4"/>
  <c r="J558" i="4" s="1" a="1"/>
  <c r="J558" i="4" s="1"/>
  <c r="K558" i="4" s="1" a="1"/>
  <c r="K558" i="4" s="1"/>
  <c r="I566" i="4"/>
  <c r="J566" i="4" s="1" a="1"/>
  <c r="J566" i="4" s="1"/>
  <c r="K566" i="4" s="1" a="1"/>
  <c r="K566" i="4" s="1"/>
  <c r="I574" i="4"/>
  <c r="J574" i="4" s="1" a="1"/>
  <c r="J574" i="4" s="1"/>
  <c r="K574" i="4" s="1" a="1"/>
  <c r="K574" i="4" s="1"/>
  <c r="I582" i="4"/>
  <c r="J582" i="4" s="1" a="1"/>
  <c r="J582" i="4" s="1"/>
  <c r="K582" i="4" s="1" a="1"/>
  <c r="K582" i="4" s="1"/>
  <c r="I590" i="4"/>
  <c r="J590" i="4" s="1" a="1"/>
  <c r="J590" i="4" s="1"/>
  <c r="K590" i="4" s="1" a="1"/>
  <c r="K590" i="4" s="1"/>
  <c r="I598" i="4"/>
  <c r="J598" i="4" s="1" a="1"/>
  <c r="J598" i="4" s="1"/>
  <c r="K598" i="4" s="1" a="1"/>
  <c r="K598" i="4" s="1"/>
  <c r="I603" i="4"/>
  <c r="J603" i="4" s="1" a="1"/>
  <c r="J603" i="4" s="1"/>
  <c r="K603" i="4" s="1" a="1"/>
  <c r="K603" i="4" s="1"/>
  <c r="J608" i="4" a="1"/>
  <c r="J608" i="4" s="1"/>
  <c r="K608" i="4" s="1" a="1"/>
  <c r="K608" i="4" s="1"/>
  <c r="I611" i="4"/>
  <c r="J611" i="4" s="1" a="1"/>
  <c r="J611" i="4" s="1"/>
  <c r="K611" i="4" s="1" a="1"/>
  <c r="K611" i="4" s="1"/>
  <c r="J616" i="4" a="1"/>
  <c r="J616" i="4" s="1"/>
  <c r="K616" i="4" s="1" a="1"/>
  <c r="K616" i="4" s="1"/>
  <c r="J620" i="4" a="1"/>
  <c r="J620" i="4" s="1"/>
  <c r="K620" i="4" s="1" a="1"/>
  <c r="K620" i="4" s="1"/>
  <c r="H647" i="4"/>
  <c r="J650" i="4" a="1"/>
  <c r="J650" i="4" s="1"/>
  <c r="K650" i="4" s="1" a="1"/>
  <c r="K650" i="4" s="1"/>
  <c r="J658" i="4" a="1"/>
  <c r="J658" i="4" s="1"/>
  <c r="K658" i="4" s="1" a="1"/>
  <c r="K658" i="4" s="1"/>
  <c r="J674" i="4" a="1"/>
  <c r="J674" i="4" s="1"/>
  <c r="K674" i="4" s="1" a="1"/>
  <c r="K674" i="4" s="1"/>
  <c r="I695" i="4"/>
  <c r="J695" i="4" s="1" a="1"/>
  <c r="J695" i="4" s="1"/>
  <c r="K695" i="4" s="1" a="1"/>
  <c r="K695" i="4" s="1"/>
  <c r="H695" i="4"/>
  <c r="H520" i="4"/>
  <c r="H528" i="4"/>
  <c r="H536" i="4"/>
  <c r="H544" i="4"/>
  <c r="H552" i="4"/>
  <c r="H560" i="4"/>
  <c r="H568" i="4"/>
  <c r="H576" i="4"/>
  <c r="J624" i="4" a="1"/>
  <c r="J624" i="4" s="1"/>
  <c r="K624" i="4" s="1" a="1"/>
  <c r="K624" i="4" s="1"/>
  <c r="J632" i="4" a="1"/>
  <c r="J632" i="4" s="1"/>
  <c r="K632" i="4" s="1" a="1"/>
  <c r="K632" i="4" s="1"/>
  <c r="J640" i="4" a="1"/>
  <c r="J640" i="4" s="1"/>
  <c r="K640" i="4" s="1" a="1"/>
  <c r="K640" i="4" s="1"/>
  <c r="J682" i="4" a="1"/>
  <c r="J682" i="4" s="1"/>
  <c r="K682" i="4" s="1" a="1"/>
  <c r="K682" i="4" s="1"/>
  <c r="F605" i="4"/>
  <c r="H606" i="4"/>
  <c r="F613" i="4"/>
  <c r="H614" i="4"/>
  <c r="J531" i="4" a="1"/>
  <c r="J531" i="4" s="1"/>
  <c r="K531" i="4" s="1" a="1"/>
  <c r="K531" i="4" s="1"/>
  <c r="J539" i="4" a="1"/>
  <c r="J539" i="4" s="1"/>
  <c r="K539" i="4" s="1" a="1"/>
  <c r="K539" i="4" s="1"/>
  <c r="J547" i="4" a="1"/>
  <c r="J547" i="4" s="1"/>
  <c r="K547" i="4" s="1" a="1"/>
  <c r="K547" i="4" s="1"/>
  <c r="J555" i="4" a="1"/>
  <c r="J555" i="4" s="1"/>
  <c r="K555" i="4" s="1" a="1"/>
  <c r="K555" i="4" s="1"/>
  <c r="J563" i="4" a="1"/>
  <c r="J563" i="4" s="1"/>
  <c r="K563" i="4" s="1" a="1"/>
  <c r="K563" i="4" s="1"/>
  <c r="J571" i="4" a="1"/>
  <c r="J571" i="4" s="1"/>
  <c r="K571" i="4" s="1" a="1"/>
  <c r="K571" i="4" s="1"/>
  <c r="J579" i="4" a="1"/>
  <c r="J579" i="4" s="1"/>
  <c r="K579" i="4" s="1" a="1"/>
  <c r="K579" i="4" s="1"/>
  <c r="J617" i="4" a="1"/>
  <c r="J617" i="4" s="1"/>
  <c r="K617" i="4" s="1" a="1"/>
  <c r="K617" i="4" s="1"/>
  <c r="H650" i="4"/>
  <c r="H519" i="4"/>
  <c r="H527" i="4"/>
  <c r="H535" i="4"/>
  <c r="H543" i="4"/>
  <c r="H551" i="4"/>
  <c r="H559" i="4"/>
  <c r="H567" i="4"/>
  <c r="H575" i="4"/>
  <c r="H583" i="4"/>
  <c r="H591" i="4"/>
  <c r="H599" i="4"/>
  <c r="I610" i="4"/>
  <c r="J610" i="4" s="1" a="1"/>
  <c r="J610" i="4" s="1"/>
  <c r="K610" i="4" s="1" a="1"/>
  <c r="K610" i="4" s="1"/>
  <c r="J621" i="4" a="1"/>
  <c r="J621" i="4" s="1"/>
  <c r="K621" i="4" s="1" a="1"/>
  <c r="K621" i="4" s="1"/>
  <c r="J629" i="4" a="1"/>
  <c r="J629" i="4" s="1"/>
  <c r="K629" i="4" s="1" a="1"/>
  <c r="K629" i="4" s="1"/>
  <c r="H645" i="4"/>
  <c r="I645" i="4"/>
  <c r="J645" i="4" s="1" a="1"/>
  <c r="J645" i="4" s="1"/>
  <c r="K645" i="4" s="1" a="1"/>
  <c r="K645" i="4" s="1"/>
  <c r="I663" i="4"/>
  <c r="J663" i="4" s="1" a="1"/>
  <c r="J663" i="4" s="1"/>
  <c r="K663" i="4" s="1" a="1"/>
  <c r="K663" i="4" s="1"/>
  <c r="H663" i="4"/>
  <c r="H605" i="4"/>
  <c r="H613" i="4"/>
  <c r="H623" i="4"/>
  <c r="H631" i="4"/>
  <c r="H635" i="4"/>
  <c r="H639" i="4"/>
  <c r="I655" i="4"/>
  <c r="J655" i="4" s="1" a="1"/>
  <c r="J655" i="4" s="1"/>
  <c r="K655" i="4" s="1" a="1"/>
  <c r="K655" i="4" s="1"/>
  <c r="H655" i="4"/>
  <c r="I671" i="4"/>
  <c r="J671" i="4" s="1" a="1"/>
  <c r="J671" i="4" s="1"/>
  <c r="K671" i="4" s="1" a="1"/>
  <c r="K671" i="4" s="1"/>
  <c r="H671" i="4"/>
  <c r="F641" i="4"/>
  <c r="I679" i="4"/>
  <c r="J679" i="4" s="1" a="1"/>
  <c r="J679" i="4" s="1"/>
  <c r="K679" i="4" s="1" a="1"/>
  <c r="K679" i="4" s="1"/>
  <c r="H679" i="4"/>
  <c r="J623" i="4" a="1"/>
  <c r="J623" i="4" s="1"/>
  <c r="K623" i="4" s="1" a="1"/>
  <c r="K623" i="4" s="1"/>
  <c r="J631" i="4" a="1"/>
  <c r="J631" i="4" s="1"/>
  <c r="K631" i="4" s="1" a="1"/>
  <c r="K631" i="4" s="1"/>
  <c r="J639" i="4" a="1"/>
  <c r="J639" i="4" s="1"/>
  <c r="K639" i="4" s="1" a="1"/>
  <c r="K639" i="4" s="1"/>
  <c r="J651" i="4" a="1"/>
  <c r="J651" i="4" s="1"/>
  <c r="K651" i="4" s="1" a="1"/>
  <c r="K651" i="4" s="1"/>
  <c r="J666" i="4" a="1"/>
  <c r="J666" i="4" s="1"/>
  <c r="K666" i="4" s="1" a="1"/>
  <c r="K666" i="4" s="1"/>
  <c r="I687" i="4"/>
  <c r="J687" i="4" s="1" a="1"/>
  <c r="J687" i="4" s="1"/>
  <c r="K687" i="4" s="1" a="1"/>
  <c r="K687" i="4" s="1"/>
  <c r="H687" i="4"/>
  <c r="I653" i="4"/>
  <c r="J653" i="4" s="1" a="1"/>
  <c r="J653" i="4" s="1"/>
  <c r="K653" i="4" s="1" a="1"/>
  <c r="K653" i="4" s="1"/>
  <c r="I661" i="4"/>
  <c r="J661" i="4" s="1" a="1"/>
  <c r="J661" i="4" s="1"/>
  <c r="K661" i="4" s="1" a="1"/>
  <c r="K661" i="4" s="1"/>
  <c r="I669" i="4"/>
  <c r="J669" i="4" s="1" a="1"/>
  <c r="J669" i="4" s="1"/>
  <c r="K669" i="4" s="1" a="1"/>
  <c r="K669" i="4" s="1"/>
  <c r="I677" i="4"/>
  <c r="J677" i="4" s="1" a="1"/>
  <c r="J677" i="4" s="1"/>
  <c r="K677" i="4" s="1" a="1"/>
  <c r="K677" i="4" s="1"/>
  <c r="I685" i="4"/>
  <c r="J685" i="4" s="1" a="1"/>
  <c r="J685" i="4" s="1"/>
  <c r="K685" i="4" s="1" a="1"/>
  <c r="K685" i="4" s="1"/>
  <c r="I693" i="4"/>
  <c r="J693" i="4" s="1" a="1"/>
  <c r="J693" i="4" s="1"/>
  <c r="K693" i="4" s="1" a="1"/>
  <c r="K693" i="4" s="1"/>
  <c r="I701" i="4"/>
  <c r="J701" i="4" s="1" a="1"/>
  <c r="J701" i="4" s="1"/>
  <c r="K701" i="4" s="1" a="1"/>
  <c r="K701" i="4" s="1"/>
  <c r="I709" i="4"/>
  <c r="J709" i="4" s="1" a="1"/>
  <c r="J709" i="4" s="1"/>
  <c r="K709" i="4" s="1" a="1"/>
  <c r="K709" i="4" s="1"/>
  <c r="I717" i="4"/>
  <c r="J717" i="4" s="1" a="1"/>
  <c r="J717" i="4" s="1"/>
  <c r="K717" i="4" s="1" a="1"/>
  <c r="K717" i="4" s="1"/>
  <c r="I725" i="4"/>
  <c r="J725" i="4" s="1" a="1"/>
  <c r="J725" i="4" s="1"/>
  <c r="K725" i="4" s="1" a="1"/>
  <c r="K725" i="4" s="1"/>
  <c r="I733" i="4"/>
  <c r="J733" i="4" s="1" a="1"/>
  <c r="J733" i="4" s="1"/>
  <c r="K733" i="4" s="1" a="1"/>
  <c r="K733" i="4" s="1"/>
  <c r="I741" i="4"/>
  <c r="J741" i="4" s="1" a="1"/>
  <c r="J741" i="4" s="1"/>
  <c r="K741" i="4" s="1" a="1"/>
  <c r="K741" i="4" s="1"/>
  <c r="F747" i="4"/>
  <c r="J755" i="4" a="1"/>
  <c r="J755" i="4" s="1"/>
  <c r="K755" i="4" s="1" a="1"/>
  <c r="K755" i="4" s="1"/>
  <c r="F764" i="4"/>
  <c r="I767" i="4"/>
  <c r="J767" i="4" s="1" a="1"/>
  <c r="J767" i="4" s="1"/>
  <c r="K767" i="4" s="1" a="1"/>
  <c r="K767" i="4" s="1"/>
  <c r="H767" i="4"/>
  <c r="H777" i="4"/>
  <c r="J786" i="4" a="1"/>
  <c r="J786" i="4" s="1"/>
  <c r="K786" i="4" s="1" a="1"/>
  <c r="K786" i="4" s="1"/>
  <c r="I791" i="4"/>
  <c r="J791" i="4" s="1" a="1"/>
  <c r="J791" i="4" s="1"/>
  <c r="K791" i="4" s="1" a="1"/>
  <c r="K791" i="4" s="1"/>
  <c r="H791" i="4"/>
  <c r="H809" i="4"/>
  <c r="J818" i="4" a="1"/>
  <c r="J818" i="4" s="1"/>
  <c r="K818" i="4" s="1" a="1"/>
  <c r="K818" i="4" s="1"/>
  <c r="I823" i="4"/>
  <c r="J823" i="4" s="1" a="1"/>
  <c r="J823" i="4" s="1"/>
  <c r="K823" i="4" s="1" a="1"/>
  <c r="K823" i="4" s="1"/>
  <c r="H823" i="4"/>
  <c r="H836" i="4"/>
  <c r="H703" i="4"/>
  <c r="H711" i="4"/>
  <c r="H719" i="4"/>
  <c r="H727" i="4"/>
  <c r="H735" i="4"/>
  <c r="H743" i="4"/>
  <c r="J770" i="4" a="1"/>
  <c r="J770" i="4" s="1"/>
  <c r="K770" i="4" s="1" a="1"/>
  <c r="K770" i="4" s="1"/>
  <c r="J762" i="4" a="1"/>
  <c r="J762" i="4" s="1"/>
  <c r="K762" i="4" s="1" a="1"/>
  <c r="K762" i="4" s="1"/>
  <c r="F767" i="4"/>
  <c r="I783" i="4"/>
  <c r="J783" i="4" s="1" a="1"/>
  <c r="J783" i="4" s="1"/>
  <c r="K783" i="4" s="1" a="1"/>
  <c r="K783" i="4" s="1"/>
  <c r="H783" i="4"/>
  <c r="F794" i="4"/>
  <c r="I815" i="4"/>
  <c r="J815" i="4" s="1" a="1"/>
  <c r="J815" i="4" s="1"/>
  <c r="K815" i="4" s="1" a="1"/>
  <c r="K815" i="4" s="1"/>
  <c r="H815" i="4"/>
  <c r="J706" i="4" a="1"/>
  <c r="J706" i="4" s="1"/>
  <c r="K706" i="4" s="1" a="1"/>
  <c r="K706" i="4" s="1"/>
  <c r="J714" i="4" a="1"/>
  <c r="J714" i="4" s="1"/>
  <c r="K714" i="4" s="1" a="1"/>
  <c r="K714" i="4" s="1"/>
  <c r="J722" i="4" a="1"/>
  <c r="J722" i="4" s="1"/>
  <c r="K722" i="4" s="1" a="1"/>
  <c r="K722" i="4" s="1"/>
  <c r="J730" i="4" a="1"/>
  <c r="J730" i="4" s="1"/>
  <c r="K730" i="4" s="1" a="1"/>
  <c r="K730" i="4" s="1"/>
  <c r="J738" i="4" a="1"/>
  <c r="J738" i="4" s="1"/>
  <c r="K738" i="4" s="1" a="1"/>
  <c r="K738" i="4" s="1"/>
  <c r="I775" i="4"/>
  <c r="J775" i="4" s="1" a="1"/>
  <c r="J775" i="4" s="1"/>
  <c r="K775" i="4" s="1" a="1"/>
  <c r="K775" i="4" s="1"/>
  <c r="H775" i="4"/>
  <c r="I807" i="4"/>
  <c r="J807" i="4" s="1" a="1"/>
  <c r="J807" i="4" s="1"/>
  <c r="K807" i="4" s="1" a="1"/>
  <c r="K807" i="4" s="1"/>
  <c r="H807" i="4"/>
  <c r="J765" i="4" a="1"/>
  <c r="J765" i="4" s="1"/>
  <c r="K765" i="4" s="1" a="1"/>
  <c r="K765" i="4" s="1"/>
  <c r="J829" i="4" a="1"/>
  <c r="J829" i="4" s="1"/>
  <c r="K829" i="4" s="1" a="1"/>
  <c r="K829" i="4" s="1"/>
  <c r="J837" i="4" a="1"/>
  <c r="J837" i="4" s="1"/>
  <c r="K837" i="4" s="1" a="1"/>
  <c r="K837" i="4" s="1"/>
  <c r="H750" i="4"/>
  <c r="F753" i="4"/>
  <c r="I759" i="4"/>
  <c r="J759" i="4" s="1" a="1"/>
  <c r="J759" i="4" s="1"/>
  <c r="K759" i="4" s="1" a="1"/>
  <c r="K759" i="4" s="1"/>
  <c r="H759" i="4"/>
  <c r="H761" i="4"/>
  <c r="H764" i="4"/>
  <c r="H769" i="4"/>
  <c r="H785" i="4"/>
  <c r="I799" i="4"/>
  <c r="J799" i="4" s="1" a="1"/>
  <c r="J799" i="4" s="1"/>
  <c r="K799" i="4" s="1" a="1"/>
  <c r="K799" i="4" s="1"/>
  <c r="H799" i="4"/>
  <c r="H817" i="4"/>
  <c r="I831" i="4"/>
  <c r="J831" i="4" s="1" a="1"/>
  <c r="J831" i="4" s="1"/>
  <c r="K831" i="4" s="1" a="1"/>
  <c r="K831" i="4" s="1"/>
  <c r="H831" i="4"/>
  <c r="I748" i="4"/>
  <c r="J748" i="4" s="1" a="1"/>
  <c r="J748" i="4" s="1"/>
  <c r="K748" i="4" s="1" a="1"/>
  <c r="K748" i="4" s="1"/>
  <c r="I756" i="4"/>
  <c r="J756" i="4" s="1" a="1"/>
  <c r="J756" i="4" s="1"/>
  <c r="K756" i="4" s="1" a="1"/>
  <c r="K756" i="4" s="1"/>
  <c r="F839" i="4"/>
  <c r="H840" i="4"/>
  <c r="F847" i="4"/>
  <c r="H848" i="4"/>
  <c r="F856" i="4"/>
  <c r="F877" i="4"/>
  <c r="F845" i="4"/>
  <c r="H874" i="4"/>
  <c r="I874" i="4"/>
  <c r="J874" i="4" s="1" a="1"/>
  <c r="J874" i="4" s="1"/>
  <c r="K874" i="4" s="1" a="1"/>
  <c r="K874" i="4" s="1"/>
  <c r="I885" i="4"/>
  <c r="J885" i="4" s="1" a="1"/>
  <c r="J885" i="4" s="1"/>
  <c r="K885" i="4" s="1" a="1"/>
  <c r="K885" i="4" s="1"/>
  <c r="H885" i="4"/>
  <c r="H784" i="4"/>
  <c r="H792" i="4"/>
  <c r="H800" i="4"/>
  <c r="H808" i="4"/>
  <c r="H816" i="4"/>
  <c r="H824" i="4"/>
  <c r="H832" i="4"/>
  <c r="F840" i="4"/>
  <c r="H841" i="4"/>
  <c r="F848" i="4"/>
  <c r="H849" i="4"/>
  <c r="H850" i="4"/>
  <c r="J860" i="4" a="1"/>
  <c r="J860" i="4" s="1"/>
  <c r="K860" i="4" s="1" a="1"/>
  <c r="K860" i="4" s="1"/>
  <c r="J881" i="4" a="1"/>
  <c r="J881" i="4" s="1"/>
  <c r="K881" i="4" s="1" a="1"/>
  <c r="K881" i="4" s="1"/>
  <c r="I893" i="4"/>
  <c r="J893" i="4" s="1" a="1"/>
  <c r="J893" i="4" s="1"/>
  <c r="K893" i="4" s="1" a="1"/>
  <c r="K893" i="4" s="1"/>
  <c r="H893" i="4"/>
  <c r="I926" i="4"/>
  <c r="J926" i="4" s="1" a="1"/>
  <c r="J926" i="4" s="1"/>
  <c r="K926" i="4" s="1" a="1"/>
  <c r="K926" i="4" s="1"/>
  <c r="H926" i="4"/>
  <c r="H853" i="4"/>
  <c r="J861" i="4" a="1"/>
  <c r="J861" i="4" s="1"/>
  <c r="K861" i="4" s="1" a="1"/>
  <c r="K861" i="4" s="1"/>
  <c r="H862" i="4"/>
  <c r="J867" i="4" a="1"/>
  <c r="J867" i="4" s="1"/>
  <c r="K867" i="4" s="1" a="1"/>
  <c r="K867" i="4" s="1"/>
  <c r="H868" i="4"/>
  <c r="H882" i="4"/>
  <c r="I882" i="4"/>
  <c r="J882" i="4" s="1" a="1"/>
  <c r="J882" i="4" s="1"/>
  <c r="K882" i="4" s="1" a="1"/>
  <c r="K882" i="4" s="1"/>
  <c r="J889" i="4" a="1"/>
  <c r="J889" i="4" s="1"/>
  <c r="K889" i="4" s="1" a="1"/>
  <c r="K889" i="4" s="1"/>
  <c r="I840" i="4"/>
  <c r="J840" i="4" s="1" a="1"/>
  <c r="J840" i="4" s="1"/>
  <c r="K840" i="4" s="1" a="1"/>
  <c r="K840" i="4" s="1"/>
  <c r="H843" i="4"/>
  <c r="I848" i="4"/>
  <c r="J848" i="4" s="1" a="1"/>
  <c r="J848" i="4" s="1"/>
  <c r="K848" i="4" s="1" a="1"/>
  <c r="K848" i="4" s="1"/>
  <c r="H851" i="4"/>
  <c r="J869" i="4" a="1"/>
  <c r="J869" i="4" s="1"/>
  <c r="K869" i="4" s="1" a="1"/>
  <c r="K869" i="4" s="1"/>
  <c r="H856" i="4"/>
  <c r="J857" i="4" a="1"/>
  <c r="J857" i="4" s="1"/>
  <c r="K857" i="4" s="1" a="1"/>
  <c r="K857" i="4" s="1"/>
  <c r="I877" i="4"/>
  <c r="J877" i="4" s="1" a="1"/>
  <c r="J877" i="4" s="1"/>
  <c r="K877" i="4" s="1" a="1"/>
  <c r="K877" i="4" s="1"/>
  <c r="H877" i="4"/>
  <c r="H890" i="4"/>
  <c r="I890" i="4"/>
  <c r="J890" i="4" s="1" a="1"/>
  <c r="J890" i="4" s="1"/>
  <c r="K890" i="4" s="1" a="1"/>
  <c r="K890" i="4" s="1"/>
  <c r="I901" i="4"/>
  <c r="J901" i="4" s="1" a="1"/>
  <c r="J901" i="4" s="1"/>
  <c r="K901" i="4" s="1" a="1"/>
  <c r="K901" i="4" s="1"/>
  <c r="H901" i="4"/>
  <c r="H898" i="4"/>
  <c r="I898" i="4"/>
  <c r="J898" i="4" s="1" a="1"/>
  <c r="J898" i="4" s="1"/>
  <c r="K898" i="4" s="1" a="1"/>
  <c r="K898" i="4" s="1"/>
  <c r="J914" i="4" a="1"/>
  <c r="J914" i="4" s="1"/>
  <c r="K914" i="4" s="1" a="1"/>
  <c r="K914" i="4" s="1"/>
  <c r="J919" i="4" a="1"/>
  <c r="J919" i="4" s="1"/>
  <c r="K919" i="4" s="1" a="1"/>
  <c r="K919" i="4" s="1"/>
  <c r="F929" i="4"/>
  <c r="J938" i="4" a="1"/>
  <c r="J938" i="4" s="1"/>
  <c r="K938" i="4" s="1" a="1"/>
  <c r="K938" i="4" s="1"/>
  <c r="F874" i="4"/>
  <c r="H875" i="4"/>
  <c r="F882" i="4"/>
  <c r="H883" i="4"/>
  <c r="F890" i="4"/>
  <c r="H891" i="4"/>
  <c r="F898" i="4"/>
  <c r="H899" i="4"/>
  <c r="I923" i="4"/>
  <c r="J923" i="4" s="1" a="1"/>
  <c r="J923" i="4" s="1"/>
  <c r="K923" i="4" s="1" a="1"/>
  <c r="K923" i="4" s="1"/>
  <c r="J943" i="4" a="1"/>
  <c r="J943" i="4" s="1"/>
  <c r="K943" i="4" s="1" a="1"/>
  <c r="K943" i="4" s="1"/>
  <c r="J946" i="4" a="1"/>
  <c r="J946" i="4" s="1"/>
  <c r="K946" i="4" s="1" a="1"/>
  <c r="K946" i="4" s="1"/>
  <c r="J951" i="4" a="1"/>
  <c r="J951" i="4" s="1"/>
  <c r="K951" i="4" s="1" a="1"/>
  <c r="K951" i="4" s="1"/>
  <c r="J954" i="4" a="1"/>
  <c r="J954" i="4" s="1"/>
  <c r="K954" i="4" s="1" a="1"/>
  <c r="K954" i="4" s="1"/>
  <c r="J959" i="4" a="1"/>
  <c r="J959" i="4" s="1"/>
  <c r="K959" i="4" s="1" a="1"/>
  <c r="K959" i="4" s="1"/>
  <c r="J962" i="4" a="1"/>
  <c r="J962" i="4" s="1"/>
  <c r="K962" i="4" s="1" a="1"/>
  <c r="K962" i="4" s="1"/>
  <c r="J967" i="4" a="1"/>
  <c r="J967" i="4" s="1"/>
  <c r="K967" i="4" s="1" a="1"/>
  <c r="K967" i="4" s="1"/>
  <c r="J970" i="4" a="1"/>
  <c r="J970" i="4" s="1"/>
  <c r="K970" i="4" s="1" a="1"/>
  <c r="K970" i="4" s="1"/>
  <c r="J978" i="4" a="1"/>
  <c r="J978" i="4" s="1"/>
  <c r="K978" i="4" s="1" a="1"/>
  <c r="K978" i="4" s="1"/>
  <c r="J876" i="4" a="1"/>
  <c r="J876" i="4" s="1"/>
  <c r="K876" i="4" s="1" a="1"/>
  <c r="K876" i="4" s="1"/>
  <c r="J884" i="4" a="1"/>
  <c r="J884" i="4" s="1"/>
  <c r="K884" i="4" s="1" a="1"/>
  <c r="K884" i="4" s="1"/>
  <c r="J892" i="4" a="1"/>
  <c r="J892" i="4" s="1"/>
  <c r="K892" i="4" s="1" a="1"/>
  <c r="K892" i="4" s="1"/>
  <c r="J900" i="4" a="1"/>
  <c r="J900" i="4" s="1"/>
  <c r="K900" i="4" s="1" a="1"/>
  <c r="K900" i="4" s="1"/>
  <c r="F904" i="4"/>
  <c r="F912" i="4"/>
  <c r="J922" i="4" a="1"/>
  <c r="J922" i="4" s="1"/>
  <c r="K922" i="4" s="1" a="1"/>
  <c r="K922" i="4" s="1"/>
  <c r="I940" i="4"/>
  <c r="J940" i="4" s="1" a="1"/>
  <c r="J940" i="4" s="1"/>
  <c r="K940" i="4" s="1" a="1"/>
  <c r="K940" i="4" s="1"/>
  <c r="H940" i="4"/>
  <c r="I948" i="4"/>
  <c r="J948" i="4" s="1" a="1"/>
  <c r="J948" i="4" s="1"/>
  <c r="K948" i="4" s="1" a="1"/>
  <c r="K948" i="4" s="1"/>
  <c r="H948" i="4"/>
  <c r="I956" i="4"/>
  <c r="J956" i="4" s="1" a="1"/>
  <c r="J956" i="4" s="1"/>
  <c r="K956" i="4" s="1" a="1"/>
  <c r="K956" i="4" s="1"/>
  <c r="H956" i="4"/>
  <c r="I964" i="4"/>
  <c r="J964" i="4" s="1" a="1"/>
  <c r="J964" i="4" s="1"/>
  <c r="K964" i="4" s="1" a="1"/>
  <c r="K964" i="4" s="1"/>
  <c r="H964" i="4"/>
  <c r="I972" i="4"/>
  <c r="J972" i="4" s="1" a="1"/>
  <c r="J972" i="4" s="1"/>
  <c r="K972" i="4" s="1" a="1"/>
  <c r="K972" i="4" s="1"/>
  <c r="H972" i="4"/>
  <c r="I980" i="4"/>
  <c r="J980" i="4" s="1" a="1"/>
  <c r="J980" i="4" s="1"/>
  <c r="K980" i="4" s="1" a="1"/>
  <c r="K980" i="4" s="1"/>
  <c r="H980" i="4"/>
  <c r="H887" i="4"/>
  <c r="H895" i="4"/>
  <c r="H906" i="4"/>
  <c r="H908" i="4"/>
  <c r="H914" i="4"/>
  <c r="H915" i="4"/>
  <c r="I916" i="4"/>
  <c r="J916" i="4" s="1" a="1"/>
  <c r="J916" i="4" s="1"/>
  <c r="K916" i="4" s="1" a="1"/>
  <c r="K916" i="4" s="1"/>
  <c r="H916" i="4"/>
  <c r="H918" i="4"/>
  <c r="H925" i="4"/>
  <c r="J931" i="4" a="1"/>
  <c r="J931" i="4" s="1"/>
  <c r="K931" i="4" s="1" a="1"/>
  <c r="K931" i="4" s="1"/>
  <c r="H934" i="4"/>
  <c r="H938" i="4"/>
  <c r="H939" i="4"/>
  <c r="F866" i="4"/>
  <c r="J930" i="4" a="1"/>
  <c r="J930" i="4" s="1"/>
  <c r="K930" i="4" s="1" a="1"/>
  <c r="K930" i="4" s="1"/>
  <c r="I924" i="4"/>
  <c r="J924" i="4" s="1" a="1"/>
  <c r="J924" i="4" s="1"/>
  <c r="K924" i="4" s="1" a="1"/>
  <c r="K924" i="4" s="1"/>
  <c r="H924" i="4"/>
  <c r="I933" i="4"/>
  <c r="J933" i="4" s="1" a="1"/>
  <c r="J933" i="4" s="1"/>
  <c r="K933" i="4" s="1" a="1"/>
  <c r="K933" i="4" s="1"/>
  <c r="H933" i="4"/>
  <c r="J986" i="4" a="1"/>
  <c r="J986" i="4" s="1"/>
  <c r="K986" i="4" s="1" a="1"/>
  <c r="K986" i="4" s="1"/>
  <c r="J908" i="4" a="1"/>
  <c r="J908" i="4" s="1"/>
  <c r="K908" i="4" s="1" a="1"/>
  <c r="K908" i="4" s="1"/>
  <c r="F921" i="4"/>
  <c r="I932" i="4"/>
  <c r="J932" i="4" s="1" a="1"/>
  <c r="J932" i="4" s="1"/>
  <c r="K932" i="4" s="1" a="1"/>
  <c r="K932" i="4" s="1"/>
  <c r="H932" i="4"/>
  <c r="H942" i="4"/>
  <c r="F945" i="4"/>
  <c r="H950" i="4"/>
  <c r="F953" i="4"/>
  <c r="H958" i="4"/>
  <c r="F961" i="4"/>
  <c r="H966" i="4"/>
  <c r="F969" i="4"/>
  <c r="H974" i="4"/>
  <c r="I1028" i="4"/>
  <c r="J1028" i="4" s="1" a="1"/>
  <c r="J1028" i="4" s="1"/>
  <c r="K1028" i="4" s="1" a="1"/>
  <c r="K1028" i="4" s="1"/>
  <c r="H1028" i="4"/>
  <c r="I1036" i="4"/>
  <c r="J1036" i="4" s="1" a="1"/>
  <c r="J1036" i="4" s="1"/>
  <c r="K1036" i="4" s="1" a="1"/>
  <c r="K1036" i="4" s="1"/>
  <c r="H1036" i="4"/>
  <c r="I1044" i="4"/>
  <c r="J1044" i="4" s="1" a="1"/>
  <c r="J1044" i="4" s="1"/>
  <c r="K1044" i="4" s="1" a="1"/>
  <c r="K1044" i="4" s="1"/>
  <c r="H1044" i="4"/>
  <c r="H1106" i="4"/>
  <c r="I1106" i="4"/>
  <c r="J1106" i="4" s="1" a="1"/>
  <c r="J1106" i="4" s="1"/>
  <c r="K1106" i="4" s="1" a="1"/>
  <c r="K1106" i="4" s="1"/>
  <c r="J1215" i="4" a="1"/>
  <c r="J1215" i="4" s="1"/>
  <c r="K1215" i="4" s="1" a="1"/>
  <c r="K1215" i="4" s="1"/>
  <c r="F1215" i="4"/>
  <c r="H941" i="4"/>
  <c r="H949" i="4"/>
  <c r="H957" i="4"/>
  <c r="H965" i="4"/>
  <c r="H973" i="4"/>
  <c r="H981" i="4"/>
  <c r="I988" i="4"/>
  <c r="J988" i="4" s="1" a="1"/>
  <c r="J988" i="4" s="1"/>
  <c r="K988" i="4" s="1" a="1"/>
  <c r="K988" i="4" s="1"/>
  <c r="F1001" i="4"/>
  <c r="F1009" i="4"/>
  <c r="F1017" i="4"/>
  <c r="F1025" i="4"/>
  <c r="F1033" i="4"/>
  <c r="F1041" i="4"/>
  <c r="F1052" i="4"/>
  <c r="H1061" i="4"/>
  <c r="I1061" i="4"/>
  <c r="J1061" i="4" s="1" a="1"/>
  <c r="J1061" i="4" s="1"/>
  <c r="K1061" i="4" s="1" a="1"/>
  <c r="K1061" i="4" s="1"/>
  <c r="H1076" i="4"/>
  <c r="I1076" i="4"/>
  <c r="J1076" i="4" s="1" a="1"/>
  <c r="J1076" i="4" s="1"/>
  <c r="K1076" i="4" s="1" a="1"/>
  <c r="K1076" i="4" s="1"/>
  <c r="F987" i="4"/>
  <c r="J1047" i="4" a="1"/>
  <c r="J1047" i="4" s="1"/>
  <c r="K1047" i="4" s="1" a="1"/>
  <c r="K1047" i="4" s="1"/>
  <c r="I1073" i="4"/>
  <c r="J1073" i="4" s="1" a="1"/>
  <c r="J1073" i="4" s="1"/>
  <c r="K1073" i="4" s="1" a="1"/>
  <c r="K1073" i="4" s="1"/>
  <c r="H1073" i="4"/>
  <c r="H1186" i="4"/>
  <c r="I1186" i="4"/>
  <c r="J1186" i="4" s="1" a="1"/>
  <c r="J1186" i="4" s="1"/>
  <c r="K1186" i="4" s="1" a="1"/>
  <c r="K1186" i="4" s="1"/>
  <c r="I1131" i="4"/>
  <c r="J1131" i="4" s="1" a="1"/>
  <c r="J1131" i="4" s="1"/>
  <c r="K1131" i="4" s="1" a="1"/>
  <c r="K1131" i="4" s="1"/>
  <c r="H1131" i="4"/>
  <c r="H993" i="4"/>
  <c r="I996" i="4"/>
  <c r="J996" i="4" s="1" a="1"/>
  <c r="J996" i="4" s="1"/>
  <c r="K996" i="4" s="1" a="1"/>
  <c r="K996" i="4" s="1"/>
  <c r="H996" i="4"/>
  <c r="H997" i="4"/>
  <c r="I1004" i="4"/>
  <c r="J1004" i="4" s="1" a="1"/>
  <c r="J1004" i="4" s="1"/>
  <c r="K1004" i="4" s="1" a="1"/>
  <c r="K1004" i="4" s="1"/>
  <c r="H1004" i="4"/>
  <c r="I1012" i="4"/>
  <c r="J1012" i="4" s="1" a="1"/>
  <c r="J1012" i="4" s="1"/>
  <c r="K1012" i="4" s="1" a="1"/>
  <c r="K1012" i="4" s="1"/>
  <c r="H1012" i="4"/>
  <c r="I1020" i="4"/>
  <c r="J1020" i="4" s="1" a="1"/>
  <c r="J1020" i="4" s="1"/>
  <c r="K1020" i="4" s="1" a="1"/>
  <c r="K1020" i="4" s="1"/>
  <c r="H1020" i="4"/>
  <c r="I1027" i="4"/>
  <c r="J1027" i="4" s="1" a="1"/>
  <c r="J1027" i="4" s="1"/>
  <c r="K1027" i="4" s="1" a="1"/>
  <c r="K1027" i="4" s="1"/>
  <c r="I1035" i="4"/>
  <c r="J1035" i="4" s="1" a="1"/>
  <c r="J1035" i="4" s="1"/>
  <c r="K1035" i="4" s="1" a="1"/>
  <c r="K1035" i="4" s="1"/>
  <c r="I1043" i="4"/>
  <c r="J1043" i="4" s="1" a="1"/>
  <c r="J1043" i="4" s="1"/>
  <c r="K1043" i="4" s="1" a="1"/>
  <c r="K1043" i="4" s="1"/>
  <c r="I1081" i="4"/>
  <c r="J1081" i="4" s="1" a="1"/>
  <c r="J1081" i="4" s="1"/>
  <c r="K1081" i="4" s="1" a="1"/>
  <c r="K1081" i="4" s="1"/>
  <c r="H1081" i="4"/>
  <c r="J1084" i="4" a="1"/>
  <c r="J1084" i="4" s="1"/>
  <c r="K1084" i="4" s="1" a="1"/>
  <c r="K1084" i="4" s="1"/>
  <c r="F995" i="4"/>
  <c r="H998" i="4"/>
  <c r="H1006" i="4"/>
  <c r="H1014" i="4"/>
  <c r="H1022" i="4"/>
  <c r="I1048" i="4"/>
  <c r="J1048" i="4" s="1" a="1"/>
  <c r="J1048" i="4" s="1"/>
  <c r="K1048" i="4" s="1" a="1"/>
  <c r="K1048" i="4" s="1"/>
  <c r="H1048" i="4"/>
  <c r="J1051" i="4" a="1"/>
  <c r="J1051" i="4" s="1"/>
  <c r="K1051" i="4" s="1" a="1"/>
  <c r="K1051" i="4" s="1"/>
  <c r="H1053" i="4"/>
  <c r="I1053" i="4"/>
  <c r="J1053" i="4" s="1" a="1"/>
  <c r="J1053" i="4" s="1"/>
  <c r="K1053" i="4" s="1" a="1"/>
  <c r="K1053" i="4" s="1"/>
  <c r="F1055" i="4"/>
  <c r="F1060" i="4"/>
  <c r="J1067" i="4" a="1"/>
  <c r="J1067" i="4" s="1"/>
  <c r="K1067" i="4" s="1" a="1"/>
  <c r="K1067" i="4" s="1"/>
  <c r="H1029" i="4"/>
  <c r="H1037" i="4"/>
  <c r="H1045" i="4"/>
  <c r="H1069" i="4"/>
  <c r="J994" i="4" a="1"/>
  <c r="J994" i="4" s="1"/>
  <c r="K994" i="4" s="1" a="1"/>
  <c r="K994" i="4" s="1"/>
  <c r="H1001" i="4"/>
  <c r="J1002" i="4" a="1"/>
  <c r="J1002" i="4" s="1"/>
  <c r="K1002" i="4" s="1" a="1"/>
  <c r="K1002" i="4" s="1"/>
  <c r="H1009" i="4"/>
  <c r="J1010" i="4" a="1"/>
  <c r="J1010" i="4" s="1"/>
  <c r="K1010" i="4" s="1" a="1"/>
  <c r="K1010" i="4" s="1"/>
  <c r="H1017" i="4"/>
  <c r="J1018" i="4" a="1"/>
  <c r="J1018" i="4" s="1"/>
  <c r="K1018" i="4" s="1" a="1"/>
  <c r="K1018" i="4" s="1"/>
  <c r="J1075" i="4" a="1"/>
  <c r="J1075" i="4" s="1"/>
  <c r="K1075" i="4" s="1" a="1"/>
  <c r="K1075" i="4" s="1"/>
  <c r="J1054" i="4" a="1"/>
  <c r="J1054" i="4" s="1"/>
  <c r="K1054" i="4" s="1" a="1"/>
  <c r="K1054" i="4" s="1"/>
  <c r="J1062" i="4" a="1"/>
  <c r="J1062" i="4" s="1"/>
  <c r="K1062" i="4" s="1" a="1"/>
  <c r="K1062" i="4" s="1"/>
  <c r="F1075" i="4"/>
  <c r="J1078" i="4" a="1"/>
  <c r="J1078" i="4" s="1"/>
  <c r="K1078" i="4" s="1" a="1"/>
  <c r="K1078" i="4" s="1"/>
  <c r="I1087" i="4"/>
  <c r="J1087" i="4" s="1" a="1"/>
  <c r="J1087" i="4" s="1"/>
  <c r="K1087" i="4" s="1" a="1"/>
  <c r="K1087" i="4" s="1"/>
  <c r="H1087" i="4"/>
  <c r="J1093" i="4" a="1"/>
  <c r="J1093" i="4" s="1"/>
  <c r="K1093" i="4" s="1" a="1"/>
  <c r="K1093" i="4" s="1"/>
  <c r="I1103" i="4"/>
  <c r="J1103" i="4" s="1" a="1"/>
  <c r="J1103" i="4" s="1"/>
  <c r="K1103" i="4" s="1" a="1"/>
  <c r="K1103" i="4" s="1"/>
  <c r="H1103" i="4"/>
  <c r="J1108" i="4" a="1"/>
  <c r="J1108" i="4" s="1"/>
  <c r="K1108" i="4" s="1" a="1"/>
  <c r="K1108" i="4" s="1"/>
  <c r="I1119" i="4"/>
  <c r="J1119" i="4" s="1" a="1"/>
  <c r="J1119" i="4" s="1"/>
  <c r="K1119" i="4" s="1" a="1"/>
  <c r="K1119" i="4" s="1"/>
  <c r="H1119" i="4"/>
  <c r="F1122" i="4"/>
  <c r="F1076" i="4"/>
  <c r="H1077" i="4"/>
  <c r="I1101" i="4"/>
  <c r="J1101" i="4" s="1" a="1"/>
  <c r="J1101" i="4" s="1"/>
  <c r="K1101" i="4" s="1" a="1"/>
  <c r="K1101" i="4" s="1"/>
  <c r="H1101" i="4"/>
  <c r="I1133" i="4"/>
  <c r="J1133" i="4" s="1" a="1"/>
  <c r="J1133" i="4" s="1"/>
  <c r="K1133" i="4" s="1" a="1"/>
  <c r="K1133" i="4" s="1"/>
  <c r="H1133" i="4"/>
  <c r="H1055" i="4"/>
  <c r="H1063" i="4"/>
  <c r="I1071" i="4"/>
  <c r="J1071" i="4" s="1" a="1"/>
  <c r="J1071" i="4" s="1"/>
  <c r="K1071" i="4" s="1" a="1"/>
  <c r="K1071" i="4" s="1"/>
  <c r="H1071" i="4"/>
  <c r="H1072" i="4"/>
  <c r="F1087" i="4"/>
  <c r="H1092" i="4"/>
  <c r="F1103" i="4"/>
  <c r="H1114" i="4"/>
  <c r="I1114" i="4"/>
  <c r="J1114" i="4" s="1" a="1"/>
  <c r="J1114" i="4" s="1"/>
  <c r="K1114" i="4" s="1" a="1"/>
  <c r="K1114" i="4" s="1"/>
  <c r="J1122" i="4" a="1"/>
  <c r="J1122" i="4" s="1"/>
  <c r="K1122" i="4" s="1" a="1"/>
  <c r="K1122" i="4" s="1"/>
  <c r="I1095" i="4"/>
  <c r="J1095" i="4" s="1" a="1"/>
  <c r="J1095" i="4" s="1"/>
  <c r="K1095" i="4" s="1" a="1"/>
  <c r="K1095" i="4" s="1"/>
  <c r="H1095" i="4"/>
  <c r="I1099" i="4"/>
  <c r="J1099" i="4" s="1" a="1"/>
  <c r="J1099" i="4" s="1"/>
  <c r="K1099" i="4" s="1" a="1"/>
  <c r="K1099" i="4" s="1"/>
  <c r="H1099" i="4"/>
  <c r="J1126" i="4" a="1"/>
  <c r="J1126" i="4" s="1"/>
  <c r="K1126" i="4" s="1" a="1"/>
  <c r="K1126" i="4" s="1"/>
  <c r="F1126" i="4"/>
  <c r="I1132" i="4"/>
  <c r="J1132" i="4" s="1" a="1"/>
  <c r="J1132" i="4" s="1"/>
  <c r="K1132" i="4" s="1" a="1"/>
  <c r="K1132" i="4" s="1"/>
  <c r="H1132" i="4"/>
  <c r="I1079" i="4"/>
  <c r="J1079" i="4" s="1" a="1"/>
  <c r="J1079" i="4" s="1"/>
  <c r="K1079" i="4" s="1" a="1"/>
  <c r="K1079" i="4" s="1"/>
  <c r="H1079" i="4"/>
  <c r="I1111" i="4"/>
  <c r="J1111" i="4" s="1" a="1"/>
  <c r="J1111" i="4" s="1"/>
  <c r="K1111" i="4" s="1" a="1"/>
  <c r="K1111" i="4" s="1"/>
  <c r="H1111" i="4"/>
  <c r="I1123" i="4"/>
  <c r="J1123" i="4" s="1" a="1"/>
  <c r="J1123" i="4" s="1"/>
  <c r="K1123" i="4" s="1" a="1"/>
  <c r="K1123" i="4" s="1"/>
  <c r="H1123" i="4"/>
  <c r="H1181" i="4"/>
  <c r="I1181" i="4"/>
  <c r="J1181" i="4" s="1" a="1"/>
  <c r="J1181" i="4" s="1"/>
  <c r="K1181" i="4" s="1" a="1"/>
  <c r="K1181" i="4" s="1"/>
  <c r="F1051" i="4"/>
  <c r="H1052" i="4"/>
  <c r="F1059" i="4"/>
  <c r="H1060" i="4"/>
  <c r="F1067" i="4"/>
  <c r="H1068" i="4"/>
  <c r="H1084" i="4"/>
  <c r="I1097" i="4"/>
  <c r="J1097" i="4" s="1" a="1"/>
  <c r="J1097" i="4" s="1"/>
  <c r="K1097" i="4" s="1" a="1"/>
  <c r="K1097" i="4" s="1"/>
  <c r="H1097" i="4"/>
  <c r="F1187" i="4"/>
  <c r="J1187" i="4" a="1"/>
  <c r="J1187" i="4" s="1"/>
  <c r="K1187" i="4" s="1" a="1"/>
  <c r="K1187" i="4" s="1"/>
  <c r="H1124" i="4"/>
  <c r="H1129" i="4"/>
  <c r="H1130" i="4"/>
  <c r="I1140" i="4"/>
  <c r="J1140" i="4" s="1" a="1"/>
  <c r="J1140" i="4" s="1"/>
  <c r="K1140" i="4" s="1" a="1"/>
  <c r="K1140" i="4" s="1"/>
  <c r="H1140" i="4"/>
  <c r="J1146" i="4" a="1"/>
  <c r="J1146" i="4" s="1"/>
  <c r="K1146" i="4" s="1" a="1"/>
  <c r="K1146" i="4" s="1"/>
  <c r="I1176" i="4"/>
  <c r="J1176" i="4" s="1" a="1"/>
  <c r="J1176" i="4" s="1"/>
  <c r="K1176" i="4" s="1" a="1"/>
  <c r="K1176" i="4" s="1"/>
  <c r="H1176" i="4"/>
  <c r="H1195" i="4"/>
  <c r="I1195" i="4"/>
  <c r="J1195" i="4" s="1" a="1"/>
  <c r="J1195" i="4" s="1"/>
  <c r="K1195" i="4" s="1" a="1"/>
  <c r="K1195" i="4" s="1"/>
  <c r="F1097" i="4"/>
  <c r="F1111" i="4"/>
  <c r="F1119" i="4"/>
  <c r="F1127" i="4"/>
  <c r="I1139" i="4"/>
  <c r="J1139" i="4" s="1" a="1"/>
  <c r="J1139" i="4" s="1"/>
  <c r="K1139" i="4" s="1" a="1"/>
  <c r="K1139" i="4" s="1"/>
  <c r="H1139" i="4"/>
  <c r="J1145" i="4" a="1"/>
  <c r="J1145" i="4" s="1"/>
  <c r="K1145" i="4" s="1" a="1"/>
  <c r="K1145" i="4" s="1"/>
  <c r="H1152" i="4"/>
  <c r="I1152" i="4"/>
  <c r="J1152" i="4" s="1" a="1"/>
  <c r="J1152" i="4" s="1"/>
  <c r="K1152" i="4" s="1" a="1"/>
  <c r="K1152" i="4" s="1"/>
  <c r="J1171" i="4" a="1"/>
  <c r="J1171" i="4" s="1"/>
  <c r="K1171" i="4" s="1" a="1"/>
  <c r="K1171" i="4" s="1"/>
  <c r="H1098" i="4"/>
  <c r="J1107" i="4" a="1"/>
  <c r="J1107" i="4" s="1"/>
  <c r="K1107" i="4" s="1" a="1"/>
  <c r="K1107" i="4" s="1"/>
  <c r="J1115" i="4" a="1"/>
  <c r="J1115" i="4" s="1"/>
  <c r="K1115" i="4" s="1" a="1"/>
  <c r="K1115" i="4" s="1"/>
  <c r="H1116" i="4"/>
  <c r="J1125" i="4" a="1"/>
  <c r="J1125" i="4" s="1"/>
  <c r="K1125" i="4" s="1" a="1"/>
  <c r="K1125" i="4" s="1"/>
  <c r="J1144" i="4" a="1"/>
  <c r="J1144" i="4" s="1"/>
  <c r="K1144" i="4" s="1" a="1"/>
  <c r="K1144" i="4" s="1"/>
  <c r="I1148" i="4"/>
  <c r="J1148" i="4" s="1" a="1"/>
  <c r="J1148" i="4" s="1"/>
  <c r="K1148" i="4" s="1" a="1"/>
  <c r="K1148" i="4" s="1"/>
  <c r="H1148" i="4"/>
  <c r="I1257" i="4"/>
  <c r="J1257" i="4" s="1" a="1"/>
  <c r="J1257" i="4" s="1"/>
  <c r="K1257" i="4" s="1" a="1"/>
  <c r="K1257" i="4" s="1"/>
  <c r="H1257" i="4"/>
  <c r="I1291" i="4"/>
  <c r="J1291" i="4" s="1" a="1"/>
  <c r="J1291" i="4" s="1"/>
  <c r="K1291" i="4" s="1" a="1"/>
  <c r="K1291" i="4" s="1"/>
  <c r="H1291" i="4"/>
  <c r="J1105" i="4" a="1"/>
  <c r="J1105" i="4" s="1"/>
  <c r="K1105" i="4" s="1" a="1"/>
  <c r="K1105" i="4" s="1"/>
  <c r="J1113" i="4" a="1"/>
  <c r="J1113" i="4" s="1"/>
  <c r="K1113" i="4" s="1" a="1"/>
  <c r="K1113" i="4" s="1"/>
  <c r="I1147" i="4"/>
  <c r="J1147" i="4" s="1" a="1"/>
  <c r="J1147" i="4" s="1"/>
  <c r="K1147" i="4" s="1" a="1"/>
  <c r="K1147" i="4" s="1"/>
  <c r="H1147" i="4"/>
  <c r="J1192" i="4" a="1"/>
  <c r="J1192" i="4" s="1"/>
  <c r="K1192" i="4" s="1" a="1"/>
  <c r="K1192" i="4" s="1"/>
  <c r="F1192" i="4"/>
  <c r="J1208" i="4" a="1"/>
  <c r="J1208" i="4" s="1"/>
  <c r="K1208" i="4" s="1" a="1"/>
  <c r="K1208" i="4" s="1"/>
  <c r="H1122" i="4"/>
  <c r="I1124" i="4"/>
  <c r="J1124" i="4" s="1" a="1"/>
  <c r="J1124" i="4" s="1"/>
  <c r="K1124" i="4" s="1" a="1"/>
  <c r="K1124" i="4" s="1"/>
  <c r="J1157" i="4" a="1"/>
  <c r="J1157" i="4" s="1"/>
  <c r="K1157" i="4" s="1" a="1"/>
  <c r="K1157" i="4" s="1"/>
  <c r="J1180" i="4" a="1"/>
  <c r="J1180" i="4" s="1"/>
  <c r="K1180" i="4" s="1" a="1"/>
  <c r="K1180" i="4" s="1"/>
  <c r="I1184" i="4"/>
  <c r="J1184" i="4" s="1" a="1"/>
  <c r="J1184" i="4" s="1"/>
  <c r="K1184" i="4" s="1" a="1"/>
  <c r="K1184" i="4" s="1"/>
  <c r="H1184" i="4"/>
  <c r="I1197" i="4"/>
  <c r="J1197" i="4" s="1" a="1"/>
  <c r="J1197" i="4" s="1"/>
  <c r="K1197" i="4" s="1" a="1"/>
  <c r="K1197" i="4" s="1"/>
  <c r="H1197" i="4"/>
  <c r="J1158" i="4" a="1"/>
  <c r="J1158" i="4" s="1"/>
  <c r="K1158" i="4" s="1" a="1"/>
  <c r="K1158" i="4" s="1"/>
  <c r="J1166" i="4" a="1"/>
  <c r="J1166" i="4" s="1"/>
  <c r="K1166" i="4" s="1" a="1"/>
  <c r="K1166" i="4" s="1"/>
  <c r="H1189" i="4"/>
  <c r="I1251" i="4"/>
  <c r="J1251" i="4" s="1" a="1"/>
  <c r="J1251" i="4" s="1"/>
  <c r="K1251" i="4" s="1" a="1"/>
  <c r="K1251" i="4" s="1"/>
  <c r="H1251" i="4"/>
  <c r="I1273" i="4"/>
  <c r="J1273" i="4" s="1" a="1"/>
  <c r="J1273" i="4" s="1"/>
  <c r="K1273" i="4" s="1" a="1"/>
  <c r="K1273" i="4" s="1"/>
  <c r="H1273" i="4"/>
  <c r="I1275" i="4"/>
  <c r="J1275" i="4" s="1" a="1"/>
  <c r="J1275" i="4" s="1"/>
  <c r="K1275" i="4" s="1" a="1"/>
  <c r="K1275" i="4" s="1"/>
  <c r="H1275" i="4"/>
  <c r="H1296" i="4"/>
  <c r="I1296" i="4"/>
  <c r="J1296" i="4" s="1" a="1"/>
  <c r="J1296" i="4" s="1"/>
  <c r="K1296" i="4" s="1" a="1"/>
  <c r="K1296" i="4" s="1"/>
  <c r="F1189" i="4"/>
  <c r="I1317" i="4"/>
  <c r="J1317" i="4" s="1" a="1"/>
  <c r="J1317" i="4" s="1"/>
  <c r="K1317" i="4" s="1" a="1"/>
  <c r="K1317" i="4" s="1"/>
  <c r="H1317" i="4"/>
  <c r="F1197" i="4"/>
  <c r="H1203" i="4"/>
  <c r="I1205" i="4"/>
  <c r="J1205" i="4" s="1" a="1"/>
  <c r="J1205" i="4" s="1"/>
  <c r="K1205" i="4" s="1" a="1"/>
  <c r="K1205" i="4" s="1"/>
  <c r="H1205" i="4"/>
  <c r="J1235" i="4" a="1"/>
  <c r="J1235" i="4" s="1"/>
  <c r="K1235" i="4" s="1" a="1"/>
  <c r="K1235" i="4" s="1"/>
  <c r="H1272" i="4"/>
  <c r="I1272" i="4"/>
  <c r="J1272" i="4" s="1" a="1"/>
  <c r="J1272" i="4" s="1"/>
  <c r="K1272" i="4" s="1" a="1"/>
  <c r="K1272" i="4" s="1"/>
  <c r="F1278" i="4"/>
  <c r="J1278" i="4" a="1"/>
  <c r="J1278" i="4" s="1"/>
  <c r="K1278" i="4" s="1" a="1"/>
  <c r="K1278" i="4" s="1"/>
  <c r="F1288" i="4"/>
  <c r="J1288" i="4" a="1"/>
  <c r="J1288" i="4" s="1"/>
  <c r="K1288" i="4" s="1" a="1"/>
  <c r="K1288" i="4" s="1"/>
  <c r="H1202" i="4"/>
  <c r="I1202" i="4"/>
  <c r="J1202" i="4" s="1" a="1"/>
  <c r="J1202" i="4" s="1"/>
  <c r="K1202" i="4" s="1" a="1"/>
  <c r="K1202" i="4" s="1"/>
  <c r="J1211" i="4" a="1"/>
  <c r="J1211" i="4" s="1"/>
  <c r="K1211" i="4" s="1" a="1"/>
  <c r="K1211" i="4" s="1"/>
  <c r="J1230" i="4" a="1"/>
  <c r="J1230" i="4" s="1"/>
  <c r="K1230" i="4" s="1" a="1"/>
  <c r="K1230" i="4" s="1"/>
  <c r="I1237" i="4"/>
  <c r="J1237" i="4" s="1" a="1"/>
  <c r="J1237" i="4" s="1"/>
  <c r="K1237" i="4" s="1" a="1"/>
  <c r="K1237" i="4" s="1"/>
  <c r="H1237" i="4"/>
  <c r="H1157" i="4"/>
  <c r="H1165" i="4"/>
  <c r="I1189" i="4"/>
  <c r="J1189" i="4" s="1" a="1"/>
  <c r="J1189" i="4" s="1"/>
  <c r="K1189" i="4" s="1" a="1"/>
  <c r="K1189" i="4" s="1"/>
  <c r="J1194" i="4" a="1"/>
  <c r="J1194" i="4" s="1"/>
  <c r="K1194" i="4" s="1" a="1"/>
  <c r="K1194" i="4" s="1"/>
  <c r="I1213" i="4"/>
  <c r="J1213" i="4" s="1" a="1"/>
  <c r="J1213" i="4" s="1"/>
  <c r="K1213" i="4" s="1" a="1"/>
  <c r="K1213" i="4" s="1"/>
  <c r="H1213" i="4"/>
  <c r="I1297" i="4"/>
  <c r="J1297" i="4" s="1" a="1"/>
  <c r="J1297" i="4" s="1"/>
  <c r="K1297" i="4" s="1" a="1"/>
  <c r="K1297" i="4" s="1"/>
  <c r="H1297" i="4"/>
  <c r="F1159" i="4"/>
  <c r="I1160" i="4"/>
  <c r="J1160" i="4" s="1" a="1"/>
  <c r="J1160" i="4" s="1"/>
  <c r="K1160" i="4" s="1" a="1"/>
  <c r="K1160" i="4" s="1"/>
  <c r="H1160" i="4"/>
  <c r="F1167" i="4"/>
  <c r="I1168" i="4"/>
  <c r="J1168" i="4" s="1" a="1"/>
  <c r="J1168" i="4" s="1"/>
  <c r="K1168" i="4" s="1" a="1"/>
  <c r="K1168" i="4" s="1"/>
  <c r="H1168" i="4"/>
  <c r="F1173" i="4"/>
  <c r="F1181" i="4"/>
  <c r="I1212" i="4"/>
  <c r="J1212" i="4" s="1" a="1"/>
  <c r="J1212" i="4" s="1"/>
  <c r="K1212" i="4" s="1" a="1"/>
  <c r="K1212" i="4" s="1"/>
  <c r="H1212" i="4"/>
  <c r="J1254" i="4" a="1"/>
  <c r="J1254" i="4" s="1"/>
  <c r="K1254" i="4" s="1" a="1"/>
  <c r="K1254" i="4" s="1"/>
  <c r="H1261" i="4"/>
  <c r="F1276" i="4"/>
  <c r="J1276" i="4" a="1"/>
  <c r="J1276" i="4" s="1"/>
  <c r="K1276" i="4" s="1" a="1"/>
  <c r="K1276" i="4" s="1"/>
  <c r="J1196" i="4" a="1"/>
  <c r="J1196" i="4" s="1"/>
  <c r="K1196" i="4" s="1" a="1"/>
  <c r="K1196" i="4" s="1"/>
  <c r="J1204" i="4" a="1"/>
  <c r="J1204" i="4" s="1"/>
  <c r="K1204" i="4" s="1" a="1"/>
  <c r="K1204" i="4" s="1"/>
  <c r="F1208" i="4"/>
  <c r="F1216" i="4"/>
  <c r="I1233" i="4"/>
  <c r="J1233" i="4" s="1" a="1"/>
  <c r="J1233" i="4" s="1"/>
  <c r="K1233" i="4" s="1" a="1"/>
  <c r="K1233" i="4" s="1"/>
  <c r="H1233" i="4"/>
  <c r="J1236" i="4" a="1"/>
  <c r="J1236" i="4" s="1"/>
  <c r="K1236" i="4" s="1" a="1"/>
  <c r="K1236" i="4" s="1"/>
  <c r="I1245" i="4"/>
  <c r="J1245" i="4" s="1" a="1"/>
  <c r="J1245" i="4" s="1"/>
  <c r="K1245" i="4" s="1" a="1"/>
  <c r="K1245" i="4" s="1"/>
  <c r="H1245" i="4"/>
  <c r="I1313" i="4"/>
  <c r="J1313" i="4" s="1" a="1"/>
  <c r="J1313" i="4" s="1"/>
  <c r="K1313" i="4" s="1" a="1"/>
  <c r="K1313" i="4" s="1"/>
  <c r="H1313" i="4"/>
  <c r="I1315" i="4"/>
  <c r="J1315" i="4" s="1" a="1"/>
  <c r="J1315" i="4" s="1"/>
  <c r="K1315" i="4" s="1" a="1"/>
  <c r="K1315" i="4" s="1"/>
  <c r="H1315" i="4"/>
  <c r="H1210" i="4"/>
  <c r="H1219" i="4"/>
  <c r="I1220" i="4"/>
  <c r="J1220" i="4" s="1" a="1"/>
  <c r="J1220" i="4" s="1"/>
  <c r="K1220" i="4" s="1" a="1"/>
  <c r="K1220" i="4" s="1"/>
  <c r="H1220" i="4"/>
  <c r="H1227" i="4"/>
  <c r="I1228" i="4"/>
  <c r="J1228" i="4" s="1" a="1"/>
  <c r="J1228" i="4" s="1"/>
  <c r="K1228" i="4" s="1" a="1"/>
  <c r="K1228" i="4" s="1"/>
  <c r="H1228" i="4"/>
  <c r="J1240" i="4" a="1"/>
  <c r="J1240" i="4" s="1"/>
  <c r="K1240" i="4" s="1" a="1"/>
  <c r="K1240" i="4" s="1"/>
  <c r="H1256" i="4"/>
  <c r="I1256" i="4"/>
  <c r="J1256" i="4" s="1" a="1"/>
  <c r="J1256" i="4" s="1"/>
  <c r="K1256" i="4" s="1" a="1"/>
  <c r="K1256" i="4" s="1"/>
  <c r="F1259" i="4"/>
  <c r="J1259" i="4" a="1"/>
  <c r="J1259" i="4" s="1"/>
  <c r="K1259" i="4" s="1" a="1"/>
  <c r="K1259" i="4" s="1"/>
  <c r="F1193" i="4"/>
  <c r="F1209" i="4"/>
  <c r="H1211" i="4"/>
  <c r="F1217" i="4"/>
  <c r="F1225" i="4"/>
  <c r="F1242" i="4"/>
  <c r="F1260" i="4"/>
  <c r="J1270" i="4" a="1"/>
  <c r="J1270" i="4" s="1"/>
  <c r="K1270" i="4" s="1" a="1"/>
  <c r="K1270" i="4" s="1"/>
  <c r="H1312" i="4"/>
  <c r="I1312" i="4"/>
  <c r="J1312" i="4" s="1" a="1"/>
  <c r="J1312" i="4" s="1"/>
  <c r="K1312" i="4" s="1" a="1"/>
  <c r="K1312" i="4" s="1"/>
  <c r="J1255" i="4" a="1"/>
  <c r="J1255" i="4" s="1"/>
  <c r="K1255" i="4" s="1" a="1"/>
  <c r="K1255" i="4" s="1"/>
  <c r="J1299" i="4" a="1"/>
  <c r="J1299" i="4" s="1"/>
  <c r="K1299" i="4" s="1" a="1"/>
  <c r="K1299" i="4" s="1"/>
  <c r="F1300" i="4"/>
  <c r="J1300" i="4" a="1"/>
  <c r="J1300" i="4" s="1"/>
  <c r="K1300" i="4" s="1" a="1"/>
  <c r="K1300" i="4" s="1"/>
  <c r="J1304" i="4" a="1"/>
  <c r="J1304" i="4" s="1"/>
  <c r="K1304" i="4" s="1" a="1"/>
  <c r="K1304" i="4" s="1"/>
  <c r="F1239" i="4"/>
  <c r="H1240" i="4"/>
  <c r="F1247" i="4"/>
  <c r="H1248" i="4"/>
  <c r="F1267" i="4"/>
  <c r="J1303" i="4" a="1"/>
  <c r="J1303" i="4" s="1"/>
  <c r="K1303" i="4" s="1" a="1"/>
  <c r="K1303" i="4" s="1"/>
  <c r="H1304" i="4"/>
  <c r="I1305" i="4"/>
  <c r="J1305" i="4" s="1" a="1"/>
  <c r="J1305" i="4" s="1"/>
  <c r="K1305" i="4" s="1" a="1"/>
  <c r="K1305" i="4" s="1"/>
  <c r="H1305" i="4"/>
  <c r="F1283" i="4"/>
  <c r="H1236" i="4"/>
  <c r="H1239" i="4"/>
  <c r="H1247" i="4"/>
  <c r="H1264" i="4"/>
  <c r="I1265" i="4"/>
  <c r="J1265" i="4" s="1" a="1"/>
  <c r="J1265" i="4" s="1"/>
  <c r="K1265" i="4" s="1" a="1"/>
  <c r="K1265" i="4" s="1"/>
  <c r="H1265" i="4"/>
  <c r="F1291" i="4"/>
  <c r="F1312" i="4"/>
  <c r="J1279" i="4" a="1"/>
  <c r="J1279" i="4" s="1"/>
  <c r="K1279" i="4" s="1" a="1"/>
  <c r="K1279" i="4" s="1"/>
  <c r="H1280" i="4"/>
  <c r="I1281" i="4"/>
  <c r="J1281" i="4" s="1" a="1"/>
  <c r="J1281" i="4" s="1"/>
  <c r="K1281" i="4" s="1" a="1"/>
  <c r="K1281" i="4" s="1"/>
  <c r="H1281" i="4"/>
  <c r="F1307" i="4"/>
  <c r="I1289" i="4"/>
  <c r="J1289" i="4" s="1" a="1"/>
  <c r="J1289" i="4" s="1"/>
  <c r="K1289" i="4" s="1" a="1"/>
  <c r="K1289" i="4" s="1"/>
  <c r="H1289" i="4"/>
  <c r="H1299" i="4"/>
  <c r="H1308" i="4"/>
  <c r="H2" i="4"/>
  <c r="F2" i="4"/>
</calcChain>
</file>

<file path=xl/sharedStrings.xml><?xml version="1.0" encoding="utf-8"?>
<sst xmlns="http://schemas.openxmlformats.org/spreadsheetml/2006/main" count="22908" uniqueCount="1374">
  <si>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</si>
  <si>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</si>
  <si>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</si>
  <si>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</si>
  <si>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</si>
  <si>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</si>
  <si>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</si>
  <si>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</si>
  <si>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</si>
  <si>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</si>
  <si>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</si>
  <si>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</si>
  <si>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</si>
  <si>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</si>
  <si>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</si>
  <si>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</si>
  <si>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</si>
  <si>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</si>
  <si>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</si>
  <si>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</si>
  <si>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</si>
  <si>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</si>
  <si>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</si>
  <si>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</si>
  <si>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</si>
  <si>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</si>
  <si>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</si>
  <si>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</si>
  <si>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</si>
  <si>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</si>
  <si>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</si>
  <si>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</si>
  <si>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</si>
  <si>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</si>
  <si>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</si>
  <si>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</si>
  <si>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</si>
  <si>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</si>
  <si>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</si>
  <si>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</si>
  <si>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</si>
  <si>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</si>
  <si>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</si>
  <si>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</si>
  <si>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</si>
  <si>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</si>
  <si>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</si>
  <si>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</si>
  <si>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</si>
  <si>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</si>
  <si>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</si>
  <si>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</si>
  <si>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</si>
  <si>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</si>
  <si>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</si>
  <si>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</si>
  <si>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</si>
  <si>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</si>
  <si>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</si>
  <si>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</si>
  <si>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</si>
  <si>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</si>
  <si>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</si>
  <si>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</si>
  <si>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</si>
  <si>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</si>
  <si>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</si>
  <si>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</si>
  <si>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</si>
  <si>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</si>
  <si>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</si>
  <si>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</si>
  <si>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</si>
  <si>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</si>
  <si>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</si>
  <si>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</si>
  <si>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</si>
  <si>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</si>
  <si>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</si>
  <si>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</si>
  <si>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</si>
  <si>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</si>
  <si>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</si>
  <si>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</si>
  <si>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</si>
  <si>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</si>
  <si>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</si>
  <si>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</si>
  <si>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</si>
  <si>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</si>
  <si>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</si>
  <si>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</si>
  <si>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</si>
  <si>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</si>
  <si>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</si>
  <si>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</si>
  <si>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</si>
  <si>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</si>
  <si>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</si>
  <si>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</si>
  <si>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</si>
  <si>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</si>
  <si>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</si>
  <si>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</si>
  <si>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</si>
  <si>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</si>
  <si>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</si>
  <si>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</si>
  <si>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</si>
  <si>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</si>
  <si>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</si>
  <si>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</si>
  <si>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</si>
  <si>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</si>
  <si>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</si>
  <si>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</si>
  <si>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</si>
  <si>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</si>
  <si>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</si>
  <si>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</si>
  <si>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</si>
  <si>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</si>
  <si>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</si>
  <si>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</si>
  <si>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</si>
  <si>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</si>
  <si>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</si>
  <si>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</si>
  <si>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</si>
  <si>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</si>
  <si>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</si>
  <si>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</si>
  <si>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</si>
  <si>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</si>
  <si>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</si>
  <si>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</si>
  <si>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</si>
  <si>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</si>
  <si>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</si>
  <si>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</si>
  <si>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</si>
  <si>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</si>
  <si>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</si>
  <si>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</si>
  <si>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</si>
  <si>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</si>
  <si>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</si>
  <si>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</si>
  <si>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</si>
  <si>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</si>
  <si>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</si>
  <si>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</si>
  <si>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</si>
  <si>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</si>
  <si>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</si>
  <si>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</si>
  <si>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</si>
  <si>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</si>
  <si>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</si>
  <si>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</si>
  <si>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</si>
  <si>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</si>
  <si>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</si>
  <si>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</si>
  <si>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</si>
  <si>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</si>
  <si>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</si>
  <si>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</si>
  <si>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</si>
  <si>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</si>
  <si>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</si>
  <si>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</si>
  <si>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</si>
  <si>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</si>
  <si>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</si>
  <si>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</si>
  <si>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</si>
  <si>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</si>
  <si>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</si>
  <si>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</si>
  <si>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</si>
  <si>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</si>
  <si>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</si>
  <si>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</si>
  <si>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</si>
  <si>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</si>
  <si>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</si>
  <si>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</si>
  <si>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</si>
  <si>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</si>
  <si>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</si>
  <si>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</si>
  <si>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</si>
  <si>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</si>
  <si>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</si>
  <si>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</si>
  <si>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</si>
  <si>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</si>
  <si>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</si>
  <si>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</si>
  <si>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</si>
  <si>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</si>
  <si>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</si>
  <si>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</si>
  <si>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</si>
  <si>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</si>
  <si>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</si>
  <si>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</si>
  <si>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</si>
  <si>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</si>
  <si>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</si>
  <si>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</si>
  <si>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</si>
  <si>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</si>
  <si>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</si>
  <si>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</si>
  <si>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</si>
  <si>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</si>
  <si>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</si>
  <si>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</si>
  <si>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</si>
  <si>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</si>
  <si>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</si>
  <si>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</si>
  <si>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</si>
  <si>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</si>
  <si>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</si>
  <si>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</si>
  <si>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</si>
  <si>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</si>
  <si>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</si>
  <si>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</si>
  <si>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</si>
  <si>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</si>
  <si>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</si>
  <si>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</si>
  <si>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</si>
  <si>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</si>
  <si>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</si>
  <si>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</si>
  <si>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</si>
  <si>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</si>
  <si>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</si>
  <si>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</si>
  <si>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</si>
  <si>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</si>
  <si>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</si>
  <si>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</si>
  <si>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</si>
  <si>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</si>
  <si>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</si>
  <si>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</si>
  <si>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</si>
  <si>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</si>
  <si>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</si>
  <si>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</si>
  <si>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</si>
  <si>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</si>
  <si>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</si>
  <si>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</si>
  <si>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</si>
  <si>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</si>
  <si>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</si>
  <si>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</si>
  <si>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</si>
  <si>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</si>
  <si>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</si>
  <si>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</si>
  <si>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</si>
  <si>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</si>
  <si>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</si>
  <si>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</si>
  <si>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</si>
  <si>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</si>
  <si>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</si>
  <si>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</si>
  <si>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</si>
  <si>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</si>
  <si>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</si>
  <si>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</si>
  <si>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</si>
  <si>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</si>
  <si>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</si>
  <si>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</si>
  <si>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</si>
  <si>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</si>
  <si>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</si>
  <si>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</si>
  <si>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</si>
  <si>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</si>
  <si>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</si>
  <si>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</si>
  <si>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</si>
  <si>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</si>
  <si>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</si>
  <si>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</si>
  <si>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</si>
  <si>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</si>
  <si>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</si>
  <si>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</si>
  <si>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</si>
  <si>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</si>
  <si>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</si>
  <si>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</si>
  <si>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</si>
  <si>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</si>
  <si>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</si>
  <si>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</si>
  <si>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</si>
  <si>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</si>
  <si>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</si>
  <si>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</si>
  <si>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</si>
  <si>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</si>
  <si>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</si>
  <si>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</si>
  <si>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</si>
  <si>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</si>
  <si>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</si>
  <si>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</si>
  <si>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</si>
  <si>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</si>
  <si>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</si>
  <si>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</si>
  <si>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</si>
  <si>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</si>
  <si>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</si>
  <si>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</si>
  <si>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</si>
  <si>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</si>
  <si>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</si>
  <si>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</si>
  <si>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</si>
  <si>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</si>
  <si>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</si>
  <si>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</si>
  <si>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</si>
  <si>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</si>
  <si>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</si>
  <si>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</si>
  <si>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</si>
  <si>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</si>
  <si>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</si>
  <si>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</si>
  <si>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</si>
  <si>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</si>
  <si>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</si>
  <si>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</si>
  <si>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</si>
  <si>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</si>
  <si>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</si>
  <si>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</si>
  <si>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</si>
  <si>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</si>
  <si>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</si>
  <si>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</si>
  <si>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</si>
  <si>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</si>
  <si>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</si>
  <si>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</si>
  <si>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</si>
  <si>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</si>
  <si>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</si>
  <si>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</si>
  <si>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</si>
  <si>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</si>
  <si>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</si>
  <si>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</si>
  <si>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</si>
  <si>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</si>
  <si>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</si>
  <si>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</si>
  <si>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</si>
  <si>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</si>
  <si>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</si>
  <si>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</si>
  <si>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</si>
  <si>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</si>
  <si>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</si>
  <si>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</si>
  <si>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</si>
  <si>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</si>
  <si>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</si>
  <si>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</si>
  <si>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</si>
  <si>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</si>
  <si>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</si>
  <si>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</si>
  <si>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</si>
  <si>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</si>
  <si>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</si>
  <si>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</si>
  <si>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</si>
  <si>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</si>
  <si>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</si>
  <si>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</si>
  <si>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</si>
  <si>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</si>
  <si>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</si>
  <si>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</si>
  <si>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</si>
  <si>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</si>
  <si>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</si>
  <si>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</si>
  <si>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</si>
  <si>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</si>
  <si>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</si>
  <si>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</si>
  <si>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</si>
  <si>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</si>
  <si>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</si>
  <si>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</si>
  <si>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</si>
  <si>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</si>
  <si>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</si>
  <si>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</si>
  <si>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</si>
  <si>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</si>
  <si>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</si>
  <si>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</si>
  <si>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</si>
  <si>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</si>
  <si>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</si>
  <si>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</si>
  <si>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</si>
  <si>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</si>
  <si>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</si>
  <si>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</si>
  <si>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</si>
  <si>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</si>
  <si>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</si>
  <si>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</si>
  <si>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</si>
  <si>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</si>
  <si>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</si>
  <si>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</si>
  <si>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</si>
  <si>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</si>
  <si>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</si>
  <si>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</si>
  <si>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</si>
  <si>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</si>
  <si>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</si>
  <si>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</si>
  <si>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</si>
  <si>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</si>
  <si>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</si>
  <si>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</si>
  <si>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</si>
  <si>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</si>
  <si>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</si>
  <si>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</si>
  <si>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</si>
  <si>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</si>
  <si>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</si>
  <si>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</si>
  <si>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</si>
  <si>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</si>
  <si>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</si>
  <si>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</si>
  <si>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</si>
  <si>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</si>
  <si>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</si>
  <si>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</si>
  <si>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</si>
  <si>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</si>
  <si>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</si>
  <si>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</si>
  <si>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</si>
  <si>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</si>
  <si>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</si>
  <si>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</si>
  <si>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</si>
  <si>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</si>
  <si>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</si>
  <si>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</si>
  <si>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</si>
  <si>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</si>
  <si>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</si>
  <si>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</si>
  <si>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</si>
  <si>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</si>
  <si>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</si>
  <si>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</si>
  <si>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</si>
  <si>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</si>
  <si>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</si>
  <si>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</si>
  <si>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</si>
  <si>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</si>
  <si>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</si>
  <si>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</si>
  <si>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</si>
  <si>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</si>
  <si>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</si>
  <si>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</si>
  <si>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</si>
  <si>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</si>
  <si>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</si>
  <si>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</si>
  <si>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</si>
  <si>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</si>
  <si>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</si>
  <si>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</si>
  <si>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</si>
  <si>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</si>
  <si>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</si>
  <si>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</si>
  <si>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</si>
  <si>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</si>
  <si>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</si>
  <si>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</si>
  <si>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</si>
  <si>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</si>
  <si>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</si>
  <si>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</si>
  <si>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</si>
  <si>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</si>
  <si>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</si>
  <si>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</si>
  <si>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</si>
  <si>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</si>
  <si>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</si>
  <si>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</si>
  <si>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</si>
  <si>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</si>
  <si>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</si>
  <si>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</si>
  <si>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</si>
  <si>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</si>
  <si>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</si>
  <si>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</si>
  <si>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</si>
  <si>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</si>
  <si>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</si>
  <si>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</si>
  <si>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</si>
  <si>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</si>
  <si>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</si>
  <si>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</si>
  <si>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</si>
  <si>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</si>
  <si>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</si>
  <si>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</si>
  <si>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</si>
  <si>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</si>
  <si>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</si>
  <si>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</si>
  <si>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</si>
  <si>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</si>
  <si>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</si>
  <si>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</si>
  <si>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</si>
  <si>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</si>
  <si>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</si>
  <si>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</si>
  <si>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</si>
  <si>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</si>
  <si>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</si>
  <si>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</si>
  <si>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</si>
  <si>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</si>
  <si>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</si>
  <si>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</si>
  <si>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</si>
  <si>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</si>
  <si>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</si>
  <si>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</si>
  <si>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</si>
  <si>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</si>
  <si>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</si>
  <si>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</si>
  <si>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</si>
  <si>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</si>
  <si>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</si>
  <si>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</si>
  <si>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</si>
  <si>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</si>
  <si>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</si>
  <si>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</si>
  <si>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</si>
  <si>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</si>
  <si>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</si>
  <si>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</si>
  <si>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</si>
  <si>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</si>
  <si>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</si>
  <si>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</si>
  <si>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</si>
  <si>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</si>
  <si>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</si>
  <si>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</si>
  <si>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</si>
  <si>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</si>
  <si>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</si>
  <si>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</si>
  <si>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</si>
  <si>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</si>
  <si>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</si>
  <si>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</si>
  <si>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</si>
  <si>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</si>
  <si>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</si>
  <si>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</si>
  <si>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</si>
  <si>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</si>
  <si>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</si>
  <si>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</si>
  <si>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</si>
  <si>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</si>
  <si>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</si>
  <si>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</si>
  <si>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</si>
  <si>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</si>
  <si>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</si>
  <si>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</si>
  <si>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</si>
  <si>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</si>
  <si>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</si>
  <si>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</si>
  <si>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</si>
  <si>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</si>
  <si>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</si>
  <si>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</si>
  <si>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</si>
  <si>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</si>
  <si>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</si>
  <si>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</si>
  <si>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</si>
  <si>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</si>
  <si>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</si>
  <si>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</si>
  <si>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</si>
  <si>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</si>
  <si>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</si>
  <si>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</si>
  <si>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</si>
  <si>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</si>
  <si>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</si>
  <si>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</si>
  <si>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</si>
  <si>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</si>
  <si>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</si>
  <si>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</si>
  <si>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</si>
  <si>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</si>
  <si>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</si>
  <si>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</si>
  <si>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</si>
  <si>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</si>
  <si>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</si>
  <si>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</si>
  <si>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</si>
  <si>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</si>
  <si>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</si>
  <si>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</si>
  <si>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</si>
  <si>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</si>
  <si>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</si>
  <si>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</si>
  <si>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</si>
  <si>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</si>
  <si>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</si>
  <si>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</si>
  <si>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</si>
  <si>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</si>
  <si>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</si>
  <si>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</si>
  <si>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</si>
  <si>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</si>
  <si>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</si>
  <si>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</si>
  <si>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</si>
  <si>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</si>
  <si>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</si>
  <si>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</si>
  <si>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</si>
  <si>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</si>
  <si>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</si>
  <si>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</si>
  <si>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</si>
  <si>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</si>
  <si>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</si>
  <si>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</si>
  <si>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</si>
  <si>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</si>
  <si>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</si>
  <si>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</si>
  <si>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</si>
  <si>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</si>
  <si>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</si>
  <si>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</si>
  <si>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</si>
  <si>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</si>
  <si>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</si>
  <si>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</si>
  <si>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</si>
  <si>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</si>
  <si>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</si>
  <si>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</si>
  <si>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</si>
  <si>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</si>
  <si>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</si>
  <si>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</si>
  <si>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</si>
  <si>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</si>
  <si>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</si>
  <si>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</si>
  <si>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</si>
  <si>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</si>
  <si>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</si>
  <si>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</si>
  <si>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</si>
  <si>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</si>
  <si>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</si>
  <si>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</si>
  <si>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</si>
  <si>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</si>
  <si>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</si>
  <si>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</si>
  <si>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</si>
  <si>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</si>
  <si>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</si>
  <si>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</si>
  <si>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</si>
  <si>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</si>
  <si>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</si>
  <si>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</si>
  <si>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</si>
  <si>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</si>
  <si>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</si>
  <si>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</si>
  <si>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</si>
  <si>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</si>
  <si>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</si>
  <si>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</si>
  <si>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</si>
  <si>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</si>
  <si>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</si>
  <si>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</si>
  <si>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</si>
  <si>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</si>
  <si>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</si>
  <si>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</si>
  <si>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</si>
  <si>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</si>
  <si>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</si>
  <si>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</si>
  <si>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</si>
  <si>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</si>
  <si>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</si>
  <si>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</si>
  <si>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</si>
  <si>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</si>
  <si>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</si>
  <si>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</si>
  <si>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</si>
  <si>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</si>
  <si>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</si>
  <si>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</si>
  <si>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</si>
  <si>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</si>
  <si>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</si>
  <si>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</si>
  <si>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</si>
  <si>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</si>
  <si>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</si>
  <si>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</si>
  <si>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</si>
  <si>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</si>
  <si>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</si>
  <si>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</si>
  <si>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</si>
  <si>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</si>
  <si>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</si>
  <si>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</si>
  <si>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</si>
  <si>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</si>
  <si>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</si>
  <si>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</si>
  <si>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</si>
  <si>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</si>
  <si>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</si>
  <si>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</si>
  <si>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</si>
  <si>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</si>
  <si>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</si>
  <si>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</si>
  <si>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</si>
  <si>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</si>
  <si>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</si>
  <si>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</si>
  <si>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</si>
  <si>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</si>
  <si>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</si>
  <si>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</si>
  <si>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</si>
  <si>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</si>
  <si>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</si>
  <si>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</si>
  <si>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</si>
  <si>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</si>
  <si>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</si>
  <si>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</si>
  <si>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</si>
  <si>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</si>
  <si>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</si>
  <si>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</si>
  <si>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</si>
  <si>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</si>
  <si>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</si>
  <si>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</si>
  <si>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</si>
  <si>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</si>
  <si>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</si>
  <si>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</si>
  <si>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</si>
  <si>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</si>
  <si>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</si>
  <si>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</si>
  <si>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</si>
  <si>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</si>
  <si>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</si>
  <si>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</si>
  <si>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</si>
  <si>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</si>
  <si>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</si>
  <si>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</si>
  <si>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</si>
  <si>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</si>
  <si>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</si>
  <si>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</si>
  <si>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</si>
  <si>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</si>
  <si>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</si>
  <si>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</si>
  <si>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</si>
  <si>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</si>
  <si>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</si>
  <si>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</si>
  <si>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</si>
  <si>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</si>
  <si>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</si>
  <si>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</si>
  <si>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</si>
  <si>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</si>
  <si>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</si>
  <si>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</si>
  <si>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</si>
  <si>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</si>
  <si>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</si>
  <si>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</si>
  <si>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</si>
  <si>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</si>
  <si>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</si>
  <si>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</si>
  <si>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</si>
  <si>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</si>
  <si>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</si>
  <si>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</si>
  <si>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</si>
  <si>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</si>
  <si>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</si>
  <si>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</si>
  <si>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</si>
  <si>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</si>
  <si>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</si>
  <si>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</si>
  <si>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</si>
  <si>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</si>
  <si>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</si>
  <si>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</si>
  <si>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</si>
  <si>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</si>
  <si>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</si>
  <si>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</si>
  <si>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</si>
  <si>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</si>
  <si>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</si>
  <si>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</si>
  <si>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</si>
  <si>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</si>
  <si>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</si>
  <si>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</si>
  <si>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</si>
  <si>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</si>
  <si>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</si>
  <si>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</si>
  <si>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</si>
  <si>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</si>
  <si>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</si>
  <si>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</si>
  <si>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</si>
  <si>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</si>
  <si>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</si>
  <si>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</si>
  <si>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</si>
  <si>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</si>
  <si>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</si>
  <si>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</si>
  <si>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</si>
  <si>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</si>
  <si>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</si>
  <si>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</si>
  <si>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</si>
  <si>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</si>
  <si>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</si>
  <si>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</si>
  <si>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</si>
  <si>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</si>
  <si>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</si>
  <si>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</si>
  <si>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</si>
  <si>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</si>
  <si>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</si>
  <si>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</si>
  <si>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</si>
  <si>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</si>
  <si>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</si>
  <si>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</si>
  <si>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</si>
  <si>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</si>
  <si>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</si>
  <si>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</si>
  <si>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</si>
  <si>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</si>
  <si>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</si>
  <si>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</si>
  <si>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</si>
  <si>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</si>
  <si>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</si>
  <si>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</si>
  <si>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</si>
  <si>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</si>
  <si>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</si>
  <si>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</si>
  <si>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</si>
  <si>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</si>
  <si>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</si>
  <si>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</si>
  <si>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</si>
  <si>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</si>
  <si>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</si>
  <si>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</si>
  <si>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</si>
  <si>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</si>
  <si>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</si>
  <si>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</si>
  <si>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</si>
  <si>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</si>
  <si>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</si>
  <si>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</si>
  <si>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</si>
  <si>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</si>
  <si>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</si>
  <si>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</si>
  <si>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</si>
  <si>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</si>
  <si>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</si>
  <si>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</si>
  <si>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</si>
  <si>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</si>
  <si>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</si>
  <si>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</si>
  <si>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</si>
  <si>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</si>
  <si>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</si>
  <si>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</si>
  <si>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</si>
  <si>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</si>
  <si>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</si>
  <si>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</si>
  <si>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</si>
  <si>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</si>
  <si>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</si>
  <si>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</si>
  <si>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</si>
  <si>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</si>
  <si>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</si>
  <si>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</si>
  <si>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</si>
  <si>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</si>
  <si>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</si>
  <si>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</si>
  <si>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</si>
  <si>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</si>
  <si>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</si>
  <si>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</si>
  <si>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</si>
  <si>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</si>
  <si>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</si>
  <si>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</si>
  <si>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</si>
  <si>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</si>
  <si>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</si>
  <si>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</si>
  <si>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</si>
  <si>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</si>
  <si>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</si>
  <si>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</si>
  <si>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</si>
  <si>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</si>
  <si>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</si>
  <si>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</si>
  <si>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</si>
  <si>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</si>
  <si>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</si>
  <si>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</si>
  <si>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</si>
  <si>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</si>
  <si>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</si>
  <si>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</si>
  <si>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</si>
  <si>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</si>
  <si>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</si>
  <si>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</si>
  <si>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</si>
  <si>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</si>
  <si>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</si>
  <si>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</si>
  <si>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</si>
  <si>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</si>
  <si>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</si>
  <si>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</si>
  <si>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</si>
  <si>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</si>
  <si>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</si>
  <si>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</si>
  <si>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</si>
  <si>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</si>
  <si>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</si>
  <si>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</si>
  <si>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</si>
  <si>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</si>
  <si>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</si>
  <si>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</si>
  <si>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</si>
  <si>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</si>
  <si>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</si>
  <si>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</si>
  <si>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</si>
  <si>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</si>
  <si>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</si>
  <si>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</si>
  <si>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</si>
  <si>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</si>
  <si>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</si>
  <si>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</si>
  <si>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</si>
  <si>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</si>
  <si>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</si>
  <si>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</si>
  <si>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</si>
  <si>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</si>
  <si>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</si>
  <si>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</si>
  <si>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</si>
  <si>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</si>
  <si>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</si>
  <si>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</si>
  <si>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</si>
  <si>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</si>
  <si>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</si>
  <si>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</si>
  <si>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</si>
  <si>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</si>
  <si>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</si>
  <si>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</si>
  <si>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</si>
  <si>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</si>
  <si>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</si>
  <si>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</si>
  <si>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</si>
  <si>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</si>
  <si>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</si>
  <si>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</si>
  <si>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</si>
  <si>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</si>
  <si>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</si>
  <si>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</si>
  <si>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</si>
  <si>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</si>
  <si>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</si>
  <si>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</si>
  <si>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</si>
  <si>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</si>
  <si>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</si>
  <si>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</si>
  <si>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</si>
  <si>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</si>
  <si>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</si>
  <si>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</si>
  <si>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</si>
  <si>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</si>
  <si>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</si>
  <si>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</si>
  <si>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</si>
  <si>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</si>
  <si>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</si>
  <si>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</si>
  <si>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</si>
  <si>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</si>
  <si>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</si>
  <si>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</si>
  <si>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</si>
  <si>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</si>
  <si>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</si>
  <si>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</si>
  <si>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</si>
  <si>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</si>
  <si>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</si>
  <si>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</si>
  <si>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</si>
  <si>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</si>
  <si>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</si>
  <si>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</si>
  <si>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</si>
  <si>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</si>
  <si>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</si>
  <si>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</si>
  <si>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</si>
  <si>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</si>
  <si>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</si>
  <si>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</si>
  <si>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</si>
  <si>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</si>
  <si>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</si>
  <si>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</si>
  <si>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</si>
  <si>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</si>
  <si>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</si>
  <si>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</si>
  <si>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</si>
  <si>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</si>
  <si>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</si>
  <si>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</si>
  <si>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</si>
  <si>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</si>
  <si>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</si>
  <si>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</si>
  <si>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</si>
  <si>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</si>
  <si>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</si>
  <si>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</si>
  <si>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</si>
  <si>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</si>
  <si>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</si>
  <si>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</si>
  <si>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</si>
  <si>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</si>
  <si>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</si>
  <si>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</si>
  <si>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</si>
  <si>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</si>
  <si>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</si>
  <si>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</si>
  <si>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</si>
  <si>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</si>
  <si>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</si>
  <si>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</si>
  <si>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</si>
  <si>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</si>
  <si>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</si>
  <si>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</si>
  <si>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</si>
  <si>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</si>
  <si>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</si>
  <si>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</si>
  <si>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</si>
  <si>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</si>
  <si>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</si>
  <si>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</si>
  <si>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</si>
  <si>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</si>
  <si>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</si>
  <si>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</si>
  <si>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</si>
  <si>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</si>
  <si>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</si>
  <si>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</si>
  <si>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</si>
  <si>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</si>
  <si>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</si>
  <si>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</si>
  <si>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</si>
  <si>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</si>
  <si>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</si>
  <si>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</si>
  <si>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</si>
  <si>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</si>
  <si>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</si>
  <si>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</si>
  <si>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</si>
  <si>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</si>
  <si>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</si>
  <si>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</si>
  <si>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</si>
  <si>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</si>
  <si>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</si>
  <si>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</si>
  <si>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</si>
  <si>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</si>
  <si>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</si>
  <si>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</si>
  <si>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</si>
  <si>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</si>
  <si>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</si>
  <si>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</si>
  <si>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</si>
  <si>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</si>
  <si>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</si>
  <si>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</si>
  <si>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</si>
  <si>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</si>
  <si>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</si>
  <si>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</si>
  <si>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</si>
  <si>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</si>
  <si>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</si>
  <si>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</si>
  <si>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</si>
  <si>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</si>
  <si>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</si>
  <si>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</si>
  <si>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</si>
  <si>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</si>
  <si>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</si>
  <si>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</si>
  <si>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</si>
  <si>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</si>
  <si>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</si>
  <si>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</si>
  <si>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</si>
  <si>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</si>
  <si>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</si>
  <si>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</si>
  <si>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</si>
  <si>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</si>
  <si>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</si>
  <si>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</si>
  <si>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</si>
  <si>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</si>
  <si>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</si>
  <si>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</si>
  <si>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</si>
  <si>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</si>
  <si>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</si>
  <si>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</si>
  <si>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</si>
  <si>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</si>
  <si>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</si>
  <si>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</si>
  <si>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</si>
  <si>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</si>
  <si>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</si>
  <si>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</si>
  <si>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</si>
  <si>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</si>
  <si>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</si>
  <si>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</si>
  <si>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</si>
  <si>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</si>
  <si>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</si>
  <si>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</si>
  <si>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</si>
  <si>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</si>
  <si>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</si>
  <si>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</si>
  <si>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</si>
  <si>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</si>
  <si>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</si>
  <si>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</si>
  <si>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</si>
  <si>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</si>
  <si>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</si>
  <si>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</si>
  <si>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</si>
  <si>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</si>
  <si>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</si>
  <si>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</si>
  <si>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</si>
  <si>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</si>
  <si>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</si>
  <si>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</si>
  <si>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</si>
  <si>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</si>
  <si>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</si>
  <si>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</si>
  <si>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</si>
  <si>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</si>
  <si>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</si>
  <si>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</si>
  <si>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</si>
  <si>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</si>
  <si>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</si>
  <si>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</si>
  <si>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</si>
  <si>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</si>
  <si>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</si>
  <si>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</si>
  <si>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</si>
  <si>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</si>
  <si>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</si>
  <si>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</si>
  <si>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</si>
  <si>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</si>
  <si>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</si>
  <si>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</si>
  <si>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</si>
  <si>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</si>
  <si>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</si>
  <si>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</si>
  <si>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</si>
  <si>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</si>
  <si>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</si>
  <si>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</si>
  <si>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</si>
  <si>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</si>
  <si>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</si>
  <si>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</si>
  <si>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</si>
  <si>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</si>
  <si>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</si>
  <si>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</si>
  <si>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</si>
  <si>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</si>
  <si>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</si>
  <si>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</si>
  <si>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</si>
  <si>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</si>
  <si>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</si>
  <si>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Price</t>
  </si>
  <si>
    <t>Customer ID</t>
  </si>
  <si>
    <t>First Purchase</t>
  </si>
  <si>
    <t>Last Purchase</t>
  </si>
  <si>
    <t>Total Visits</t>
  </si>
  <si>
    <t>Total Spent</t>
  </si>
  <si>
    <t>Avg Spend/Visit</t>
  </si>
  <si>
    <t>Favorite Product</t>
  </si>
  <si>
    <t>Days Active</t>
  </si>
  <si>
    <t>Recency (Days)</t>
  </si>
  <si>
    <t>Segment</t>
  </si>
  <si>
    <t>Priority</t>
  </si>
  <si>
    <t>Row Labels</t>
  </si>
  <si>
    <t>At Risk</t>
  </si>
  <si>
    <t>Loyal</t>
  </si>
  <si>
    <t>Occasional</t>
  </si>
  <si>
    <t>Regular</t>
  </si>
  <si>
    <t>VIP</t>
  </si>
  <si>
    <t>Grand Total</t>
  </si>
  <si>
    <t>Count of Customer ID</t>
  </si>
  <si>
    <t>Sum of Total Spent</t>
  </si>
  <si>
    <t>Average of Avg Spend/Visit</t>
  </si>
  <si>
    <t>Column Labels</t>
  </si>
  <si>
    <t>Sum of Total Visits</t>
  </si>
  <si>
    <t>Total Customers</t>
  </si>
  <si>
    <t>Total Revenue</t>
  </si>
  <si>
    <t>2024</t>
  </si>
  <si>
    <t>May</t>
  </si>
  <si>
    <t>Jun</t>
  </si>
  <si>
    <t>Jul</t>
  </si>
  <si>
    <t>Aug</t>
  </si>
  <si>
    <t>Sep</t>
  </si>
  <si>
    <t>Oct</t>
  </si>
  <si>
    <t xml:space="preserve"> </t>
  </si>
  <si>
    <t>Avg Spent</t>
  </si>
  <si>
    <t>Mar</t>
  </si>
  <si>
    <t>Apr</t>
  </si>
  <si>
    <t>Nov</t>
  </si>
  <si>
    <t>Dec</t>
  </si>
  <si>
    <t>2025</t>
  </si>
  <si>
    <t>Jan</t>
  </si>
  <si>
    <t>Feb</t>
  </si>
  <si>
    <t>Recent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</si>
</sst>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quot;* #,##0.00_-;\-&quot;R&quot;* #,##0.00_-;_-&quot;R&quot;* &quot;-&quot;??_-;_-@_-"/>
    <numFmt numFmtId="165" formatCode="dd\-mmm\-yyyy"/>
    <numFmt numFmtId="166" formatCode="[$-409]d\-mmm\-yyyy;@"/>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F1115"/>
      <name val="Arial Unicode MS"/>
      <family val="2"/>
    </font>
    <font>
      <sz val="11"/>
      <color rgb="FF0F1115"/>
      <name val="Calibri"/>
      <family val="2"/>
      <scheme val="minor"/>
    </font>
    <font>
      <b/>
      <sz val="14"/>
      <color theme="0"/>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3"/>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indexed="64"/>
      </right>
      <top style="thin">
        <color indexed="64"/>
      </top>
      <bottom/>
      <diagonal/>
    </border>
    <border>
      <left style="thin">
        <color theme="4"/>
      </left>
      <right style="thin">
        <color indexed="64"/>
      </right>
      <top/>
      <bottom/>
      <diagonal/>
    </border>
    <border>
      <left style="thin">
        <color theme="4"/>
      </left>
      <right style="thin">
        <color indexed="64"/>
      </right>
      <top/>
      <bottom style="thin">
        <color indexed="64"/>
      </bottom>
      <diagonal/>
    </border>
    <border>
      <left/>
      <right/>
      <top/>
      <bottom style="thin">
        <color theme="4"/>
      </bottom>
      <diagonal/>
    </border>
    <border>
      <left style="thin">
        <color theme="4"/>
      </left>
      <right/>
      <top/>
      <bottom style="thin">
        <color theme="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4" fontId="0" fillId="0" borderId="0" xfId="0" applyNumberFormat="1"/>
    <xf numFmtId="47" fontId="0" fillId="0" borderId="0" xfId="0" applyNumberFormat="1"/>
    <xf numFmtId="0" fontId="0" fillId="0" borderId="0" xfId="0" applyAlignment="1">
      <alignment horizontal="center" vertical="center" wrapText="1"/>
    </xf>
    <xf numFmtId="0" fontId="18" fillId="0" borderId="0" xfId="0" applyFont="1" applyAlignment="1">
      <alignment horizontal="left" vertical="center" indent="1"/>
    </xf>
    <xf numFmtId="164" fontId="0" fillId="0" borderId="0" xfId="1" applyFont="1"/>
    <xf numFmtId="164" fontId="0" fillId="0" borderId="0" xfId="0" applyNumberFormat="1"/>
    <xf numFmtId="1" fontId="0" fillId="0" borderId="0" xfId="0" applyNumberFormat="1"/>
    <xf numFmtId="1" fontId="0" fillId="0" borderId="0" xfId="0" applyNumberForma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5" fontId="0" fillId="0" borderId="0" xfId="0" applyNumberFormat="1" applyAlignment="1">
      <alignment horizontal="center" vertical="center" wrapText="1"/>
    </xf>
    <xf numFmtId="165" fontId="19" fillId="0" borderId="0" xfId="0" applyNumberFormat="1" applyFont="1" applyAlignment="1">
      <alignment horizontal="left" vertical="center" indent="1"/>
    </xf>
    <xf numFmtId="165" fontId="0" fillId="0" borderId="0" xfId="0" applyNumberFormat="1"/>
    <xf numFmtId="166" fontId="0" fillId="0" borderId="0" xfId="0" applyNumberFormat="1" applyAlignment="1">
      <alignment horizontal="center" vertical="center" wrapText="1"/>
    </xf>
    <xf numFmtId="166" fontId="0" fillId="0" borderId="0" xfId="0" applyNumberFormat="1"/>
    <xf numFmtId="0" fontId="17" fillId="33" borderId="10" xfId="0" applyFont="1" applyFill="1" applyBorder="1"/>
    <xf numFmtId="164" fontId="20" fillId="33" borderId="10" xfId="1" applyFont="1" applyFill="1" applyBorder="1" applyAlignment="1">
      <alignment horizontal="center"/>
    </xf>
    <xf numFmtId="0" fontId="0" fillId="33" borderId="11" xfId="0" applyFill="1" applyBorder="1"/>
    <xf numFmtId="0" fontId="17" fillId="33" borderId="13" xfId="0" applyFont="1" applyFill="1" applyBorder="1"/>
    <xf numFmtId="0" fontId="20" fillId="33" borderId="13" xfId="0" applyFont="1" applyFill="1" applyBorder="1" applyAlignment="1">
      <alignment horizontal="center"/>
    </xf>
    <xf numFmtId="0" fontId="21" fillId="33" borderId="13" xfId="0" applyFont="1" applyFill="1" applyBorder="1"/>
    <xf numFmtId="164" fontId="20" fillId="33" borderId="13" xfId="1" applyFont="1" applyFill="1" applyBorder="1" applyAlignment="1">
      <alignment horizontal="center"/>
    </xf>
    <xf numFmtId="0" fontId="0" fillId="33" borderId="14" xfId="0" applyFill="1" applyBorder="1"/>
    <xf numFmtId="0" fontId="0" fillId="0" borderId="15" xfId="0" applyBorder="1"/>
    <xf numFmtId="0" fontId="21" fillId="34" borderId="12" xfId="0" applyFont="1" applyFill="1" applyBorder="1" applyAlignment="1">
      <alignment horizontal="center"/>
    </xf>
    <xf numFmtId="0" fontId="21" fillId="34" borderId="10" xfId="0" applyFont="1" applyFill="1" applyBorder="1" applyAlignment="1">
      <alignment horizontal="center"/>
    </xf>
    <xf numFmtId="0" fontId="21" fillId="34" borderId="13" xfId="0" applyFont="1" applyFill="1" applyBorder="1" applyAlignment="1">
      <alignment horizontal="center"/>
    </xf>
    <xf numFmtId="0" fontId="0" fillId="33" borderId="16" xfId="0" applyFill="1" applyBorder="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
    <dxf>
      <font>
        <b val="0"/>
        <i val="0"/>
        <strike val="0"/>
        <condense val="0"/>
        <extend val="0"/>
        <outline val="0"/>
        <shadow val="0"/>
        <u val="none"/>
        <vertAlign val="baseline"/>
        <sz val="10"/>
        <color rgb="FF0F1115"/>
        <name val="Arial Unicode MS"/>
        <family val="2"/>
        <scheme val="none"/>
      </font>
      <alignment horizontal="left" vertical="center" textRotation="0" wrapText="0" indent="1" justifyLastLine="0" shrinkToFit="0" readingOrder="0"/>
    </dxf>
    <dxf>
      <numFmt numFmtId="1" formatCode="0"/>
    </dxf>
    <dxf>
      <numFmt numFmtId="1" formatCode="0"/>
    </dxf>
    <dxf>
      <numFmt numFmtId="164" formatCode="_-&quot;R&quot;* #,##0.00_-;\-&quot;R&quot;* #,##0.00_-;_-&quot;R&quot;* &quot;-&quot;??_-;_-@_-"/>
    </dxf>
    <dxf>
      <font>
        <b val="0"/>
        <i val="0"/>
        <strike val="0"/>
        <condense val="0"/>
        <extend val="0"/>
        <outline val="0"/>
        <shadow val="0"/>
        <u val="none"/>
        <vertAlign val="baseline"/>
        <sz val="11"/>
        <color theme="1"/>
        <name val="Calibri"/>
        <family val="2"/>
        <scheme val="minor"/>
      </font>
      <numFmt numFmtId="164" formatCode="_-&quot;R&quot;* #,##0.00_-;\-&quot;R&quot;* #,##0.00_-;_-&quot;R&quot;* &quot;-&quot;??_-;_-@_-"/>
    </dxf>
    <dxf>
      <numFmt numFmtId="166" formatCode="[$-409]d\-mmm\-yyyy;@"/>
    </dxf>
    <dxf>
      <font>
        <b val="0"/>
        <i val="0"/>
        <strike val="0"/>
        <condense val="0"/>
        <extend val="0"/>
        <outline val="0"/>
        <shadow val="0"/>
        <u val="none"/>
        <vertAlign val="baseline"/>
        <sz val="11"/>
        <color rgb="FF0F1115"/>
        <name val="Calibri"/>
        <family val="2"/>
        <scheme val="minor"/>
      </font>
      <numFmt numFmtId="165" formatCode="dd\-mmm\-yyyy"/>
      <alignment horizontal="left" vertical="center" textRotation="0" wrapText="0" indent="1"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ANALYSIS DASHBOARD.xlsx]Product Analysis!PivotTable12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Preferences by Segment</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delete val="1"/>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2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8"/>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2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30"/>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delete val="1"/>
          <c:extLst>
            <c:ext xmlns:c15="http://schemas.microsoft.com/office/drawing/2012/chart" uri="{CE6537A1-D6FC-4f65-9D91-7224C49458BB}"/>
          </c:extLst>
        </c:dLbl>
      </c:pivotFmt>
      <c:pivotFmt>
        <c:idx val="31"/>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s>
    <c:plotArea>
      <c:layout/>
      <c:lineChart>
        <c:grouping val="standard"/>
        <c:varyColors val="0"/>
        <c:ser>
          <c:idx val="0"/>
          <c:order val="0"/>
          <c:tx>
            <c:strRef>
              <c:f>'Product Analysis'!$B$13:$B$14</c:f>
              <c:strCache>
                <c:ptCount val="1"/>
                <c:pt idx="0">
                  <c:v>Americano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'Product Analysis'!$A$15:$A$21</c:f>
              <c:strCache>
                <c:ptCount val="6"/>
                <c:pt idx="0">
                  <c:v>At Risk</c:v>
                </c:pt>
                <c:pt idx="1">
                  <c:v>Loyal</c:v>
                </c:pt>
                <c:pt idx="2">
                  <c:v>Occasional</c:v>
                </c:pt>
                <c:pt idx="3">
                  <c:v>Recent</c:v>
                </c:pt>
                <c:pt idx="4">
                  <c:v>Regular</c:v>
                </c:pt>
                <c:pt idx="5">
                  <c:v>VIP</c:v>
                </c:pt>
              </c:strCache>
            </c:strRef>
          </c:cat>
          <c:val>
            <c:numRef>
              <c:f>'Product Analysis'!$B$15:$B$21</c:f>
              <c:numCache>
                <c:formatCode>0.00%</c:formatCode>
                <c:ptCount val="6"/>
                <c:pt idx="0">
                  <c:v>0.74358974358974361</c:v>
                </c:pt>
                <c:pt idx="1">
                  <c:v>2.0512820512820513E-2</c:v>
                </c:pt>
                <c:pt idx="2">
                  <c:v>8.2051282051282051E-2</c:v>
                </c:pt>
                <c:pt idx="3">
                  <c:v>7.6923076923076927E-2</c:v>
                </c:pt>
                <c:pt idx="4">
                  <c:v>4.6153846153846156E-2</c:v>
                </c:pt>
                <c:pt idx="5">
                  <c:v>3.0769230769230771E-2</c:v>
                </c:pt>
              </c:numCache>
            </c:numRef>
          </c:val>
          <c:smooth val="0"/>
          <c:extLst>
            <c:ext xmlns:c16="http://schemas.microsoft.com/office/drawing/2014/chart" uri="{C3380CC4-5D6E-409C-BE32-E72D297353CC}">
              <c16:uniqueId val="{0000001C-E004-4C45-9483-9C7753021F2F}"/>
            </c:ext>
          </c:extLst>
        </c:ser>
        <c:ser>
          <c:idx val="1"/>
          <c:order val="1"/>
          <c:tx>
            <c:strRef>
              <c:f>'Product Analysis'!$C$13:$C$14</c:f>
              <c:strCache>
                <c:ptCount val="1"/>
                <c:pt idx="0">
                  <c:v>Americano with Milk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'Product Analysis'!$A$15:$A$21</c:f>
              <c:strCache>
                <c:ptCount val="6"/>
                <c:pt idx="0">
                  <c:v>At Risk</c:v>
                </c:pt>
                <c:pt idx="1">
                  <c:v>Loyal</c:v>
                </c:pt>
                <c:pt idx="2">
                  <c:v>Occasional</c:v>
                </c:pt>
                <c:pt idx="3">
                  <c:v>Recent</c:v>
                </c:pt>
                <c:pt idx="4">
                  <c:v>Regular</c:v>
                </c:pt>
                <c:pt idx="5">
                  <c:v>VIP</c:v>
                </c:pt>
              </c:strCache>
            </c:strRef>
          </c:cat>
          <c:val>
            <c:numRef>
              <c:f>'Product Analysis'!$C$15:$C$21</c:f>
              <c:numCache>
                <c:formatCode>0.00%</c:formatCode>
                <c:ptCount val="6"/>
                <c:pt idx="0">
                  <c:v>0.71724137931034482</c:v>
                </c:pt>
                <c:pt idx="1">
                  <c:v>3.1034482758620689E-2</c:v>
                </c:pt>
                <c:pt idx="2">
                  <c:v>0.13793103448275862</c:v>
                </c:pt>
                <c:pt idx="3">
                  <c:v>5.1724137931034482E-2</c:v>
                </c:pt>
                <c:pt idx="4">
                  <c:v>4.8275862068965517E-2</c:v>
                </c:pt>
                <c:pt idx="5">
                  <c:v>1.3793103448275862E-2</c:v>
                </c:pt>
              </c:numCache>
            </c:numRef>
          </c:val>
          <c:smooth val="0"/>
          <c:extLst>
            <c:ext xmlns:c16="http://schemas.microsoft.com/office/drawing/2014/chart" uri="{C3380CC4-5D6E-409C-BE32-E72D297353CC}">
              <c16:uniqueId val="{00000008-26B6-44D6-988B-2792639664CC}"/>
            </c:ext>
          </c:extLst>
        </c:ser>
        <c:ser>
          <c:idx val="2"/>
          <c:order val="2"/>
          <c:tx>
            <c:strRef>
              <c:f>'Product Analysis'!$D$13:$D$14</c:f>
              <c:strCache>
                <c:ptCount val="1"/>
                <c:pt idx="0">
                  <c:v>Cappuccino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'Product Analysis'!$A$15:$A$21</c:f>
              <c:strCache>
                <c:ptCount val="6"/>
                <c:pt idx="0">
                  <c:v>At Risk</c:v>
                </c:pt>
                <c:pt idx="1">
                  <c:v>Loyal</c:v>
                </c:pt>
                <c:pt idx="2">
                  <c:v>Occasional</c:v>
                </c:pt>
                <c:pt idx="3">
                  <c:v>Recent</c:v>
                </c:pt>
                <c:pt idx="4">
                  <c:v>Regular</c:v>
                </c:pt>
                <c:pt idx="5">
                  <c:v>VIP</c:v>
                </c:pt>
              </c:strCache>
            </c:strRef>
          </c:cat>
          <c:val>
            <c:numRef>
              <c:f>'Product Analysis'!$D$15:$D$21</c:f>
              <c:numCache>
                <c:formatCode>0.00%</c:formatCode>
                <c:ptCount val="6"/>
                <c:pt idx="0">
                  <c:v>0.7846153846153846</c:v>
                </c:pt>
                <c:pt idx="1">
                  <c:v>1.0256410256410256E-2</c:v>
                </c:pt>
                <c:pt idx="2">
                  <c:v>0.1076923076923077</c:v>
                </c:pt>
                <c:pt idx="3">
                  <c:v>4.6153846153846156E-2</c:v>
                </c:pt>
                <c:pt idx="4">
                  <c:v>3.5897435897435895E-2</c:v>
                </c:pt>
                <c:pt idx="5">
                  <c:v>1.5384615384615385E-2</c:v>
                </c:pt>
              </c:numCache>
            </c:numRef>
          </c:val>
          <c:smooth val="0"/>
          <c:extLst>
            <c:ext xmlns:c16="http://schemas.microsoft.com/office/drawing/2014/chart" uri="{C3380CC4-5D6E-409C-BE32-E72D297353CC}">
              <c16:uniqueId val="{00000009-26B6-44D6-988B-2792639664CC}"/>
            </c:ext>
          </c:extLst>
        </c:ser>
        <c:ser>
          <c:idx val="3"/>
          <c:order val="3"/>
          <c:tx>
            <c:strRef>
              <c:f>'Product Analysis'!$E$13:$E$14</c:f>
              <c:strCache>
                <c:ptCount val="1"/>
                <c:pt idx="0">
                  <c:v>Cocoa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'Product Analysis'!$A$15:$A$21</c:f>
              <c:strCache>
                <c:ptCount val="6"/>
                <c:pt idx="0">
                  <c:v>At Risk</c:v>
                </c:pt>
                <c:pt idx="1">
                  <c:v>Loyal</c:v>
                </c:pt>
                <c:pt idx="2">
                  <c:v>Occasional</c:v>
                </c:pt>
                <c:pt idx="3">
                  <c:v>Recent</c:v>
                </c:pt>
                <c:pt idx="4">
                  <c:v>Regular</c:v>
                </c:pt>
                <c:pt idx="5">
                  <c:v>VIP</c:v>
                </c:pt>
              </c:strCache>
            </c:strRef>
          </c:cat>
          <c:val>
            <c:numRef>
              <c:f>'Product Analysis'!$E$15:$E$21</c:f>
              <c:numCache>
                <c:formatCode>0.00%</c:formatCode>
                <c:ptCount val="6"/>
                <c:pt idx="0">
                  <c:v>0.69512195121951215</c:v>
                </c:pt>
                <c:pt idx="1">
                  <c:v>6.097560975609756E-2</c:v>
                </c:pt>
                <c:pt idx="2">
                  <c:v>4.878048780487805E-2</c:v>
                </c:pt>
                <c:pt idx="3">
                  <c:v>0.12195121951219512</c:v>
                </c:pt>
                <c:pt idx="4">
                  <c:v>6.097560975609756E-2</c:v>
                </c:pt>
                <c:pt idx="5">
                  <c:v>1.2195121951219513E-2</c:v>
                </c:pt>
              </c:numCache>
            </c:numRef>
          </c:val>
          <c:smooth val="0"/>
          <c:extLst>
            <c:ext xmlns:c16="http://schemas.microsoft.com/office/drawing/2014/chart" uri="{C3380CC4-5D6E-409C-BE32-E72D297353CC}">
              <c16:uniqueId val="{0000000A-26B6-44D6-988B-2792639664CC}"/>
            </c:ext>
          </c:extLst>
        </c:ser>
        <c:ser>
          <c:idx val="4"/>
          <c:order val="4"/>
          <c:tx>
            <c:strRef>
              <c:f>'Product Analysis'!$F$13:$F$14</c:f>
              <c:strCache>
                <c:ptCount val="1"/>
                <c:pt idx="0">
                  <c:v>Cortado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'Product Analysis'!$A$15:$A$21</c:f>
              <c:strCache>
                <c:ptCount val="6"/>
                <c:pt idx="0">
                  <c:v>At Risk</c:v>
                </c:pt>
                <c:pt idx="1">
                  <c:v>Loyal</c:v>
                </c:pt>
                <c:pt idx="2">
                  <c:v>Occasional</c:v>
                </c:pt>
                <c:pt idx="3">
                  <c:v>Recent</c:v>
                </c:pt>
                <c:pt idx="4">
                  <c:v>Regular</c:v>
                </c:pt>
                <c:pt idx="5">
                  <c:v>VIP</c:v>
                </c:pt>
              </c:strCache>
            </c:strRef>
          </c:cat>
          <c:val>
            <c:numRef>
              <c:f>'Product Analysis'!$F$15:$F$21</c:f>
              <c:numCache>
                <c:formatCode>0.00%</c:formatCode>
                <c:ptCount val="6"/>
                <c:pt idx="0">
                  <c:v>0.82894736842105265</c:v>
                </c:pt>
                <c:pt idx="1">
                  <c:v>2.6315789473684209E-2</c:v>
                </c:pt>
                <c:pt idx="2">
                  <c:v>6.5789473684210523E-2</c:v>
                </c:pt>
                <c:pt idx="3">
                  <c:v>3.9473684210526314E-2</c:v>
                </c:pt>
                <c:pt idx="4">
                  <c:v>3.9473684210526314E-2</c:v>
                </c:pt>
                <c:pt idx="5">
                  <c:v>0</c:v>
                </c:pt>
              </c:numCache>
            </c:numRef>
          </c:val>
          <c:smooth val="0"/>
          <c:extLst>
            <c:ext xmlns:c16="http://schemas.microsoft.com/office/drawing/2014/chart" uri="{C3380CC4-5D6E-409C-BE32-E72D297353CC}">
              <c16:uniqueId val="{0000000B-26B6-44D6-988B-2792639664CC}"/>
            </c:ext>
          </c:extLst>
        </c:ser>
        <c:ser>
          <c:idx val="5"/>
          <c:order val="5"/>
          <c:tx>
            <c:strRef>
              <c:f>'Product Analysis'!$G$13:$G$14</c:f>
              <c:strCache>
                <c:ptCount val="1"/>
                <c:pt idx="0">
                  <c:v>Espresso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'Product Analysis'!$A$15:$A$21</c:f>
              <c:strCache>
                <c:ptCount val="6"/>
                <c:pt idx="0">
                  <c:v>At Risk</c:v>
                </c:pt>
                <c:pt idx="1">
                  <c:v>Loyal</c:v>
                </c:pt>
                <c:pt idx="2">
                  <c:v>Occasional</c:v>
                </c:pt>
                <c:pt idx="3">
                  <c:v>Recent</c:v>
                </c:pt>
                <c:pt idx="4">
                  <c:v>Regular</c:v>
                </c:pt>
                <c:pt idx="5">
                  <c:v>VIP</c:v>
                </c:pt>
              </c:strCache>
            </c:strRef>
          </c:cat>
          <c:val>
            <c:numRef>
              <c:f>'Product Analysis'!$G$15:$G$21</c:f>
              <c:numCache>
                <c:formatCode>0.00%</c:formatCode>
                <c:ptCount val="6"/>
                <c:pt idx="0">
                  <c:v>0.78333333333333333</c:v>
                </c:pt>
                <c:pt idx="1">
                  <c:v>1.6666666666666666E-2</c:v>
                </c:pt>
                <c:pt idx="2">
                  <c:v>6.6666666666666666E-2</c:v>
                </c:pt>
                <c:pt idx="3">
                  <c:v>8.3333333333333329E-2</c:v>
                </c:pt>
                <c:pt idx="4">
                  <c:v>0.05</c:v>
                </c:pt>
                <c:pt idx="5">
                  <c:v>0</c:v>
                </c:pt>
              </c:numCache>
            </c:numRef>
          </c:val>
          <c:smooth val="0"/>
          <c:extLst>
            <c:ext xmlns:c16="http://schemas.microsoft.com/office/drawing/2014/chart" uri="{C3380CC4-5D6E-409C-BE32-E72D297353CC}">
              <c16:uniqueId val="{0000000C-26B6-44D6-988B-2792639664CC}"/>
            </c:ext>
          </c:extLst>
        </c:ser>
        <c:ser>
          <c:idx val="6"/>
          <c:order val="6"/>
          <c:tx>
            <c:strRef>
              <c:f>'Product Analysis'!$H$13:$H$14</c:f>
              <c:strCache>
                <c:ptCount val="1"/>
                <c:pt idx="0">
                  <c:v>Hot Chocolate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'Product Analysis'!$A$15:$A$21</c:f>
              <c:strCache>
                <c:ptCount val="6"/>
                <c:pt idx="0">
                  <c:v>At Risk</c:v>
                </c:pt>
                <c:pt idx="1">
                  <c:v>Loyal</c:v>
                </c:pt>
                <c:pt idx="2">
                  <c:v>Occasional</c:v>
                </c:pt>
                <c:pt idx="3">
                  <c:v>Recent</c:v>
                </c:pt>
                <c:pt idx="4">
                  <c:v>Regular</c:v>
                </c:pt>
                <c:pt idx="5">
                  <c:v>VIP</c:v>
                </c:pt>
              </c:strCache>
            </c:strRef>
          </c:cat>
          <c:val>
            <c:numRef>
              <c:f>'Product Analysis'!$H$15:$H$21</c:f>
              <c:numCache>
                <c:formatCode>0.00%</c:formatCode>
                <c:ptCount val="6"/>
                <c:pt idx="0">
                  <c:v>0.76315789473684215</c:v>
                </c:pt>
                <c:pt idx="1">
                  <c:v>8.771929824561403E-3</c:v>
                </c:pt>
                <c:pt idx="2">
                  <c:v>0.12280701754385964</c:v>
                </c:pt>
                <c:pt idx="3">
                  <c:v>5.2631578947368418E-2</c:v>
                </c:pt>
                <c:pt idx="4">
                  <c:v>4.3859649122807015E-2</c:v>
                </c:pt>
                <c:pt idx="5">
                  <c:v>8.771929824561403E-3</c:v>
                </c:pt>
              </c:numCache>
            </c:numRef>
          </c:val>
          <c:smooth val="0"/>
          <c:extLst>
            <c:ext xmlns:c16="http://schemas.microsoft.com/office/drawing/2014/chart" uri="{C3380CC4-5D6E-409C-BE32-E72D297353CC}">
              <c16:uniqueId val="{0000000F-26B6-44D6-988B-2792639664CC}"/>
            </c:ext>
          </c:extLst>
        </c:ser>
        <c:ser>
          <c:idx val="7"/>
          <c:order val="7"/>
          <c:tx>
            <c:strRef>
              <c:f>'Product Analysis'!$I$13:$I$14</c:f>
              <c:strCache>
                <c:ptCount val="1"/>
                <c:pt idx="0">
                  <c:v>Latte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'Product Analysis'!$A$15:$A$21</c:f>
              <c:strCache>
                <c:ptCount val="6"/>
                <c:pt idx="0">
                  <c:v>At Risk</c:v>
                </c:pt>
                <c:pt idx="1">
                  <c:v>Loyal</c:v>
                </c:pt>
                <c:pt idx="2">
                  <c:v>Occasional</c:v>
                </c:pt>
                <c:pt idx="3">
                  <c:v>Recent</c:v>
                </c:pt>
                <c:pt idx="4">
                  <c:v>Regular</c:v>
                </c:pt>
                <c:pt idx="5">
                  <c:v>VIP</c:v>
                </c:pt>
              </c:strCache>
            </c:strRef>
          </c:cat>
          <c:val>
            <c:numRef>
              <c:f>'Product Analysis'!$I$15:$I$21</c:f>
              <c:numCache>
                <c:formatCode>0.00%</c:formatCode>
                <c:ptCount val="6"/>
                <c:pt idx="0">
                  <c:v>0.75328947368421051</c:v>
                </c:pt>
                <c:pt idx="1">
                  <c:v>6.5789473684210523E-3</c:v>
                </c:pt>
                <c:pt idx="2">
                  <c:v>0.14144736842105263</c:v>
                </c:pt>
                <c:pt idx="3">
                  <c:v>4.2763157894736843E-2</c:v>
                </c:pt>
                <c:pt idx="4">
                  <c:v>4.6052631578947366E-2</c:v>
                </c:pt>
                <c:pt idx="5">
                  <c:v>9.8684210526315784E-3</c:v>
                </c:pt>
              </c:numCache>
            </c:numRef>
          </c:val>
          <c:smooth val="0"/>
          <c:extLst>
            <c:ext xmlns:c16="http://schemas.microsoft.com/office/drawing/2014/chart" uri="{C3380CC4-5D6E-409C-BE32-E72D297353CC}">
              <c16:uniqueId val="{00000010-26B6-44D6-988B-2792639664CC}"/>
            </c:ext>
          </c:extLst>
        </c:ser>
        <c:dLbls>
          <c:showLegendKey val="0"/>
          <c:showVal val="0"/>
          <c:showCatName val="0"/>
          <c:showSerName val="0"/>
          <c:showPercent val="0"/>
          <c:showBubbleSize val="0"/>
        </c:dLbls>
        <c:marker val="1"/>
        <c:smooth val="0"/>
        <c:axId val="1166624176"/>
        <c:axId val="1166608336"/>
      </c:lineChart>
      <c:catAx>
        <c:axId val="11666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08336"/>
        <c:crosses val="autoZero"/>
        <c:auto val="1"/>
        <c:lblAlgn val="ctr"/>
        <c:lblOffset val="100"/>
        <c:noMultiLvlLbl val="0"/>
      </c:catAx>
      <c:valAx>
        <c:axId val="1166608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241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rgbClr val="D34817"/>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ANALYSIS DASHBOARD.xlsx]Customer Analysis!PivotTable5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Visits by Segment</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spPr>
          <a:ln w="15875">
            <a:solidFill>
              <a:sysClr val="windowText" lastClr="000000"/>
            </a:solidFill>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'Customer Analysis'!$B$36</c:f>
              <c:strCache>
                <c:ptCount val="1"/>
                <c:pt idx="0">
                  <c:v>Total</c:v>
                </c:pt>
              </c:strCache>
            </c:strRef>
          </c:tx>
          <c:spPr>
            <a:ln w="15875">
              <a:solidFill>
                <a:sysClr val="windowText" lastClr="000000"/>
              </a:solidFill>
            </a:ln>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'Customer Analysis'!$A$37:$A$43</c:f>
              <c:strCache>
                <c:ptCount val="6"/>
                <c:pt idx="0">
                  <c:v>At Risk</c:v>
                </c:pt>
                <c:pt idx="1">
                  <c:v>Occasional</c:v>
                </c:pt>
                <c:pt idx="2">
                  <c:v>Regular</c:v>
                </c:pt>
                <c:pt idx="3">
                  <c:v>VIP</c:v>
                </c:pt>
                <c:pt idx="4">
                  <c:v>Loyal</c:v>
                </c:pt>
                <c:pt idx="5">
                  <c:v>Recent</c:v>
                </c:pt>
              </c:strCache>
            </c:strRef>
          </c:cat>
          <c:val>
            <c:numRef>
              <c:f>'Customer Analysis'!$B$37:$B$43</c:f>
              <c:numCache>
                <c:formatCode>General</c:formatCode>
                <c:ptCount val="6"/>
                <c:pt idx="0">
                  <c:v>1252</c:v>
                </c:pt>
                <c:pt idx="1">
                  <c:v>898</c:v>
                </c:pt>
                <c:pt idx="2">
                  <c:v>494</c:v>
                </c:pt>
                <c:pt idx="3">
                  <c:v>424</c:v>
                </c:pt>
                <c:pt idx="4">
                  <c:v>372</c:v>
                </c:pt>
                <c:pt idx="5">
                  <c:v>107</c:v>
                </c:pt>
              </c:numCache>
            </c:numRef>
          </c:val>
          <c:extLst>
            <c:ext xmlns:c16="http://schemas.microsoft.com/office/drawing/2014/chart" uri="{C3380CC4-5D6E-409C-BE32-E72D297353CC}">
              <c16:uniqueId val="{00000007-EC04-419B-B5C0-AFDDC3000245}"/>
            </c:ext>
          </c:extLst>
        </c:ser>
        <c:dLbls>
          <c:dLblPos val="outEnd"/>
          <c:showLegendKey val="0"/>
          <c:showVal val="1"/>
          <c:showCatName val="0"/>
          <c:showSerName val="0"/>
          <c:showPercent val="0"/>
          <c:showBubbleSize val="0"/>
        </c:dLbls>
        <c:gapWidth val="219"/>
        <c:overlap val="-27"/>
        <c:axId val="1166539696"/>
        <c:axId val="1166520496"/>
      </c:barChart>
      <c:catAx>
        <c:axId val="116653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20496"/>
        <c:crosses val="autoZero"/>
        <c:auto val="1"/>
        <c:lblAlgn val="ctr"/>
        <c:lblOffset val="100"/>
        <c:noMultiLvlLbl val="0"/>
      </c:catAx>
      <c:valAx>
        <c:axId val="116652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39696"/>
        <c:crosses val="autoZero"/>
        <c:crossBetween val="between"/>
      </c:valAx>
    </c:plotArea>
    <c:plotVisOnly val="1"/>
    <c:dispBlanksAs val="gap"/>
    <c:showDLblsOverMax val="0"/>
    <c:extLst/>
  </c:chart>
  <c:spPr>
    <a:ln>
      <a:solidFill>
        <a:srgbClr val="D34817"/>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ANALYSIS DASHBOARD.xlsx]Customer Analysis!PivotTable1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pivotFmt>
      <c:pivotFmt>
        <c:idx val="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pivotFmt>
      <c:pivotFmt>
        <c:idx val="49"/>
      </c:pivotFmt>
      <c:pivotFmt>
        <c:idx val="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pivotFmt>
      <c:pivotFmt>
        <c:idx val="53"/>
      </c:pivotFmt>
      <c:pivotFmt>
        <c:idx val="54"/>
      </c:pivotFmt>
      <c:pivotFmt>
        <c:idx val="55"/>
      </c:pivotFmt>
      <c:pivotFmt>
        <c:idx val="56"/>
      </c:pivotFmt>
      <c:pivotFmt>
        <c:idx val="5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
      </c:pivotFmt>
      <c:pivotFmt>
        <c:idx val="59"/>
      </c:pivotFmt>
      <c:pivotFmt>
        <c:idx val="60"/>
      </c:pivotFmt>
      <c:pivotFmt>
        <c:idx val="61"/>
      </c:pivotFmt>
      <c:pivotFmt>
        <c:idx val="62"/>
      </c:pivotFmt>
      <c:pivotFmt>
        <c:idx val="63"/>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tint val="54000"/>
            </a:schemeClr>
          </a:solidFill>
          <a:ln w="19050">
            <a:solidFill>
              <a:schemeClr val="lt1"/>
            </a:solidFill>
          </a:ln>
          <a:effectLst/>
        </c:spPr>
      </c:pivotFmt>
      <c:pivotFmt>
        <c:idx val="66"/>
        <c:spPr>
          <a:solidFill>
            <a:schemeClr val="accent1">
              <a:tint val="77000"/>
            </a:schemeClr>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hade val="90000"/>
            </a:schemeClr>
          </a:solidFill>
          <a:ln w="19050">
            <a:solidFill>
              <a:schemeClr val="lt1"/>
            </a:solidFill>
          </a:ln>
          <a:effectLst/>
        </c:spPr>
      </c:pivotFmt>
      <c:pivotFmt>
        <c:idx val="69"/>
        <c:spPr>
          <a:solidFill>
            <a:schemeClr val="accent1">
              <a:shade val="76000"/>
            </a:schemeClr>
          </a:solidFill>
          <a:ln w="19050">
            <a:solidFill>
              <a:schemeClr val="lt1"/>
            </a:solidFill>
          </a:ln>
          <a:effectLst/>
        </c:spPr>
      </c:pivotFmt>
      <c:pivotFmt>
        <c:idx val="70"/>
        <c:spPr>
          <a:solidFill>
            <a:schemeClr val="accent1">
              <a:shade val="53000"/>
            </a:schemeClr>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2"/>
        <c:spPr>
          <a:solidFill>
            <a:schemeClr val="accent1">
              <a:tint val="54000"/>
            </a:schemeClr>
          </a:solidFill>
          <a:ln w="19050">
            <a:solidFill>
              <a:schemeClr val="lt1"/>
            </a:solidFill>
          </a:ln>
          <a:effectLst/>
        </c:spPr>
      </c:pivotFmt>
      <c:pivotFmt>
        <c:idx val="73"/>
        <c:spPr>
          <a:solidFill>
            <a:schemeClr val="accent1">
              <a:tint val="77000"/>
            </a:schemeClr>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hade val="90000"/>
            </a:schemeClr>
          </a:solidFill>
          <a:ln w="19050">
            <a:solidFill>
              <a:schemeClr val="lt1"/>
            </a:solidFill>
          </a:ln>
          <a:effectLst/>
        </c:spPr>
      </c:pivotFmt>
      <c:pivotFmt>
        <c:idx val="76"/>
        <c:spPr>
          <a:solidFill>
            <a:schemeClr val="accent1">
              <a:shade val="76000"/>
            </a:schemeClr>
          </a:solidFill>
          <a:ln w="19050">
            <a:solidFill>
              <a:schemeClr val="lt1"/>
            </a:solidFill>
          </a:ln>
          <a:effectLst/>
        </c:spPr>
      </c:pivotFmt>
      <c:pivotFmt>
        <c:idx val="77"/>
        <c:spPr>
          <a:solidFill>
            <a:schemeClr val="accent1">
              <a:shade val="53000"/>
            </a:schemeClr>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tint val="54000"/>
            </a:schemeClr>
          </a:solidFill>
          <a:ln w="19050">
            <a:solidFill>
              <a:schemeClr val="lt1"/>
            </a:solidFill>
          </a:ln>
          <a:effectLst/>
        </c:spPr>
      </c:pivotFmt>
      <c:pivotFmt>
        <c:idx val="80"/>
        <c:spPr>
          <a:solidFill>
            <a:schemeClr val="accent1">
              <a:tint val="77000"/>
            </a:schemeClr>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hade val="90000"/>
            </a:schemeClr>
          </a:solidFill>
          <a:ln w="19050">
            <a:solidFill>
              <a:schemeClr val="lt1"/>
            </a:solidFill>
          </a:ln>
          <a:effectLst/>
        </c:spPr>
      </c:pivotFmt>
      <c:pivotFmt>
        <c:idx val="83"/>
        <c:spPr>
          <a:solidFill>
            <a:schemeClr val="accent1">
              <a:shade val="76000"/>
            </a:schemeClr>
          </a:solidFill>
          <a:ln w="19050">
            <a:solidFill>
              <a:schemeClr val="lt1"/>
            </a:solidFill>
          </a:ln>
          <a:effectLst/>
        </c:spPr>
      </c:pivotFmt>
      <c:pivotFmt>
        <c:idx val="84"/>
        <c:spPr>
          <a:solidFill>
            <a:schemeClr val="accent1">
              <a:shade val="53000"/>
            </a:schemeClr>
          </a:solidFill>
          <a:ln w="19050">
            <a:solidFill>
              <a:schemeClr val="lt1"/>
            </a:solidFill>
          </a:ln>
          <a:effectLst/>
        </c:spPr>
      </c:pivotFmt>
      <c:pivotFmt>
        <c:idx val="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6"/>
        <c:spPr>
          <a:solidFill>
            <a:schemeClr val="accent1">
              <a:tint val="54000"/>
            </a:schemeClr>
          </a:solidFill>
          <a:ln w="19050">
            <a:solidFill>
              <a:schemeClr val="lt1"/>
            </a:solidFill>
          </a:ln>
          <a:effectLst/>
        </c:spPr>
      </c:pivotFmt>
      <c:pivotFmt>
        <c:idx val="87"/>
        <c:spPr>
          <a:solidFill>
            <a:schemeClr val="accent1">
              <a:tint val="77000"/>
            </a:schemeClr>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hade val="90000"/>
            </a:schemeClr>
          </a:solidFill>
          <a:ln w="19050">
            <a:solidFill>
              <a:schemeClr val="lt1"/>
            </a:solidFill>
          </a:ln>
          <a:effectLst/>
        </c:spPr>
      </c:pivotFmt>
      <c:pivotFmt>
        <c:idx val="90"/>
        <c:spPr>
          <a:solidFill>
            <a:schemeClr val="accent1">
              <a:shade val="76000"/>
            </a:schemeClr>
          </a:solidFill>
          <a:ln w="19050">
            <a:solidFill>
              <a:schemeClr val="lt1"/>
            </a:solidFill>
          </a:ln>
          <a:effectLst/>
        </c:spPr>
      </c:pivotFmt>
      <c:pivotFmt>
        <c:idx val="91"/>
        <c:spPr>
          <a:solidFill>
            <a:schemeClr val="accent1">
              <a:shade val="53000"/>
            </a:schemeClr>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3"/>
        <c:spPr>
          <a:solidFill>
            <a:schemeClr val="accent1">
              <a:tint val="54000"/>
            </a:schemeClr>
          </a:solidFill>
          <a:ln w="19050">
            <a:solidFill>
              <a:schemeClr val="lt1"/>
            </a:solidFill>
          </a:ln>
          <a:effectLst/>
        </c:spPr>
      </c:pivotFmt>
      <c:pivotFmt>
        <c:idx val="94"/>
        <c:spPr>
          <a:solidFill>
            <a:schemeClr val="accent1">
              <a:tint val="77000"/>
            </a:schemeClr>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hade val="90000"/>
            </a:schemeClr>
          </a:solidFill>
          <a:ln w="19050">
            <a:solidFill>
              <a:schemeClr val="lt1"/>
            </a:solidFill>
          </a:ln>
          <a:effectLst/>
        </c:spPr>
      </c:pivotFmt>
      <c:pivotFmt>
        <c:idx val="97"/>
        <c:spPr>
          <a:solidFill>
            <a:schemeClr val="accent1">
              <a:shade val="76000"/>
            </a:schemeClr>
          </a:solidFill>
          <a:ln w="19050">
            <a:solidFill>
              <a:schemeClr val="lt1"/>
            </a:solidFill>
          </a:ln>
          <a:effectLst/>
        </c:spPr>
      </c:pivotFmt>
      <c:pivotFmt>
        <c:idx val="98"/>
        <c:spPr>
          <a:solidFill>
            <a:schemeClr val="accent1">
              <a:shade val="53000"/>
            </a:schemeClr>
          </a:solidFill>
          <a:ln w="19050">
            <a:solidFill>
              <a:schemeClr val="lt1"/>
            </a:solidFill>
          </a:ln>
          <a:effectLst/>
        </c:spPr>
      </c:pivotFmt>
      <c:pivotFmt>
        <c:idx val="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0"/>
        <c:spPr>
          <a:solidFill>
            <a:schemeClr val="accent1">
              <a:tint val="54000"/>
            </a:schemeClr>
          </a:solidFill>
          <a:ln w="19050">
            <a:solidFill>
              <a:schemeClr val="lt1"/>
            </a:solidFill>
          </a:ln>
          <a:effectLst/>
        </c:spPr>
      </c:pivotFmt>
      <c:pivotFmt>
        <c:idx val="101"/>
        <c:spPr>
          <a:solidFill>
            <a:schemeClr val="accent1">
              <a:tint val="77000"/>
            </a:schemeClr>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hade val="90000"/>
            </a:schemeClr>
          </a:solidFill>
          <a:ln w="19050">
            <a:solidFill>
              <a:schemeClr val="lt1"/>
            </a:solidFill>
          </a:ln>
          <a:effectLst/>
        </c:spPr>
      </c:pivotFmt>
      <c:pivotFmt>
        <c:idx val="104"/>
        <c:spPr>
          <a:solidFill>
            <a:schemeClr val="accent1">
              <a:shade val="76000"/>
            </a:schemeClr>
          </a:solidFill>
          <a:ln w="19050">
            <a:solidFill>
              <a:schemeClr val="lt1"/>
            </a:solidFill>
          </a:ln>
          <a:effectLst/>
        </c:spPr>
      </c:pivotFmt>
      <c:pivotFmt>
        <c:idx val="105"/>
        <c:spPr>
          <a:solidFill>
            <a:schemeClr val="accent1">
              <a:shade val="53000"/>
            </a:schemeClr>
          </a:solidFill>
          <a:ln w="19050">
            <a:solidFill>
              <a:schemeClr val="lt1"/>
            </a:solidFill>
          </a:ln>
          <a:effectLst/>
        </c:spPr>
      </c:pivotFmt>
      <c:pivotFmt>
        <c:idx val="1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7"/>
        <c:spPr>
          <a:solidFill>
            <a:schemeClr val="accent1">
              <a:tint val="54000"/>
            </a:schemeClr>
          </a:solidFill>
          <a:ln w="19050">
            <a:solidFill>
              <a:schemeClr val="lt1"/>
            </a:solidFill>
          </a:ln>
          <a:effectLst/>
        </c:spPr>
      </c:pivotFmt>
      <c:pivotFmt>
        <c:idx val="108"/>
        <c:spPr>
          <a:solidFill>
            <a:schemeClr val="accent1">
              <a:tint val="77000"/>
            </a:schemeClr>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hade val="90000"/>
            </a:schemeClr>
          </a:solidFill>
          <a:ln w="19050">
            <a:solidFill>
              <a:schemeClr val="lt1"/>
            </a:solidFill>
          </a:ln>
          <a:effectLst/>
        </c:spPr>
      </c:pivotFmt>
      <c:pivotFmt>
        <c:idx val="111"/>
        <c:spPr>
          <a:solidFill>
            <a:schemeClr val="accent1">
              <a:shade val="76000"/>
            </a:schemeClr>
          </a:solidFill>
          <a:ln w="19050">
            <a:solidFill>
              <a:schemeClr val="lt1"/>
            </a:solidFill>
          </a:ln>
          <a:effectLst/>
        </c:spPr>
      </c:pivotFmt>
      <c:pivotFmt>
        <c:idx val="112"/>
        <c:spPr>
          <a:solidFill>
            <a:schemeClr val="accent1">
              <a:shade val="53000"/>
            </a:schemeClr>
          </a:solidFill>
          <a:ln w="19050">
            <a:solidFill>
              <a:schemeClr val="lt1"/>
            </a:solidFill>
          </a:ln>
          <a:effectLst/>
        </c:spPr>
      </c:pivotFmt>
      <c:pivotFmt>
        <c:idx val="1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4"/>
        <c:spPr>
          <a:solidFill>
            <a:schemeClr val="accent1">
              <a:tint val="54000"/>
            </a:schemeClr>
          </a:solidFill>
          <a:ln w="19050">
            <a:solidFill>
              <a:schemeClr val="lt1"/>
            </a:solidFill>
          </a:ln>
          <a:effectLst/>
        </c:spPr>
      </c:pivotFmt>
      <c:pivotFmt>
        <c:idx val="115"/>
        <c:spPr>
          <a:solidFill>
            <a:schemeClr val="accent1">
              <a:tint val="77000"/>
            </a:schemeClr>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hade val="90000"/>
            </a:schemeClr>
          </a:solidFill>
          <a:ln w="19050">
            <a:solidFill>
              <a:schemeClr val="lt1"/>
            </a:solidFill>
          </a:ln>
          <a:effectLst/>
        </c:spPr>
      </c:pivotFmt>
      <c:pivotFmt>
        <c:idx val="118"/>
        <c:spPr>
          <a:solidFill>
            <a:schemeClr val="accent1">
              <a:shade val="76000"/>
            </a:schemeClr>
          </a:solidFill>
          <a:ln w="19050">
            <a:solidFill>
              <a:schemeClr val="lt1"/>
            </a:solidFill>
          </a:ln>
          <a:effectLst/>
        </c:spPr>
      </c:pivotFmt>
      <c:pivotFmt>
        <c:idx val="119"/>
        <c:spPr>
          <a:solidFill>
            <a:schemeClr val="accent1">
              <a:shade val="53000"/>
            </a:schemeClr>
          </a:solidFill>
          <a:ln w="19050">
            <a:solidFill>
              <a:schemeClr val="lt1"/>
            </a:solidFill>
          </a:ln>
          <a:effectLst/>
        </c:spPr>
      </c:pivotFmt>
      <c:pivotFmt>
        <c:idx val="1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'Customer Analysis'!$B$3:$B$4</c:f>
              <c:strCache>
                <c:ptCount val="1"/>
                <c:pt idx="0">
                  <c:v>Americano</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5F8E-41A6-9CC3-59B8B7817E9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5F8E-41A6-9CC3-59B8B7817E99}"/>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5F8E-41A6-9CC3-59B8B7817E99}"/>
              </c:ext>
            </c:extLst>
          </c:dPt>
          <c:dPt>
            <c:idx val="3"/>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7-5F8E-41A6-9CC3-59B8B7817E99}"/>
              </c:ext>
            </c:extLst>
          </c:dPt>
          <c:dPt>
            <c:idx val="4"/>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9-5F8E-41A6-9CC3-59B8B7817E99}"/>
              </c:ext>
            </c:extLst>
          </c:dPt>
          <c:dPt>
            <c:idx val="5"/>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B-5F8E-41A6-9CC3-59B8B7817E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Analysis'!$A$5:$A$11</c:f>
              <c:strCache>
                <c:ptCount val="6"/>
                <c:pt idx="0">
                  <c:v>At Risk</c:v>
                </c:pt>
                <c:pt idx="1">
                  <c:v>Loyal</c:v>
                </c:pt>
                <c:pt idx="2">
                  <c:v>Occasional</c:v>
                </c:pt>
                <c:pt idx="3">
                  <c:v>Recent</c:v>
                </c:pt>
                <c:pt idx="4">
                  <c:v>Regular</c:v>
                </c:pt>
                <c:pt idx="5">
                  <c:v>VIP</c:v>
                </c:pt>
              </c:strCache>
            </c:strRef>
          </c:cat>
          <c:val>
            <c:numRef>
              <c:f>'Customer Analysis'!$B$5:$B$11</c:f>
              <c:numCache>
                <c:formatCode>General</c:formatCode>
                <c:ptCount val="6"/>
                <c:pt idx="0">
                  <c:v>145</c:v>
                </c:pt>
                <c:pt idx="1">
                  <c:v>4</c:v>
                </c:pt>
                <c:pt idx="2">
                  <c:v>16</c:v>
                </c:pt>
                <c:pt idx="3">
                  <c:v>15</c:v>
                </c:pt>
                <c:pt idx="4">
                  <c:v>9</c:v>
                </c:pt>
                <c:pt idx="5">
                  <c:v>6</c:v>
                </c:pt>
              </c:numCache>
            </c:numRef>
          </c:val>
          <c:extLst>
            <c:ext xmlns:c16="http://schemas.microsoft.com/office/drawing/2014/chart" uri="{C3380CC4-5D6E-409C-BE32-E72D297353CC}">
              <c16:uniqueId val="{0000000C-5F8E-41A6-9CC3-59B8B7817E99}"/>
            </c:ext>
          </c:extLst>
        </c:ser>
        <c:ser>
          <c:idx val="1"/>
          <c:order val="1"/>
          <c:tx>
            <c:strRef>
              <c:f>'Customer Analysis'!$C$3:$C$4</c:f>
              <c:strCache>
                <c:ptCount val="1"/>
                <c:pt idx="0">
                  <c:v>Americano with Milk</c:v>
                </c:pt>
              </c:strCache>
            </c:strRef>
          </c:tx>
          <c:dPt>
            <c:idx val="0"/>
            <c:bubble3D val="0"/>
            <c:spPr>
              <a:solidFill>
                <a:schemeClr val="accent1">
                  <a:tint val="54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shade val="90000"/>
                </a:schemeClr>
              </a:solidFill>
              <a:ln w="19050">
                <a:solidFill>
                  <a:schemeClr val="lt1"/>
                </a:solidFill>
              </a:ln>
              <a:effectLst/>
            </c:spPr>
          </c:dPt>
          <c:dPt>
            <c:idx val="4"/>
            <c:bubble3D val="0"/>
            <c:spPr>
              <a:solidFill>
                <a:schemeClr val="accent1">
                  <a:shade val="76000"/>
                </a:schemeClr>
              </a:solidFill>
              <a:ln w="19050">
                <a:solidFill>
                  <a:schemeClr val="lt1"/>
                </a:solidFill>
              </a:ln>
              <a:effectLst/>
            </c:spPr>
          </c:dPt>
          <c:dPt>
            <c:idx val="5"/>
            <c:bubble3D val="0"/>
            <c:spPr>
              <a:solidFill>
                <a:schemeClr val="accent1">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Analysis'!$A$5:$A$11</c:f>
              <c:strCache>
                <c:ptCount val="6"/>
                <c:pt idx="0">
                  <c:v>At Risk</c:v>
                </c:pt>
                <c:pt idx="1">
                  <c:v>Loyal</c:v>
                </c:pt>
                <c:pt idx="2">
                  <c:v>Occasional</c:v>
                </c:pt>
                <c:pt idx="3">
                  <c:v>Recent</c:v>
                </c:pt>
                <c:pt idx="4">
                  <c:v>Regular</c:v>
                </c:pt>
                <c:pt idx="5">
                  <c:v>VIP</c:v>
                </c:pt>
              </c:strCache>
            </c:strRef>
          </c:cat>
          <c:val>
            <c:numRef>
              <c:f>'Customer Analysis'!$C$5:$C$11</c:f>
              <c:numCache>
                <c:formatCode>General</c:formatCode>
                <c:ptCount val="6"/>
                <c:pt idx="0">
                  <c:v>208</c:v>
                </c:pt>
                <c:pt idx="1">
                  <c:v>9</c:v>
                </c:pt>
                <c:pt idx="2">
                  <c:v>40</c:v>
                </c:pt>
                <c:pt idx="3">
                  <c:v>15</c:v>
                </c:pt>
                <c:pt idx="4">
                  <c:v>14</c:v>
                </c:pt>
                <c:pt idx="5">
                  <c:v>4</c:v>
                </c:pt>
              </c:numCache>
            </c:numRef>
          </c:val>
          <c:extLst>
            <c:ext xmlns:c16="http://schemas.microsoft.com/office/drawing/2014/chart" uri="{C3380CC4-5D6E-409C-BE32-E72D297353CC}">
              <c16:uniqueId val="{00000068-C22D-493D-ADA3-0D65784FF88C}"/>
            </c:ext>
          </c:extLst>
        </c:ser>
        <c:ser>
          <c:idx val="2"/>
          <c:order val="2"/>
          <c:tx>
            <c:strRef>
              <c:f>'Customer Analysis'!$D$3:$D$4</c:f>
              <c:strCache>
                <c:ptCount val="1"/>
                <c:pt idx="0">
                  <c:v>Cappuccino</c:v>
                </c:pt>
              </c:strCache>
            </c:strRef>
          </c:tx>
          <c:dPt>
            <c:idx val="0"/>
            <c:bubble3D val="0"/>
            <c:spPr>
              <a:solidFill>
                <a:schemeClr val="accent1">
                  <a:tint val="54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shade val="90000"/>
                </a:schemeClr>
              </a:solidFill>
              <a:ln w="19050">
                <a:solidFill>
                  <a:schemeClr val="lt1"/>
                </a:solidFill>
              </a:ln>
              <a:effectLst/>
            </c:spPr>
          </c:dPt>
          <c:dPt>
            <c:idx val="4"/>
            <c:bubble3D val="0"/>
            <c:spPr>
              <a:solidFill>
                <a:schemeClr val="accent1">
                  <a:shade val="76000"/>
                </a:schemeClr>
              </a:solidFill>
              <a:ln w="19050">
                <a:solidFill>
                  <a:schemeClr val="lt1"/>
                </a:solidFill>
              </a:ln>
              <a:effectLst/>
            </c:spPr>
          </c:dPt>
          <c:dPt>
            <c:idx val="5"/>
            <c:bubble3D val="0"/>
            <c:spPr>
              <a:solidFill>
                <a:schemeClr val="accent1">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Analysis'!$A$5:$A$11</c:f>
              <c:strCache>
                <c:ptCount val="6"/>
                <c:pt idx="0">
                  <c:v>At Risk</c:v>
                </c:pt>
                <c:pt idx="1">
                  <c:v>Loyal</c:v>
                </c:pt>
                <c:pt idx="2">
                  <c:v>Occasional</c:v>
                </c:pt>
                <c:pt idx="3">
                  <c:v>Recent</c:v>
                </c:pt>
                <c:pt idx="4">
                  <c:v>Regular</c:v>
                </c:pt>
                <c:pt idx="5">
                  <c:v>VIP</c:v>
                </c:pt>
              </c:strCache>
            </c:strRef>
          </c:cat>
          <c:val>
            <c:numRef>
              <c:f>'Customer Analysis'!$D$5:$D$11</c:f>
              <c:numCache>
                <c:formatCode>General</c:formatCode>
                <c:ptCount val="6"/>
                <c:pt idx="0">
                  <c:v>153</c:v>
                </c:pt>
                <c:pt idx="1">
                  <c:v>2</c:v>
                </c:pt>
                <c:pt idx="2">
                  <c:v>21</c:v>
                </c:pt>
                <c:pt idx="3">
                  <c:v>9</c:v>
                </c:pt>
                <c:pt idx="4">
                  <c:v>7</c:v>
                </c:pt>
                <c:pt idx="5">
                  <c:v>3</c:v>
                </c:pt>
              </c:numCache>
            </c:numRef>
          </c:val>
          <c:extLst>
            <c:ext xmlns:c16="http://schemas.microsoft.com/office/drawing/2014/chart" uri="{C3380CC4-5D6E-409C-BE32-E72D297353CC}">
              <c16:uniqueId val="{00000069-C22D-493D-ADA3-0D65784FF88C}"/>
            </c:ext>
          </c:extLst>
        </c:ser>
        <c:ser>
          <c:idx val="3"/>
          <c:order val="3"/>
          <c:tx>
            <c:strRef>
              <c:f>'Customer Analysis'!$E$3:$E$4</c:f>
              <c:strCache>
                <c:ptCount val="1"/>
                <c:pt idx="0">
                  <c:v>Cocoa</c:v>
                </c:pt>
              </c:strCache>
            </c:strRef>
          </c:tx>
          <c:dPt>
            <c:idx val="0"/>
            <c:bubble3D val="0"/>
            <c:spPr>
              <a:solidFill>
                <a:schemeClr val="accent1">
                  <a:tint val="54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shade val="90000"/>
                </a:schemeClr>
              </a:solidFill>
              <a:ln w="19050">
                <a:solidFill>
                  <a:schemeClr val="lt1"/>
                </a:solidFill>
              </a:ln>
              <a:effectLst/>
            </c:spPr>
          </c:dPt>
          <c:dPt>
            <c:idx val="4"/>
            <c:bubble3D val="0"/>
            <c:spPr>
              <a:solidFill>
                <a:schemeClr val="accent1">
                  <a:shade val="76000"/>
                </a:schemeClr>
              </a:solidFill>
              <a:ln w="19050">
                <a:solidFill>
                  <a:schemeClr val="lt1"/>
                </a:solidFill>
              </a:ln>
              <a:effectLst/>
            </c:spPr>
          </c:dPt>
          <c:dPt>
            <c:idx val="5"/>
            <c:bubble3D val="0"/>
            <c:spPr>
              <a:solidFill>
                <a:schemeClr val="accent1">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Analysis'!$A$5:$A$11</c:f>
              <c:strCache>
                <c:ptCount val="6"/>
                <c:pt idx="0">
                  <c:v>At Risk</c:v>
                </c:pt>
                <c:pt idx="1">
                  <c:v>Loyal</c:v>
                </c:pt>
                <c:pt idx="2">
                  <c:v>Occasional</c:v>
                </c:pt>
                <c:pt idx="3">
                  <c:v>Recent</c:v>
                </c:pt>
                <c:pt idx="4">
                  <c:v>Regular</c:v>
                </c:pt>
                <c:pt idx="5">
                  <c:v>VIP</c:v>
                </c:pt>
              </c:strCache>
            </c:strRef>
          </c:cat>
          <c:val>
            <c:numRef>
              <c:f>'Customer Analysis'!$E$5:$E$11</c:f>
              <c:numCache>
                <c:formatCode>General</c:formatCode>
                <c:ptCount val="6"/>
                <c:pt idx="0">
                  <c:v>57</c:v>
                </c:pt>
                <c:pt idx="1">
                  <c:v>5</c:v>
                </c:pt>
                <c:pt idx="2">
                  <c:v>4</c:v>
                </c:pt>
                <c:pt idx="3">
                  <c:v>10</c:v>
                </c:pt>
                <c:pt idx="4">
                  <c:v>5</c:v>
                </c:pt>
                <c:pt idx="5">
                  <c:v>1</c:v>
                </c:pt>
              </c:numCache>
            </c:numRef>
          </c:val>
          <c:extLst>
            <c:ext xmlns:c16="http://schemas.microsoft.com/office/drawing/2014/chart" uri="{C3380CC4-5D6E-409C-BE32-E72D297353CC}">
              <c16:uniqueId val="{0000006A-C22D-493D-ADA3-0D65784FF88C}"/>
            </c:ext>
          </c:extLst>
        </c:ser>
        <c:ser>
          <c:idx val="4"/>
          <c:order val="4"/>
          <c:tx>
            <c:strRef>
              <c:f>'Customer Analysis'!$F$3:$F$4</c:f>
              <c:strCache>
                <c:ptCount val="1"/>
                <c:pt idx="0">
                  <c:v>Cortado</c:v>
                </c:pt>
              </c:strCache>
            </c:strRef>
          </c:tx>
          <c:dPt>
            <c:idx val="0"/>
            <c:bubble3D val="0"/>
            <c:spPr>
              <a:solidFill>
                <a:schemeClr val="accent1">
                  <a:tint val="54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shade val="90000"/>
                </a:schemeClr>
              </a:solidFill>
              <a:ln w="19050">
                <a:solidFill>
                  <a:schemeClr val="lt1"/>
                </a:solidFill>
              </a:ln>
              <a:effectLst/>
            </c:spPr>
          </c:dPt>
          <c:dPt>
            <c:idx val="4"/>
            <c:bubble3D val="0"/>
            <c:spPr>
              <a:solidFill>
                <a:schemeClr val="accent1">
                  <a:shade val="76000"/>
                </a:schemeClr>
              </a:solidFill>
              <a:ln w="19050">
                <a:solidFill>
                  <a:schemeClr val="lt1"/>
                </a:solidFill>
              </a:ln>
              <a:effectLst/>
            </c:spPr>
          </c:dPt>
          <c:dPt>
            <c:idx val="5"/>
            <c:bubble3D val="0"/>
            <c:spPr>
              <a:solidFill>
                <a:schemeClr val="accent1">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Analysis'!$A$5:$A$11</c:f>
              <c:strCache>
                <c:ptCount val="6"/>
                <c:pt idx="0">
                  <c:v>At Risk</c:v>
                </c:pt>
                <c:pt idx="1">
                  <c:v>Loyal</c:v>
                </c:pt>
                <c:pt idx="2">
                  <c:v>Occasional</c:v>
                </c:pt>
                <c:pt idx="3">
                  <c:v>Recent</c:v>
                </c:pt>
                <c:pt idx="4">
                  <c:v>Regular</c:v>
                </c:pt>
                <c:pt idx="5">
                  <c:v>VIP</c:v>
                </c:pt>
              </c:strCache>
            </c:strRef>
          </c:cat>
          <c:val>
            <c:numRef>
              <c:f>'Customer Analysis'!$F$5:$F$11</c:f>
              <c:numCache>
                <c:formatCode>General</c:formatCode>
                <c:ptCount val="6"/>
                <c:pt idx="0">
                  <c:v>63</c:v>
                </c:pt>
                <c:pt idx="1">
                  <c:v>2</c:v>
                </c:pt>
                <c:pt idx="2">
                  <c:v>5</c:v>
                </c:pt>
                <c:pt idx="3">
                  <c:v>3</c:v>
                </c:pt>
                <c:pt idx="4">
                  <c:v>3</c:v>
                </c:pt>
              </c:numCache>
            </c:numRef>
          </c:val>
          <c:extLst>
            <c:ext xmlns:c16="http://schemas.microsoft.com/office/drawing/2014/chart" uri="{C3380CC4-5D6E-409C-BE32-E72D297353CC}">
              <c16:uniqueId val="{0000006B-C22D-493D-ADA3-0D65784FF88C}"/>
            </c:ext>
          </c:extLst>
        </c:ser>
        <c:ser>
          <c:idx val="5"/>
          <c:order val="5"/>
          <c:tx>
            <c:strRef>
              <c:f>'Customer Analysis'!$G$3:$G$4</c:f>
              <c:strCache>
                <c:ptCount val="1"/>
                <c:pt idx="0">
                  <c:v>Espresso</c:v>
                </c:pt>
              </c:strCache>
            </c:strRef>
          </c:tx>
          <c:dPt>
            <c:idx val="0"/>
            <c:bubble3D val="0"/>
            <c:spPr>
              <a:solidFill>
                <a:schemeClr val="accent1">
                  <a:tint val="54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shade val="90000"/>
                </a:schemeClr>
              </a:solidFill>
              <a:ln w="19050">
                <a:solidFill>
                  <a:schemeClr val="lt1"/>
                </a:solidFill>
              </a:ln>
              <a:effectLst/>
            </c:spPr>
          </c:dPt>
          <c:dPt>
            <c:idx val="4"/>
            <c:bubble3D val="0"/>
            <c:spPr>
              <a:solidFill>
                <a:schemeClr val="accent1">
                  <a:shade val="76000"/>
                </a:schemeClr>
              </a:solidFill>
              <a:ln w="19050">
                <a:solidFill>
                  <a:schemeClr val="lt1"/>
                </a:solidFill>
              </a:ln>
              <a:effectLst/>
            </c:spPr>
          </c:dPt>
          <c:dPt>
            <c:idx val="5"/>
            <c:bubble3D val="0"/>
            <c:spPr>
              <a:solidFill>
                <a:schemeClr val="accent1">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Analysis'!$A$5:$A$11</c:f>
              <c:strCache>
                <c:ptCount val="6"/>
                <c:pt idx="0">
                  <c:v>At Risk</c:v>
                </c:pt>
                <c:pt idx="1">
                  <c:v>Loyal</c:v>
                </c:pt>
                <c:pt idx="2">
                  <c:v>Occasional</c:v>
                </c:pt>
                <c:pt idx="3">
                  <c:v>Recent</c:v>
                </c:pt>
                <c:pt idx="4">
                  <c:v>Regular</c:v>
                </c:pt>
                <c:pt idx="5">
                  <c:v>VIP</c:v>
                </c:pt>
              </c:strCache>
            </c:strRef>
          </c:cat>
          <c:val>
            <c:numRef>
              <c:f>'Customer Analysis'!$G$5:$G$11</c:f>
              <c:numCache>
                <c:formatCode>General</c:formatCode>
                <c:ptCount val="6"/>
                <c:pt idx="0">
                  <c:v>47</c:v>
                </c:pt>
                <c:pt idx="1">
                  <c:v>1</c:v>
                </c:pt>
                <c:pt idx="2">
                  <c:v>4</c:v>
                </c:pt>
                <c:pt idx="3">
                  <c:v>5</c:v>
                </c:pt>
                <c:pt idx="4">
                  <c:v>3</c:v>
                </c:pt>
              </c:numCache>
            </c:numRef>
          </c:val>
          <c:extLst>
            <c:ext xmlns:c16="http://schemas.microsoft.com/office/drawing/2014/chart" uri="{C3380CC4-5D6E-409C-BE32-E72D297353CC}">
              <c16:uniqueId val="{0000006C-C22D-493D-ADA3-0D65784FF88C}"/>
            </c:ext>
          </c:extLst>
        </c:ser>
        <c:ser>
          <c:idx val="6"/>
          <c:order val="6"/>
          <c:tx>
            <c:strRef>
              <c:f>'Customer Analysis'!$H$3:$H$4</c:f>
              <c:strCache>
                <c:ptCount val="1"/>
                <c:pt idx="0">
                  <c:v>Hot Chocolate</c:v>
                </c:pt>
              </c:strCache>
            </c:strRef>
          </c:tx>
          <c:dPt>
            <c:idx val="0"/>
            <c:bubble3D val="0"/>
            <c:spPr>
              <a:solidFill>
                <a:schemeClr val="accent1">
                  <a:tint val="54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shade val="90000"/>
                </a:schemeClr>
              </a:solidFill>
              <a:ln w="19050">
                <a:solidFill>
                  <a:schemeClr val="lt1"/>
                </a:solidFill>
              </a:ln>
              <a:effectLst/>
            </c:spPr>
          </c:dPt>
          <c:dPt>
            <c:idx val="4"/>
            <c:bubble3D val="0"/>
            <c:spPr>
              <a:solidFill>
                <a:schemeClr val="accent1">
                  <a:shade val="76000"/>
                </a:schemeClr>
              </a:solidFill>
              <a:ln w="19050">
                <a:solidFill>
                  <a:schemeClr val="lt1"/>
                </a:solidFill>
              </a:ln>
              <a:effectLst/>
            </c:spPr>
          </c:dPt>
          <c:dPt>
            <c:idx val="5"/>
            <c:bubble3D val="0"/>
            <c:spPr>
              <a:solidFill>
                <a:schemeClr val="accent1">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Analysis'!$A$5:$A$11</c:f>
              <c:strCache>
                <c:ptCount val="6"/>
                <c:pt idx="0">
                  <c:v>At Risk</c:v>
                </c:pt>
                <c:pt idx="1">
                  <c:v>Loyal</c:v>
                </c:pt>
                <c:pt idx="2">
                  <c:v>Occasional</c:v>
                </c:pt>
                <c:pt idx="3">
                  <c:v>Recent</c:v>
                </c:pt>
                <c:pt idx="4">
                  <c:v>Regular</c:v>
                </c:pt>
                <c:pt idx="5">
                  <c:v>VIP</c:v>
                </c:pt>
              </c:strCache>
            </c:strRef>
          </c:cat>
          <c:val>
            <c:numRef>
              <c:f>'Customer Analysis'!$H$5:$H$11</c:f>
              <c:numCache>
                <c:formatCode>General</c:formatCode>
                <c:ptCount val="6"/>
                <c:pt idx="0">
                  <c:v>87</c:v>
                </c:pt>
                <c:pt idx="1">
                  <c:v>1</c:v>
                </c:pt>
                <c:pt idx="2">
                  <c:v>14</c:v>
                </c:pt>
                <c:pt idx="3">
                  <c:v>6</c:v>
                </c:pt>
                <c:pt idx="4">
                  <c:v>5</c:v>
                </c:pt>
                <c:pt idx="5">
                  <c:v>1</c:v>
                </c:pt>
              </c:numCache>
            </c:numRef>
          </c:val>
          <c:extLst>
            <c:ext xmlns:c16="http://schemas.microsoft.com/office/drawing/2014/chart" uri="{C3380CC4-5D6E-409C-BE32-E72D297353CC}">
              <c16:uniqueId val="{0000006F-C22D-493D-ADA3-0D65784FF88C}"/>
            </c:ext>
          </c:extLst>
        </c:ser>
        <c:ser>
          <c:idx val="7"/>
          <c:order val="7"/>
          <c:tx>
            <c:strRef>
              <c:f>'Customer Analysis'!$I$3:$I$4</c:f>
              <c:strCache>
                <c:ptCount val="1"/>
                <c:pt idx="0">
                  <c:v>Latte</c:v>
                </c:pt>
              </c:strCache>
            </c:strRef>
          </c:tx>
          <c:dPt>
            <c:idx val="0"/>
            <c:bubble3D val="0"/>
            <c:spPr>
              <a:solidFill>
                <a:schemeClr val="accent1">
                  <a:tint val="54000"/>
                </a:schemeClr>
              </a:solidFill>
              <a:ln w="19050">
                <a:solidFill>
                  <a:schemeClr val="lt1"/>
                </a:solidFill>
              </a:ln>
              <a:effectLst/>
            </c:spPr>
          </c:dPt>
          <c:dPt>
            <c:idx val="1"/>
            <c:bubble3D val="0"/>
            <c:spPr>
              <a:solidFill>
                <a:schemeClr val="accent1">
                  <a:tint val="77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shade val="90000"/>
                </a:schemeClr>
              </a:solidFill>
              <a:ln w="19050">
                <a:solidFill>
                  <a:schemeClr val="lt1"/>
                </a:solidFill>
              </a:ln>
              <a:effectLst/>
            </c:spPr>
          </c:dPt>
          <c:dPt>
            <c:idx val="4"/>
            <c:bubble3D val="0"/>
            <c:spPr>
              <a:solidFill>
                <a:schemeClr val="accent1">
                  <a:shade val="76000"/>
                </a:schemeClr>
              </a:solidFill>
              <a:ln w="19050">
                <a:solidFill>
                  <a:schemeClr val="lt1"/>
                </a:solidFill>
              </a:ln>
              <a:effectLst/>
            </c:spPr>
          </c:dPt>
          <c:dPt>
            <c:idx val="5"/>
            <c:bubble3D val="0"/>
            <c:spPr>
              <a:solidFill>
                <a:schemeClr val="accent1">
                  <a:shade val="53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Analysis'!$A$5:$A$11</c:f>
              <c:strCache>
                <c:ptCount val="6"/>
                <c:pt idx="0">
                  <c:v>At Risk</c:v>
                </c:pt>
                <c:pt idx="1">
                  <c:v>Loyal</c:v>
                </c:pt>
                <c:pt idx="2">
                  <c:v>Occasional</c:v>
                </c:pt>
                <c:pt idx="3">
                  <c:v>Recent</c:v>
                </c:pt>
                <c:pt idx="4">
                  <c:v>Regular</c:v>
                </c:pt>
                <c:pt idx="5">
                  <c:v>VIP</c:v>
                </c:pt>
              </c:strCache>
            </c:strRef>
          </c:cat>
          <c:val>
            <c:numRef>
              <c:f>'Customer Analysis'!$I$5:$I$11</c:f>
              <c:numCache>
                <c:formatCode>General</c:formatCode>
                <c:ptCount val="6"/>
                <c:pt idx="0">
                  <c:v>229</c:v>
                </c:pt>
                <c:pt idx="1">
                  <c:v>2</c:v>
                </c:pt>
                <c:pt idx="2">
                  <c:v>43</c:v>
                </c:pt>
                <c:pt idx="3">
                  <c:v>13</c:v>
                </c:pt>
                <c:pt idx="4">
                  <c:v>14</c:v>
                </c:pt>
                <c:pt idx="5">
                  <c:v>3</c:v>
                </c:pt>
              </c:numCache>
            </c:numRef>
          </c:val>
          <c:extLst>
            <c:ext xmlns:c16="http://schemas.microsoft.com/office/drawing/2014/chart" uri="{C3380CC4-5D6E-409C-BE32-E72D297353CC}">
              <c16:uniqueId val="{00000070-C22D-493D-ADA3-0D65784FF88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ANALYSIS DASHBOARD.xlsx]Customer 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Spend per Visit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Analysis'!$B$14</c:f>
              <c:strCache>
                <c:ptCount val="1"/>
                <c:pt idx="0">
                  <c:v>Total</c:v>
                </c:pt>
              </c:strCache>
            </c:strRef>
          </c:tx>
          <c:spPr>
            <a:solidFill>
              <a:schemeClr val="accent1"/>
            </a:solidFill>
            <a:ln w="2222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'Customer Analysis'!$A$15:$A$21</c:f>
              <c:strCache>
                <c:ptCount val="6"/>
                <c:pt idx="0">
                  <c:v>Recent</c:v>
                </c:pt>
                <c:pt idx="1">
                  <c:v>VIP</c:v>
                </c:pt>
                <c:pt idx="2">
                  <c:v>Loyal</c:v>
                </c:pt>
                <c:pt idx="3">
                  <c:v>Regular</c:v>
                </c:pt>
                <c:pt idx="4">
                  <c:v>At Risk</c:v>
                </c:pt>
                <c:pt idx="5">
                  <c:v>Occasional</c:v>
                </c:pt>
              </c:strCache>
            </c:strRef>
          </c:cat>
          <c:val>
            <c:numRef>
              <c:f>'Customer Analysis'!$B$15:$B$21</c:f>
              <c:numCache>
                <c:formatCode>_-"R"* #,##0.00_-;\-"R"* #,##0.00_-;_-"R"* "-"??_-;_-@_-</c:formatCode>
                <c:ptCount val="6"/>
                <c:pt idx="0">
                  <c:v>31.472500000000004</c:v>
                </c:pt>
                <c:pt idx="1">
                  <c:v>31.512646508199573</c:v>
                </c:pt>
                <c:pt idx="2">
                  <c:v>31.729970200894115</c:v>
                </c:pt>
                <c:pt idx="3">
                  <c:v>31.845703743180959</c:v>
                </c:pt>
                <c:pt idx="4">
                  <c:v>31.879140546005669</c:v>
                </c:pt>
                <c:pt idx="5">
                  <c:v>32.46503847103282</c:v>
                </c:pt>
              </c:numCache>
            </c:numRef>
          </c:val>
          <c:extLst>
            <c:ext xmlns:c16="http://schemas.microsoft.com/office/drawing/2014/chart" uri="{C3380CC4-5D6E-409C-BE32-E72D297353CC}">
              <c16:uniqueId val="{00000004-8536-4E11-86D4-C5ED4BF6C47E}"/>
            </c:ext>
          </c:extLst>
        </c:ser>
        <c:dLbls>
          <c:dLblPos val="outEnd"/>
          <c:showLegendKey val="0"/>
          <c:showVal val="1"/>
          <c:showCatName val="0"/>
          <c:showSerName val="0"/>
          <c:showPercent val="0"/>
          <c:showBubbleSize val="0"/>
        </c:dLbls>
        <c:gapWidth val="182"/>
        <c:axId val="1166555536"/>
        <c:axId val="1166560336"/>
      </c:barChart>
      <c:catAx>
        <c:axId val="116655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60336"/>
        <c:crosses val="autoZero"/>
        <c:auto val="1"/>
        <c:lblAlgn val="ctr"/>
        <c:lblOffset val="100"/>
        <c:noMultiLvlLbl val="0"/>
      </c:catAx>
      <c:valAx>
        <c:axId val="1166560336"/>
        <c:scaling>
          <c:orientation val="minMax"/>
        </c:scaling>
        <c:delete val="0"/>
        <c:axPos val="b"/>
        <c:majorGridlines>
          <c:spPr>
            <a:ln w="9525" cap="flat" cmpd="sng" algn="ctr">
              <a:noFill/>
              <a:prstDash val="solid"/>
              <a:round/>
            </a:ln>
            <a:effectLst/>
          </c:spPr>
        </c:majorGridlines>
        <c:numFmt formatCode="_-&quot;R&quot;* #,##0.00_-;\-&quot;R&quot;* #,##0.00_-;_-&quot;R&quot;* &quot;-&quot;??_-;_-@_-"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55536"/>
        <c:crosses val="autoZero"/>
        <c:crossBetween val="between"/>
      </c:valAx>
      <c:spPr>
        <a:solidFill>
          <a:schemeClr val="bg1"/>
        </a:solidFill>
        <a:ln>
          <a:noFill/>
        </a:ln>
        <a:effectLst/>
      </c:spPr>
    </c:plotArea>
    <c:plotVisOnly val="1"/>
    <c:dispBlanksAs val="gap"/>
    <c:showDLblsOverMax val="0"/>
    <c:extLst/>
  </c:chart>
  <c:spPr>
    <a:solidFill>
      <a:schemeClr val="bg1"/>
    </a:solidFill>
    <a:ln w="6350" cap="flat" cmpd="sng" algn="ctr">
      <a:solidFill>
        <a:schemeClr val="accent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ANALYSIS DASHBOARD.xlsx]Product Analysis!PivotTable6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Analysis'!$C$1</c:f>
              <c:strCache>
                <c:ptCount val="1"/>
                <c:pt idx="0">
                  <c:v>Total</c:v>
                </c:pt>
              </c:strCache>
            </c:strRef>
          </c:tx>
          <c:spPr>
            <a:solidFill>
              <a:schemeClr val="accent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Analysis'!$A$2:$B$9</c:f>
              <c:strCache>
                <c:ptCount val="8"/>
                <c:pt idx="0">
                  <c:v>Espresso</c:v>
                </c:pt>
                <c:pt idx="1">
                  <c:v>Cocoa</c:v>
                </c:pt>
                <c:pt idx="2">
                  <c:v>Cortado</c:v>
                </c:pt>
                <c:pt idx="3">
                  <c:v>Hot Chocolate</c:v>
                </c:pt>
                <c:pt idx="4">
                  <c:v>Cappuccino</c:v>
                </c:pt>
                <c:pt idx="5">
                  <c:v>Americano</c:v>
                </c:pt>
                <c:pt idx="6">
                  <c:v>Americano with Milk</c:v>
                </c:pt>
                <c:pt idx="7">
                  <c:v>Latte</c:v>
                </c:pt>
              </c:strCache>
            </c:strRef>
          </c:cat>
          <c:val>
            <c:numRef>
              <c:f>'Product Analysis'!$C$2:$C$9</c:f>
              <c:numCache>
                <c:formatCode>_-"R"* #,##0.00_-;\-"R"* #,##0.00_-;_-"R"* "-"??_-;_-@_-</c:formatCode>
                <c:ptCount val="8"/>
                <c:pt idx="0">
                  <c:v>2104.0999999999985</c:v>
                </c:pt>
                <c:pt idx="1">
                  <c:v>6139.4200000000073</c:v>
                </c:pt>
                <c:pt idx="2">
                  <c:v>7276.2200000000066</c:v>
                </c:pt>
                <c:pt idx="3">
                  <c:v>8431.5000000000146</c:v>
                </c:pt>
                <c:pt idx="4">
                  <c:v>14573.380000000006</c:v>
                </c:pt>
                <c:pt idx="5">
                  <c:v>19997.039999999939</c:v>
                </c:pt>
                <c:pt idx="6">
                  <c:v>25365.920000000049</c:v>
                </c:pt>
                <c:pt idx="7">
                  <c:v>28357.999999999862</c:v>
                </c:pt>
              </c:numCache>
            </c:numRef>
          </c:val>
          <c:extLst>
            <c:ext xmlns:c16="http://schemas.microsoft.com/office/drawing/2014/chart" uri="{C3380CC4-5D6E-409C-BE32-E72D297353CC}">
              <c16:uniqueId val="{00000003-247E-48C0-A62B-E799EA7DEDBB}"/>
            </c:ext>
          </c:extLst>
        </c:ser>
        <c:dLbls>
          <c:showLegendKey val="0"/>
          <c:showVal val="1"/>
          <c:showCatName val="0"/>
          <c:showSerName val="0"/>
          <c:showPercent val="0"/>
          <c:showBubbleSize val="0"/>
        </c:dLbls>
        <c:gapWidth val="182"/>
        <c:axId val="1288887872"/>
        <c:axId val="1288885952"/>
      </c:barChart>
      <c:catAx>
        <c:axId val="128888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85952"/>
        <c:crosses val="autoZero"/>
        <c:auto val="1"/>
        <c:lblAlgn val="ctr"/>
        <c:lblOffset val="100"/>
        <c:noMultiLvlLbl val="0"/>
      </c:catAx>
      <c:valAx>
        <c:axId val="1288885952"/>
        <c:scaling>
          <c:orientation val="minMax"/>
        </c:scaling>
        <c:delete val="0"/>
        <c:axPos val="b"/>
        <c:numFmt formatCode="_-&quot;R&quot;* #,##0.00_-;\-&quot;R&quot;* #,##0.00_-;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8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14</xdr:col>
      <xdr:colOff>0</xdr:colOff>
      <xdr:row>26</xdr:row>
      <xdr:rowOff>0</xdr:rowOff>
    </xdr:to>
    <xdr:graphicFrame macro="">
      <xdr:nvGraphicFramePr>
        <xdr:cNvPr id="8" name="Chart 7">
          <a:extLst>
            <a:ext uri="{FF2B5EF4-FFF2-40B4-BE49-F238E27FC236}">
              <a16:creationId xmlns:a16="http://schemas.microsoft.com/office/drawing/2014/main" id="{D3805E43-88C0-4639-ABEF-004ADEB36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26</xdr:row>
      <xdr:rowOff>0</xdr:rowOff>
    </xdr:from>
    <xdr:to>
      <xdr:col>26</xdr:col>
      <xdr:colOff>0</xdr:colOff>
      <xdr:row>37</xdr:row>
      <xdr:rowOff>0</xdr:rowOff>
    </xdr:to>
    <xdr:graphicFrame macro="">
      <xdr:nvGraphicFramePr>
        <xdr:cNvPr id="10" name="Chart 9">
          <a:extLst>
            <a:ext uri="{FF2B5EF4-FFF2-40B4-BE49-F238E27FC236}">
              <a16:creationId xmlns:a16="http://schemas.microsoft.com/office/drawing/2014/main" id="{62148B60-7D05-49F6-9794-76F008E76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111701</xdr:colOff>
      <xdr:row>5</xdr:row>
      <xdr:rowOff>0</xdr:rowOff>
    </xdr:from>
    <xdr:to>
      <xdr:col>14</xdr:col>
      <xdr:colOff>1017</xdr:colOff>
      <xdr:row>14</xdr:row>
      <xdr:rowOff>0</xdr:rowOff>
    </xdr:to>
    <mc:AlternateContent xmlns:mc="http://schemas.openxmlformats.org/markup-compatibility/2006" xmlns:tsle="http://schemas.microsoft.com/office/drawing/2012/timeslicer">
      <mc:Choice Requires="tsle">
        <xdr:graphicFrame macro="">
          <xdr:nvGraphicFramePr>
            <xdr:cNvPr id="12" name="First Purchase 1">
              <a:extLst>
                <a:ext uri="{FF2B5EF4-FFF2-40B4-BE49-F238E27FC236}">
                  <a16:creationId xmlns:a16="http://schemas.microsoft.com/office/drawing/2014/main" id="{F57A8E2B-2CA6-4466-BB47-B347B0EA041D}"/>
                </a:ext>
              </a:extLst>
            </xdr:cNvPr>
            <xdr:cNvGraphicFramePr/>
          </xdr:nvGraphicFramePr>
          <xdr:xfrm>
            <a:off x="0" y="0"/>
            <a:ext cx="0" cy="0"/>
          </xdr:xfrm>
          <a:graphic>
            <a:graphicData uri="http://schemas.microsoft.com/office/drawing/2012/timeslicer">
              <tsle:timeslicer name="First Purchase 1"/>
            </a:graphicData>
          </a:graphic>
        </xdr:graphicFrame>
      </mc:Choice>
      <mc:Fallback xmlns="">
        <xdr:sp macro="" textlink="">
          <xdr:nvSpPr>
            <xdr:cNvPr id="0" name=""/>
            <xdr:cNvSpPr>
              <a:spLocks noTextEdit="1"/>
            </xdr:cNvSpPr>
          </xdr:nvSpPr>
          <xdr:spPr>
            <a:xfrm>
              <a:off x="111701" y="640773"/>
              <a:ext cx="8860134" cy="157595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111701</xdr:colOff>
      <xdr:row>1</xdr:row>
      <xdr:rowOff>0</xdr:rowOff>
    </xdr:from>
    <xdr:to>
      <xdr:col>26</xdr:col>
      <xdr:colOff>0</xdr:colOff>
      <xdr:row>4</xdr:row>
      <xdr:rowOff>0</xdr:rowOff>
    </xdr:to>
    <xdr:sp macro="" textlink="">
      <xdr:nvSpPr>
        <xdr:cNvPr id="13" name="Rectangle 12">
          <a:extLst>
            <a:ext uri="{FF2B5EF4-FFF2-40B4-BE49-F238E27FC236}">
              <a16:creationId xmlns:a16="http://schemas.microsoft.com/office/drawing/2014/main" id="{7BE8E304-7CBF-E1E9-DFAD-1C218B44D3D0}"/>
            </a:ext>
          </a:extLst>
        </xdr:cNvPr>
        <xdr:cNvSpPr/>
      </xdr:nvSpPr>
      <xdr:spPr>
        <a:xfrm>
          <a:off x="111701" y="17318"/>
          <a:ext cx="16132754"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CUSTOMER ANALYSIS DASHBOARD</a:t>
          </a:r>
        </a:p>
      </xdr:txBody>
    </xdr:sp>
    <xdr:clientData/>
  </xdr:twoCellAnchor>
  <xdr:twoCellAnchor editAs="oneCell">
    <xdr:from>
      <xdr:col>14</xdr:col>
      <xdr:colOff>0</xdr:colOff>
      <xdr:row>5</xdr:row>
      <xdr:rowOff>0</xdr:rowOff>
    </xdr:from>
    <xdr:to>
      <xdr:col>20</xdr:col>
      <xdr:colOff>0</xdr:colOff>
      <xdr:row>10</xdr:row>
      <xdr:rowOff>0</xdr:rowOff>
    </xdr:to>
    <mc:AlternateContent xmlns:mc="http://schemas.openxmlformats.org/markup-compatibility/2006" xmlns:a14="http://schemas.microsoft.com/office/drawing/2010/main">
      <mc:Choice Requires="a14">
        <xdr:graphicFrame macro="">
          <xdr:nvGraphicFramePr>
            <xdr:cNvPr id="15" name="Favorite Product 1">
              <a:extLst>
                <a:ext uri="{FF2B5EF4-FFF2-40B4-BE49-F238E27FC236}">
                  <a16:creationId xmlns:a16="http://schemas.microsoft.com/office/drawing/2014/main" id="{4F858001-BB09-4545-9843-B1D00D5B81C5}"/>
                </a:ext>
              </a:extLst>
            </xdr:cNvPr>
            <xdr:cNvGraphicFramePr/>
          </xdr:nvGraphicFramePr>
          <xdr:xfrm>
            <a:off x="0" y="0"/>
            <a:ext cx="0" cy="0"/>
          </xdr:xfrm>
          <a:graphic>
            <a:graphicData uri="http://schemas.microsoft.com/office/drawing/2010/slicer">
              <sle:slicer xmlns:sle="http://schemas.microsoft.com/office/drawing/2010/slicer" name="Favorite Product 1"/>
            </a:graphicData>
          </a:graphic>
        </xdr:graphicFrame>
      </mc:Choice>
      <mc:Fallback xmlns="">
        <xdr:sp macro="" textlink="">
          <xdr:nvSpPr>
            <xdr:cNvPr id="0" name=""/>
            <xdr:cNvSpPr>
              <a:spLocks noTextEdit="1"/>
            </xdr:cNvSpPr>
          </xdr:nvSpPr>
          <xdr:spPr>
            <a:xfrm>
              <a:off x="8970818" y="640773"/>
              <a:ext cx="3636818"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1761</xdr:colOff>
      <xdr:row>5</xdr:row>
      <xdr:rowOff>0</xdr:rowOff>
    </xdr:from>
    <xdr:to>
      <xdr:col>26</xdr:col>
      <xdr:colOff>-1</xdr:colOff>
      <xdr:row>10</xdr:row>
      <xdr:rowOff>0</xdr:rowOff>
    </xdr:to>
    <mc:AlternateContent xmlns:mc="http://schemas.openxmlformats.org/markup-compatibility/2006" xmlns:a14="http://schemas.microsoft.com/office/drawing/2010/main">
      <mc:Choice Requires="a14">
        <xdr:graphicFrame macro="">
          <xdr:nvGraphicFramePr>
            <xdr:cNvPr id="17" name="Segment">
              <a:extLst>
                <a:ext uri="{FF2B5EF4-FFF2-40B4-BE49-F238E27FC236}">
                  <a16:creationId xmlns:a16="http://schemas.microsoft.com/office/drawing/2014/main" id="{78EF9E1E-185A-444C-9302-1481AC67AD0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609397" y="640773"/>
              <a:ext cx="363505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14</xdr:row>
      <xdr:rowOff>0</xdr:rowOff>
    </xdr:from>
    <xdr:to>
      <xdr:col>20</xdr:col>
      <xdr:colOff>0</xdr:colOff>
      <xdr:row>26</xdr:row>
      <xdr:rowOff>-1</xdr:rowOff>
    </xdr:to>
    <xdr:graphicFrame macro="">
      <xdr:nvGraphicFramePr>
        <xdr:cNvPr id="19" name="Chart 18">
          <a:extLst>
            <a:ext uri="{FF2B5EF4-FFF2-40B4-BE49-F238E27FC236}">
              <a16:creationId xmlns:a16="http://schemas.microsoft.com/office/drawing/2014/main" id="{1CD419D8-968A-4DE7-AE41-6E4033B9E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10</xdr:row>
      <xdr:rowOff>1</xdr:rowOff>
    </xdr:from>
    <xdr:to>
      <xdr:col>20</xdr:col>
      <xdr:colOff>0</xdr:colOff>
      <xdr:row>14</xdr:row>
      <xdr:rowOff>0</xdr:rowOff>
    </xdr:to>
    <mc:AlternateContent xmlns:mc="http://schemas.openxmlformats.org/markup-compatibility/2006" xmlns:a14="http://schemas.microsoft.com/office/drawing/2010/main">
      <mc:Choice Requires="a14">
        <xdr:graphicFrame macro="">
          <xdr:nvGraphicFramePr>
            <xdr:cNvPr id="21" name="Priority">
              <a:extLst>
                <a:ext uri="{FF2B5EF4-FFF2-40B4-BE49-F238E27FC236}">
                  <a16:creationId xmlns:a16="http://schemas.microsoft.com/office/drawing/2014/main" id="{C675DCBB-B9F2-41F7-8E0C-AD3C6996E049}"/>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8970818" y="1593274"/>
              <a:ext cx="3636818" cy="623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10</xdr:row>
      <xdr:rowOff>17318</xdr:rowOff>
    </xdr:from>
    <xdr:to>
      <xdr:col>26</xdr:col>
      <xdr:colOff>0</xdr:colOff>
      <xdr:row>26</xdr:row>
      <xdr:rowOff>0</xdr:rowOff>
    </xdr:to>
    <xdr:graphicFrame macro="">
      <xdr:nvGraphicFramePr>
        <xdr:cNvPr id="23" name="Chart 22">
          <a:extLst>
            <a:ext uri="{FF2B5EF4-FFF2-40B4-BE49-F238E27FC236}">
              <a16:creationId xmlns:a16="http://schemas.microsoft.com/office/drawing/2014/main" id="{08EF5677-EBA7-42BE-B212-05BC9C386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111701</xdr:colOff>
      <xdr:row>26</xdr:row>
      <xdr:rowOff>0</xdr:rowOff>
    </xdr:from>
    <xdr:to>
      <xdr:col>13</xdr:col>
      <xdr:colOff>606135</xdr:colOff>
      <xdr:row>37</xdr:row>
      <xdr:rowOff>0</xdr:rowOff>
    </xdr:to>
    <xdr:graphicFrame macro="">
      <xdr:nvGraphicFramePr>
        <xdr:cNvPr id="25" name="Chart 24">
          <a:extLst>
            <a:ext uri="{FF2B5EF4-FFF2-40B4-BE49-F238E27FC236}">
              <a16:creationId xmlns:a16="http://schemas.microsoft.com/office/drawing/2014/main" id="{71AB4802-E77E-41A5-8CA1-A34B56BED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489137</xdr:colOff>
      <xdr:row>12</xdr:row>
      <xdr:rowOff>133350</xdr:rowOff>
    </xdr:from>
    <xdr:to>
      <xdr:col>9</xdr:col>
      <xdr:colOff>192181</xdr:colOff>
      <xdr:row>19</xdr:row>
      <xdr:rowOff>171450</xdr:rowOff>
    </xdr:to>
    <mc:AlternateContent xmlns:mc="http://schemas.openxmlformats.org/markup-compatibility/2006" xmlns:tsle="http://schemas.microsoft.com/office/drawing/2012/timeslicer">
      <mc:Choice Requires="tsle">
        <xdr:graphicFrame macro="">
          <xdr:nvGraphicFramePr>
            <xdr:cNvPr id="2" name="First Purchase">
              <a:extLst>
                <a:ext uri="{FF2B5EF4-FFF2-40B4-BE49-F238E27FC236}">
                  <a16:creationId xmlns:a16="http://schemas.microsoft.com/office/drawing/2014/main" id="{C82D5F43-91B6-1B04-5150-F10C7C57DF6E}"/>
                </a:ext>
              </a:extLst>
            </xdr:cNvPr>
            <xdr:cNvGraphicFramePr/>
          </xdr:nvGraphicFramePr>
          <xdr:xfrm>
            <a:off x="0" y="0"/>
            <a:ext cx="0" cy="0"/>
          </xdr:xfrm>
          <a:graphic>
            <a:graphicData uri="http://schemas.microsoft.com/office/drawing/2012/timeslicer">
              <tsle:timeslicer name="First Purchase"/>
            </a:graphicData>
          </a:graphic>
        </xdr:graphicFrame>
      </mc:Choice>
      <mc:Fallback xmlns="">
        <xdr:sp macro="" textlink="">
          <xdr:nvSpPr>
            <xdr:cNvPr id="0" name=""/>
            <xdr:cNvSpPr>
              <a:spLocks noTextEdit="1"/>
            </xdr:cNvSpPr>
          </xdr:nvSpPr>
          <xdr:spPr>
            <a:xfrm>
              <a:off x="3906931" y="24193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sh" refreshedDate="46197.590856712966" createdVersion="8" refreshedVersion="8" minRefreshableVersion="3" recordCount="1316" xr:uid="{9633E3FC-8375-4337-A888-E376714C35BE}">
  <cacheSource type="worksheet">
    <worksheetSource name="Table1"/>
  </cacheSource>
  <cacheFields count="13">
    <cacheField name="Customer ID" numFmtId="0">
      <sharedItems count="1316">
        <s v="ANON-0000-0000-0001"/>
        <s v="ANON-0000-0000-0002"/>
        <s v="ANON-0000-0000-0003"/>
        <s v="ANON-0000-0000-0004"/>
        <s v="ANON-0000-0000-0005"/>
        <s v="ANON-0000-0000-0006"/>
        <s v="ANON-0000-0000-0007"/>
        <s v="ANON-0000-0000-0008"/>
        <s v="ANON-0000-0000-0009"/>
        <s v="ANON-0000-0000-0010"/>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sharedItems>
    </cacheField>
    <cacheField name="First Purchase" numFmtId="14">
      <sharedItems containsSemiMixedTypes="0" containsNonDate="0" containsDate="1" containsString="0" minDate="2024-03-01T10:15:51" maxDate="2025-03-23T15:47:29" count="1316">
        <d v="2024-03-01T10:15:51"/>
        <d v="2024-03-01T12:19:23"/>
        <d v="2024-03-01T13:46:33"/>
        <d v="2024-03-01T13:48:15"/>
        <d v="2024-03-01T15:39:48"/>
        <d v="2024-03-01T16:19:03"/>
        <d v="2024-03-01T18:39:04"/>
        <d v="2024-03-01T19:22:02"/>
        <d v="2024-03-01T19:29:17"/>
        <d v="2024-03-02T10:22:07"/>
        <d v="2024-03-02T10:41:41"/>
        <d v="2024-03-02T11:59:45"/>
        <d v="2024-03-02T14:38:36"/>
        <d v="2024-03-02T16:37:24"/>
        <d v="2024-03-03T10:27:19"/>
        <d v="2024-03-03T11:33:56"/>
        <d v="2024-03-03T13:09:36"/>
        <d v="2024-03-03T17:06:40"/>
        <d v="2024-03-03T17:08:46"/>
        <d v="2024-03-03T18:03:23"/>
        <d v="2024-03-04T10:54:51"/>
        <d v="2024-03-04T14:04:38"/>
        <d v="2024-03-05T14:34:56"/>
        <d v="2024-03-05T17:34:06"/>
        <d v="2024-03-05T17:35:25"/>
        <d v="2024-03-05T17:36:29"/>
        <d v="2024-03-05T17:37:14"/>
        <d v="2024-03-05T17:56:16"/>
        <d v="2024-03-06T14:52:02"/>
        <d v="2024-03-07T10:18:41"/>
        <d v="2024-03-07T11:03:59"/>
        <d v="2024-03-07T15:40:23"/>
        <d v="2024-03-07T15:41:29"/>
        <d v="2024-03-08T12:22:29"/>
        <d v="2024-03-08T13:53:02"/>
        <d v="2024-03-08T18:57:51"/>
        <d v="2024-03-08T18:59:25"/>
        <d v="2024-03-09T12:05:16"/>
        <d v="2024-03-09T12:07:38"/>
        <d v="2024-03-09T12:13:04"/>
        <d v="2024-03-09T13:09:22"/>
        <d v="2024-03-09T13:41:06"/>
        <d v="2024-03-09T13:53:10"/>
        <d v="2024-03-09T14:26:53"/>
        <d v="2024-03-10T11:19:21"/>
        <d v="2024-03-10T19:34:00"/>
        <d v="2024-03-11T16:24:26"/>
        <d v="2024-03-11T16:50:50"/>
        <d v="2024-03-12T11:20:46"/>
        <d v="2024-03-12T16:15:43"/>
        <d v="2024-03-13T12:18:06"/>
        <d v="2024-03-13T14:26:41"/>
        <d v="2024-03-13T15:40:22"/>
        <d v="2024-03-13T16:47:09"/>
        <d v="2024-03-14T10:28:33"/>
        <d v="2024-03-14T13:52:00"/>
        <d v="2024-03-14T13:52:56"/>
        <d v="2024-03-14T15:20:38"/>
        <d v="2024-03-14T16:04:10"/>
        <d v="2024-03-15T10:53:02"/>
        <d v="2024-03-16T12:06:55"/>
        <d v="2024-03-16T17:58:07"/>
        <d v="2024-03-17T12:55:26"/>
        <d v="2024-03-18T11:18:00"/>
        <d v="2024-03-19T14:02:22"/>
        <d v="2024-03-19T16:53:49"/>
        <d v="2024-03-20T13:16:47"/>
        <d v="2024-03-20T17:50:29"/>
        <d v="2024-03-21T19:20:37"/>
        <d v="2024-03-22T10:35:54"/>
        <d v="2024-03-22T13:29:20"/>
        <d v="2024-03-23T10:44:00"/>
        <d v="2024-03-23T10:45:07"/>
        <d v="2024-03-23T13:10:08"/>
        <d v="2024-03-23T14:44:41"/>
        <d v="2024-03-23T15:47:19"/>
        <d v="2024-03-24T18:45:08"/>
        <d v="2024-03-25T14:27:09"/>
        <d v="2024-03-25T19:34:25"/>
        <d v="2024-03-26T10:42:30"/>
        <d v="2024-03-26T15:48:02"/>
        <d v="2024-03-27T12:57:00"/>
        <d v="2024-03-27T13:35:20"/>
        <d v="2024-03-27T18:30:12"/>
        <d v="2024-03-28T14:24:47"/>
        <d v="2024-03-28T17:32:45"/>
        <d v="2024-03-29T10:56:19"/>
        <d v="2024-03-29T12:34:17"/>
        <d v="2024-03-31T10:40:05"/>
        <d v="2024-04-01T18:45:27"/>
        <d v="2024-04-04T10:44:56"/>
        <d v="2024-04-04T11:26:38"/>
        <d v="2024-04-04T11:27:48"/>
        <d v="2024-04-04T12:23:02"/>
        <d v="2024-04-05T10:40:43"/>
        <d v="2024-04-05T11:06:15"/>
        <d v="2024-04-05T12:14:28"/>
        <d v="2024-04-05T14:23:40"/>
        <d v="2024-04-06T12:32:31"/>
        <d v="2024-04-07T14:16:25"/>
        <d v="2024-04-07T18:01:17"/>
        <d v="2024-04-08T10:58:21"/>
        <d v="2024-04-08T10:59:28"/>
        <d v="2024-04-08T11:04:47"/>
        <d v="2024-04-08T18:18:10"/>
        <d v="2024-04-08T19:23:59"/>
        <d v="2024-04-09T15:11:49"/>
        <d v="2024-04-10T17:55:31"/>
        <d v="2024-04-10T20:04:05"/>
        <d v="2024-04-11T10:41:23"/>
        <d v="2024-04-13T16:18:04"/>
        <d v="2024-04-13T17:51:26"/>
        <d v="2024-04-14T12:24:39"/>
        <d v="2024-04-14T13:21:50"/>
        <d v="2024-04-14T18:38:20"/>
        <d v="2024-04-16T10:46:26"/>
        <d v="2024-04-16T12:40:48"/>
        <d v="2024-04-16T15:03:17"/>
        <d v="2024-04-17T13:44:00"/>
        <d v="2024-04-17T17:01:35"/>
        <d v="2024-04-17T18:14:03"/>
        <d v="2024-04-18T13:49:13"/>
        <d v="2024-04-18T14:34:20"/>
        <d v="2024-04-19T13:58:54"/>
        <d v="2024-04-20T12:08:36"/>
        <d v="2024-04-20T15:49:25"/>
        <d v="2024-04-20T18:27:41"/>
        <d v="2024-04-20T19:30:55"/>
        <d v="2024-04-22T11:29:27"/>
        <d v="2024-04-23T19:42:28"/>
        <d v="2024-04-24T10:21:27"/>
        <d v="2024-04-24T11:23:46"/>
        <d v="2024-04-24T11:33:26"/>
        <d v="2024-04-24T19:39:50"/>
        <d v="2024-04-25T10:46:08"/>
        <d v="2024-04-26T12:01:31"/>
        <d v="2024-04-26T13:31:28"/>
        <d v="2024-04-26T16:23:27"/>
        <d v="2024-04-26T16:24:34"/>
        <d v="2024-04-28T12:30:10"/>
        <d v="2024-04-29T11:26:32"/>
        <d v="2024-04-30T10:16:41"/>
        <d v="2024-05-02T10:33:56"/>
        <d v="2024-05-02T18:36:22"/>
        <d v="2024-05-02T19:18:33"/>
        <d v="2024-05-03T14:30:01"/>
        <d v="2024-05-03T17:03:25"/>
        <d v="2024-05-06T10:05:18"/>
        <d v="2024-05-06T10:06:52"/>
        <d v="2024-05-06T10:09:08"/>
        <d v="2024-05-06T19:18:13"/>
        <d v="2024-05-07T16:55:39"/>
        <d v="2024-05-07T17:37:46"/>
        <d v="2024-05-07T19:12:13"/>
        <d v="2024-05-09T12:54:22"/>
        <d v="2024-05-09T13:03:59"/>
        <d v="2024-05-09T18:01:30"/>
        <d v="2024-05-10T15:46:22"/>
        <d v="2024-05-11T19:38:16"/>
        <d v="2024-05-12T13:24:03"/>
        <d v="2024-05-12T13:27:39"/>
        <d v="2024-05-12T15:38:02"/>
        <d v="2024-05-12T15:52:15"/>
        <d v="2024-05-13T11:03:53"/>
        <d v="2024-05-14T11:32:29"/>
        <d v="2024-05-14T16:57:57"/>
        <d v="2024-05-14T22:51:25"/>
        <d v="2024-05-15T08:40:06"/>
        <d v="2024-05-15T14:38:52"/>
        <d v="2024-05-15T17:28:59"/>
        <d v="2024-05-15T20:20:35"/>
        <d v="2024-05-16T10:39:49"/>
        <d v="2024-05-16T12:14:00"/>
        <d v="2024-05-16T15:15:16"/>
        <d v="2024-05-16T18:12:57"/>
        <d v="2024-05-17T20:37:53"/>
        <d v="2024-05-17T22:34:51"/>
        <d v="2024-05-17T22:36:33"/>
        <d v="2024-05-17T22:37:43"/>
        <d v="2024-05-18T08:01:38"/>
        <d v="2024-05-18T11:15:56"/>
        <d v="2024-05-19T07:58:38"/>
        <d v="2024-05-19T08:00:35"/>
        <d v="2024-05-19T12:14:27"/>
        <d v="2024-05-19T15:58:58"/>
        <d v="2024-05-19T18:12:36"/>
        <d v="2024-05-19T19:51:07"/>
        <d v="2024-05-19T21:15:42"/>
        <d v="2024-05-19T21:18:36"/>
        <d v="2024-05-20T10:05:59"/>
        <d v="2024-05-20T10:17:52"/>
        <d v="2024-05-20T14:13:19"/>
        <d v="2024-05-20T17:13:57"/>
        <d v="2024-05-20T20:36:48"/>
        <d v="2024-05-20T20:46:52"/>
        <d v="2024-05-21T08:27:38"/>
        <d v="2024-05-21T16:10:20"/>
        <d v="2024-05-21T19:11:09"/>
        <d v="2024-05-21T20:13:48"/>
        <d v="2024-05-22T09:34:42"/>
        <d v="2024-05-23T10:10:20"/>
        <d v="2024-05-23T12:22:07"/>
        <d v="2024-05-23T15:56:27"/>
        <d v="2024-05-23T19:03:54"/>
        <d v="2024-05-23T19:18:26"/>
        <d v="2024-05-23T19:42:32"/>
        <d v="2024-05-23T20:15:01"/>
        <d v="2024-05-23T22:48:11"/>
        <d v="2024-05-24T18:17:40"/>
        <d v="2024-05-24T22:30:40"/>
        <d v="2024-05-25T12:13:53"/>
        <d v="2024-05-25T12:42:10"/>
        <d v="2024-05-25T12:58:12"/>
        <d v="2024-05-26T14:24:50"/>
        <d v="2024-05-26T14:26:05"/>
        <d v="2024-05-26T14:40:59"/>
        <d v="2024-05-26T17:19:16"/>
        <d v="2024-05-26T18:09:53"/>
        <d v="2024-05-26T18:39:19"/>
        <d v="2024-05-26T20:59:15"/>
        <d v="2024-05-26T21:02:37"/>
        <d v="2024-05-26T21:03:52"/>
        <d v="2024-05-26T21:06:03"/>
        <d v="2024-05-27T14:05:22"/>
        <d v="2024-05-27T15:11:34"/>
        <d v="2024-05-27T18:00:51"/>
        <d v="2024-05-27T19:16:27"/>
        <d v="2024-05-27T19:17:39"/>
        <d v="2024-05-28T11:48:18"/>
        <d v="2024-05-28T13:14:40"/>
        <d v="2024-05-28T19:09:29"/>
        <d v="2024-05-29T09:14:44"/>
        <d v="2024-05-29T11:14:03"/>
        <d v="2024-05-29T15:10:49"/>
        <d v="2024-05-29T15:22:56"/>
        <d v="2024-05-29T15:45:13"/>
        <d v="2024-05-29T16:45:04"/>
        <d v="2024-05-29T18:24:03"/>
        <d v="2024-05-29T20:30:42"/>
        <d v="2024-05-29T20:32:35"/>
        <d v="2024-05-30T08:29:06"/>
        <d v="2024-05-30T08:37:05"/>
        <d v="2024-05-30T15:16:16"/>
        <d v="2024-05-30T20:31:05"/>
        <d v="2024-05-31T07:53:57"/>
        <d v="2024-05-31T09:21:08"/>
        <d v="2024-05-31T10:38:08"/>
        <d v="2024-05-31T10:39:06"/>
        <d v="2024-05-31T14:50:13"/>
        <d v="2024-05-31T18:23:45"/>
        <d v="2024-06-01T18:20:13"/>
        <d v="2024-06-01T20:59:10"/>
        <d v="2024-06-02T21:30:12"/>
        <d v="2024-06-04T12:02:10"/>
        <d v="2024-06-04T15:30:32"/>
        <d v="2024-06-04T20:13:01"/>
        <d v="2024-06-04T20:50:34"/>
        <d v="2024-06-04T21:31:59"/>
        <d v="2024-06-04T21:33:03"/>
        <d v="2024-06-04T21:34:56"/>
        <d v="2024-06-05T08:21:49"/>
        <d v="2024-06-05T09:22:43"/>
        <d v="2024-06-05T19:43:58"/>
        <d v="2024-06-05T19:59:54"/>
        <d v="2024-06-06T12:17:41"/>
        <d v="2024-06-06T15:24:06"/>
        <d v="2024-06-06T21:14:05"/>
        <d v="2024-06-07T08:18:04"/>
        <d v="2024-06-07T10:35:28"/>
        <d v="2024-06-07T16:45:42"/>
        <d v="2024-06-08T09:04:20"/>
        <d v="2024-06-09T10:30:04"/>
        <d v="2024-06-09T10:52:06"/>
        <d v="2024-06-09T11:07:08"/>
        <d v="2024-06-09T11:52:50"/>
        <d v="2024-06-09T12:11:24"/>
        <d v="2024-06-09T15:10:31"/>
        <d v="2024-06-09T16:17:28"/>
        <d v="2024-06-09T19:21:19"/>
        <d v="2024-06-09T21:05:09"/>
        <d v="2024-06-10T12:47:50"/>
        <d v="2024-06-10T19:04:28"/>
        <d v="2024-06-10T19:37:24"/>
        <d v="2024-06-11T10:38:04"/>
        <d v="2024-06-11T18:48:25"/>
        <d v="2024-06-11T21:17:03"/>
        <d v="2024-06-11T21:27:42"/>
        <d v="2024-06-12T10:18:19"/>
        <d v="2024-06-12T11:51:44"/>
        <d v="2024-06-12T17:47:28"/>
        <d v="2024-06-12T20:25:34"/>
        <d v="2024-06-13T08:54:24"/>
        <d v="2024-06-13T09:50:25"/>
        <d v="2024-06-13T17:04:59"/>
        <d v="2024-06-13T17:27:47"/>
        <d v="2024-06-13T19:22:19"/>
        <d v="2024-06-14T10:30:32"/>
        <d v="2024-06-14T18:29:53"/>
        <d v="2024-06-15T11:26:02"/>
        <d v="2024-06-15T12:21:28"/>
        <d v="2024-06-15T16:03:30"/>
        <d v="2024-06-15T18:14:05"/>
        <d v="2024-06-16T10:58:41"/>
        <d v="2024-06-16T15:02:36"/>
        <d v="2024-06-16T15:44:00"/>
        <d v="2024-06-16T16:47:37"/>
        <d v="2024-06-17T08:57:24"/>
        <d v="2024-06-17T10:12:05"/>
        <d v="2024-06-17T18:51:20"/>
        <d v="2024-06-18T20:35:49"/>
        <d v="2024-06-19T07:47:20"/>
        <d v="2024-06-19T10:54:00"/>
        <d v="2024-06-19T11:11:28"/>
        <d v="2024-06-20T18:59:02"/>
        <d v="2024-06-21T10:01:40"/>
        <d v="2024-06-21T18:12:16"/>
        <d v="2024-06-22T12:53:16"/>
        <d v="2024-06-22T22:10:23"/>
        <d v="2024-06-23T21:06:47"/>
        <d v="2024-06-23T21:29:08"/>
        <d v="2024-06-24T15:02:29"/>
        <d v="2024-06-25T08:19:24"/>
        <d v="2024-06-26T09:33:02"/>
        <d v="2024-06-26T16:32:29"/>
        <d v="2024-06-26T16:34:02"/>
        <d v="2024-06-27T09:15:43"/>
        <d v="2024-06-27T16:11:48"/>
        <d v="2024-06-27T21:44:03"/>
        <d v="2024-06-27T21:50:32"/>
        <d v="2024-06-28T21:50:55"/>
        <d v="2024-06-28T21:52:02"/>
        <d v="2024-06-28T22:28:20"/>
        <d v="2024-06-29T11:40:20"/>
        <d v="2024-06-29T12:30:24"/>
        <d v="2024-06-29T17:23:44"/>
        <d v="2024-06-30T10:28:10"/>
        <d v="2024-06-30T13:05:51"/>
        <d v="2024-07-01T18:56:52"/>
        <d v="2024-07-01T18:57:54"/>
        <d v="2024-07-02T14:03:13"/>
        <d v="2024-07-02T16:31:24"/>
        <d v="2024-07-03T16:01:17"/>
        <d v="2024-07-03T16:50:25"/>
        <d v="2024-07-03T16:54:23"/>
        <d v="2024-07-03T16:59:26"/>
        <d v="2024-07-03T17:59:02"/>
        <d v="2024-07-05T13:44:44"/>
        <d v="2024-07-05T18:55:56"/>
        <d v="2024-07-05T22:11:56"/>
        <d v="2024-07-05T22:18:03"/>
        <d v="2024-07-05T22:20:01"/>
        <d v="2024-07-06T10:28:07"/>
        <d v="2024-07-07T09:14:29"/>
        <d v="2024-07-07T09:28:49"/>
        <d v="2024-07-07T14:56:30"/>
        <d v="2024-07-07T17:07:50"/>
        <d v="2024-07-07T19:33:27"/>
        <d v="2024-07-07T20:01:32"/>
        <d v="2024-07-07T22:33:36"/>
        <d v="2024-07-08T07:33:08"/>
        <d v="2024-07-08T12:02:50"/>
        <d v="2024-07-08T14:40:24"/>
        <d v="2024-07-08T19:30:35"/>
        <d v="2024-07-09T16:43:00"/>
        <d v="2024-07-10T11:10:42"/>
        <d v="2024-07-10T12:28:54"/>
        <d v="2024-07-11T11:27:28"/>
        <d v="2024-07-11T16:48:19"/>
        <d v="2024-07-11T22:22:14"/>
        <d v="2024-07-11T22:30:59"/>
        <d v="2024-07-12T08:03:17"/>
        <d v="2024-07-12T11:48:33"/>
        <d v="2024-07-14T10:54:24"/>
        <d v="2024-07-14T10:57:54"/>
        <d v="2024-07-14T11:02:12"/>
        <d v="2024-07-14T22:31:30"/>
        <d v="2024-07-15T07:33:06"/>
        <d v="2024-07-16T12:23:37"/>
        <d v="2024-07-17T13:05:00"/>
        <d v="2024-07-18T11:10:13"/>
        <d v="2024-07-18T11:11:23"/>
        <d v="2024-07-18T18:18:23"/>
        <d v="2024-07-18T21:19:42"/>
        <d v="2024-07-18T21:46:19"/>
        <d v="2024-07-19T11:16:21"/>
        <d v="2024-07-19T12:58:38"/>
        <d v="2024-07-20T08:05:44"/>
        <d v="2024-07-20T09:00:54"/>
        <d v="2024-07-20T09:02:28"/>
        <d v="2024-07-20T10:39:21"/>
        <d v="2024-07-20T15:15:09"/>
        <d v="2024-07-21T11:39:29"/>
        <d v="2024-07-21T13:34:31"/>
        <d v="2024-07-21T13:42:31"/>
        <d v="2024-07-22T08:40:50"/>
        <d v="2024-07-22T16:44:38"/>
        <d v="2024-07-23T08:44:54"/>
        <d v="2024-07-23T08:49:25"/>
        <d v="2024-07-23T08:51:10"/>
        <d v="2024-07-23T10:03:36"/>
        <d v="2024-07-23T15:20:05"/>
        <d v="2024-07-24T09:54:37"/>
        <d v="2024-07-25T15:25:07"/>
        <d v="2024-07-25T21:06:01"/>
        <d v="2024-07-25T22:39:47"/>
        <d v="2024-07-26T08:33:01"/>
        <d v="2024-07-26T09:33:12"/>
        <d v="2024-07-26T09:59:08"/>
        <d v="2024-07-26T13:09:56"/>
        <d v="2024-07-26T17:23:29"/>
        <d v="2024-07-26T17:58:29"/>
        <d v="2024-07-26T22:49:52"/>
        <d v="2024-07-27T11:55:31"/>
        <d v="2024-07-27T17:02:33"/>
        <d v="2024-07-27T17:03:39"/>
        <d v="2024-07-27T17:09:00"/>
        <d v="2024-07-27T22:56:24"/>
        <d v="2024-07-29T08:12:06"/>
        <d v="2024-07-29T09:51:25"/>
        <d v="2024-07-29T09:58:30"/>
        <d v="2024-07-29T10:43:44"/>
        <d v="2024-07-29T19:06:31"/>
        <d v="2024-07-30T07:41:11"/>
        <d v="2024-07-30T08:05:07"/>
        <d v="2024-07-30T08:20:51"/>
        <d v="2024-07-30T11:12:07"/>
        <d v="2024-07-30T11:14:42"/>
        <d v="2024-07-30T11:16:02"/>
        <d v="2024-07-30T11:30:35"/>
        <d v="2024-07-30T11:31:41"/>
        <d v="2024-07-30T12:08:08"/>
        <d v="2024-07-30T15:16:10"/>
        <d v="2024-07-30T16:08:53"/>
        <d v="2024-07-30T20:24:20"/>
        <d v="2024-07-30T21:33:19"/>
        <d v="2024-07-30T22:15:21"/>
        <d v="2024-07-31T08:37:42"/>
        <d v="2024-07-31T13:24:49"/>
        <d v="2024-07-31T17:48:07"/>
        <d v="2024-07-31T18:04:15"/>
        <d v="2024-07-31T19:22:39"/>
        <d v="2024-07-31T20:46:42"/>
        <d v="2024-07-31T20:50:07"/>
        <d v="2024-07-31T21:26:26"/>
        <d v="2024-07-31T21:54:12"/>
        <d v="2024-07-31T21:55:17"/>
        <d v="2024-08-01T11:22:46"/>
        <d v="2024-08-01T13:22:47"/>
        <d v="2024-08-01T13:49:07"/>
        <d v="2024-08-01T16:24:01"/>
        <d v="2024-08-01T17:23:35"/>
        <d v="2024-08-01T20:41:28"/>
        <d v="2024-08-02T09:01:54"/>
        <d v="2024-08-02T18:08:35"/>
        <d v="2024-08-03T11:20:27"/>
        <d v="2024-08-03T18:38:42"/>
        <d v="2024-08-03T21:30:49"/>
        <d v="2024-08-04T08:18:37"/>
        <d v="2024-08-05T08:50:06"/>
        <d v="2024-08-05T13:45:22"/>
        <d v="2024-08-05T16:05:58"/>
        <d v="2024-08-05T17:44:25"/>
        <d v="2024-08-05T20:49:31"/>
        <d v="2024-08-05T22:43:48"/>
        <d v="2024-08-06T10:32:32"/>
        <d v="2024-08-06T17:40:49"/>
        <d v="2024-08-06T19:05:23"/>
        <d v="2024-08-06T20:04:27"/>
        <d v="2024-08-07T13:11:16"/>
        <d v="2024-08-07T16:19:02"/>
        <d v="2024-08-07T22:28:57"/>
        <d v="2024-08-07T22:32:16"/>
        <d v="2024-08-08T16:57:53"/>
        <d v="2024-08-08T17:17:52"/>
        <d v="2024-08-09T07:35:22"/>
        <d v="2024-08-09T09:53:35"/>
        <d v="2024-08-09T11:29:49"/>
        <d v="2024-08-09T18:56:28"/>
        <d v="2024-08-09T19:03:07"/>
        <d v="2024-08-10T08:36:45"/>
        <d v="2024-08-10T12:15:11"/>
        <d v="2024-08-10T21:16:49"/>
        <d v="2024-08-11T15:53:52"/>
        <d v="2024-08-11T15:55:15"/>
        <d v="2024-08-11T16:28:38"/>
        <d v="2024-08-11T21:30:33"/>
        <d v="2024-08-11T21:43:10"/>
        <d v="2024-08-11T22:39:30"/>
        <d v="2024-08-12T11:15:05"/>
        <d v="2024-08-12T11:19:30"/>
        <d v="2024-08-12T11:44:28"/>
        <d v="2024-08-12T14:04:03"/>
        <d v="2024-08-12T15:33:33"/>
        <d v="2024-08-12T21:37:38"/>
        <d v="2024-08-13T08:44:30"/>
        <d v="2024-08-13T11:59:48"/>
        <d v="2024-08-13T13:01:41"/>
        <d v="2024-08-13T15:47:57"/>
        <d v="2024-08-13T20:29:35"/>
        <d v="2024-08-13T20:44:23"/>
        <d v="2024-08-13T21:00:45"/>
        <d v="2024-08-14T12:49:17"/>
        <d v="2024-08-14T15:21:27"/>
        <d v="2024-08-14T17:24:23"/>
        <d v="2024-08-14T18:10:04"/>
        <d v="2024-08-14T18:59:18"/>
        <d v="2024-08-14T21:41:33"/>
        <d v="2024-08-15T09:37:02"/>
        <d v="2024-08-15T09:38:05"/>
        <d v="2024-08-15T13:48:14"/>
        <d v="2024-08-15T17:53:52"/>
        <d v="2024-08-15T19:10:58"/>
        <d v="2024-08-15T19:41:30"/>
        <d v="2024-08-15T20:40:42"/>
        <d v="2024-08-16T12:54:17"/>
        <d v="2024-08-17T09:18:09"/>
        <d v="2024-08-17T10:53:41"/>
        <d v="2024-08-17T13:18:40"/>
        <d v="2024-08-17T22:42:39"/>
        <d v="2024-08-18T08:09:43"/>
        <d v="2024-08-18T08:32:06"/>
        <d v="2024-08-18T08:56:01"/>
        <d v="2024-08-18T18:24:11"/>
        <d v="2024-08-19T15:09:49"/>
        <d v="2024-08-20T08:29:15"/>
        <d v="2024-08-20T08:49:47"/>
        <d v="2024-08-20T11:09:56"/>
        <d v="2024-08-20T11:11:39"/>
        <d v="2024-08-20T11:12:31"/>
        <d v="2024-08-20T20:42:41"/>
        <d v="2024-08-20T20:44:15"/>
        <d v="2024-08-20T20:46:04"/>
        <d v="2024-08-21T07:59:13"/>
        <d v="2024-08-21T13:17:11"/>
        <d v="2024-08-22T10:47:59"/>
        <d v="2024-08-22T14:26:58"/>
        <d v="2024-08-22T15:07:07"/>
        <d v="2024-08-22T15:27:27"/>
        <d v="2024-08-23T10:10:59"/>
        <d v="2024-08-23T11:12:59"/>
        <d v="2024-08-23T13:24:55"/>
        <d v="2024-08-23T15:28:53"/>
        <d v="2024-08-24T08:44:12"/>
        <d v="2024-08-24T10:18:09"/>
        <d v="2024-08-25T09:24:22"/>
        <d v="2024-08-25T12:41:43"/>
        <d v="2024-08-26T10:37:44"/>
        <d v="2024-08-26T10:38:49"/>
        <d v="2024-08-26T18:53:28"/>
        <d v="2024-08-26T22:55:40"/>
        <d v="2024-08-28T12:08:19"/>
        <d v="2024-08-28T13:48:35"/>
        <d v="2024-08-29T07:29:30"/>
        <d v="2024-08-30T17:13:30"/>
        <d v="2024-08-31T10:02:08"/>
        <d v="2024-08-31T10:22:27"/>
        <d v="2024-08-31T11:29:55"/>
        <d v="2024-09-01T12:11:25"/>
        <d v="2024-09-01T12:50:17"/>
        <d v="2024-09-01T13:57:34"/>
        <d v="2024-09-01T17:20:46"/>
        <d v="2024-09-01T17:23:14"/>
        <d v="2024-09-01T17:24:50"/>
        <d v="2024-09-02T08:50:18"/>
        <d v="2024-09-02T08:51:33"/>
        <d v="2024-09-02T14:58:47"/>
        <d v="2024-09-02T20:09:44"/>
        <d v="2024-09-02T20:52:32"/>
        <d v="2024-09-03T08:22:15"/>
        <d v="2024-09-03T08:41:12"/>
        <d v="2024-09-03T09:03:12"/>
        <d v="2024-09-03T09:12:48"/>
        <d v="2024-09-03T09:20:17"/>
        <d v="2024-09-03T09:37:52"/>
        <d v="2024-09-03T09:38:56"/>
        <d v="2024-09-03T12:56:53"/>
        <d v="2024-09-04T11:11:22"/>
        <d v="2024-09-04T11:55:34"/>
        <d v="2024-09-04T13:03:51"/>
        <d v="2024-09-04T18:03:47"/>
        <d v="2024-09-05T10:28:56"/>
        <d v="2024-09-05T14:00:28"/>
        <d v="2024-09-05T15:25:12"/>
        <d v="2024-09-05T16:38:50"/>
        <d v="2024-09-05T16:40:00"/>
        <d v="2024-09-05T17:04:29"/>
        <d v="2024-09-05T20:30:15"/>
        <d v="2024-09-05T20:54:24"/>
        <d v="2024-09-06T08:54:42"/>
        <d v="2024-09-06T09:50:40"/>
        <d v="2024-09-06T10:30:06"/>
        <d v="2024-09-07T08:48:57"/>
        <d v="2024-09-07T09:54:42"/>
        <d v="2024-09-07T10:22:45"/>
        <d v="2024-09-07T10:37:52"/>
        <d v="2024-09-07T10:53:32"/>
        <d v="2024-09-07T15:55:09"/>
        <d v="2024-09-07T20:13:52"/>
        <d v="2024-09-09T07:51:14"/>
        <d v="2024-09-09T11:11:36"/>
        <d v="2024-09-09T11:12:51"/>
        <d v="2024-09-09T11:29:49"/>
        <d v="2024-09-09T12:07:00"/>
        <d v="2024-09-09T15:12:14"/>
        <d v="2024-09-09T17:24:10"/>
        <d v="2024-09-09T20:13:44"/>
        <d v="2024-09-10T08:12:02"/>
        <d v="2024-09-10T09:32:47"/>
        <d v="2024-09-10T18:43:42"/>
        <d v="2024-09-10T18:45:23"/>
        <d v="2024-09-10T19:02:43"/>
        <d v="2024-09-11T08:47:22"/>
        <d v="2024-09-11T10:52:09"/>
        <d v="2024-09-11T19:53:13"/>
        <d v="2024-09-12T11:27:36"/>
        <d v="2024-09-12T12:31:07"/>
        <d v="2024-09-12T17:01:25"/>
        <d v="2024-09-12T21:09:10"/>
        <d v="2024-09-13T09:51:19"/>
        <d v="2024-09-15T09:49:39"/>
        <d v="2024-09-16T13:32:23"/>
        <d v="2024-09-16T17:16:06"/>
        <d v="2024-09-16T17:18:03"/>
        <d v="2024-09-16T18:54:45"/>
        <d v="2024-09-16T18:56:05"/>
        <d v="2024-09-16T21:10:19"/>
        <d v="2024-09-17T07:54:58"/>
        <d v="2024-09-17T12:38:34"/>
        <d v="2024-09-17T12:44:15"/>
        <d v="2024-09-17T13:55:31"/>
        <d v="2024-09-17T18:54:24"/>
        <d v="2024-09-17T19:00:46"/>
        <d v="2024-09-17T19:03:53"/>
        <d v="2024-09-17T19:12:48"/>
        <d v="2024-09-17T19:31:57"/>
        <d v="2024-09-17T22:19:36"/>
        <d v="2024-09-17T22:20:19"/>
        <d v="2024-09-18T14:29:49"/>
        <d v="2024-09-18T17:34:20"/>
        <d v="2024-09-19T13:45:42"/>
        <d v="2024-09-20T09:46:15"/>
        <d v="2024-09-20T16:03:30"/>
        <d v="2024-09-20T20:39:23"/>
        <d v="2024-09-21T11:01:15"/>
        <d v="2024-09-21T15:10:09"/>
        <d v="2024-09-21T15:36:14"/>
        <d v="2024-09-21T22:18:46"/>
        <d v="2024-09-22T08:32:54"/>
        <d v="2024-09-22T10:12:10"/>
        <d v="2024-09-22T11:06:26"/>
        <d v="2024-09-22T11:52:00"/>
        <d v="2024-09-22T15:34:10"/>
        <d v="2024-09-22T16:25:03"/>
        <d v="2024-09-22T20:19:10"/>
        <d v="2024-09-22T21:07:05"/>
        <d v="2024-09-22T22:37:02"/>
        <d v="2024-09-22T22:37:58"/>
        <d v="2024-09-23T17:27:48"/>
        <d v="2024-09-23T18:48:30"/>
        <d v="2024-09-24T12:46:44"/>
        <d v="2024-09-24T14:11:39"/>
        <d v="2024-09-24T14:31:29"/>
        <d v="2024-09-24T20:15:50"/>
        <d v="2024-09-25T07:51:21"/>
        <d v="2024-09-25T11:51:15"/>
        <d v="2024-09-25T13:54:51"/>
        <d v="2024-09-25T17:36:37"/>
        <d v="2024-09-25T21:34:41"/>
        <d v="2024-09-26T10:55:52"/>
        <d v="2024-09-26T11:34:49"/>
        <d v="2024-09-26T12:48:01"/>
        <d v="2024-09-26T18:21:56"/>
        <d v="2024-09-26T22:45:15"/>
        <d v="2024-09-27T09:41:05"/>
        <d v="2024-09-27T13:20:31"/>
        <d v="2024-09-27T13:25:05"/>
        <d v="2024-09-27T13:33:52"/>
        <d v="2024-09-27T18:07:44"/>
        <d v="2024-09-27T18:37:46"/>
        <d v="2024-09-27T18:40:54"/>
        <d v="2024-09-27T20:58:15"/>
        <d v="2024-09-28T09:31:15"/>
        <d v="2024-09-28T16:57:20"/>
        <d v="2024-09-28T17:26:17"/>
        <d v="2024-09-28T20:38:37"/>
        <d v="2024-09-28T22:16:37"/>
        <d v="2024-09-28T22:18:16"/>
        <d v="2024-09-29T12:55:22"/>
        <d v="2024-09-29T18:02:27"/>
        <d v="2024-09-29T22:31:03"/>
        <d v="2024-09-30T08:58:55"/>
        <d v="2024-09-30T09:00:05"/>
        <d v="2024-09-30T11:32:55"/>
        <d v="2024-09-30T19:53:14"/>
        <d v="2024-09-30T21:41:08"/>
        <d v="2024-10-01T07:47:08"/>
        <d v="2024-10-01T11:55:32"/>
        <d v="2024-10-01T12:12:48"/>
        <d v="2024-10-01T14:17:35"/>
        <d v="2024-10-01T16:41:54"/>
        <d v="2024-10-01T18:08:27"/>
        <d v="2024-10-01T18:23:11"/>
        <d v="2024-10-02T07:57:19"/>
        <d v="2024-10-02T10:23:55"/>
        <d v="2024-10-02T11:28:54"/>
        <d v="2024-10-02T15:13:42"/>
        <d v="2024-10-02T22:20:24"/>
        <d v="2024-10-03T13:47:36"/>
        <d v="2024-10-03T15:12:05"/>
        <d v="2024-10-03T20:12:58"/>
        <d v="2024-10-03T21:29:03"/>
        <d v="2024-10-03T21:31:00"/>
        <d v="2024-10-04T17:35:15"/>
        <d v="2024-10-04T17:42:22"/>
        <d v="2024-10-05T09:35:45"/>
        <d v="2024-10-06T11:55:29"/>
        <d v="2024-10-06T13:46:04"/>
        <d v="2024-10-06T13:50:00"/>
        <d v="2024-10-06T16:31:34"/>
        <d v="2024-10-06T16:35:46"/>
        <d v="2024-10-06T18:17:45"/>
        <d v="2024-10-06T18:35:16"/>
        <d v="2024-10-06T21:09:13"/>
        <d v="2024-10-07T08:33:36"/>
        <d v="2024-10-07T09:05:28"/>
        <d v="2024-10-07T09:09:58"/>
        <d v="2024-10-07T12:17:57"/>
        <d v="2024-10-07T14:31:45"/>
        <d v="2024-10-08T13:04:01"/>
        <d v="2024-10-08T15:50:43"/>
        <d v="2024-10-08T20:40:40"/>
        <d v="2024-10-08T20:51:09"/>
        <d v="2024-10-09T10:37:57"/>
        <d v="2024-10-09T11:18:02"/>
        <d v="2024-10-09T13:52:35"/>
        <d v="2024-10-09T17:50:00"/>
        <d v="2024-10-09T20:49:13"/>
        <d v="2024-10-10T09:51:44"/>
        <d v="2024-10-10T10:55:33"/>
        <d v="2024-10-10T11:04:19"/>
        <d v="2024-10-10T17:40:44"/>
        <d v="2024-10-10T18:18:33"/>
        <d v="2024-10-11T08:58:09"/>
        <d v="2024-10-11T09:31:42"/>
        <d v="2024-10-11T14:33:41"/>
        <d v="2024-10-11T17:12:07"/>
        <d v="2024-10-11T17:26:11"/>
        <d v="2024-10-11T21:53:54"/>
        <d v="2024-10-11T22:36:28"/>
        <d v="2024-10-12T11:53:41"/>
        <d v="2024-10-12T13:18:47"/>
        <d v="2024-10-13T12:20:47"/>
        <d v="2024-10-13T18:22:59"/>
        <d v="2024-10-14T09:49:55"/>
        <d v="2024-10-14T11:23:51"/>
        <d v="2024-10-14T14:36:07"/>
        <d v="2024-10-14T16:37:47"/>
        <d v="2024-10-14T18:19:19"/>
        <d v="2024-10-14T22:08:54"/>
        <d v="2024-10-14T22:10:24"/>
        <d v="2024-10-15T08:34:18"/>
        <d v="2024-10-15T11:13:22"/>
        <d v="2024-10-15T13:00:43"/>
        <d v="2024-10-15T13:15:45"/>
        <d v="2024-10-15T15:54:17"/>
        <d v="2024-10-15T17:04:11"/>
        <d v="2024-10-15T19:22:21"/>
        <d v="2024-10-16T11:49:45"/>
        <d v="2024-10-16T12:29:44"/>
        <d v="2024-10-16T16:45:30"/>
        <d v="2024-10-16T19:37:42"/>
        <d v="2024-10-16T21:20:29"/>
        <d v="2024-10-17T09:24:27"/>
        <d v="2024-10-17T11:59:27"/>
        <d v="2024-10-17T13:57:25"/>
        <d v="2024-10-17T14:34:43"/>
        <d v="2024-10-17T16:48:36"/>
        <d v="2024-10-17T20:11:36"/>
        <d v="2024-10-17T21:46:13"/>
        <d v="2024-10-18T09:55:20"/>
        <d v="2024-10-18T14:51:04"/>
        <d v="2024-10-18T16:09:58"/>
        <d v="2024-10-18T17:45:39"/>
        <d v="2024-10-18T21:52:23"/>
        <d v="2024-10-19T08:34:14"/>
        <d v="2024-10-19T22:46:38"/>
        <d v="2024-10-20T11:16:52"/>
        <d v="2024-10-20T16:45:10"/>
        <d v="2024-10-20T21:14:18"/>
        <d v="2024-10-20T21:15:18"/>
        <d v="2024-10-20T21:17:27"/>
        <d v="2024-10-20T21:25:00"/>
        <d v="2024-10-21T09:34:26"/>
        <d v="2024-10-21T14:42:56"/>
        <d v="2024-10-21T15:27:02"/>
        <d v="2024-10-21T15:39:05"/>
        <d v="2024-10-21T16:55:23"/>
        <d v="2024-10-21T19:21:13"/>
        <d v="2024-10-21T21:05:36"/>
        <d v="2024-10-22T09:17:50"/>
        <d v="2024-10-22T18:07:03"/>
        <d v="2024-10-23T12:31:05"/>
        <d v="2024-10-23T16:20:02"/>
        <d v="2024-10-23T16:42:30"/>
        <d v="2024-10-23T17:02:46"/>
        <d v="2024-10-23T21:58:24"/>
        <d v="2024-10-23T22:23:38"/>
        <d v="2024-10-24T12:07:47"/>
        <d v="2024-10-24T13:24:00"/>
        <d v="2024-10-24T14:49:02"/>
        <d v="2024-10-24T18:53:47"/>
        <d v="2024-10-24T20:44:11"/>
        <d v="2024-10-24T21:14:45"/>
        <d v="2024-10-25T12:40:37"/>
        <d v="2024-10-25T22:19:24"/>
        <d v="2024-10-26T10:24:38"/>
        <d v="2024-10-26T13:03:31"/>
        <d v="2024-10-26T15:38:29"/>
        <d v="2024-10-26T15:52:02"/>
        <d v="2024-10-26T15:53:22"/>
        <d v="2024-10-26T20:34:47"/>
        <d v="2024-10-27T13:43:47"/>
        <d v="2024-10-28T08:01:12"/>
        <d v="2024-10-28T11:42:36"/>
        <d v="2024-10-28T12:02:35"/>
        <d v="2024-10-28T12:21:30"/>
        <d v="2024-10-28T14:31:00"/>
        <d v="2024-10-28T17:55:18"/>
        <d v="2024-10-29T11:59:47"/>
        <d v="2024-10-29T12:21:37"/>
        <d v="2024-10-29T14:15:44"/>
        <d v="2024-10-29T14:37:36"/>
        <d v="2024-10-29T16:09:34"/>
        <d v="2024-10-29T16:10:57"/>
        <d v="2024-10-29T18:02:04"/>
        <d v="2024-10-29T19:02:05"/>
        <d v="2024-10-30T09:11:29"/>
        <d v="2024-10-30T10:31:53"/>
        <d v="2024-10-30T12:37:01"/>
        <d v="2024-10-30T16:04:48"/>
        <d v="2024-10-30T18:08:12"/>
        <d v="2024-10-30T19:43:21"/>
        <d v="2024-10-31T15:59:27"/>
        <d v="2024-10-31T16:00:31"/>
        <d v="2024-11-01T15:55:42"/>
        <d v="2024-11-02T14:54:15"/>
        <d v="2024-11-02T16:37:05"/>
        <d v="2024-11-02T18:58:24"/>
        <d v="2024-11-03T13:13:51"/>
        <d v="2024-11-03T13:44:19"/>
        <d v="2024-11-03T13:59:01"/>
        <d v="2024-11-03T16:20:37"/>
        <d v="2024-11-04T12:33:36"/>
        <d v="2024-11-04T12:35:06"/>
        <d v="2024-11-05T11:47:30"/>
        <d v="2024-11-05T11:48:22"/>
        <d v="2024-11-05T14:36:38"/>
        <d v="2024-11-05T14:41:48"/>
        <d v="2024-11-05T21:40:45"/>
        <d v="2024-11-06T11:45:31"/>
        <d v="2024-11-06T16:00:44"/>
        <d v="2024-11-06T16:02:05"/>
        <d v="2024-11-06T18:40:43"/>
        <d v="2024-11-07T12:17:16"/>
        <d v="2024-11-07T15:50:11"/>
        <d v="2024-11-07T16:39:39"/>
        <d v="2024-11-07T19:20:15"/>
        <d v="2024-11-08T13:25:13"/>
        <d v="2024-11-08T16:33:03"/>
        <d v="2024-11-08T16:55:28"/>
        <d v="2024-11-08T20:13:32"/>
        <d v="2024-11-08T20:14:24"/>
        <d v="2024-11-09T11:08:44"/>
        <d v="2024-11-09T14:21:52"/>
        <d v="2024-11-09T14:37:33"/>
        <d v="2024-11-09T20:42:05"/>
        <d v="2024-11-09T22:13:28"/>
        <d v="2024-11-09T22:52:58"/>
        <d v="2024-11-09T22:54:19"/>
        <d v="2024-11-10T09:46:22"/>
        <d v="2024-11-10T17:52:48"/>
        <d v="2024-11-10T18:12:53"/>
        <d v="2024-11-10T18:14:04"/>
        <d v="2024-11-10T20:38:08"/>
        <d v="2024-11-11T17:33:32"/>
        <d v="2024-11-11T19:00:47"/>
        <d v="2024-11-11T19:04:16"/>
        <d v="2024-11-11T21:08:32"/>
        <d v="2024-11-12T10:03:09"/>
        <d v="2024-11-12T13:15:45"/>
        <d v="2024-11-12T16:47:14"/>
        <d v="2024-11-12T20:07:58"/>
        <d v="2024-11-12T20:09:22"/>
        <d v="2024-11-13T08:09:11"/>
        <d v="2024-11-13T13:19:55"/>
        <d v="2024-11-13T14:17:30"/>
        <d v="2024-11-14T10:06:43"/>
        <d v="2024-11-14T12:48:50"/>
        <d v="2024-11-14T15:03:45"/>
        <d v="2024-11-14T15:04:57"/>
        <d v="2024-11-14T22:40:42"/>
        <d v="2024-11-15T08:45:51"/>
        <d v="2024-11-15T12:09:00"/>
        <d v="2024-11-15T12:14:19"/>
        <d v="2024-11-15T15:19:51"/>
        <d v="2024-11-15T17:55:01"/>
        <d v="2024-11-15T18:12:45"/>
        <d v="2024-11-16T10:45:51"/>
        <d v="2024-11-16T11:02:01"/>
        <d v="2024-11-16T11:03:07"/>
        <d v="2024-11-16T12:30:15"/>
        <d v="2024-11-16T12:31:51"/>
        <d v="2024-11-16T12:48:36"/>
        <d v="2024-11-16T13:18:00"/>
        <d v="2024-11-16T14:25:47"/>
        <d v="2024-11-17T10:29:37"/>
        <d v="2024-11-17T13:35:20"/>
        <d v="2024-11-17T14:18:42"/>
        <d v="2024-11-17T14:33:40"/>
        <d v="2024-11-17T16:27:26"/>
        <d v="2024-11-17T18:10:07"/>
        <d v="2024-11-17T19:17:34"/>
        <d v="2024-11-18T07:53:16"/>
        <d v="2024-11-18T16:44:49"/>
        <d v="2024-11-18T18:50:54"/>
        <d v="2024-11-19T07:53:38"/>
        <d v="2024-11-19T07:54:47"/>
        <d v="2024-11-19T11:07:09"/>
        <d v="2024-11-19T16:47:41"/>
        <d v="2024-11-20T13:29:39"/>
        <d v="2024-11-20T17:49:52"/>
        <d v="2024-11-21T13:00:47"/>
        <d v="2024-11-21T17:35:27"/>
        <d v="2024-11-21T17:39:23"/>
        <d v="2024-11-21T19:01:03"/>
        <d v="2024-11-22T11:02:32"/>
        <d v="2024-11-22T11:24:26"/>
        <d v="2024-11-22T16:33:05"/>
        <d v="2024-11-23T11:09:28"/>
        <d v="2024-11-23T22:37:04"/>
        <d v="2024-11-25T07:54:24"/>
        <d v="2024-11-25T12:50:58"/>
        <d v="2024-11-25T12:52:41"/>
        <d v="2024-11-25T19:01:59"/>
        <d v="2024-11-25T19:37:58"/>
        <d v="2024-11-26T11:03:47"/>
        <d v="2024-11-26T11:06:09"/>
        <d v="2024-11-26T16:03:54"/>
        <d v="2024-11-26T16:05:01"/>
        <d v="2024-11-26T17:11:38"/>
        <d v="2024-11-26T19:47:25"/>
        <d v="2024-11-28T08:41:17"/>
        <d v="2024-11-29T15:18:07"/>
        <d v="2024-11-29T15:19:20"/>
        <d v="2024-11-29T20:57:55"/>
        <d v="2024-11-30T14:04:56"/>
        <d v="2024-11-30T22:03:48"/>
        <d v="2024-12-01T14:34:23"/>
        <d v="2024-12-01T15:09:13"/>
        <d v="2024-12-01T15:43:02"/>
        <d v="2024-12-01T15:56:31"/>
        <d v="2024-12-01T15:57:49"/>
        <d v="2024-12-01T16:32:59"/>
        <d v="2024-12-01T16:34:30"/>
        <d v="2024-12-01T17:10:24"/>
        <d v="2024-12-01T18:38:29"/>
        <d v="2024-12-02T07:51:59"/>
        <d v="2024-12-02T08:53:14"/>
        <d v="2024-12-02T15:28:24"/>
        <d v="2024-12-02T16:12:24"/>
        <d v="2024-12-02T17:34:22"/>
        <d v="2024-12-02T18:00:32"/>
        <d v="2024-12-03T11:17:58"/>
        <d v="2024-12-03T11:42:08"/>
        <d v="2024-12-03T20:50:56"/>
        <d v="2024-12-03T22:19:14"/>
        <d v="2024-12-04T08:50:30"/>
        <d v="2024-12-04T08:52:15"/>
        <d v="2024-12-04T09:04:14"/>
        <d v="2024-12-04T10:26:58"/>
        <d v="2024-12-04T11:45:58"/>
        <d v="2024-12-04T14:33:55"/>
        <d v="2024-12-05T08:53:48"/>
        <d v="2024-12-05T11:50:45"/>
        <d v="2024-12-05T14:30:58"/>
        <d v="2024-12-07T11:17:10"/>
        <d v="2024-12-07T14:16:43"/>
        <d v="2024-12-07T22:00:10"/>
        <d v="2024-12-07T22:28:17"/>
        <d v="2024-12-08T12:51:41"/>
        <d v="2024-12-08T13:02:36"/>
        <d v="2024-12-08T18:41:49"/>
        <d v="2024-12-08T21:28:30"/>
        <d v="2024-12-09T08:32:41"/>
        <d v="2024-12-09T09:12:25"/>
        <d v="2024-12-09T21:21:51"/>
        <d v="2024-12-11T12:13:06"/>
        <d v="2024-12-11T12:56:48"/>
        <d v="2024-12-11T17:59:25"/>
        <d v="2024-12-11T21:18:17"/>
        <d v="2024-12-12T07:58:31"/>
        <d v="2024-12-12T12:49:24"/>
        <d v="2024-12-12T16:55:02"/>
        <d v="2024-12-13T12:27:25"/>
        <d v="2024-12-13T14:01:58"/>
        <d v="2024-12-14T08:27:32"/>
        <d v="2024-12-14T09:03:06"/>
        <d v="2024-12-14T13:19:07"/>
        <d v="2024-12-14T18:23:44"/>
        <d v="2024-12-16T08:03:31"/>
        <d v="2024-12-16T12:19:08"/>
        <d v="2024-12-17T08:48:18"/>
        <d v="2024-12-17T08:52:33"/>
        <d v="2024-12-17T16:22:35"/>
        <d v="2024-12-18T09:30:28"/>
        <d v="2024-12-18T10:01:21"/>
        <d v="2024-12-19T10:12:11"/>
        <d v="2024-12-19T12:10:52"/>
        <d v="2024-12-19T13:38:57"/>
        <d v="2024-12-19T19:48:18"/>
        <d v="2024-12-19T21:08:12"/>
        <d v="2024-12-20T10:12:43"/>
        <d v="2024-12-20T14:58:20"/>
        <d v="2024-12-20T18:28:22"/>
        <d v="2024-12-21T10:19:24"/>
        <d v="2024-12-21T10:32:03"/>
        <d v="2024-12-21T15:58:07"/>
        <d v="2024-12-21T18:02:37"/>
        <d v="2024-12-21T18:08:17"/>
        <d v="2024-12-21T19:48:13"/>
        <d v="2024-12-21T21:58:49"/>
        <d v="2024-12-22T19:35:46"/>
        <d v="2024-12-22T21:55:19"/>
        <d v="2024-12-22T21:56:56"/>
        <d v="2024-12-23T14:05:32"/>
        <d v="2024-12-23T15:00:24"/>
        <d v="2024-12-23T17:21:20"/>
        <d v="2024-12-24T15:10:43"/>
        <d v="2024-12-24T16:08:38"/>
        <d v="2024-12-24T19:11:37"/>
        <d v="2024-12-25T10:43:57"/>
        <d v="2024-12-25T12:35:03"/>
        <d v="2024-12-25T13:17:11"/>
        <d v="2024-12-25T13:32:48"/>
        <d v="2024-12-25T21:18:50"/>
        <d v="2024-12-25T21:57:30"/>
        <d v="2024-12-26T13:12:38"/>
        <d v="2024-12-26T15:04:34"/>
        <d v="2024-12-27T07:50:21"/>
        <d v="2024-12-27T17:12:05"/>
        <d v="2024-12-27T19:47:28"/>
        <d v="2024-12-28T14:10:01"/>
        <d v="2024-12-28T14:13:17"/>
        <d v="2024-12-28T22:11:02"/>
        <d v="2024-12-29T15:04:27"/>
        <d v="2024-12-29T17:30:05"/>
        <d v="2024-12-29T17:31:47"/>
        <d v="2024-12-29T20:25:54"/>
        <d v="2024-12-30T13:52:31"/>
        <d v="2024-12-30T16:31:29"/>
        <d v="2024-12-31T09:45:29"/>
        <d v="2024-12-31T10:26:53"/>
        <d v="2024-12-31T16:07:19"/>
        <d v="2024-12-31T17:30:53"/>
        <d v="2024-12-31T17:31:49"/>
        <d v="2024-12-31T19:07:25"/>
        <d v="2025-01-02T13:29:40"/>
        <d v="2025-01-02T14:41:11"/>
        <d v="2025-01-02T16:22:32"/>
        <d v="2025-01-03T16:58:09"/>
        <d v="2025-01-03T22:18:20"/>
        <d v="2025-01-03T22:19:14"/>
        <d v="2025-01-04T09:59:28"/>
        <d v="2025-01-04T13:40:00"/>
        <d v="2025-01-04T18:11:39"/>
        <d v="2025-01-05T09:45:58"/>
        <d v="2025-01-05T10:53:01"/>
        <d v="2025-01-05T22:07:16"/>
        <d v="2025-01-06T19:58:51"/>
        <d v="2025-01-07T13:29:03"/>
        <d v="2025-01-07T22:32:45"/>
        <d v="2025-01-08T07:30:02"/>
        <d v="2025-01-08T09:11:15"/>
        <d v="2025-01-09T08:07:08"/>
        <d v="2025-01-09T15:36:59"/>
        <d v="2025-01-10T17:51:19"/>
        <d v="2025-01-11T10:49:41"/>
        <d v="2025-01-11T11:13:54"/>
        <d v="2025-01-11T11:20:18"/>
        <d v="2025-01-11T14:12:55"/>
        <d v="2025-01-11T14:15:38"/>
        <d v="2025-01-11T14:47:03"/>
        <d v="2025-01-11T17:19:34"/>
        <d v="2025-01-11T17:20:57"/>
        <d v="2025-01-11T18:01:28"/>
        <d v="2025-01-12T16:15:59"/>
        <d v="2025-01-12T20:56:04"/>
        <d v="2025-01-13T14:11:27"/>
        <d v="2025-01-13T16:25:36"/>
        <d v="2025-01-14T12:49:14"/>
        <d v="2025-01-14T16:18:19"/>
        <d v="2025-01-15T11:10:24"/>
        <d v="2025-01-15T15:36:48"/>
        <d v="2025-01-15T16:55:26"/>
        <d v="2025-01-15T18:06:12"/>
        <d v="2025-01-16T15:16:19"/>
        <d v="2025-01-16T21:40:13"/>
        <d v="2025-01-17T07:38:20"/>
        <d v="2025-01-17T08:26:21"/>
        <d v="2025-01-17T14:20:54"/>
        <d v="2025-01-20T12:04:50"/>
        <d v="2025-01-20T13:45:14"/>
        <d v="2025-01-20T20:08:11"/>
        <d v="2025-01-20T20:26:25"/>
        <d v="2025-01-20T21:13:45"/>
        <d v="2025-01-21T15:35:17"/>
        <d v="2025-01-21T18:32:33"/>
        <d v="2025-01-22T11:24:46"/>
        <d v="2025-01-22T18:49:59"/>
        <d v="2025-01-22T19:29:16"/>
        <d v="2025-01-22T20:14:31"/>
        <d v="2025-01-24T15:28:39"/>
        <d v="2025-01-24T17:41:49"/>
        <d v="2025-01-24T22:31:56"/>
        <d v="2025-01-25T14:38:25"/>
        <d v="2025-01-25T14:39:35"/>
        <d v="2025-01-26T12:35:23"/>
        <d v="2025-01-27T12:05:02"/>
        <d v="2025-01-27T18:55:19"/>
        <d v="2025-01-27T19:02:40"/>
        <d v="2025-01-27T19:03:45"/>
        <d v="2025-01-28T09:33:17"/>
        <d v="2025-01-28T12:22:01"/>
        <d v="2025-01-28T16:19:08"/>
        <d v="2025-01-28T17:40:01"/>
        <d v="2025-01-28T20:11:51"/>
        <d v="2025-01-28T20:13:45"/>
        <d v="2025-01-29T16:25:37"/>
        <d v="2025-01-29T19:19:08"/>
        <d v="2025-01-30T12:42:16"/>
        <d v="2025-01-30T13:02:01"/>
        <d v="2025-01-30T14:41:42"/>
        <d v="2025-01-30T17:18:48"/>
        <d v="2025-01-30T18:41:50"/>
        <d v="2025-01-31T09:20:11"/>
        <d v="2025-01-31T14:02:58"/>
        <d v="2025-01-31T22:35:59"/>
        <d v="2025-01-31T22:37:02"/>
        <d v="2025-02-01T14:35:19"/>
        <d v="2025-02-02T12:54:32"/>
        <d v="2025-02-02T12:56:05"/>
        <d v="2025-02-02T16:46:57"/>
        <d v="2025-02-03T08:09:09"/>
        <d v="2025-02-03T10:15:39"/>
        <d v="2025-02-03T10:22:18"/>
        <d v="2025-02-03T10:49:59"/>
        <d v="2025-02-03T13:25:02"/>
        <d v="2025-02-03T13:32:54"/>
        <d v="2025-02-03T13:51:03"/>
        <d v="2025-02-03T14:06:37"/>
        <d v="2025-02-03T15:01:45"/>
        <d v="2025-02-03T17:09:55"/>
        <d v="2025-02-03T17:11:07"/>
        <d v="2025-02-03T17:13:22"/>
        <d v="2025-02-03T17:15:41"/>
        <d v="2025-02-03T17:44:18"/>
        <d v="2025-02-03T18:09:00"/>
        <d v="2025-02-03T20:44:14"/>
        <d v="2025-02-04T12:35:58"/>
        <d v="2025-02-04T14:15:14"/>
        <d v="2025-02-04T14:19:49"/>
        <d v="2025-02-04T19:05:22"/>
        <d v="2025-02-04T19:09:37"/>
        <d v="2025-02-04T19:27:27"/>
        <d v="2025-02-05T12:10:47"/>
        <d v="2025-02-05T13:20:46"/>
        <d v="2025-02-05T15:50:59"/>
        <d v="2025-02-05T18:18:34"/>
        <d v="2025-02-05T18:19:49"/>
        <d v="2025-02-05T18:20:51"/>
        <d v="2025-02-05T18:45:42"/>
        <d v="2025-02-05T20:03:21"/>
        <d v="2025-02-06T17:54:25"/>
        <d v="2025-02-06T19:55:07"/>
        <d v="2025-02-06T20:06:59"/>
        <d v="2025-02-06T20:07:47"/>
        <d v="2025-02-07T09:07:05"/>
        <d v="2025-02-07T10:49:23"/>
        <d v="2025-02-07T12:09:39"/>
        <d v="2025-02-07T12:58:52"/>
        <d v="2025-02-07T16:22:13"/>
        <d v="2025-02-07T18:44:31"/>
        <d v="2025-02-07T20:10:59"/>
        <d v="2025-02-08T11:02:41"/>
        <d v="2025-02-08T11:39:34"/>
        <d v="2025-02-09T12:05:05"/>
        <d v="2025-02-10T13:26:55"/>
        <d v="2025-02-10T13:40:13"/>
        <d v="2025-02-10T14:01:52"/>
        <d v="2025-02-10T15:01:55"/>
        <d v="2025-02-10T19:14:54"/>
        <d v="2025-02-11T16:49:41"/>
        <d v="2025-02-11T17:44:13"/>
        <d v="2025-02-11T19:04:11"/>
        <d v="2025-02-12T12:43:29"/>
        <d v="2025-02-12T13:08:09"/>
        <d v="2025-02-13T09:17:21"/>
        <d v="2025-02-13T18:01:35"/>
        <d v="2025-02-13T19:06:30"/>
        <d v="2025-02-14T14:07:09"/>
        <d v="2025-02-14T14:58:12"/>
        <d v="2025-02-14T15:53:56"/>
        <d v="2025-02-14T17:25:25"/>
        <d v="2025-02-14T21:18:30"/>
        <d v="2025-02-15T14:11:54"/>
        <d v="2025-02-16T10:46:43"/>
        <d v="2025-02-16T17:44:33"/>
        <d v="2025-02-17T09:28:07"/>
        <d v="2025-02-17T10:20:12"/>
        <d v="2025-02-17T12:48:58"/>
        <d v="2025-02-17T14:23:02"/>
        <d v="2025-02-17T17:31:14"/>
        <d v="2025-02-17T19:13:52"/>
        <d v="2025-02-18T13:04:27"/>
        <d v="2025-02-18T17:08:19"/>
        <d v="2025-02-18T19:36:27"/>
        <d v="2025-02-19T10:19:01"/>
        <d v="2025-02-19T18:35:39"/>
        <d v="2025-02-19T19:01:33"/>
        <d v="2025-02-20T15:19:46"/>
        <d v="2025-02-20T16:59:07"/>
        <d v="2025-02-20T18:57:35"/>
        <d v="2025-02-20T19:01:51"/>
        <d v="2025-02-20T19:07:26"/>
        <d v="2025-02-21T09:41:30"/>
        <d v="2025-02-21T09:49:21"/>
        <d v="2025-02-21T09:51:13"/>
        <d v="2025-02-21T12:07:43"/>
        <d v="2025-02-21T16:10:06"/>
        <d v="2025-02-22T10:52:19"/>
        <d v="2025-02-22T11:28:30"/>
        <d v="2025-02-23T13:50:22"/>
        <d v="2025-02-23T17:27:45"/>
        <d v="2025-02-24T09:45:11"/>
        <d v="2025-02-24T10:09:12"/>
        <d v="2025-02-24T16:00:06"/>
        <d v="2025-02-24T19:24:54"/>
        <d v="2025-02-26T10:11:27"/>
        <d v="2025-02-26T15:14:48"/>
        <d v="2025-02-26T15:20:03"/>
        <d v="2025-02-27T12:48:16"/>
        <d v="2025-02-27T13:29:48"/>
        <d v="2025-02-27T14:43:19"/>
        <d v="2025-02-27T17:53:13"/>
        <d v="2025-02-28T08:09:58"/>
        <d v="2025-02-28T17:31:04"/>
        <d v="2025-02-28T18:53:49"/>
        <d v="2025-03-01T17:08:34"/>
        <d v="2025-03-03T10:24:47"/>
        <d v="2025-03-04T09:58:37"/>
        <d v="2025-03-05T10:10:51"/>
        <d v="2025-03-05T11:10:54"/>
        <d v="2025-03-05T17:16:24"/>
        <d v="2025-03-05T19:02:57"/>
        <d v="2025-03-06T11:17:38"/>
        <d v="2025-03-07T10:26:35"/>
        <d v="2025-03-08T12:41:20"/>
        <d v="2025-03-09T09:42:04"/>
        <d v="2025-03-09T11:25:53"/>
        <d v="2025-03-09T15:53:40"/>
        <d v="2025-03-10T08:34:43"/>
        <d v="2025-03-10T09:50:54"/>
        <d v="2025-03-10T10:18:57"/>
        <d v="2025-03-10T16:24:25"/>
        <d v="2025-03-11T09:27:04"/>
        <d v="2025-03-11T16:29:31"/>
        <d v="2025-03-12T11:11:39"/>
        <d v="2025-03-12T12:06:11"/>
        <d v="2025-03-12T12:55:38"/>
        <d v="2025-03-12T13:01:49"/>
        <d v="2025-03-12T16:27:37"/>
        <d v="2025-03-12T18:24:40"/>
        <d v="2025-03-13T09:38:20"/>
        <d v="2025-03-13T09:39:15"/>
        <d v="2025-03-13T14:53:50"/>
        <d v="2025-03-14T08:13:40"/>
        <d v="2025-03-14T09:00:30"/>
        <d v="2025-03-14T10:48:23"/>
        <d v="2025-03-14T16:31:55"/>
        <d v="2025-03-14T17:05:24"/>
        <d v="2025-03-14T20:20:22"/>
        <d v="2025-03-15T19:51:27"/>
        <d v="2025-03-16T09:36:23"/>
        <d v="2025-03-16T10:50:09"/>
        <d v="2025-03-17T14:48:04"/>
        <d v="2025-03-18T08:23:11"/>
        <d v="2025-03-18T11:47:20"/>
        <d v="2025-03-18T21:20:40"/>
        <d v="2025-03-19T12:58:27"/>
        <d v="2025-03-19T15:14:23"/>
        <d v="2025-03-19T18:29:50"/>
        <d v="2025-03-19T18:30:44"/>
        <d v="2025-03-19T18:31:26"/>
        <d v="2025-03-20T08:13:16"/>
        <d v="2025-03-20T10:45:44"/>
        <d v="2025-03-20T12:48:24"/>
        <d v="2025-03-20T14:25:05"/>
        <d v="2025-03-20T14:26:47"/>
        <d v="2025-03-20T17:23:51"/>
        <d v="2025-03-20T19:36:42"/>
        <d v="2025-03-21T08:35:19"/>
        <d v="2025-03-21T15:09:03"/>
        <d v="2025-03-22T12:18:27"/>
        <d v="2025-03-22T19:16:53"/>
        <d v="2025-03-23T14:43:37"/>
        <d v="2025-03-23T15:47:29"/>
      </sharedItems>
      <fieldGroup par="12"/>
    </cacheField>
    <cacheField name="Last Purchase" numFmtId="14">
      <sharedItems containsSemiMixedTypes="0" containsNonDate="0" containsDate="1" containsString="0" minDate="2024-03-01T12:20:18" maxDate="2025-03-23T18:11:39"/>
    </cacheField>
    <cacheField name="Total Visits" numFmtId="0">
      <sharedItems containsSemiMixedTypes="0" containsString="0" containsNumber="1" containsInteger="1" minValue="1" maxValue="129"/>
    </cacheField>
    <cacheField name="Total Spent" numFmtId="164">
      <sharedItems containsSemiMixedTypes="0" containsString="0" containsNumber="1" minValue="18.12" maxValue="3785.920000000006"/>
    </cacheField>
    <cacheField name="Avg Spend/Visit" numFmtId="164">
      <sharedItems containsSemiMixedTypes="0" containsString="0" containsNumber="1" minValue="18.12" maxValue="38.700000000000003"/>
    </cacheField>
    <cacheField name="Favorite Product" numFmtId="0">
      <sharedItems count="8">
        <s v="Latte"/>
        <s v="Hot Chocolate"/>
        <s v="Americano"/>
        <s v="Americano with Milk"/>
        <s v="Cocoa"/>
        <s v="Cortado"/>
        <s v="Espresso"/>
        <s v="Cappuccino"/>
      </sharedItems>
    </cacheField>
    <cacheField name="Days Active" numFmtId="1">
      <sharedItems containsSemiMixedTypes="0" containsString="0" containsNumber="1" minValue="1" maxValue="383.77941707175341"/>
    </cacheField>
    <cacheField name="Recency (Days)" numFmtId="1">
      <sharedItems containsSemiMixedTypes="0" containsString="0" containsNumber="1" minValue="0" maxValue="387.24398780092451"/>
    </cacheField>
    <cacheField name="Segment" numFmtId="0">
      <sharedItems count="6">
        <s v="Occasional"/>
        <s v="At Risk"/>
        <s v="Regular"/>
        <s v="VIP"/>
        <s v="Loyal"/>
        <s v="Recent"/>
      </sharedItems>
    </cacheField>
    <cacheField name="Priority" numFmtId="0">
      <sharedItems count="3">
        <s v="LOW"/>
        <s v="MEDIUM"/>
        <s v="HIGH"/>
      </sharedItems>
    </cacheField>
    <cacheField name="Months (First Purchase)" numFmtId="0" databaseField="0">
      <fieldGroup base="1">
        <rangePr groupBy="months" startDate="2024-03-01T10:15:51" endDate="2025-03-23T15:47:29"/>
        <groupItems count="14">
          <s v="&lt;3/1/2024"/>
          <s v="Jan"/>
          <s v="Feb"/>
          <s v="Mar"/>
          <s v="Apr"/>
          <s v="May"/>
          <s v="Jun"/>
          <s v="Jul"/>
          <s v="Aug"/>
          <s v="Sep"/>
          <s v="Oct"/>
          <s v="Nov"/>
          <s v="Dec"/>
          <s v="&gt;3/23/2025"/>
        </groupItems>
      </fieldGroup>
    </cacheField>
    <cacheField name="Years (First Purchase)" numFmtId="0" databaseField="0">
      <fieldGroup base="1">
        <rangePr groupBy="years" startDate="2024-03-01T10:15:51" endDate="2025-03-23T15:47:29"/>
        <groupItems count="4">
          <s v="&lt;3/1/2024"/>
          <s v="2024"/>
          <s v="2025"/>
          <s v="&gt;3/23/2025"/>
        </groupItems>
      </fieldGroup>
    </cacheField>
  </cacheFields>
  <extLst>
    <ext xmlns:x14="http://schemas.microsoft.com/office/spreadsheetml/2009/9/main" uri="{725AE2AE-9491-48be-B2B4-4EB974FC3084}">
      <x14:pivotCacheDefinition pivotCacheId="991073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6">
  <r>
    <x v="0"/>
    <x v="0"/>
    <d v="2024-06-06T10:36:10"/>
    <n v="17"/>
    <n v="646.14000000000021"/>
    <n v="38.008235294117661"/>
    <x v="0"/>
    <n v="98.014110497686488"/>
    <n v="290.31630749999749"/>
    <x v="0"/>
    <x v="0"/>
  </r>
  <r>
    <x v="1"/>
    <x v="1"/>
    <d v="2024-03-01T12:20:18"/>
    <n v="2"/>
    <n v="77.400000000000006"/>
    <n v="38.700000000000003"/>
    <x v="1"/>
    <n v="1.0006429398126784"/>
    <n v="387.24398780092451"/>
    <x v="1"/>
    <x v="0"/>
  </r>
  <r>
    <x v="2"/>
    <x v="2"/>
    <d v="2024-10-18T09:34:08"/>
    <n v="31"/>
    <n v="867.47999999999968"/>
    <n v="27.983225806451603"/>
    <x v="2"/>
    <n v="231.82471082176198"/>
    <n v="156.35938210647873"/>
    <x v="0"/>
    <x v="0"/>
  </r>
  <r>
    <x v="3"/>
    <x v="3"/>
    <d v="2024-10-04T09:30:22"/>
    <n v="12"/>
    <n v="371.3"/>
    <n v="30.941666666666666"/>
    <x v="3"/>
    <n v="217.8209191203714"/>
    <n v="170.36199765046331"/>
    <x v="0"/>
    <x v="0"/>
  </r>
  <r>
    <x v="4"/>
    <x v="4"/>
    <d v="2024-03-01T15:39:48"/>
    <n v="1"/>
    <n v="33.799999999999997"/>
    <n v="33.799999999999997"/>
    <x v="3"/>
    <n v="1"/>
    <n v="387.10545033564995"/>
    <x v="1"/>
    <x v="0"/>
  </r>
  <r>
    <x v="5"/>
    <x v="5"/>
    <d v="2024-03-01T16:19:03"/>
    <n v="1"/>
    <n v="38.700000000000003"/>
    <n v="38.700000000000003"/>
    <x v="1"/>
    <n v="1"/>
    <n v="387.07819304397708"/>
    <x v="1"/>
    <x v="0"/>
  </r>
  <r>
    <x v="6"/>
    <x v="6"/>
    <d v="2024-03-01T18:39:04"/>
    <n v="1"/>
    <n v="33.799999999999997"/>
    <n v="33.799999999999997"/>
    <x v="3"/>
    <n v="1"/>
    <n v="386.98096128472389"/>
    <x v="1"/>
    <x v="0"/>
  </r>
  <r>
    <x v="7"/>
    <x v="7"/>
    <d v="2024-03-01T19:23:16"/>
    <n v="2"/>
    <n v="72.5"/>
    <n v="36.25"/>
    <x v="4"/>
    <n v="1.0008579282439314"/>
    <n v="386.95026328703534"/>
    <x v="1"/>
    <x v="0"/>
  </r>
  <r>
    <x v="8"/>
    <x v="8"/>
    <d v="2024-08-10T16:06:12"/>
    <n v="67"/>
    <n v="2343.9800000000009"/>
    <n v="34.984776119403001"/>
    <x v="0"/>
    <n v="162.85896636574034"/>
    <n v="225.08711284722085"/>
    <x v="0"/>
    <x v="0"/>
  </r>
  <r>
    <x v="9"/>
    <x v="9"/>
    <d v="2024-03-02T10:22:07"/>
    <n v="1"/>
    <n v="28.9"/>
    <n v="28.9"/>
    <x v="2"/>
    <n v="1"/>
    <n v="386.32606108795881"/>
    <x v="1"/>
    <x v="0"/>
  </r>
  <r>
    <x v="10"/>
    <x v="10"/>
    <d v="2024-03-02T10:41:41"/>
    <n v="1"/>
    <n v="33.799999999999997"/>
    <n v="33.799999999999997"/>
    <x v="3"/>
    <n v="1"/>
    <n v="386.31246974536771"/>
    <x v="1"/>
    <x v="0"/>
  </r>
  <r>
    <x v="11"/>
    <x v="11"/>
    <d v="2025-01-20T08:29:48"/>
    <n v="129"/>
    <n v="3785.920000000006"/>
    <n v="29.348217054263614"/>
    <x v="2"/>
    <n v="324.85419531250227"/>
    <n v="62.404058749998512"/>
    <x v="2"/>
    <x v="1"/>
  </r>
  <r>
    <x v="12"/>
    <x v="12"/>
    <d v="2024-03-02T14:38:36"/>
    <n v="1"/>
    <n v="28.9"/>
    <n v="28.9"/>
    <x v="2"/>
    <n v="1"/>
    <n v="386.1479525462928"/>
    <x v="1"/>
    <x v="0"/>
  </r>
  <r>
    <x v="13"/>
    <x v="13"/>
    <d v="2024-03-02T16:37:24"/>
    <n v="1"/>
    <n v="33.799999999999997"/>
    <n v="33.799999999999997"/>
    <x v="3"/>
    <n v="1"/>
    <n v="386.06544166666572"/>
    <x v="1"/>
    <x v="0"/>
  </r>
  <r>
    <x v="14"/>
    <x v="14"/>
    <d v="2024-03-03T10:27:19"/>
    <n v="1"/>
    <n v="38.700000000000003"/>
    <n v="38.700000000000003"/>
    <x v="0"/>
    <n v="1"/>
    <n v="385.32245456018427"/>
    <x v="1"/>
    <x v="0"/>
  </r>
  <r>
    <x v="15"/>
    <x v="15"/>
    <d v="2024-03-03T11:33:56"/>
    <n v="1"/>
    <n v="28.9"/>
    <n v="28.9"/>
    <x v="5"/>
    <n v="1"/>
    <n v="385.27618653934769"/>
    <x v="1"/>
    <x v="0"/>
  </r>
  <r>
    <x v="16"/>
    <x v="16"/>
    <d v="2024-04-14T15:46:28"/>
    <n v="6"/>
    <n v="232.2"/>
    <n v="38.699999999999996"/>
    <x v="0"/>
    <n v="43.108928379631834"/>
    <n v="343.10082062499714"/>
    <x v="0"/>
    <x v="0"/>
  </r>
  <r>
    <x v="17"/>
    <x v="17"/>
    <d v="2024-03-03T17:06:40"/>
    <n v="1"/>
    <n v="38.700000000000003"/>
    <n v="38.700000000000003"/>
    <x v="4"/>
    <n v="1"/>
    <n v="385.04511995370558"/>
    <x v="1"/>
    <x v="0"/>
  </r>
  <r>
    <x v="18"/>
    <x v="18"/>
    <d v="2025-03-21T11:51:08"/>
    <n v="21"/>
    <n v="667.66"/>
    <n v="31.793333333333333"/>
    <x v="0"/>
    <n v="383.77941707175341"/>
    <n v="2.2642489004647359"/>
    <x v="3"/>
    <x v="2"/>
  </r>
  <r>
    <x v="19"/>
    <x v="19"/>
    <d v="2024-03-03T18:08:05"/>
    <n v="3"/>
    <n v="106.3"/>
    <n v="35.43333333333333"/>
    <x v="3"/>
    <n v="1.0032591435228824"/>
    <n v="385.00247310184932"/>
    <x v="0"/>
    <x v="0"/>
  </r>
  <r>
    <x v="20"/>
    <x v="20"/>
    <d v="2024-03-04T10:54:51"/>
    <n v="1"/>
    <n v="38.700000000000003"/>
    <n v="38.700000000000003"/>
    <x v="0"/>
    <n v="1"/>
    <n v="384.30332959490624"/>
    <x v="1"/>
    <x v="0"/>
  </r>
  <r>
    <x v="21"/>
    <x v="21"/>
    <d v="2024-03-04T14:04:38"/>
    <n v="1"/>
    <n v="24"/>
    <n v="24"/>
    <x v="6"/>
    <n v="1"/>
    <n v="384.17153820602107"/>
    <x v="1"/>
    <x v="0"/>
  </r>
  <r>
    <x v="22"/>
    <x v="22"/>
    <d v="2024-03-05T14:34:56"/>
    <n v="1"/>
    <n v="38.700000000000003"/>
    <n v="38.700000000000003"/>
    <x v="0"/>
    <n v="1"/>
    <n v="383.1504938888902"/>
    <x v="1"/>
    <x v="0"/>
  </r>
  <r>
    <x v="23"/>
    <x v="23"/>
    <d v="2024-06-03T14:33:01"/>
    <n v="12"/>
    <n v="422.26"/>
    <n v="35.188333333333333"/>
    <x v="3"/>
    <n v="90.874246631945425"/>
    <n v="293.1518250347217"/>
    <x v="0"/>
    <x v="0"/>
  </r>
  <r>
    <x v="24"/>
    <x v="24"/>
    <d v="2024-06-03T14:31:42"/>
    <n v="4"/>
    <n v="151.86000000000001"/>
    <n v="37.965000000000003"/>
    <x v="7"/>
    <n v="90.872422650463704"/>
    <n v="293.15273491897824"/>
    <x v="0"/>
    <x v="0"/>
  </r>
  <r>
    <x v="25"/>
    <x v="25"/>
    <d v="2024-05-11T17:21:56"/>
    <n v="2"/>
    <n v="76.42"/>
    <n v="38.21"/>
    <x v="4"/>
    <n v="67.989902152781724"/>
    <n v="316.03451988425513"/>
    <x v="1"/>
    <x v="0"/>
  </r>
  <r>
    <x v="26"/>
    <x v="26"/>
    <d v="2024-03-05T17:37:14"/>
    <n v="1"/>
    <n v="38.700000000000003"/>
    <n v="38.700000000000003"/>
    <x v="1"/>
    <n v="1"/>
    <n v="383.02390018518781"/>
    <x v="1"/>
    <x v="0"/>
  </r>
  <r>
    <x v="27"/>
    <x v="27"/>
    <d v="2024-03-05T18:01:31"/>
    <n v="2"/>
    <n v="67.599999999999994"/>
    <n v="33.799999999999997"/>
    <x v="5"/>
    <n v="1.0036512268488877"/>
    <n v="383.00703001157672"/>
    <x v="1"/>
    <x v="0"/>
  </r>
  <r>
    <x v="28"/>
    <x v="28"/>
    <d v="2024-03-06T14:53:18"/>
    <n v="2"/>
    <n v="77.400000000000006"/>
    <n v="38.700000000000003"/>
    <x v="7"/>
    <n v="1.0008863773109624"/>
    <n v="382.13773484953708"/>
    <x v="1"/>
    <x v="0"/>
  </r>
  <r>
    <x v="29"/>
    <x v="29"/>
    <d v="2024-03-07T10:18:41"/>
    <n v="1"/>
    <n v="38.700000000000003"/>
    <n v="38.700000000000003"/>
    <x v="1"/>
    <n v="1"/>
    <n v="381.32845013888436"/>
    <x v="1"/>
    <x v="0"/>
  </r>
  <r>
    <x v="30"/>
    <x v="30"/>
    <d v="2024-03-07T11:03:59"/>
    <n v="1"/>
    <n v="38.700000000000003"/>
    <n v="38.700000000000003"/>
    <x v="0"/>
    <n v="1"/>
    <n v="381.2969867939828"/>
    <x v="1"/>
    <x v="0"/>
  </r>
  <r>
    <x v="31"/>
    <x v="31"/>
    <d v="2024-03-26T13:36:50"/>
    <n v="2"/>
    <n v="57.8"/>
    <n v="28.9"/>
    <x v="2"/>
    <n v="19.914201828702062"/>
    <n v="362.19084480324091"/>
    <x v="1"/>
    <x v="0"/>
  </r>
  <r>
    <x v="32"/>
    <x v="32"/>
    <d v="2024-05-17T09:00:48"/>
    <n v="5"/>
    <n v="148.42000000000002"/>
    <n v="29.684000000000005"/>
    <x v="2"/>
    <n v="71.721755462960573"/>
    <n v="310.38252521990944"/>
    <x v="0"/>
    <x v="0"/>
  </r>
  <r>
    <x v="33"/>
    <x v="33"/>
    <d v="2024-03-08T12:22:29"/>
    <n v="1"/>
    <n v="38.700000000000003"/>
    <n v="38.700000000000003"/>
    <x v="7"/>
    <n v="1"/>
    <n v="380.24247664351424"/>
    <x v="1"/>
    <x v="0"/>
  </r>
  <r>
    <x v="34"/>
    <x v="34"/>
    <d v="2024-03-11T11:32:59"/>
    <n v="2"/>
    <n v="67.599999999999994"/>
    <n v="33.799999999999997"/>
    <x v="2"/>
    <n v="3.9027400347185903"/>
    <n v="377.27685016203759"/>
    <x v="1"/>
    <x v="0"/>
  </r>
  <r>
    <x v="35"/>
    <x v="35"/>
    <d v="2024-03-08T18:57:51"/>
    <n v="1"/>
    <n v="38.700000000000003"/>
    <n v="38.700000000000003"/>
    <x v="0"/>
    <n v="1"/>
    <n v="379.96790722222067"/>
    <x v="1"/>
    <x v="0"/>
  </r>
  <r>
    <x v="36"/>
    <x v="36"/>
    <d v="2024-03-08T18:59:25"/>
    <n v="1"/>
    <n v="38.700000000000003"/>
    <n v="38.700000000000003"/>
    <x v="0"/>
    <n v="1"/>
    <n v="379.96682516203873"/>
    <x v="1"/>
    <x v="0"/>
  </r>
  <r>
    <x v="37"/>
    <x v="37"/>
    <d v="2024-03-09T12:05:16"/>
    <n v="1"/>
    <n v="24"/>
    <n v="24"/>
    <x v="6"/>
    <n v="1"/>
    <n v="379.25443375000032"/>
    <x v="1"/>
    <x v="0"/>
  </r>
  <r>
    <x v="38"/>
    <x v="38"/>
    <d v="2024-03-09T12:07:38"/>
    <n v="1"/>
    <n v="28.9"/>
    <n v="28.9"/>
    <x v="2"/>
    <n v="1"/>
    <n v="379.252781944444"/>
    <x v="1"/>
    <x v="0"/>
  </r>
  <r>
    <x v="39"/>
    <x v="39"/>
    <d v="2024-12-19T19:10:41"/>
    <n v="50"/>
    <n v="1519.4799999999991"/>
    <n v="30.389599999999984"/>
    <x v="3"/>
    <n v="286.29001203703956"/>
    <n v="93.959005486110982"/>
    <x v="0"/>
    <x v="0"/>
  </r>
  <r>
    <x v="40"/>
    <x v="40"/>
    <d v="2024-03-09T13:09:22"/>
    <n v="1"/>
    <n v="38.700000000000003"/>
    <n v="38.700000000000003"/>
    <x v="0"/>
    <n v="1"/>
    <n v="379.20991210648208"/>
    <x v="1"/>
    <x v="0"/>
  </r>
  <r>
    <x v="41"/>
    <x v="41"/>
    <d v="2024-12-23T10:42:03"/>
    <n v="3"/>
    <n v="102.38"/>
    <n v="34.126666666666665"/>
    <x v="3"/>
    <n v="289.87566260416497"/>
    <n v="90.312213182871346"/>
    <x v="0"/>
    <x v="0"/>
  </r>
  <r>
    <x v="42"/>
    <x v="42"/>
    <d v="2024-03-09T13:54:37"/>
    <n v="2"/>
    <n v="67.599999999999994"/>
    <n v="33.799999999999997"/>
    <x v="5"/>
    <n v="1.0010002314811572"/>
    <n v="379.17849313657644"/>
    <x v="1"/>
    <x v="0"/>
  </r>
  <r>
    <x v="43"/>
    <x v="43"/>
    <d v="2024-03-09T14:26:53"/>
    <n v="1"/>
    <n v="38.700000000000003"/>
    <n v="38.700000000000003"/>
    <x v="1"/>
    <n v="1"/>
    <n v="379.15608520833484"/>
    <x v="1"/>
    <x v="0"/>
  </r>
  <r>
    <x v="44"/>
    <x v="44"/>
    <d v="2024-03-10T11:19:21"/>
    <n v="1"/>
    <n v="24"/>
    <n v="24"/>
    <x v="6"/>
    <n v="1"/>
    <n v="378.2863179513879"/>
    <x v="1"/>
    <x v="0"/>
  </r>
  <r>
    <x v="45"/>
    <x v="45"/>
    <d v="2025-03-15T17:10:23"/>
    <n v="5"/>
    <n v="174.87999999999997"/>
    <n v="34.975999999999992"/>
    <x v="7"/>
    <n v="370.90026532407501"/>
    <n v="8.0425374189799186"/>
    <x v="4"/>
    <x v="2"/>
  </r>
  <r>
    <x v="46"/>
    <x v="46"/>
    <d v="2024-03-11T16:25:46"/>
    <n v="2"/>
    <n v="67.599999999999994"/>
    <n v="33.799999999999997"/>
    <x v="2"/>
    <n v="1.0009173958387692"/>
    <n v="377.07352975694084"/>
    <x v="1"/>
    <x v="0"/>
  </r>
  <r>
    <x v="47"/>
    <x v="47"/>
    <d v="2024-03-13T11:06:43"/>
    <n v="2"/>
    <n v="67.599999999999994"/>
    <n v="33.799999999999997"/>
    <x v="5"/>
    <n v="2.7610350694376393"/>
    <n v="375.29508792824345"/>
    <x v="1"/>
    <x v="0"/>
  </r>
  <r>
    <x v="48"/>
    <x v="48"/>
    <d v="2024-04-09T17:25:24"/>
    <n v="4"/>
    <n v="145"/>
    <n v="36.25"/>
    <x v="1"/>
    <n v="29.253221111110179"/>
    <n v="348.03211457176076"/>
    <x v="0"/>
    <x v="0"/>
  </r>
  <r>
    <x v="49"/>
    <x v="49"/>
    <d v="2025-01-13T20:51:18"/>
    <n v="8"/>
    <n v="235.12000000000003"/>
    <n v="29.390000000000004"/>
    <x v="2"/>
    <n v="308.19137673611112"/>
    <n v="68.889124537039606"/>
    <x v="2"/>
    <x v="1"/>
  </r>
  <r>
    <x v="50"/>
    <x v="50"/>
    <d v="2024-03-13T12:19:05"/>
    <n v="2"/>
    <n v="57.8"/>
    <n v="28.9"/>
    <x v="2"/>
    <n v="1.0006804629592807"/>
    <n v="375.24483225694712"/>
    <x v="1"/>
    <x v="0"/>
  </r>
  <r>
    <x v="51"/>
    <x v="51"/>
    <d v="2024-03-13T14:26:41"/>
    <n v="1"/>
    <n v="33.799999999999997"/>
    <n v="33.799999999999997"/>
    <x v="3"/>
    <n v="1"/>
    <n v="375.156224074075"/>
    <x v="1"/>
    <x v="0"/>
  </r>
  <r>
    <x v="52"/>
    <x v="52"/>
    <d v="2024-03-13T15:41:20"/>
    <n v="2"/>
    <n v="48"/>
    <n v="24"/>
    <x v="6"/>
    <n v="1.0006731828689226"/>
    <n v="375.10437744212686"/>
    <x v="1"/>
    <x v="0"/>
  </r>
  <r>
    <x v="53"/>
    <x v="53"/>
    <d v="2024-10-18T08:42:59"/>
    <n v="2"/>
    <n v="59.76"/>
    <n v="29.88"/>
    <x v="6"/>
    <n v="219.66377086805733"/>
    <n v="156.39490114583168"/>
    <x v="1"/>
    <x v="0"/>
  </r>
  <r>
    <x v="54"/>
    <x v="54"/>
    <d v="2024-03-26T10:36:36"/>
    <n v="4"/>
    <n v="154.80000000000001"/>
    <n v="38.700000000000003"/>
    <x v="0"/>
    <n v="13.005591828703473"/>
    <n v="362.31600097221963"/>
    <x v="0"/>
    <x v="0"/>
  </r>
  <r>
    <x v="55"/>
    <x v="55"/>
    <d v="2024-03-14T13:52:00"/>
    <n v="1"/>
    <n v="33.799999999999997"/>
    <n v="33.799999999999997"/>
    <x v="3"/>
    <n v="1"/>
    <n v="374.18030937499861"/>
    <x v="1"/>
    <x v="0"/>
  </r>
  <r>
    <x v="56"/>
    <x v="56"/>
    <d v="2024-03-14T13:52:56"/>
    <n v="1"/>
    <n v="24"/>
    <n v="24"/>
    <x v="6"/>
    <n v="1"/>
    <n v="374.17965725694376"/>
    <x v="1"/>
    <x v="0"/>
  </r>
  <r>
    <x v="57"/>
    <x v="57"/>
    <d v="2024-07-05T12:20:29"/>
    <n v="2"/>
    <n v="76.42"/>
    <n v="38.21"/>
    <x v="0"/>
    <n v="113.87488776620739"/>
    <n v="261.24386533564393"/>
    <x v="1"/>
    <x v="0"/>
  </r>
  <r>
    <x v="58"/>
    <x v="58"/>
    <d v="2024-07-27T12:33:23"/>
    <n v="12"/>
    <n v="337.00000000000006"/>
    <n v="28.083333333333339"/>
    <x v="3"/>
    <n v="135.85362921296473"/>
    <n v="239.23490237268561"/>
    <x v="0"/>
    <x v="0"/>
  </r>
  <r>
    <x v="59"/>
    <x v="59"/>
    <d v="2024-03-15T10:53:02"/>
    <n v="1"/>
    <n v="38.700000000000003"/>
    <n v="38.700000000000003"/>
    <x v="1"/>
    <n v="1"/>
    <n v="373.30458859953796"/>
    <x v="1"/>
    <x v="0"/>
  </r>
  <r>
    <x v="60"/>
    <x v="60"/>
    <d v="2024-03-16T12:07:54"/>
    <n v="2"/>
    <n v="62.699999999999996"/>
    <n v="31.349999999999998"/>
    <x v="3"/>
    <n v="1.0006794675937272"/>
    <n v="372.25260092592362"/>
    <x v="1"/>
    <x v="0"/>
  </r>
  <r>
    <x v="61"/>
    <x v="61"/>
    <d v="2024-03-16T17:58:07"/>
    <n v="1"/>
    <n v="33.799999999999997"/>
    <n v="33.799999999999997"/>
    <x v="3"/>
    <n v="1"/>
    <n v="372.00939113425557"/>
    <x v="1"/>
    <x v="0"/>
  </r>
  <r>
    <x v="62"/>
    <x v="62"/>
    <d v="2024-03-17T12:55:26"/>
    <n v="1"/>
    <n v="28.9"/>
    <n v="28.9"/>
    <x v="5"/>
    <n v="1"/>
    <n v="371.21958993055159"/>
    <x v="1"/>
    <x v="0"/>
  </r>
  <r>
    <x v="63"/>
    <x v="63"/>
    <d v="2024-04-16T12:52:08"/>
    <n v="3"/>
    <n v="86.699999999999989"/>
    <n v="28.899999999999995"/>
    <x v="5"/>
    <n v="30.065371284727007"/>
    <n v="341.22188524305238"/>
    <x v="0"/>
    <x v="0"/>
  </r>
  <r>
    <x v="64"/>
    <x v="64"/>
    <d v="2024-03-19T14:03:20"/>
    <n v="2"/>
    <n v="77.400000000000006"/>
    <n v="38.700000000000003"/>
    <x v="0"/>
    <n v="1.0006739467571606"/>
    <n v="369.17244062499958"/>
    <x v="1"/>
    <x v="0"/>
  </r>
  <r>
    <x v="65"/>
    <x v="65"/>
    <d v="2024-03-19T16:53:49"/>
    <n v="1"/>
    <n v="33.799999999999997"/>
    <n v="33.799999999999997"/>
    <x v="3"/>
    <n v="1"/>
    <n v="369.05405010416871"/>
    <x v="1"/>
    <x v="0"/>
  </r>
  <r>
    <x v="66"/>
    <x v="66"/>
    <d v="2024-03-20T13:16:47"/>
    <n v="1"/>
    <n v="38.700000000000003"/>
    <n v="38.700000000000003"/>
    <x v="7"/>
    <n v="1"/>
    <n v="368.20475973379507"/>
    <x v="1"/>
    <x v="0"/>
  </r>
  <r>
    <x v="67"/>
    <x v="67"/>
    <d v="2024-03-20T17:50:29"/>
    <n v="1"/>
    <n v="38.700000000000003"/>
    <n v="38.700000000000003"/>
    <x v="0"/>
    <n v="1"/>
    <n v="368.01469738425658"/>
    <x v="1"/>
    <x v="0"/>
  </r>
  <r>
    <x v="68"/>
    <x v="68"/>
    <d v="2024-05-16T17:44:32"/>
    <n v="5"/>
    <n v="191.54"/>
    <n v="38.308"/>
    <x v="0"/>
    <n v="56.933275925926864"/>
    <n v="311.01883202546014"/>
    <x v="0"/>
    <x v="0"/>
  </r>
  <r>
    <x v="69"/>
    <x v="69"/>
    <d v="2024-03-22T10:35:54"/>
    <n v="1"/>
    <n v="33.799999999999997"/>
    <n v="33.799999999999997"/>
    <x v="3"/>
    <n v="1"/>
    <n v="366.31649324073805"/>
    <x v="1"/>
    <x v="0"/>
  </r>
  <r>
    <x v="70"/>
    <x v="70"/>
    <d v="2024-03-22T13:29:20"/>
    <n v="1"/>
    <n v="33.799999999999997"/>
    <n v="33.799999999999997"/>
    <x v="3"/>
    <n v="1"/>
    <n v="366.19604504629388"/>
    <x v="1"/>
    <x v="0"/>
  </r>
  <r>
    <x v="71"/>
    <x v="71"/>
    <d v="2024-03-23T10:44:00"/>
    <n v="1"/>
    <n v="38.700000000000003"/>
    <n v="38.700000000000003"/>
    <x v="0"/>
    <n v="1"/>
    <n v="365.31086893518659"/>
    <x v="1"/>
    <x v="0"/>
  </r>
  <r>
    <x v="72"/>
    <x v="72"/>
    <d v="2024-03-23T10:45:07"/>
    <n v="1"/>
    <n v="33.799999999999997"/>
    <n v="33.799999999999997"/>
    <x v="3"/>
    <n v="1"/>
    <n v="365.31008655092592"/>
    <x v="1"/>
    <x v="0"/>
  </r>
  <r>
    <x v="73"/>
    <x v="73"/>
    <d v="2024-03-23T13:11:12"/>
    <n v="2"/>
    <n v="77.400000000000006"/>
    <n v="38.700000000000003"/>
    <x v="7"/>
    <n v="1.0007473263904103"/>
    <n v="365.20863894675858"/>
    <x v="1"/>
    <x v="0"/>
  </r>
  <r>
    <x v="74"/>
    <x v="74"/>
    <d v="2024-03-23T14:44:41"/>
    <n v="1"/>
    <n v="33.799999999999997"/>
    <n v="33.799999999999997"/>
    <x v="3"/>
    <n v="1"/>
    <n v="365.14371943286824"/>
    <x v="1"/>
    <x v="0"/>
  </r>
  <r>
    <x v="75"/>
    <x v="75"/>
    <d v="2024-03-23T15:49:34"/>
    <n v="2"/>
    <n v="72.5"/>
    <n v="36.25"/>
    <x v="0"/>
    <n v="1.0015596180601278"/>
    <n v="365.09866692129435"/>
    <x v="1"/>
    <x v="0"/>
  </r>
  <r>
    <x v="76"/>
    <x v="76"/>
    <d v="2024-08-25T14:53:03"/>
    <n v="6"/>
    <n v="207.7"/>
    <n v="34.616666666666667"/>
    <x v="0"/>
    <n v="154.83882293981878"/>
    <n v="210.13791592592315"/>
    <x v="0"/>
    <x v="0"/>
  </r>
  <r>
    <x v="77"/>
    <x v="77"/>
    <d v="2024-03-25T14:27:09"/>
    <n v="1"/>
    <n v="38.700000000000003"/>
    <n v="38.700000000000003"/>
    <x v="0"/>
    <n v="1"/>
    <n v="363.15589666666347"/>
    <x v="1"/>
    <x v="0"/>
  </r>
  <r>
    <x v="78"/>
    <x v="78"/>
    <d v="2024-03-25T19:34:25"/>
    <n v="1"/>
    <n v="38.700000000000003"/>
    <n v="38.700000000000003"/>
    <x v="7"/>
    <n v="1"/>
    <n v="362.94252422453428"/>
    <x v="1"/>
    <x v="0"/>
  </r>
  <r>
    <x v="79"/>
    <x v="79"/>
    <d v="2024-03-26T10:42:30"/>
    <n v="1"/>
    <n v="38.700000000000003"/>
    <n v="38.700000000000003"/>
    <x v="0"/>
    <n v="1"/>
    <n v="362.31190353009151"/>
    <x v="1"/>
    <x v="0"/>
  </r>
  <r>
    <x v="80"/>
    <x v="80"/>
    <d v="2024-05-24T16:07:20"/>
    <n v="2"/>
    <n v="76.42"/>
    <n v="38.21"/>
    <x v="0"/>
    <n v="60.01339752315107"/>
    <n v="303.08632892360765"/>
    <x v="1"/>
    <x v="0"/>
  </r>
  <r>
    <x v="81"/>
    <x v="81"/>
    <d v="2024-03-27T12:57:00"/>
    <n v="1"/>
    <n v="33.799999999999997"/>
    <n v="33.799999999999997"/>
    <x v="3"/>
    <n v="1"/>
    <n v="361.21849737268349"/>
    <x v="1"/>
    <x v="0"/>
  </r>
  <r>
    <x v="82"/>
    <x v="82"/>
    <d v="2024-03-27T13:35:20"/>
    <n v="1"/>
    <n v="38.700000000000003"/>
    <n v="38.700000000000003"/>
    <x v="1"/>
    <n v="1"/>
    <n v="361.19188189815031"/>
    <x v="1"/>
    <x v="0"/>
  </r>
  <r>
    <x v="83"/>
    <x v="83"/>
    <d v="2024-10-25T08:18:50"/>
    <n v="2"/>
    <n v="64.66"/>
    <n v="32.33"/>
    <x v="5"/>
    <n v="212.57543920138414"/>
    <n v="149.41167656250036"/>
    <x v="1"/>
    <x v="0"/>
  </r>
  <r>
    <x v="84"/>
    <x v="84"/>
    <d v="2024-04-18T18:21:06"/>
    <n v="2"/>
    <n v="67.599999999999994"/>
    <n v="33.799999999999997"/>
    <x v="5"/>
    <n v="22.164107094904466"/>
    <n v="338.99343391203729"/>
    <x v="1"/>
    <x v="0"/>
  </r>
  <r>
    <x v="85"/>
    <x v="85"/>
    <d v="2024-03-28T17:32:45"/>
    <n v="1"/>
    <n v="38.700000000000003"/>
    <n v="38.700000000000003"/>
    <x v="0"/>
    <n v="1"/>
    <n v="360.02701369213173"/>
    <x v="1"/>
    <x v="0"/>
  </r>
  <r>
    <x v="86"/>
    <x v="86"/>
    <d v="2024-03-29T10:56:19"/>
    <n v="1"/>
    <n v="38.700000000000003"/>
    <n v="38.700000000000003"/>
    <x v="0"/>
    <n v="1"/>
    <n v="359.30230486110668"/>
    <x v="1"/>
    <x v="0"/>
  </r>
  <r>
    <x v="87"/>
    <x v="87"/>
    <d v="2024-03-29T12:41:32"/>
    <n v="2"/>
    <n v="77.400000000000006"/>
    <n v="38.700000000000003"/>
    <x v="7"/>
    <n v="1.0050317361092311"/>
    <n v="359.22924201389105"/>
    <x v="1"/>
    <x v="0"/>
  </r>
  <r>
    <x v="88"/>
    <x v="88"/>
    <d v="2024-03-31T10:40:05"/>
    <n v="1"/>
    <n v="38.700000000000003"/>
    <n v="38.700000000000003"/>
    <x v="7"/>
    <n v="1"/>
    <n v="357.31358925926179"/>
    <x v="1"/>
    <x v="0"/>
  </r>
  <r>
    <x v="89"/>
    <x v="89"/>
    <d v="2024-04-01T18:45:27"/>
    <n v="1"/>
    <n v="38.700000000000003"/>
    <n v="38.700000000000003"/>
    <x v="1"/>
    <n v="1"/>
    <n v="355.97651850694092"/>
    <x v="1"/>
    <x v="0"/>
  </r>
  <r>
    <x v="90"/>
    <x v="90"/>
    <d v="2024-04-09T11:42:28"/>
    <n v="3"/>
    <n v="116.10000000000001"/>
    <n v="38.700000000000003"/>
    <x v="0"/>
    <n v="6.0399592592584668"/>
    <n v="348.27025656250044"/>
    <x v="0"/>
    <x v="0"/>
  </r>
  <r>
    <x v="91"/>
    <x v="91"/>
    <d v="2024-04-04T11:26:38"/>
    <n v="1"/>
    <n v="38.700000000000003"/>
    <n v="38.700000000000003"/>
    <x v="0"/>
    <n v="1"/>
    <n v="353.28125636574259"/>
    <x v="1"/>
    <x v="0"/>
  </r>
  <r>
    <x v="92"/>
    <x v="92"/>
    <d v="2024-04-04T11:27:48"/>
    <n v="1"/>
    <n v="38.700000000000003"/>
    <n v="38.700000000000003"/>
    <x v="7"/>
    <n v="1"/>
    <n v="353.28044240740564"/>
    <x v="1"/>
    <x v="0"/>
  </r>
  <r>
    <x v="93"/>
    <x v="93"/>
    <d v="2024-04-04T12:23:02"/>
    <n v="1"/>
    <n v="28.9"/>
    <n v="28.9"/>
    <x v="5"/>
    <n v="1"/>
    <n v="353.24208818287298"/>
    <x v="1"/>
    <x v="0"/>
  </r>
  <r>
    <x v="94"/>
    <x v="94"/>
    <d v="2025-02-22T12:59:42"/>
    <n v="4"/>
    <n v="86.2"/>
    <n v="21.55"/>
    <x v="6"/>
    <n v="324.09651765046146"/>
    <n v="29.216629421294783"/>
    <x v="2"/>
    <x v="1"/>
  </r>
  <r>
    <x v="95"/>
    <x v="95"/>
    <d v="2024-04-05T11:06:15"/>
    <n v="1"/>
    <n v="28.9"/>
    <n v="28.9"/>
    <x v="5"/>
    <n v="1"/>
    <n v="352.2954165740739"/>
    <x v="1"/>
    <x v="0"/>
  </r>
  <r>
    <x v="96"/>
    <x v="96"/>
    <d v="2024-12-25T20:02:40"/>
    <n v="47"/>
    <n v="1477.8600000000001"/>
    <n v="31.443829787234044"/>
    <x v="3"/>
    <n v="265.32514300925686"/>
    <n v="87.922897037038638"/>
    <x v="2"/>
    <x v="1"/>
  </r>
  <r>
    <x v="97"/>
    <x v="97"/>
    <d v="2024-04-05T14:24:50"/>
    <n v="2"/>
    <n v="67.599999999999994"/>
    <n v="33.799999999999997"/>
    <x v="0"/>
    <n v="1.0008105324013741"/>
    <n v="352.15750252315047"/>
    <x v="1"/>
    <x v="0"/>
  </r>
  <r>
    <x v="98"/>
    <x v="98"/>
    <d v="2024-09-22T11:55:13"/>
    <n v="5"/>
    <n v="135.68"/>
    <n v="27.136000000000003"/>
    <x v="2"/>
    <n v="169.97409172453627"/>
    <n v="182.2614087037"/>
    <x v="0"/>
    <x v="0"/>
  </r>
  <r>
    <x v="99"/>
    <x v="99"/>
    <d v="2024-04-07T14:17:31"/>
    <n v="2"/>
    <n v="52.9"/>
    <n v="26.45"/>
    <x v="5"/>
    <n v="1.0007601736142533"/>
    <n v="350.16259267360874"/>
    <x v="1"/>
    <x v="0"/>
  </r>
  <r>
    <x v="100"/>
    <x v="100"/>
    <d v="2024-04-07T18:02:04"/>
    <n v="2"/>
    <n v="72.5"/>
    <n v="36.25"/>
    <x v="1"/>
    <n v="1.0005471064796438"/>
    <n v="350.00665228009166"/>
    <x v="1"/>
    <x v="0"/>
  </r>
  <r>
    <x v="101"/>
    <x v="101"/>
    <d v="2024-04-08T10:58:21"/>
    <n v="1"/>
    <n v="33.799999999999997"/>
    <n v="33.799999999999997"/>
    <x v="3"/>
    <n v="1"/>
    <n v="349.30089732638589"/>
    <x v="1"/>
    <x v="0"/>
  </r>
  <r>
    <x v="102"/>
    <x v="102"/>
    <d v="2024-04-08T10:59:28"/>
    <n v="1"/>
    <n v="38.700000000000003"/>
    <n v="38.700000000000003"/>
    <x v="7"/>
    <n v="1"/>
    <n v="349.30012820601405"/>
    <x v="1"/>
    <x v="0"/>
  </r>
  <r>
    <x v="103"/>
    <x v="103"/>
    <d v="2024-04-08T11:04:47"/>
    <n v="1"/>
    <n v="38.700000000000003"/>
    <n v="38.700000000000003"/>
    <x v="7"/>
    <n v="1"/>
    <n v="349.29643061342358"/>
    <x v="1"/>
    <x v="0"/>
  </r>
  <r>
    <x v="104"/>
    <x v="104"/>
    <d v="2024-04-08T18:18:10"/>
    <n v="1"/>
    <n v="28.9"/>
    <n v="28.9"/>
    <x v="2"/>
    <n v="1"/>
    <n v="348.99547363425518"/>
    <x v="1"/>
    <x v="0"/>
  </r>
  <r>
    <x v="105"/>
    <x v="105"/>
    <d v="2024-04-11T19:16:57"/>
    <n v="2"/>
    <n v="77.400000000000006"/>
    <n v="38.700000000000003"/>
    <x v="7"/>
    <n v="3.9951078703670646"/>
    <n v="345.95465332175809"/>
    <x v="1"/>
    <x v="0"/>
  </r>
  <r>
    <x v="106"/>
    <x v="106"/>
    <d v="2024-04-09T15:11:49"/>
    <n v="1"/>
    <n v="38.700000000000003"/>
    <n v="38.700000000000003"/>
    <x v="1"/>
    <n v="1"/>
    <n v="348.12488327546453"/>
    <x v="1"/>
    <x v="0"/>
  </r>
  <r>
    <x v="107"/>
    <x v="107"/>
    <d v="2024-04-10T17:55:31"/>
    <n v="1"/>
    <n v="24"/>
    <n v="24"/>
    <x v="6"/>
    <n v="1"/>
    <n v="347.01119665509032"/>
    <x v="1"/>
    <x v="0"/>
  </r>
  <r>
    <x v="108"/>
    <x v="108"/>
    <d v="2024-04-10T20:04:05"/>
    <n v="1"/>
    <n v="38.700000000000003"/>
    <n v="38.700000000000003"/>
    <x v="0"/>
    <n v="1"/>
    <n v="346.92191260416439"/>
    <x v="1"/>
    <x v="0"/>
  </r>
  <r>
    <x v="109"/>
    <x v="109"/>
    <d v="2024-04-11T10:42:59"/>
    <n v="2"/>
    <n v="57.8"/>
    <n v="28.9"/>
    <x v="2"/>
    <n v="1.001113541664381"/>
    <n v="346.31156562500109"/>
    <x v="1"/>
    <x v="0"/>
  </r>
  <r>
    <x v="110"/>
    <x v="110"/>
    <d v="2024-04-13T16:19:40"/>
    <n v="2"/>
    <n v="77.400000000000006"/>
    <n v="38.700000000000003"/>
    <x v="7"/>
    <n v="1.0011095023146481"/>
    <n v="344.07776430555532"/>
    <x v="1"/>
    <x v="0"/>
  </r>
  <r>
    <x v="111"/>
    <x v="111"/>
    <d v="2024-04-13T17:51:26"/>
    <n v="1"/>
    <n v="38.700000000000003"/>
    <n v="38.700000000000003"/>
    <x v="7"/>
    <n v="1"/>
    <n v="344.01403482638852"/>
    <x v="1"/>
    <x v="0"/>
  </r>
  <r>
    <x v="112"/>
    <x v="112"/>
    <d v="2024-04-14T12:24:39"/>
    <n v="1"/>
    <n v="38.700000000000003"/>
    <n v="38.700000000000003"/>
    <x v="7"/>
    <n v="1"/>
    <n v="343.24096767361334"/>
    <x v="1"/>
    <x v="0"/>
  </r>
  <r>
    <x v="113"/>
    <x v="113"/>
    <d v="2024-04-14T13:21:50"/>
    <n v="1"/>
    <n v="28.9"/>
    <n v="28.9"/>
    <x v="5"/>
    <n v="1"/>
    <n v="343.2012595717606"/>
    <x v="1"/>
    <x v="0"/>
  </r>
  <r>
    <x v="114"/>
    <x v="114"/>
    <d v="2024-05-11T18:35:40"/>
    <n v="2"/>
    <n v="76.42"/>
    <n v="38.21"/>
    <x v="7"/>
    <n v="27.998155185181531"/>
    <n v="315.98331456018786"/>
    <x v="1"/>
    <x v="0"/>
  </r>
  <r>
    <x v="115"/>
    <x v="115"/>
    <d v="2024-04-16T10:46:26"/>
    <n v="1"/>
    <n v="33.799999999999997"/>
    <n v="33.799999999999997"/>
    <x v="3"/>
    <n v="1"/>
    <n v="341.30917741898156"/>
    <x v="1"/>
    <x v="0"/>
  </r>
  <r>
    <x v="116"/>
    <x v="116"/>
    <d v="2024-04-16T12:40:48"/>
    <n v="1"/>
    <n v="38.700000000000003"/>
    <n v="38.700000000000003"/>
    <x v="4"/>
    <n v="1"/>
    <n v="341.22975648147985"/>
    <x v="1"/>
    <x v="0"/>
  </r>
  <r>
    <x v="117"/>
    <x v="117"/>
    <d v="2024-05-09T16:56:15"/>
    <n v="6"/>
    <n v="186.14000000000004"/>
    <n v="31.023333333333341"/>
    <x v="2"/>
    <n v="24.0784502314782"/>
    <n v="318.05235701389029"/>
    <x v="0"/>
    <x v="0"/>
  </r>
  <r>
    <x v="118"/>
    <x v="118"/>
    <d v="2024-04-17T13:44:00"/>
    <n v="1"/>
    <n v="24"/>
    <n v="24"/>
    <x v="6"/>
    <n v="1"/>
    <n v="340.18586173610674"/>
    <x v="1"/>
    <x v="0"/>
  </r>
  <r>
    <x v="119"/>
    <x v="119"/>
    <d v="2024-05-20T17:12:51"/>
    <n v="3"/>
    <n v="115.12"/>
    <n v="38.373333333333335"/>
    <x v="7"/>
    <n v="34.007823749998352"/>
    <n v="307.04082770833338"/>
    <x v="0"/>
    <x v="0"/>
  </r>
  <r>
    <x v="120"/>
    <x v="120"/>
    <d v="2024-04-17T18:14:03"/>
    <n v="1"/>
    <n v="28.9"/>
    <n v="28.9"/>
    <x v="5"/>
    <n v="1"/>
    <n v="339.99832645833521"/>
    <x v="1"/>
    <x v="0"/>
  </r>
  <r>
    <x v="121"/>
    <x v="121"/>
    <d v="2024-04-18T13:50:17"/>
    <n v="2"/>
    <n v="62.699999999999996"/>
    <n v="31.349999999999998"/>
    <x v="3"/>
    <n v="1.000747280093492"/>
    <n v="339.1814971064814"/>
    <x v="1"/>
    <x v="0"/>
  </r>
  <r>
    <x v="122"/>
    <x v="122"/>
    <d v="2024-04-18T14:35:49"/>
    <n v="2"/>
    <n v="77.400000000000006"/>
    <n v="38.700000000000003"/>
    <x v="7"/>
    <n v="1.001036296293023"/>
    <n v="339.14987593750266"/>
    <x v="1"/>
    <x v="0"/>
  </r>
  <r>
    <x v="123"/>
    <x v="123"/>
    <d v="2024-04-19T13:59:50"/>
    <n v="2"/>
    <n v="77.400000000000006"/>
    <n v="38.700000000000003"/>
    <x v="1"/>
    <n v="1.0006438194468501"/>
    <n v="338.17487204860663"/>
    <x v="1"/>
    <x v="0"/>
  </r>
  <r>
    <x v="124"/>
    <x v="124"/>
    <d v="2024-04-20T12:09:43"/>
    <n v="2"/>
    <n v="67.599999999999994"/>
    <n v="33.799999999999997"/>
    <x v="3"/>
    <n v="1.0007750347213005"/>
    <n v="337.25134225694637"/>
    <x v="1"/>
    <x v="0"/>
  </r>
  <r>
    <x v="125"/>
    <x v="125"/>
    <d v="2024-04-20T15:49:25"/>
    <n v="1"/>
    <n v="32.82"/>
    <n v="32.82"/>
    <x v="3"/>
    <n v="1"/>
    <n v="337.09876721064938"/>
    <x v="1"/>
    <x v="0"/>
  </r>
  <r>
    <x v="126"/>
    <x v="126"/>
    <d v="2024-04-20T18:28:47"/>
    <n v="2"/>
    <n v="75.44"/>
    <n v="37.72"/>
    <x v="7"/>
    <n v="1.000756990739319"/>
    <n v="336.98809878472093"/>
    <x v="1"/>
    <x v="0"/>
  </r>
  <r>
    <x v="127"/>
    <x v="127"/>
    <d v="2024-04-20T19:30:55"/>
    <n v="1"/>
    <n v="37.72"/>
    <n v="37.72"/>
    <x v="0"/>
    <n v="1"/>
    <n v="336.9449458101808"/>
    <x v="1"/>
    <x v="0"/>
  </r>
  <r>
    <x v="128"/>
    <x v="128"/>
    <d v="2024-04-22T11:29:27"/>
    <n v="1"/>
    <n v="32.82"/>
    <n v="32.82"/>
    <x v="3"/>
    <n v="1"/>
    <n v="335.27930018518236"/>
    <x v="1"/>
    <x v="0"/>
  </r>
  <r>
    <x v="129"/>
    <x v="129"/>
    <d v="2024-04-23T19:43:26"/>
    <n v="2"/>
    <n v="65.64"/>
    <n v="32.82"/>
    <x v="3"/>
    <n v="1.0006767245358787"/>
    <n v="333.93625464120123"/>
    <x v="1"/>
    <x v="0"/>
  </r>
  <r>
    <x v="130"/>
    <x v="130"/>
    <d v="2024-04-24T10:21:27"/>
    <n v="1"/>
    <n v="32.82"/>
    <n v="32.82"/>
    <x v="3"/>
    <n v="1"/>
    <n v="333.32652023147966"/>
    <x v="1"/>
    <x v="0"/>
  </r>
  <r>
    <x v="131"/>
    <x v="131"/>
    <d v="2024-04-24T11:23:46"/>
    <n v="1"/>
    <n v="32.82"/>
    <n v="32.82"/>
    <x v="3"/>
    <n v="1"/>
    <n v="333.28324690971931"/>
    <x v="1"/>
    <x v="0"/>
  </r>
  <r>
    <x v="132"/>
    <x v="132"/>
    <d v="2024-05-02T13:49:40"/>
    <n v="2"/>
    <n v="65.64"/>
    <n v="32.82"/>
    <x v="3"/>
    <n v="9.094601284719829"/>
    <n v="325.1819298263872"/>
    <x v="1"/>
    <x v="0"/>
  </r>
  <r>
    <x v="133"/>
    <x v="133"/>
    <d v="2024-08-12T22:59:19"/>
    <n v="13"/>
    <n v="470.76"/>
    <n v="36.212307692307689"/>
    <x v="7"/>
    <n v="111.13852501157817"/>
    <n v="222.80023253471882"/>
    <x v="0"/>
    <x v="0"/>
  </r>
  <r>
    <x v="134"/>
    <x v="134"/>
    <d v="2024-04-25T10:46:08"/>
    <n v="1"/>
    <n v="27.92"/>
    <n v="27.92"/>
    <x v="2"/>
    <n v="1"/>
    <n v="332.30938168981083"/>
    <x v="1"/>
    <x v="0"/>
  </r>
  <r>
    <x v="135"/>
    <x v="135"/>
    <d v="2024-04-26T12:01:31"/>
    <n v="1"/>
    <n v="37.72"/>
    <n v="37.72"/>
    <x v="0"/>
    <n v="1"/>
    <n v="331.25703767361119"/>
    <x v="1"/>
    <x v="0"/>
  </r>
  <r>
    <x v="136"/>
    <x v="136"/>
    <d v="2024-10-25T14:23:17"/>
    <n v="2"/>
    <n v="73.47999999999999"/>
    <n v="36.739999999999995"/>
    <x v="7"/>
    <n v="183.03597535879089"/>
    <n v="149.15858873842808"/>
    <x v="1"/>
    <x v="0"/>
  </r>
  <r>
    <x v="137"/>
    <x v="137"/>
    <d v="2024-04-26T16:23:27"/>
    <n v="1"/>
    <n v="27.92"/>
    <n v="27.92"/>
    <x v="5"/>
    <n v="1"/>
    <n v="331.07514028935111"/>
    <x v="1"/>
    <x v="0"/>
  </r>
  <r>
    <x v="138"/>
    <x v="138"/>
    <d v="2024-04-26T16:24:34"/>
    <n v="1"/>
    <n v="27.92"/>
    <n v="27.92"/>
    <x v="2"/>
    <n v="1"/>
    <n v="331.07436151620641"/>
    <x v="1"/>
    <x v="0"/>
  </r>
  <r>
    <x v="139"/>
    <x v="139"/>
    <d v="2024-04-29T18:37:48"/>
    <n v="2"/>
    <n v="75.44"/>
    <n v="37.72"/>
    <x v="7"/>
    <n v="2.2553085300896782"/>
    <n v="327.98183135416912"/>
    <x v="1"/>
    <x v="0"/>
  </r>
  <r>
    <x v="140"/>
    <x v="140"/>
    <d v="2025-02-01T13:15:29"/>
    <n v="108"/>
    <n v="2749.7800000000016"/>
    <n v="25.460925925925942"/>
    <x v="5"/>
    <n v="279.07566402777593"/>
    <n v="50.205664259257901"/>
    <x v="4"/>
    <x v="2"/>
  </r>
  <r>
    <x v="141"/>
    <x v="141"/>
    <d v="2024-04-30T19:31:21"/>
    <n v="8"/>
    <n v="272.35999999999996"/>
    <n v="34.044999999999995"/>
    <x v="3"/>
    <n v="1.3851789236141485"/>
    <n v="326.94464910879469"/>
    <x v="0"/>
    <x v="0"/>
  </r>
  <r>
    <x v="142"/>
    <x v="142"/>
    <d v="2024-07-04T10:26:24"/>
    <n v="5"/>
    <n v="149.4"/>
    <n v="29.880000000000003"/>
    <x v="2"/>
    <n v="63.994768275464594"/>
    <n v="262.32308923610981"/>
    <x v="0"/>
    <x v="0"/>
  </r>
  <r>
    <x v="143"/>
    <x v="143"/>
    <d v="2024-05-02T18:36:22"/>
    <n v="1"/>
    <n v="37.72"/>
    <n v="37.72"/>
    <x v="7"/>
    <n v="1"/>
    <n v="324.98282982638921"/>
    <x v="1"/>
    <x v="0"/>
  </r>
  <r>
    <x v="144"/>
    <x v="144"/>
    <d v="2024-05-02T19:19:56"/>
    <n v="2"/>
    <n v="75.44"/>
    <n v="37.72"/>
    <x v="0"/>
    <n v="1.0009638310148148"/>
    <n v="324.95257263888925"/>
    <x v="1"/>
    <x v="0"/>
  </r>
  <r>
    <x v="145"/>
    <x v="145"/>
    <d v="2024-05-03T14:30:01"/>
    <n v="1"/>
    <n v="37.72"/>
    <n v="37.72"/>
    <x v="0"/>
    <n v="1"/>
    <n v="324.15390870370175"/>
    <x v="1"/>
    <x v="0"/>
  </r>
  <r>
    <x v="146"/>
    <x v="146"/>
    <d v="2024-05-03T17:03:25"/>
    <n v="1"/>
    <n v="37.72"/>
    <n v="37.72"/>
    <x v="0"/>
    <n v="1"/>
    <n v="324.04738113425992"/>
    <x v="1"/>
    <x v="0"/>
  </r>
  <r>
    <x v="147"/>
    <x v="147"/>
    <d v="2024-05-07T16:42:08"/>
    <n v="5"/>
    <n v="159.19999999999999"/>
    <n v="31.839999999999996"/>
    <x v="2"/>
    <n v="2.2755784722176031"/>
    <n v="320.06216128472443"/>
    <x v="0"/>
    <x v="0"/>
  </r>
  <r>
    <x v="148"/>
    <x v="148"/>
    <d v="2024-05-06T10:08:06"/>
    <n v="2"/>
    <n v="70.539999999999992"/>
    <n v="35.269999999999996"/>
    <x v="7"/>
    <n v="1.0008592361118644"/>
    <n v="321.33579597221978"/>
    <x v="1"/>
    <x v="0"/>
  </r>
  <r>
    <x v="149"/>
    <x v="149"/>
    <d v="2024-05-06T10:09:08"/>
    <n v="1"/>
    <n v="27.92"/>
    <n v="27.92"/>
    <x v="2"/>
    <n v="1"/>
    <n v="321.33507706018281"/>
    <x v="1"/>
    <x v="0"/>
  </r>
  <r>
    <x v="150"/>
    <x v="150"/>
    <d v="2024-05-06T19:19:50"/>
    <n v="2"/>
    <n v="75.44"/>
    <n v="37.72"/>
    <x v="7"/>
    <n v="1.001117581014114"/>
    <n v="320.95265146991005"/>
    <x v="1"/>
    <x v="0"/>
  </r>
  <r>
    <x v="151"/>
    <x v="151"/>
    <d v="2024-05-07T16:55:39"/>
    <n v="1"/>
    <n v="27.92"/>
    <n v="27.92"/>
    <x v="2"/>
    <n v="1"/>
    <n v="320.05277581018163"/>
    <x v="1"/>
    <x v="0"/>
  </r>
  <r>
    <x v="152"/>
    <x v="152"/>
    <d v="2024-07-31T20:52:15"/>
    <n v="7"/>
    <n v="259.14"/>
    <n v="37.019999999999996"/>
    <x v="7"/>
    <n v="86.135050810189568"/>
    <n v="234.88847028934833"/>
    <x v="0"/>
    <x v="0"/>
  </r>
  <r>
    <x v="153"/>
    <x v="153"/>
    <d v="2024-12-25T22:53:06"/>
    <n v="10"/>
    <n v="368.38"/>
    <n v="36.838000000000001"/>
    <x v="7"/>
    <n v="233.15340164351801"/>
    <n v="87.804539456017665"/>
    <x v="2"/>
    <x v="1"/>
  </r>
  <r>
    <x v="154"/>
    <x v="154"/>
    <d v="2024-05-09T12:54:22"/>
    <n v="1"/>
    <n v="37.72"/>
    <n v="37.72"/>
    <x v="7"/>
    <n v="1"/>
    <n v="318.22033359953639"/>
    <x v="1"/>
    <x v="0"/>
  </r>
  <r>
    <x v="155"/>
    <x v="155"/>
    <d v="2024-05-09T13:07:16"/>
    <n v="4"/>
    <n v="141.07999999999998"/>
    <n v="35.269999999999996"/>
    <x v="0"/>
    <n v="1.0022899652758497"/>
    <n v="318.21136835648213"/>
    <x v="0"/>
    <x v="0"/>
  </r>
  <r>
    <x v="156"/>
    <x v="156"/>
    <d v="2024-05-09T18:01:30"/>
    <n v="1"/>
    <n v="27.92"/>
    <n v="27.92"/>
    <x v="2"/>
    <n v="1"/>
    <n v="318.00704560185113"/>
    <x v="1"/>
    <x v="0"/>
  </r>
  <r>
    <x v="157"/>
    <x v="157"/>
    <d v="2024-05-10T15:47:33"/>
    <n v="2"/>
    <n v="75.44"/>
    <n v="37.72"/>
    <x v="0"/>
    <n v="1.0008217245413107"/>
    <n v="317.10007091434818"/>
    <x v="1"/>
    <x v="0"/>
  </r>
  <r>
    <x v="158"/>
    <x v="158"/>
    <d v="2024-10-28T16:01:21"/>
    <n v="2"/>
    <n v="73.47999999999999"/>
    <n v="36.739999999999995"/>
    <x v="0"/>
    <n v="170.84935660879273"/>
    <n v="146.09048759259167"/>
    <x v="1"/>
    <x v="0"/>
  </r>
  <r>
    <x v="159"/>
    <x v="159"/>
    <d v="2024-05-12T13:24:03"/>
    <n v="1"/>
    <n v="37.72"/>
    <n v="37.72"/>
    <x v="0"/>
    <n v="1"/>
    <n v="315.19971261573664"/>
    <x v="1"/>
    <x v="0"/>
  </r>
  <r>
    <x v="160"/>
    <x v="160"/>
    <d v="2024-05-12T13:27:39"/>
    <n v="1"/>
    <n v="27.92"/>
    <n v="27.92"/>
    <x v="2"/>
    <n v="1"/>
    <n v="315.19721749999735"/>
    <x v="1"/>
    <x v="0"/>
  </r>
  <r>
    <x v="161"/>
    <x v="161"/>
    <d v="2024-05-12T15:38:02"/>
    <n v="1"/>
    <n v="32.82"/>
    <n v="32.82"/>
    <x v="3"/>
    <n v="1"/>
    <n v="315.10666913194291"/>
    <x v="1"/>
    <x v="0"/>
  </r>
  <r>
    <x v="162"/>
    <x v="162"/>
    <d v="2024-05-12T15:52:15"/>
    <n v="1"/>
    <n v="32.82"/>
    <n v="32.82"/>
    <x v="3"/>
    <n v="1"/>
    <n v="315.09680282407498"/>
    <x v="1"/>
    <x v="0"/>
  </r>
  <r>
    <x v="163"/>
    <x v="163"/>
    <d v="2024-06-24T11:44:40"/>
    <n v="7"/>
    <n v="234.64"/>
    <n v="33.519999999999996"/>
    <x v="3"/>
    <n v="43.028317025462457"/>
    <n v="272.268734907404"/>
    <x v="0"/>
    <x v="0"/>
  </r>
  <r>
    <x v="164"/>
    <x v="164"/>
    <d v="2024-05-14T11:34:13"/>
    <n v="2"/>
    <n v="75.44"/>
    <n v="37.72"/>
    <x v="0"/>
    <n v="1.0011976736132056"/>
    <n v="313.27599287036719"/>
    <x v="1"/>
    <x v="0"/>
  </r>
  <r>
    <x v="165"/>
    <x v="165"/>
    <d v="2024-05-14T16:59:10"/>
    <n v="2"/>
    <n v="70.539999999999992"/>
    <n v="35.269999999999996"/>
    <x v="3"/>
    <n v="1.0008445601852145"/>
    <n v="313.05032917823701"/>
    <x v="1"/>
    <x v="0"/>
  </r>
  <r>
    <x v="166"/>
    <x v="166"/>
    <d v="2024-05-14T22:51:25"/>
    <n v="1"/>
    <n v="37.72"/>
    <n v="37.72"/>
    <x v="1"/>
    <n v="1"/>
    <n v="312.80571074073669"/>
    <x v="1"/>
    <x v="0"/>
  </r>
  <r>
    <x v="167"/>
    <x v="167"/>
    <d v="2024-09-03T08:28:12"/>
    <n v="2"/>
    <n v="70.539999999999992"/>
    <n v="35.269999999999996"/>
    <x v="0"/>
    <n v="111.9917450115754"/>
    <n v="201.40516440971987"/>
    <x v="1"/>
    <x v="0"/>
  </r>
  <r>
    <x v="168"/>
    <x v="168"/>
    <d v="2024-05-15T14:38:52"/>
    <n v="1"/>
    <n v="27.92"/>
    <n v="27.92"/>
    <x v="5"/>
    <n v="1"/>
    <n v="312.14775796296453"/>
    <x v="1"/>
    <x v="0"/>
  </r>
  <r>
    <x v="169"/>
    <x v="169"/>
    <d v="2024-05-15T17:28:59"/>
    <n v="1"/>
    <n v="23.02"/>
    <n v="23.02"/>
    <x v="6"/>
    <n v="1"/>
    <n v="312.02962980324082"/>
    <x v="1"/>
    <x v="0"/>
  </r>
  <r>
    <x v="170"/>
    <x v="170"/>
    <d v="2024-05-15T20:20:35"/>
    <n v="1"/>
    <n v="37.72"/>
    <n v="37.72"/>
    <x v="7"/>
    <n v="1"/>
    <n v="311.91046141203697"/>
    <x v="1"/>
    <x v="0"/>
  </r>
  <r>
    <x v="171"/>
    <x v="171"/>
    <d v="2024-11-23T11:03:00"/>
    <n v="6"/>
    <n v="208.67999999999998"/>
    <n v="34.779999999999994"/>
    <x v="7"/>
    <n v="192.01609040509356"/>
    <n v="120.29767353009083"/>
    <x v="0"/>
    <x v="0"/>
  </r>
  <r>
    <x v="172"/>
    <x v="172"/>
    <d v="2024-05-16T12:14:00"/>
    <n v="1"/>
    <n v="32.82"/>
    <n v="32.82"/>
    <x v="3"/>
    <n v="1"/>
    <n v="311.24836270833475"/>
    <x v="1"/>
    <x v="0"/>
  </r>
  <r>
    <x v="173"/>
    <x v="173"/>
    <d v="2024-05-16T15:15:16"/>
    <n v="1"/>
    <n v="37.72"/>
    <n v="37.72"/>
    <x v="1"/>
    <n v="1"/>
    <n v="311.12248055555392"/>
    <x v="1"/>
    <x v="0"/>
  </r>
  <r>
    <x v="174"/>
    <x v="174"/>
    <d v="2024-05-16T18:13:58"/>
    <n v="2"/>
    <n v="75.44"/>
    <n v="37.72"/>
    <x v="1"/>
    <n v="1.0007089930586517"/>
    <n v="310.99838476851437"/>
    <x v="1"/>
    <x v="0"/>
  </r>
  <r>
    <x v="175"/>
    <x v="175"/>
    <d v="2024-05-17T20:37:53"/>
    <n v="1"/>
    <n v="37.72"/>
    <n v="37.72"/>
    <x v="7"/>
    <n v="1"/>
    <n v="309.89844565972453"/>
    <x v="1"/>
    <x v="0"/>
  </r>
  <r>
    <x v="176"/>
    <x v="176"/>
    <d v="2024-07-12T22:34:14"/>
    <n v="2"/>
    <n v="60.74"/>
    <n v="30.37"/>
    <x v="2"/>
    <n v="56.999577662034426"/>
    <n v="253.817642685186"/>
    <x v="1"/>
    <x v="0"/>
  </r>
  <r>
    <x v="177"/>
    <x v="177"/>
    <d v="2024-07-12T22:33:26"/>
    <n v="2"/>
    <n v="70.539999999999992"/>
    <n v="35.269999999999996"/>
    <x v="0"/>
    <n v="56.997826759259624"/>
    <n v="253.81820655092451"/>
    <x v="1"/>
    <x v="0"/>
  </r>
  <r>
    <x v="178"/>
    <x v="178"/>
    <d v="2024-09-02T20:11:18"/>
    <n v="3"/>
    <n v="103.35999999999999"/>
    <n v="34.453333333333326"/>
    <x v="0"/>
    <n v="108.89832309028134"/>
    <n v="201.91690623842442"/>
    <x v="0"/>
    <x v="0"/>
  </r>
  <r>
    <x v="179"/>
    <x v="179"/>
    <d v="2024-06-24T11:50:44"/>
    <n v="12"/>
    <n v="442.84000000000003"/>
    <n v="36.903333333333336"/>
    <x v="7"/>
    <n v="38.159099328702723"/>
    <n v="272.26452031249937"/>
    <x v="0"/>
    <x v="0"/>
  </r>
  <r>
    <x v="180"/>
    <x v="180"/>
    <d v="2024-09-01T12:32:22"/>
    <n v="3"/>
    <n v="83.76"/>
    <n v="27.92"/>
    <x v="3"/>
    <n v="107.05307775463007"/>
    <n v="203.23560912036919"/>
    <x v="0"/>
    <x v="0"/>
  </r>
  <r>
    <x v="181"/>
    <x v="181"/>
    <d v="2024-05-19T07:59:34"/>
    <n v="2"/>
    <n v="55.84"/>
    <n v="27.92"/>
    <x v="2"/>
    <n v="1.0006393171352101"/>
    <n v="308.42505886573781"/>
    <x v="1"/>
    <x v="0"/>
  </r>
  <r>
    <x v="182"/>
    <x v="182"/>
    <d v="2024-05-19T08:00:35"/>
    <n v="1"/>
    <n v="37.72"/>
    <n v="37.72"/>
    <x v="7"/>
    <n v="1"/>
    <n v="308.42434692129609"/>
    <x v="1"/>
    <x v="0"/>
  </r>
  <r>
    <x v="183"/>
    <x v="183"/>
    <d v="2024-05-19T12:14:27"/>
    <n v="1"/>
    <n v="32.82"/>
    <n v="32.82"/>
    <x v="3"/>
    <n v="1"/>
    <n v="308.24805508101417"/>
    <x v="1"/>
    <x v="0"/>
  </r>
  <r>
    <x v="184"/>
    <x v="184"/>
    <d v="2024-05-19T15:58:58"/>
    <n v="1"/>
    <n v="32.82"/>
    <n v="32.82"/>
    <x v="3"/>
    <n v="1"/>
    <n v="308.0921347569456"/>
    <x v="1"/>
    <x v="0"/>
  </r>
  <r>
    <x v="185"/>
    <x v="185"/>
    <d v="2024-05-19T18:16:30"/>
    <n v="3"/>
    <n v="93.56"/>
    <n v="31.186666666666667"/>
    <x v="3"/>
    <n v="1.002705069447984"/>
    <n v="307.99662746527611"/>
    <x v="0"/>
    <x v="0"/>
  </r>
  <r>
    <x v="186"/>
    <x v="186"/>
    <d v="2024-05-19T19:51:07"/>
    <n v="1"/>
    <n v="37.72"/>
    <n v="37.72"/>
    <x v="7"/>
    <n v="1"/>
    <n v="307.93092194444034"/>
    <x v="1"/>
    <x v="0"/>
  </r>
  <r>
    <x v="187"/>
    <x v="187"/>
    <d v="2024-05-19T21:15:42"/>
    <n v="1"/>
    <n v="37.72"/>
    <n v="37.72"/>
    <x v="7"/>
    <n v="1"/>
    <n v="307.87218604166264"/>
    <x v="1"/>
    <x v="0"/>
  </r>
  <r>
    <x v="188"/>
    <x v="188"/>
    <d v="2024-05-19T21:18:36"/>
    <n v="1"/>
    <n v="37.72"/>
    <n v="37.72"/>
    <x v="7"/>
    <n v="1"/>
    <n v="307.8701682175888"/>
    <x v="1"/>
    <x v="0"/>
  </r>
  <r>
    <x v="189"/>
    <x v="189"/>
    <d v="2024-05-20T10:05:59"/>
    <n v="1"/>
    <n v="32.82"/>
    <n v="32.82"/>
    <x v="3"/>
    <n v="1"/>
    <n v="307.33726240740361"/>
    <x v="1"/>
    <x v="0"/>
  </r>
  <r>
    <x v="190"/>
    <x v="190"/>
    <d v="2024-06-03T10:27:50"/>
    <n v="3"/>
    <n v="108.25999999999999"/>
    <n v="36.086666666666666"/>
    <x v="0"/>
    <n v="15.006920486106537"/>
    <n v="293.32209303240961"/>
    <x v="0"/>
    <x v="0"/>
  </r>
  <r>
    <x v="191"/>
    <x v="191"/>
    <d v="2024-08-17T16:33:49"/>
    <n v="8"/>
    <n v="272.35999999999996"/>
    <n v="34.044999999999995"/>
    <x v="3"/>
    <n v="90.097568981480435"/>
    <n v="218.0679358564812"/>
    <x v="0"/>
    <x v="0"/>
  </r>
  <r>
    <x v="192"/>
    <x v="192"/>
    <d v="2024-05-20T17:13:57"/>
    <n v="1"/>
    <n v="37.72"/>
    <n v="37.72"/>
    <x v="0"/>
    <n v="1"/>
    <n v="307.04006641203887"/>
    <x v="1"/>
    <x v="0"/>
  </r>
  <r>
    <x v="193"/>
    <x v="193"/>
    <d v="2024-07-09T11:22:50"/>
    <n v="5"/>
    <n v="169"/>
    <n v="33.799999999999997"/>
    <x v="3"/>
    <n v="50.615296111107455"/>
    <n v="257.28389734953817"/>
    <x v="0"/>
    <x v="0"/>
  </r>
  <r>
    <x v="194"/>
    <x v="194"/>
    <d v="2024-12-31T11:12:42"/>
    <n v="5"/>
    <n v="156.26"/>
    <n v="31.251999999999999"/>
    <x v="5"/>
    <n v="225.60127277777792"/>
    <n v="82.29093266203563"/>
    <x v="2"/>
    <x v="1"/>
  </r>
  <r>
    <x v="195"/>
    <x v="195"/>
    <d v="2024-05-21T08:27:38"/>
    <n v="1"/>
    <n v="37.72"/>
    <n v="37.72"/>
    <x v="0"/>
    <n v="1"/>
    <n v="306.40556024305261"/>
    <x v="1"/>
    <x v="0"/>
  </r>
  <r>
    <x v="196"/>
    <x v="196"/>
    <d v="2025-01-28T08:26:37"/>
    <n v="3"/>
    <n v="106.29999999999998"/>
    <n v="35.43333333333333"/>
    <x v="0"/>
    <n v="252.67797267360584"/>
    <n v="54.406271296298655"/>
    <x v="2"/>
    <x v="1"/>
  </r>
  <r>
    <x v="197"/>
    <x v="197"/>
    <d v="2024-05-21T19:11:09"/>
    <n v="1"/>
    <n v="37.72"/>
    <n v="37.72"/>
    <x v="7"/>
    <n v="1"/>
    <n v="305.95867387731414"/>
    <x v="1"/>
    <x v="0"/>
  </r>
  <r>
    <x v="198"/>
    <x v="198"/>
    <d v="2024-05-21T20:13:48"/>
    <n v="1"/>
    <n v="37.72"/>
    <n v="37.72"/>
    <x v="7"/>
    <n v="1"/>
    <n v="305.91516524305189"/>
    <x v="1"/>
    <x v="0"/>
  </r>
  <r>
    <x v="199"/>
    <x v="199"/>
    <d v="2024-05-22T09:34:42"/>
    <n v="1"/>
    <n v="37.72"/>
    <n v="37.72"/>
    <x v="7"/>
    <n v="1"/>
    <n v="305.35899093750049"/>
    <x v="1"/>
    <x v="0"/>
  </r>
  <r>
    <x v="200"/>
    <x v="200"/>
    <d v="2024-05-23T10:10:20"/>
    <n v="1"/>
    <n v="37.72"/>
    <n v="37.72"/>
    <x v="7"/>
    <n v="1"/>
    <n v="304.33424762731738"/>
    <x v="1"/>
    <x v="0"/>
  </r>
  <r>
    <x v="201"/>
    <x v="201"/>
    <d v="2024-05-23T12:22:07"/>
    <n v="1"/>
    <n v="23.02"/>
    <n v="23.02"/>
    <x v="6"/>
    <n v="1"/>
    <n v="304.24273182870093"/>
    <x v="1"/>
    <x v="0"/>
  </r>
  <r>
    <x v="202"/>
    <x v="202"/>
    <d v="2024-06-25T11:34:52"/>
    <n v="5"/>
    <n v="188.6"/>
    <n v="37.72"/>
    <x v="7"/>
    <n v="33.818345590276294"/>
    <n v="271.2755363310207"/>
    <x v="0"/>
    <x v="0"/>
  </r>
  <r>
    <x v="203"/>
    <x v="203"/>
    <d v="2024-05-23T19:03:54"/>
    <n v="1"/>
    <n v="27.92"/>
    <n v="27.92"/>
    <x v="5"/>
    <n v="1"/>
    <n v="303.96371271990938"/>
    <x v="1"/>
    <x v="0"/>
  </r>
  <r>
    <x v="204"/>
    <x v="204"/>
    <d v="2024-07-24T19:17:00"/>
    <n v="3"/>
    <n v="103.35999999999999"/>
    <n v="34.453333333333326"/>
    <x v="7"/>
    <n v="62.998997233793489"/>
    <n v="241.9546163888881"/>
    <x v="0"/>
    <x v="0"/>
  </r>
  <r>
    <x v="205"/>
    <x v="205"/>
    <d v="2025-01-14T19:41:56"/>
    <n v="23"/>
    <n v="812.68"/>
    <n v="35.333913043478262"/>
    <x v="7"/>
    <n v="236.9995873842563"/>
    <n v="67.937300219906319"/>
    <x v="2"/>
    <x v="1"/>
  </r>
  <r>
    <x v="206"/>
    <x v="206"/>
    <d v="2024-05-23T20:16:24"/>
    <n v="2"/>
    <n v="75.44"/>
    <n v="37.72"/>
    <x v="7"/>
    <n v="1.0009580555561115"/>
    <n v="303.91336145833338"/>
    <x v="1"/>
    <x v="0"/>
  </r>
  <r>
    <x v="207"/>
    <x v="207"/>
    <d v="2024-05-23T22:48:11"/>
    <n v="1"/>
    <n v="32.82"/>
    <n v="32.82"/>
    <x v="3"/>
    <n v="1"/>
    <n v="303.80796090277727"/>
    <x v="1"/>
    <x v="0"/>
  </r>
  <r>
    <x v="208"/>
    <x v="208"/>
    <d v="2024-05-24T18:18:37"/>
    <n v="2"/>
    <n v="55.84"/>
    <n v="27.92"/>
    <x v="5"/>
    <n v="1.0006524074124172"/>
    <n v="302.99516130786651"/>
    <x v="1"/>
    <x v="0"/>
  </r>
  <r>
    <x v="209"/>
    <x v="209"/>
    <d v="2024-05-24T22:30:40"/>
    <n v="1"/>
    <n v="32.82"/>
    <n v="32.82"/>
    <x v="3"/>
    <n v="1"/>
    <n v="302.82012079861306"/>
    <x v="1"/>
    <x v="0"/>
  </r>
  <r>
    <x v="210"/>
    <x v="210"/>
    <d v="2024-05-25T12:13:53"/>
    <n v="1"/>
    <n v="37.72"/>
    <n v="37.72"/>
    <x v="0"/>
    <n v="1"/>
    <n v="302.24844035879505"/>
    <x v="1"/>
    <x v="0"/>
  </r>
  <r>
    <x v="211"/>
    <x v="211"/>
    <d v="2024-05-25T12:43:13"/>
    <n v="2"/>
    <n v="65.64"/>
    <n v="32.82"/>
    <x v="3"/>
    <n v="1.0007293634262169"/>
    <n v="302.22807129629655"/>
    <x v="1"/>
    <x v="0"/>
  </r>
  <r>
    <x v="212"/>
    <x v="212"/>
    <d v="2024-05-25T12:58:12"/>
    <n v="1"/>
    <n v="32.82"/>
    <n v="32.82"/>
    <x v="3"/>
    <n v="1"/>
    <n v="302.21766881944495"/>
    <x v="1"/>
    <x v="0"/>
  </r>
  <r>
    <x v="213"/>
    <x v="213"/>
    <d v="2024-05-26T14:24:50"/>
    <n v="1"/>
    <n v="32.82"/>
    <n v="32.82"/>
    <x v="3"/>
    <n v="1"/>
    <n v="301.15750952545932"/>
    <x v="1"/>
    <x v="0"/>
  </r>
  <r>
    <x v="214"/>
    <x v="214"/>
    <d v="2024-05-26T14:26:05"/>
    <n v="1"/>
    <n v="27.92"/>
    <n v="27.92"/>
    <x v="5"/>
    <n v="1"/>
    <n v="301.15663642361324"/>
    <x v="1"/>
    <x v="0"/>
  </r>
  <r>
    <x v="215"/>
    <x v="215"/>
    <d v="2024-05-26T14:40:59"/>
    <n v="1"/>
    <n v="32.82"/>
    <n v="32.82"/>
    <x v="3"/>
    <n v="1"/>
    <n v="301.1462934375013"/>
    <x v="1"/>
    <x v="0"/>
  </r>
  <r>
    <x v="216"/>
    <x v="216"/>
    <d v="2024-05-26T17:19:16"/>
    <n v="1"/>
    <n v="37.72"/>
    <n v="37.72"/>
    <x v="7"/>
    <n v="1"/>
    <n v="301.03637863425683"/>
    <x v="1"/>
    <x v="0"/>
  </r>
  <r>
    <x v="217"/>
    <x v="217"/>
    <d v="2024-05-26T18:13:14"/>
    <n v="3"/>
    <n v="103.36"/>
    <n v="34.453333333333333"/>
    <x v="1"/>
    <n v="1.0023316666702158"/>
    <n v="300.99889277777402"/>
    <x v="0"/>
    <x v="0"/>
  </r>
  <r>
    <x v="218"/>
    <x v="218"/>
    <d v="2024-05-26T18:39:19"/>
    <n v="1"/>
    <n v="37.72"/>
    <n v="37.72"/>
    <x v="0"/>
    <n v="1"/>
    <n v="300.98078519675619"/>
    <x v="1"/>
    <x v="0"/>
  </r>
  <r>
    <x v="219"/>
    <x v="219"/>
    <d v="2024-06-05T20:12:02"/>
    <n v="4"/>
    <n v="141.07999999999998"/>
    <n v="35.269999999999996"/>
    <x v="1"/>
    <n v="10.967207222223806"/>
    <n v="290.91640019675833"/>
    <x v="0"/>
    <x v="0"/>
  </r>
  <r>
    <x v="220"/>
    <x v="220"/>
    <d v="2024-05-26T21:04:59"/>
    <n v="2"/>
    <n v="65.64"/>
    <n v="32.82"/>
    <x v="5"/>
    <n v="1.0016422338012489"/>
    <n v="300.87962744212564"/>
    <x v="1"/>
    <x v="0"/>
  </r>
  <r>
    <x v="221"/>
    <x v="221"/>
    <d v="2024-05-26T21:03:52"/>
    <n v="1"/>
    <n v="37.72"/>
    <n v="37.72"/>
    <x v="7"/>
    <n v="1"/>
    <n v="300.88040350694064"/>
    <x v="1"/>
    <x v="0"/>
  </r>
  <r>
    <x v="222"/>
    <x v="222"/>
    <d v="2024-05-26T21:06:03"/>
    <n v="1"/>
    <n v="37.72"/>
    <n v="37.72"/>
    <x v="7"/>
    <n v="1"/>
    <n v="300.87888905092404"/>
    <x v="1"/>
    <x v="0"/>
  </r>
  <r>
    <x v="223"/>
    <x v="223"/>
    <d v="2025-02-01T19:54:24"/>
    <n v="10"/>
    <n v="319.38000000000005"/>
    <n v="31.938000000000006"/>
    <x v="3"/>
    <n v="251.24238863425853"/>
    <n v="49.928640844904294"/>
    <x v="4"/>
    <x v="2"/>
  </r>
  <r>
    <x v="224"/>
    <x v="224"/>
    <d v="2024-11-03T20:26:15"/>
    <n v="12"/>
    <n v="331.12"/>
    <n v="27.593333333333334"/>
    <x v="2"/>
    <n v="161.21852511574252"/>
    <n v="139.90652782407415"/>
    <x v="0"/>
    <x v="0"/>
  </r>
  <r>
    <x v="225"/>
    <x v="225"/>
    <d v="2024-05-27T18:00:51"/>
    <n v="1"/>
    <n v="27.92"/>
    <n v="27.92"/>
    <x v="2"/>
    <n v="1"/>
    <n v="300.00749597221875"/>
    <x v="1"/>
    <x v="0"/>
  </r>
  <r>
    <x v="226"/>
    <x v="226"/>
    <d v="2024-05-27T19:16:27"/>
    <n v="1"/>
    <n v="37.72"/>
    <n v="37.72"/>
    <x v="0"/>
    <n v="1"/>
    <n v="299.9549910995338"/>
    <x v="1"/>
    <x v="0"/>
  </r>
  <r>
    <x v="227"/>
    <x v="227"/>
    <d v="2024-11-03T13:18:25"/>
    <n v="2"/>
    <n v="73.47999999999999"/>
    <n v="36.739999999999995"/>
    <x v="0"/>
    <n v="160.7505325578677"/>
    <n v="140.2036330208357"/>
    <x v="1"/>
    <x v="0"/>
  </r>
  <r>
    <x v="228"/>
    <x v="228"/>
    <d v="2024-05-28T11:48:18"/>
    <n v="1"/>
    <n v="37.72"/>
    <n v="37.72"/>
    <x v="7"/>
    <n v="1"/>
    <n v="299.2662053356471"/>
    <x v="1"/>
    <x v="0"/>
  </r>
  <r>
    <x v="229"/>
    <x v="229"/>
    <d v="2024-05-28T13:14:40"/>
    <n v="1"/>
    <n v="37.72"/>
    <n v="37.72"/>
    <x v="7"/>
    <n v="1"/>
    <n v="299.20622916666616"/>
    <x v="1"/>
    <x v="0"/>
  </r>
  <r>
    <x v="230"/>
    <x v="230"/>
    <d v="2024-05-28T19:10:31"/>
    <n v="2"/>
    <n v="65.64"/>
    <n v="32.82"/>
    <x v="2"/>
    <n v="1.00071760416904"/>
    <n v="298.95911533564504"/>
    <x v="1"/>
    <x v="0"/>
  </r>
  <r>
    <x v="231"/>
    <x v="231"/>
    <d v="2024-08-15T12:38:38"/>
    <n v="3"/>
    <n v="108.25999999999999"/>
    <n v="36.086666666666666"/>
    <x v="0"/>
    <n v="79.141595590277575"/>
    <n v="220.23126240740385"/>
    <x v="0"/>
    <x v="0"/>
  </r>
  <r>
    <x v="232"/>
    <x v="232"/>
    <d v="2024-05-29T11:14:03"/>
    <n v="1"/>
    <n v="37.72"/>
    <n v="37.72"/>
    <x v="1"/>
    <n v="1"/>
    <n v="298.28999745369947"/>
    <x v="1"/>
    <x v="0"/>
  </r>
  <r>
    <x v="233"/>
    <x v="233"/>
    <d v="2024-05-29T15:10:49"/>
    <n v="1"/>
    <n v="27.92"/>
    <n v="27.92"/>
    <x v="2"/>
    <n v="1"/>
    <n v="298.12557974537049"/>
    <x v="1"/>
    <x v="0"/>
  </r>
  <r>
    <x v="234"/>
    <x v="234"/>
    <d v="2024-05-29T15:22:56"/>
    <n v="1"/>
    <n v="37.72"/>
    <n v="37.72"/>
    <x v="0"/>
    <n v="1"/>
    <n v="298.11715641203773"/>
    <x v="1"/>
    <x v="0"/>
  </r>
  <r>
    <x v="235"/>
    <x v="235"/>
    <d v="2024-05-29T15:45:13"/>
    <n v="1"/>
    <n v="37.72"/>
    <n v="37.72"/>
    <x v="7"/>
    <n v="1"/>
    <n v="298.1016886226862"/>
    <x v="1"/>
    <x v="0"/>
  </r>
  <r>
    <x v="236"/>
    <x v="236"/>
    <d v="2024-05-29T16:45:04"/>
    <n v="1"/>
    <n v="37.72"/>
    <n v="37.72"/>
    <x v="0"/>
    <n v="1"/>
    <n v="298.06012366898358"/>
    <x v="1"/>
    <x v="0"/>
  </r>
  <r>
    <x v="237"/>
    <x v="237"/>
    <d v="2024-05-29T18:24:59"/>
    <n v="2"/>
    <n v="65.64"/>
    <n v="32.82"/>
    <x v="5"/>
    <n v="1.0006478819414042"/>
    <n v="297.99073291666718"/>
    <x v="1"/>
    <x v="0"/>
  </r>
  <r>
    <x v="238"/>
    <x v="238"/>
    <d v="2024-05-29T20:30:42"/>
    <n v="1"/>
    <n v="37.72"/>
    <n v="37.72"/>
    <x v="1"/>
    <n v="1"/>
    <n v="297.90343049768126"/>
    <x v="1"/>
    <x v="0"/>
  </r>
  <r>
    <x v="239"/>
    <x v="239"/>
    <d v="2024-05-29T20:32:35"/>
    <n v="1"/>
    <n v="37.72"/>
    <n v="37.72"/>
    <x v="4"/>
    <n v="1"/>
    <n v="297.90212309027993"/>
    <x v="1"/>
    <x v="0"/>
  </r>
  <r>
    <x v="240"/>
    <x v="240"/>
    <d v="2024-05-30T08:30:22"/>
    <n v="2"/>
    <n v="75.44"/>
    <n v="37.72"/>
    <x v="7"/>
    <n v="1.000871631949849"/>
    <n v="297.40366954860656"/>
    <x v="1"/>
    <x v="0"/>
  </r>
  <r>
    <x v="241"/>
    <x v="241"/>
    <d v="2024-10-28T09:15:43"/>
    <n v="4"/>
    <n v="122.46"/>
    <n v="30.614999999999998"/>
    <x v="3"/>
    <n v="152.02682174768415"/>
    <n v="146.37217423610855"/>
    <x v="0"/>
    <x v="0"/>
  </r>
  <r>
    <x v="242"/>
    <x v="242"/>
    <d v="2024-05-30T15:16:16"/>
    <n v="1"/>
    <n v="23.02"/>
    <n v="23.02"/>
    <x v="6"/>
    <n v="1"/>
    <n v="297.12179363425821"/>
    <x v="1"/>
    <x v="0"/>
  </r>
  <r>
    <x v="243"/>
    <x v="243"/>
    <d v="2024-05-30T20:31:05"/>
    <n v="1"/>
    <n v="37.72"/>
    <n v="37.72"/>
    <x v="0"/>
    <n v="1"/>
    <n v="296.90316209490993"/>
    <x v="1"/>
    <x v="0"/>
  </r>
  <r>
    <x v="244"/>
    <x v="244"/>
    <d v="2024-05-31T07:53:57"/>
    <n v="1"/>
    <n v="32.82"/>
    <n v="32.82"/>
    <x v="3"/>
    <n v="1"/>
    <n v="296.42895093750121"/>
    <x v="1"/>
    <x v="0"/>
  </r>
  <r>
    <x v="245"/>
    <x v="245"/>
    <d v="2024-05-31T09:21:08"/>
    <n v="1"/>
    <n v="37.72"/>
    <n v="37.72"/>
    <x v="0"/>
    <n v="1"/>
    <n v="296.36841219907365"/>
    <x v="1"/>
    <x v="0"/>
  </r>
  <r>
    <x v="246"/>
    <x v="246"/>
    <d v="2024-05-31T10:38:08"/>
    <n v="1"/>
    <n v="37.72"/>
    <n v="37.72"/>
    <x v="1"/>
    <n v="1"/>
    <n v="296.31493951388984"/>
    <x v="1"/>
    <x v="0"/>
  </r>
  <r>
    <x v="247"/>
    <x v="247"/>
    <d v="2024-05-31T10:39:06"/>
    <n v="1"/>
    <n v="37.72"/>
    <n v="37.72"/>
    <x v="4"/>
    <n v="1"/>
    <n v="296.31426503472176"/>
    <x v="1"/>
    <x v="0"/>
  </r>
  <r>
    <x v="248"/>
    <x v="248"/>
    <d v="2024-05-31T14:50:13"/>
    <n v="1"/>
    <n v="32.82"/>
    <n v="32.82"/>
    <x v="3"/>
    <n v="1"/>
    <n v="296.13988031249755"/>
    <x v="1"/>
    <x v="0"/>
  </r>
  <r>
    <x v="249"/>
    <x v="249"/>
    <d v="2024-07-30T10:23:20"/>
    <n v="4"/>
    <n v="145.97999999999999"/>
    <n v="36.494999999999997"/>
    <x v="0"/>
    <n v="60.666382916664588"/>
    <n v="236.32521429398184"/>
    <x v="0"/>
    <x v="0"/>
  </r>
  <r>
    <x v="250"/>
    <x v="250"/>
    <d v="2024-06-01T18:21:15"/>
    <n v="2"/>
    <n v="65.64"/>
    <n v="32.82"/>
    <x v="3"/>
    <n v="1.0007243402724271"/>
    <n v="294.99332490740926"/>
    <x v="1"/>
    <x v="0"/>
  </r>
  <r>
    <x v="251"/>
    <x v="251"/>
    <d v="2024-06-01T20:59:10"/>
    <n v="1"/>
    <n v="37.72"/>
    <n v="37.72"/>
    <x v="4"/>
    <n v="1"/>
    <n v="294.88366835648048"/>
    <x v="1"/>
    <x v="0"/>
  </r>
  <r>
    <x v="252"/>
    <x v="252"/>
    <d v="2024-06-02T21:30:12"/>
    <n v="1"/>
    <n v="37.72"/>
    <n v="37.72"/>
    <x v="0"/>
    <n v="1"/>
    <n v="293.86210885416222"/>
    <x v="1"/>
    <x v="0"/>
  </r>
  <r>
    <x v="253"/>
    <x v="253"/>
    <d v="2024-06-04T12:05:29"/>
    <n v="2"/>
    <n v="75.44"/>
    <n v="37.72"/>
    <x v="0"/>
    <n v="1.0023029282383504"/>
    <n v="292.25427603009302"/>
    <x v="1"/>
    <x v="0"/>
  </r>
  <r>
    <x v="254"/>
    <x v="254"/>
    <d v="2024-10-02T18:31:07"/>
    <n v="2"/>
    <n v="73.47999999999999"/>
    <n v="36.739999999999995"/>
    <x v="0"/>
    <n v="121.12540159722266"/>
    <n v="171.98647548611189"/>
    <x v="1"/>
    <x v="0"/>
  </r>
  <r>
    <x v="255"/>
    <x v="255"/>
    <d v="2024-06-12T20:16:34"/>
    <n v="2"/>
    <n v="75.44"/>
    <n v="37.72"/>
    <x v="1"/>
    <n v="9.0024588425949332"/>
    <n v="283.9132521643478"/>
    <x v="1"/>
    <x v="0"/>
  </r>
  <r>
    <x v="256"/>
    <x v="256"/>
    <d v="2024-10-28T19:10:25"/>
    <n v="5"/>
    <n v="179.77999999999997"/>
    <n v="35.955999999999996"/>
    <x v="7"/>
    <n v="146.93045554398122"/>
    <n v="145.95918263888598"/>
    <x v="0"/>
    <x v="0"/>
  </r>
  <r>
    <x v="257"/>
    <x v="257"/>
    <d v="2024-10-17T17:09:30"/>
    <n v="5"/>
    <n v="160.17999999999998"/>
    <n v="32.035999999999994"/>
    <x v="7"/>
    <n v="135.81772447916592"/>
    <n v="157.04315199074335"/>
    <x v="0"/>
    <x v="0"/>
  </r>
  <r>
    <x v="258"/>
    <x v="258"/>
    <d v="2024-06-04T21:33:03"/>
    <n v="1"/>
    <n v="32.82"/>
    <n v="32.82"/>
    <x v="3"/>
    <n v="1"/>
    <n v="291.86013905092841"/>
    <x v="1"/>
    <x v="0"/>
  </r>
  <r>
    <x v="259"/>
    <x v="259"/>
    <d v="2024-06-04T21:37:15"/>
    <n v="3"/>
    <n v="98.460000000000008"/>
    <n v="32.82"/>
    <x v="3"/>
    <n v="1.001614548607904"/>
    <n v="291.85721609953907"/>
    <x v="0"/>
    <x v="0"/>
  </r>
  <r>
    <x v="260"/>
    <x v="260"/>
    <d v="2025-03-19T07:04:09"/>
    <n v="3"/>
    <n v="101.4"/>
    <n v="33.800000000000004"/>
    <x v="7"/>
    <n v="287.94606081017992"/>
    <n v="4.4635418634279631"/>
    <x v="2"/>
    <x v="1"/>
  </r>
  <r>
    <x v="261"/>
    <x v="261"/>
    <d v="2024-06-05T09:22:43"/>
    <n v="1"/>
    <n v="27.92"/>
    <n v="27.92"/>
    <x v="2"/>
    <n v="1"/>
    <n v="291.36730934027582"/>
    <x v="1"/>
    <x v="0"/>
  </r>
  <r>
    <x v="262"/>
    <x v="262"/>
    <d v="2024-06-05T19:43:58"/>
    <n v="1"/>
    <n v="32.82"/>
    <n v="32.82"/>
    <x v="3"/>
    <n v="1"/>
    <n v="290.9358907407368"/>
    <x v="1"/>
    <x v="0"/>
  </r>
  <r>
    <x v="263"/>
    <x v="263"/>
    <d v="2024-06-05T19:59:54"/>
    <n v="1"/>
    <n v="37.72"/>
    <n v="37.72"/>
    <x v="0"/>
    <n v="1"/>
    <n v="290.92482763888984"/>
    <x v="1"/>
    <x v="0"/>
  </r>
  <r>
    <x v="264"/>
    <x v="264"/>
    <d v="2025-02-02T14:22:57"/>
    <n v="2"/>
    <n v="58.78"/>
    <n v="29.39"/>
    <x v="2"/>
    <n v="242.08698899305455"/>
    <n v="49.15881148148037"/>
    <x v="1"/>
    <x v="0"/>
  </r>
  <r>
    <x v="265"/>
    <x v="265"/>
    <d v="2024-06-06T15:24:06"/>
    <n v="1"/>
    <n v="37.72"/>
    <n v="37.72"/>
    <x v="7"/>
    <n v="1"/>
    <n v="290.11634738426073"/>
    <x v="1"/>
    <x v="0"/>
  </r>
  <r>
    <x v="266"/>
    <x v="266"/>
    <d v="2024-06-06T21:21:04"/>
    <n v="3"/>
    <n v="113.16"/>
    <n v="37.72"/>
    <x v="0"/>
    <n v="1.0048534490779275"/>
    <n v="289.86845133101451"/>
    <x v="0"/>
    <x v="0"/>
  </r>
  <r>
    <x v="267"/>
    <x v="267"/>
    <d v="2024-09-09T20:07:36"/>
    <n v="4"/>
    <n v="136.17999999999998"/>
    <n v="34.044999999999995"/>
    <x v="7"/>
    <n v="95.492730347221368"/>
    <n v="194.91947265046474"/>
    <x v="0"/>
    <x v="0"/>
  </r>
  <r>
    <x v="268"/>
    <x v="268"/>
    <d v="2024-06-07T10:35:28"/>
    <n v="1"/>
    <n v="23.02"/>
    <n v="23.02"/>
    <x v="6"/>
    <n v="1"/>
    <n v="289.31678855323844"/>
    <x v="1"/>
    <x v="0"/>
  </r>
  <r>
    <x v="269"/>
    <x v="269"/>
    <d v="2024-07-03T16:55:31"/>
    <n v="4"/>
    <n v="126.38"/>
    <n v="31.594999999999999"/>
    <x v="5"/>
    <n v="27.006819502312283"/>
    <n v="263.05286124999839"/>
    <x v="0"/>
    <x v="0"/>
  </r>
  <r>
    <x v="270"/>
    <x v="270"/>
    <d v="2024-06-08T09:04:20"/>
    <n v="1"/>
    <n v="27.92"/>
    <n v="27.92"/>
    <x v="5"/>
    <n v="1"/>
    <n v="288.38007660879521"/>
    <x v="1"/>
    <x v="0"/>
  </r>
  <r>
    <x v="271"/>
    <x v="271"/>
    <d v="2024-06-09T10:30:04"/>
    <n v="1"/>
    <n v="37.72"/>
    <n v="37.72"/>
    <x v="0"/>
    <n v="1"/>
    <n v="287.32053442129836"/>
    <x v="1"/>
    <x v="0"/>
  </r>
  <r>
    <x v="272"/>
    <x v="272"/>
    <d v="2024-06-09T10:52:06"/>
    <n v="1"/>
    <n v="37.72"/>
    <n v="37.72"/>
    <x v="7"/>
    <n v="1"/>
    <n v="287.30524118055473"/>
    <x v="1"/>
    <x v="0"/>
  </r>
  <r>
    <x v="273"/>
    <x v="273"/>
    <d v="2024-10-21T11:27:42"/>
    <n v="4"/>
    <n v="90.12"/>
    <n v="22.53"/>
    <x v="6"/>
    <n v="135.0142771527826"/>
    <n v="153.28052061342169"/>
    <x v="0"/>
    <x v="0"/>
  </r>
  <r>
    <x v="274"/>
    <x v="274"/>
    <d v="2024-06-09T11:52:50"/>
    <n v="1"/>
    <n v="37.72"/>
    <n v="37.72"/>
    <x v="7"/>
    <n v="1"/>
    <n v="287.26306734953687"/>
    <x v="1"/>
    <x v="0"/>
  </r>
  <r>
    <x v="275"/>
    <x v="275"/>
    <d v="2025-01-30T10:12:34"/>
    <n v="69"/>
    <n v="2119.5399999999972"/>
    <n v="30.717971014492715"/>
    <x v="3"/>
    <n v="235.91747949074488"/>
    <n v="52.332694062497467"/>
    <x v="4"/>
    <x v="2"/>
  </r>
  <r>
    <x v="276"/>
    <x v="276"/>
    <d v="2024-08-17T16:31:55"/>
    <n v="2"/>
    <n v="50.94"/>
    <n v="25.47"/>
    <x v="5"/>
    <n v="70.056529456014687"/>
    <n v="218.0692569212988"/>
    <x v="1"/>
    <x v="0"/>
  </r>
  <r>
    <x v="277"/>
    <x v="277"/>
    <d v="2024-06-09T16:17:28"/>
    <n v="1"/>
    <n v="37.72"/>
    <n v="37.72"/>
    <x v="7"/>
    <n v="1"/>
    <n v="287.07928756944602"/>
    <x v="1"/>
    <x v="0"/>
  </r>
  <r>
    <x v="278"/>
    <x v="278"/>
    <d v="2024-06-09T19:21:19"/>
    <n v="1"/>
    <n v="32.82"/>
    <n v="32.82"/>
    <x v="3"/>
    <n v="1"/>
    <n v="286.95161293981073"/>
    <x v="1"/>
    <x v="0"/>
  </r>
  <r>
    <x v="279"/>
    <x v="279"/>
    <d v="2024-06-09T21:05:09"/>
    <n v="1"/>
    <n v="27.92"/>
    <n v="27.92"/>
    <x v="2"/>
    <n v="1"/>
    <n v="286.87951146990963"/>
    <x v="1"/>
    <x v="0"/>
  </r>
  <r>
    <x v="280"/>
    <x v="280"/>
    <d v="2024-06-10T12:47:50"/>
    <n v="1"/>
    <n v="37.72"/>
    <n v="37.72"/>
    <x v="7"/>
    <n v="1"/>
    <n v="286.22487006943993"/>
    <x v="1"/>
    <x v="0"/>
  </r>
  <r>
    <x v="281"/>
    <x v="281"/>
    <d v="2024-06-10T19:05:23"/>
    <n v="2"/>
    <n v="75.44"/>
    <n v="37.72"/>
    <x v="1"/>
    <n v="1.0006326851871563"/>
    <n v="285.96268362268165"/>
    <x v="1"/>
    <x v="0"/>
  </r>
  <r>
    <x v="282"/>
    <x v="282"/>
    <d v="2024-09-07T19:37:16"/>
    <n v="7"/>
    <n v="244.43999999999997"/>
    <n v="34.919999999999995"/>
    <x v="0"/>
    <n v="89.999906400458713"/>
    <n v="196.940545370373"/>
    <x v="0"/>
    <x v="0"/>
  </r>
  <r>
    <x v="283"/>
    <x v="283"/>
    <d v="2024-06-11T10:38:04"/>
    <n v="1"/>
    <n v="32.82"/>
    <n v="32.82"/>
    <x v="3"/>
    <n v="1"/>
    <n v="285.31498474536784"/>
    <x v="1"/>
    <x v="0"/>
  </r>
  <r>
    <x v="284"/>
    <x v="284"/>
    <d v="2024-06-11T18:49:36"/>
    <n v="2"/>
    <n v="75.44"/>
    <n v="37.72"/>
    <x v="0"/>
    <n v="1.0008233333282988"/>
    <n v="284.97363665509329"/>
    <x v="1"/>
    <x v="0"/>
  </r>
  <r>
    <x v="285"/>
    <x v="285"/>
    <d v="2024-06-11T21:17:03"/>
    <n v="1"/>
    <n v="37.72"/>
    <n v="37.72"/>
    <x v="1"/>
    <n v="1"/>
    <n v="284.87124179398234"/>
    <x v="1"/>
    <x v="0"/>
  </r>
  <r>
    <x v="286"/>
    <x v="286"/>
    <d v="2024-11-15T18:43:21"/>
    <n v="7"/>
    <n v="211.12"/>
    <n v="30.16"/>
    <x v="3"/>
    <n v="157.88587106481282"/>
    <n v="127.97798003472417"/>
    <x v="0"/>
    <x v="0"/>
  </r>
  <r>
    <x v="287"/>
    <x v="287"/>
    <d v="2024-06-12T10:18:19"/>
    <n v="1"/>
    <n v="37.72"/>
    <n v="37.72"/>
    <x v="1"/>
    <n v="1"/>
    <n v="284.32870195601572"/>
    <x v="1"/>
    <x v="0"/>
  </r>
  <r>
    <x v="288"/>
    <x v="288"/>
    <d v="2024-06-12T11:51:44"/>
    <n v="1"/>
    <n v="37.72"/>
    <n v="37.72"/>
    <x v="7"/>
    <n v="1"/>
    <n v="284.26382843749889"/>
    <x v="1"/>
    <x v="0"/>
  </r>
  <r>
    <x v="289"/>
    <x v="289"/>
    <d v="2024-06-12T17:47:28"/>
    <n v="1"/>
    <n v="37.72"/>
    <n v="37.72"/>
    <x v="0"/>
    <n v="1"/>
    <n v="284.01679116897867"/>
    <x v="1"/>
    <x v="0"/>
  </r>
  <r>
    <x v="290"/>
    <x v="290"/>
    <d v="2024-06-12T20:25:34"/>
    <n v="1"/>
    <n v="32.82"/>
    <n v="32.82"/>
    <x v="3"/>
    <n v="1"/>
    <n v="283.90699532407598"/>
    <x v="1"/>
    <x v="0"/>
  </r>
  <r>
    <x v="291"/>
    <x v="291"/>
    <d v="2024-06-13T08:54:24"/>
    <n v="1"/>
    <n v="27.92"/>
    <n v="27.92"/>
    <x v="2"/>
    <n v="1"/>
    <n v="283.38697254629369"/>
    <x v="1"/>
    <x v="0"/>
  </r>
  <r>
    <x v="292"/>
    <x v="292"/>
    <d v="2024-06-13T09:50:25"/>
    <n v="1"/>
    <n v="32.82"/>
    <n v="32.82"/>
    <x v="3"/>
    <n v="1"/>
    <n v="283.34807403934974"/>
    <x v="1"/>
    <x v="0"/>
  </r>
  <r>
    <x v="293"/>
    <x v="293"/>
    <d v="2024-06-13T17:04:59"/>
    <n v="1"/>
    <n v="32.82"/>
    <n v="32.82"/>
    <x v="3"/>
    <n v="1"/>
    <n v="283.04629668981215"/>
    <x v="1"/>
    <x v="0"/>
  </r>
  <r>
    <x v="294"/>
    <x v="294"/>
    <d v="2024-06-13T20:45:01"/>
    <n v="2"/>
    <n v="60.739999999999995"/>
    <n v="30.369999999999997"/>
    <x v="1"/>
    <n v="1.1369674652814865"/>
    <n v="282.89349560184928"/>
    <x v="1"/>
    <x v="0"/>
  </r>
  <r>
    <x v="295"/>
    <x v="295"/>
    <d v="2024-06-13T19:22:19"/>
    <n v="1"/>
    <n v="37.72"/>
    <n v="37.72"/>
    <x v="0"/>
    <n v="1"/>
    <n v="282.95092074073909"/>
    <x v="1"/>
    <x v="0"/>
  </r>
  <r>
    <x v="296"/>
    <x v="296"/>
    <d v="2024-06-14T10:30:32"/>
    <n v="1"/>
    <n v="27.92"/>
    <n v="27.92"/>
    <x v="2"/>
    <n v="1"/>
    <n v="282.3202204976842"/>
    <x v="1"/>
    <x v="0"/>
  </r>
  <r>
    <x v="297"/>
    <x v="297"/>
    <d v="2024-06-14T18:29:53"/>
    <n v="1"/>
    <n v="32.82"/>
    <n v="32.82"/>
    <x v="3"/>
    <n v="1"/>
    <n v="281.9873291203694"/>
    <x v="1"/>
    <x v="0"/>
  </r>
  <r>
    <x v="298"/>
    <x v="298"/>
    <d v="2024-06-18T14:05:12"/>
    <n v="3"/>
    <n v="103.36"/>
    <n v="34.453333333333333"/>
    <x v="7"/>
    <n v="4.11053633101983"/>
    <n v="278.17113798610808"/>
    <x v="0"/>
    <x v="0"/>
  </r>
  <r>
    <x v="299"/>
    <x v="299"/>
    <d v="2024-06-15T12:25:24"/>
    <n v="5"/>
    <n v="164.09999999999997"/>
    <n v="32.819999999999993"/>
    <x v="3"/>
    <n v="1.0027294560204609"/>
    <n v="281.24044762731501"/>
    <x v="0"/>
    <x v="0"/>
  </r>
  <r>
    <x v="300"/>
    <x v="300"/>
    <d v="2024-06-15T16:03:30"/>
    <n v="1"/>
    <n v="32.82"/>
    <n v="32.82"/>
    <x v="3"/>
    <n v="1"/>
    <n v="281.0889898842579"/>
    <x v="1"/>
    <x v="0"/>
  </r>
  <r>
    <x v="301"/>
    <x v="301"/>
    <d v="2024-11-16T11:39:25"/>
    <n v="2"/>
    <n v="53.88"/>
    <n v="26.94"/>
    <x v="2"/>
    <n v="154.7259299768557"/>
    <n v="127.27238034721813"/>
    <x v="1"/>
    <x v="0"/>
  </r>
  <r>
    <x v="302"/>
    <x v="302"/>
    <d v="2024-07-07T09:04:20"/>
    <n v="4"/>
    <n v="145.97999999999999"/>
    <n v="36.494999999999997"/>
    <x v="1"/>
    <n v="21.920587997679831"/>
    <n v="259.38007483796537"/>
    <x v="0"/>
    <x v="0"/>
  </r>
  <r>
    <x v="303"/>
    <x v="303"/>
    <d v="2025-02-01T08:50:24"/>
    <n v="10"/>
    <n v="295.86000000000007"/>
    <n v="29.586000000000006"/>
    <x v="3"/>
    <n v="230.74151942129538"/>
    <n v="50.389757233795535"/>
    <x v="4"/>
    <x v="2"/>
  </r>
  <r>
    <x v="304"/>
    <x v="304"/>
    <d v="2024-06-16T15:44:00"/>
    <n v="1"/>
    <n v="37.72"/>
    <n v="37.72"/>
    <x v="1"/>
    <n v="1"/>
    <n v="280.10253520833066"/>
    <x v="1"/>
    <x v="0"/>
  </r>
  <r>
    <x v="305"/>
    <x v="305"/>
    <d v="2024-06-16T16:47:37"/>
    <n v="1"/>
    <n v="37.72"/>
    <n v="37.72"/>
    <x v="1"/>
    <n v="1"/>
    <n v="280.05835780092457"/>
    <x v="1"/>
    <x v="0"/>
  </r>
  <r>
    <x v="306"/>
    <x v="306"/>
    <d v="2024-06-17T08:57:24"/>
    <n v="1"/>
    <n v="27.92"/>
    <n v="27.92"/>
    <x v="2"/>
    <n v="1"/>
    <n v="279.38489109953662"/>
    <x v="1"/>
    <x v="0"/>
  </r>
  <r>
    <x v="307"/>
    <x v="307"/>
    <d v="2024-06-17T10:13:38"/>
    <n v="2"/>
    <n v="55.84"/>
    <n v="27.92"/>
    <x v="5"/>
    <n v="1.0010698611076805"/>
    <n v="279.33195671296562"/>
    <x v="1"/>
    <x v="0"/>
  </r>
  <r>
    <x v="308"/>
    <x v="308"/>
    <d v="2024-06-17T18:51:20"/>
    <n v="1"/>
    <n v="27.92"/>
    <n v="27.92"/>
    <x v="2"/>
    <n v="1"/>
    <n v="278.97244217592379"/>
    <x v="1"/>
    <x v="0"/>
  </r>
  <r>
    <x v="309"/>
    <x v="309"/>
    <d v="2024-06-18T20:35:49"/>
    <n v="1"/>
    <n v="27.92"/>
    <n v="27.92"/>
    <x v="5"/>
    <n v="1"/>
    <n v="277.8998742824042"/>
    <x v="1"/>
    <x v="0"/>
  </r>
  <r>
    <x v="310"/>
    <x v="310"/>
    <d v="2024-08-09T10:26:47"/>
    <n v="6"/>
    <n v="196.92000000000002"/>
    <n v="32.82"/>
    <x v="3"/>
    <n v="52.110733113426249"/>
    <n v="226.32281783564395"/>
    <x v="0"/>
    <x v="0"/>
  </r>
  <r>
    <x v="311"/>
    <x v="311"/>
    <d v="2024-06-19T10:54:00"/>
    <n v="1"/>
    <n v="27.92"/>
    <n v="27.92"/>
    <x v="2"/>
    <n v="1"/>
    <n v="277.30391369212884"/>
    <x v="1"/>
    <x v="0"/>
  </r>
  <r>
    <x v="312"/>
    <x v="312"/>
    <d v="2024-10-17T10:44:54"/>
    <n v="3"/>
    <n v="111.19999999999999"/>
    <n v="37.066666666666663"/>
    <x v="0"/>
    <n v="120.98155584491178"/>
    <n v="157.31023614582955"/>
    <x v="0"/>
    <x v="0"/>
  </r>
  <r>
    <x v="313"/>
    <x v="313"/>
    <d v="2024-06-20T19:00:00"/>
    <n v="2"/>
    <n v="75.44"/>
    <n v="37.72"/>
    <x v="0"/>
    <n v="1.000673090275086"/>
    <n v="275.96641664351773"/>
    <x v="1"/>
    <x v="0"/>
  </r>
  <r>
    <x v="314"/>
    <x v="314"/>
    <d v="2024-06-21T10:01:40"/>
    <n v="1"/>
    <n v="27.92"/>
    <n v="27.92"/>
    <x v="2"/>
    <n v="1"/>
    <n v="275.34025986111374"/>
    <x v="1"/>
    <x v="0"/>
  </r>
  <r>
    <x v="315"/>
    <x v="315"/>
    <d v="2024-06-21T18:12:16"/>
    <n v="1"/>
    <n v="23.02"/>
    <n v="23.02"/>
    <x v="6"/>
    <n v="1"/>
    <n v="274.99956679398019"/>
    <x v="1"/>
    <x v="0"/>
  </r>
  <r>
    <x v="316"/>
    <x v="316"/>
    <d v="2024-06-22T12:53:16"/>
    <n v="1"/>
    <n v="32.82"/>
    <n v="32.82"/>
    <x v="3"/>
    <n v="1"/>
    <n v="274.22110062499996"/>
    <x v="1"/>
    <x v="0"/>
  </r>
  <r>
    <x v="317"/>
    <x v="317"/>
    <d v="2024-06-22T22:10:23"/>
    <n v="1"/>
    <n v="37.72"/>
    <n v="37.72"/>
    <x v="7"/>
    <n v="1"/>
    <n v="273.8342087615747"/>
    <x v="1"/>
    <x v="0"/>
  </r>
  <r>
    <x v="318"/>
    <x v="318"/>
    <d v="2024-09-12T21:13:17"/>
    <n v="2"/>
    <n v="60.739999999999995"/>
    <n v="30.369999999999997"/>
    <x v="7"/>
    <n v="82.004512175924901"/>
    <n v="191.8738637384231"/>
    <x v="1"/>
    <x v="0"/>
  </r>
  <r>
    <x v="319"/>
    <x v="319"/>
    <d v="2024-06-23T21:30:36"/>
    <n v="2"/>
    <n v="75.44"/>
    <n v="37.72"/>
    <x v="0"/>
    <n v="1.0010249074111925"/>
    <n v="272.86183171295852"/>
    <x v="1"/>
    <x v="0"/>
  </r>
  <r>
    <x v="320"/>
    <x v="320"/>
    <d v="2024-06-24T15:02:29"/>
    <n v="1"/>
    <n v="37.72"/>
    <n v="37.72"/>
    <x v="0"/>
    <n v="1"/>
    <n v="272.1313615740728"/>
    <x v="1"/>
    <x v="0"/>
  </r>
  <r>
    <x v="321"/>
    <x v="321"/>
    <d v="2024-08-03T16:54:00"/>
    <n v="2"/>
    <n v="65.64"/>
    <n v="32.82"/>
    <x v="0"/>
    <n v="40.357357442124339"/>
    <n v="232.05392023148306"/>
    <x v="1"/>
    <x v="0"/>
  </r>
  <r>
    <x v="322"/>
    <x v="322"/>
    <d v="2024-06-26T09:33:02"/>
    <n v="1"/>
    <n v="37.72"/>
    <n v="37.72"/>
    <x v="0"/>
    <n v="1"/>
    <n v="270.36014964120113"/>
    <x v="1"/>
    <x v="0"/>
  </r>
  <r>
    <x v="323"/>
    <x v="323"/>
    <d v="2024-06-26T16:32:29"/>
    <n v="1"/>
    <n v="23.02"/>
    <n v="23.02"/>
    <x v="6"/>
    <n v="1"/>
    <n v="270.06885627314477"/>
    <x v="1"/>
    <x v="0"/>
  </r>
  <r>
    <x v="324"/>
    <x v="324"/>
    <d v="2024-06-26T16:34:02"/>
    <n v="1"/>
    <n v="27.92"/>
    <n v="27.92"/>
    <x v="2"/>
    <n v="1"/>
    <n v="270.06778967592254"/>
    <x v="1"/>
    <x v="0"/>
  </r>
  <r>
    <x v="325"/>
    <x v="325"/>
    <d v="2024-06-27T09:15:43"/>
    <n v="1"/>
    <n v="32.82"/>
    <n v="32.82"/>
    <x v="3"/>
    <n v="1"/>
    <n v="269.37216969907604"/>
    <x v="1"/>
    <x v="0"/>
  </r>
  <r>
    <x v="326"/>
    <x v="326"/>
    <d v="2024-06-27T16:11:48"/>
    <n v="1"/>
    <n v="27.92"/>
    <n v="27.92"/>
    <x v="5"/>
    <n v="1"/>
    <n v="269.08322494212916"/>
    <x v="1"/>
    <x v="0"/>
  </r>
  <r>
    <x v="327"/>
    <x v="327"/>
    <d v="2024-08-07T21:18:12"/>
    <n v="5"/>
    <n v="154.29999999999998"/>
    <n v="30.859999999999996"/>
    <x v="3"/>
    <n v="41.982044189819135"/>
    <n v="227.87044728008914"/>
    <x v="0"/>
    <x v="0"/>
  </r>
  <r>
    <x v="328"/>
    <x v="328"/>
    <d v="2025-01-09T22:10:21"/>
    <n v="4"/>
    <n v="137.16"/>
    <n v="34.29"/>
    <x v="3"/>
    <n v="197.01376250000612"/>
    <n v="72.834235393514973"/>
    <x v="2"/>
    <x v="1"/>
  </r>
  <r>
    <x v="329"/>
    <x v="329"/>
    <d v="2024-06-28T21:50:55"/>
    <n v="1"/>
    <n v="32.82"/>
    <n v="32.82"/>
    <x v="3"/>
    <n v="1"/>
    <n v="267.84772291666741"/>
    <x v="1"/>
    <x v="0"/>
  </r>
  <r>
    <x v="330"/>
    <x v="330"/>
    <d v="2024-06-28T21:52:02"/>
    <n v="1"/>
    <n v="37.72"/>
    <n v="37.72"/>
    <x v="0"/>
    <n v="1"/>
    <n v="267.84695333333366"/>
    <x v="1"/>
    <x v="0"/>
  </r>
  <r>
    <x v="331"/>
    <x v="331"/>
    <d v="2024-06-28T22:28:20"/>
    <n v="1"/>
    <n v="37.72"/>
    <n v="37.72"/>
    <x v="7"/>
    <n v="1"/>
    <n v="267.82174373842281"/>
    <x v="1"/>
    <x v="0"/>
  </r>
  <r>
    <x v="332"/>
    <x v="332"/>
    <d v="2025-01-31T09:27:48"/>
    <n v="22"/>
    <n v="677.94000000000017"/>
    <n v="30.815454545454553"/>
    <x v="3"/>
    <n v="216.9079647685212"/>
    <n v="51.363783530090586"/>
    <x v="4"/>
    <x v="2"/>
  </r>
  <r>
    <x v="333"/>
    <x v="333"/>
    <d v="2024-10-26T08:53:00"/>
    <n v="3"/>
    <n v="111.19999999999999"/>
    <n v="37.066666666666663"/>
    <x v="7"/>
    <n v="119.84901849536982"/>
    <n v="148.3879523032374"/>
    <x v="0"/>
    <x v="0"/>
  </r>
  <r>
    <x v="334"/>
    <x v="334"/>
    <d v="2024-06-29T17:24:52"/>
    <n v="2"/>
    <n v="75.44"/>
    <n v="37.72"/>
    <x v="7"/>
    <n v="1.0007962268573465"/>
    <n v="267.03247983795882"/>
    <x v="1"/>
    <x v="0"/>
  </r>
  <r>
    <x v="335"/>
    <x v="335"/>
    <d v="2024-06-30T10:28:10"/>
    <n v="1"/>
    <n v="37.72"/>
    <n v="37.72"/>
    <x v="0"/>
    <n v="1"/>
    <n v="266.32186103009008"/>
    <x v="1"/>
    <x v="0"/>
  </r>
  <r>
    <x v="336"/>
    <x v="336"/>
    <d v="2024-06-30T13:05:51"/>
    <n v="1"/>
    <n v="23.02"/>
    <n v="23.02"/>
    <x v="6"/>
    <n v="1"/>
    <n v="266.21236128472083"/>
    <x v="1"/>
    <x v="0"/>
  </r>
  <r>
    <x v="337"/>
    <x v="337"/>
    <d v="2024-07-01T18:56:52"/>
    <n v="1"/>
    <n v="37.72"/>
    <n v="37.72"/>
    <x v="7"/>
    <n v="1"/>
    <n v="264.96859711805155"/>
    <x v="1"/>
    <x v="0"/>
  </r>
  <r>
    <x v="338"/>
    <x v="338"/>
    <d v="2024-07-26T12:29:18"/>
    <n v="3"/>
    <n v="103.35999999999999"/>
    <n v="34.453333333333326"/>
    <x v="7"/>
    <n v="25.730132418982976"/>
    <n v="240.23774221064377"/>
    <x v="0"/>
    <x v="0"/>
  </r>
  <r>
    <x v="339"/>
    <x v="339"/>
    <d v="2024-07-02T14:03:13"/>
    <n v="1"/>
    <n v="27.92"/>
    <n v="27.92"/>
    <x v="2"/>
    <n v="1"/>
    <n v="264.17251625000063"/>
    <x v="1"/>
    <x v="0"/>
  </r>
  <r>
    <x v="340"/>
    <x v="340"/>
    <d v="2024-07-02T16:31:24"/>
    <n v="1"/>
    <n v="32.82"/>
    <n v="32.82"/>
    <x v="3"/>
    <n v="1"/>
    <n v="264.06960993055691"/>
    <x v="1"/>
    <x v="0"/>
  </r>
  <r>
    <x v="341"/>
    <x v="341"/>
    <d v="2024-07-03T16:01:17"/>
    <n v="1"/>
    <n v="37.72"/>
    <n v="37.72"/>
    <x v="7"/>
    <n v="1"/>
    <n v="263.09053334490454"/>
    <x v="1"/>
    <x v="0"/>
  </r>
  <r>
    <x v="342"/>
    <x v="342"/>
    <d v="2024-07-03T16:50:25"/>
    <n v="1"/>
    <n v="37.72"/>
    <n v="37.72"/>
    <x v="7"/>
    <n v="1"/>
    <n v="263.05640523148031"/>
    <x v="1"/>
    <x v="0"/>
  </r>
  <r>
    <x v="343"/>
    <x v="343"/>
    <d v="2024-07-03T16:54:23"/>
    <n v="1"/>
    <n v="32.82"/>
    <n v="32.82"/>
    <x v="3"/>
    <n v="1"/>
    <n v="263.05365425925993"/>
    <x v="1"/>
    <x v="0"/>
  </r>
  <r>
    <x v="344"/>
    <x v="344"/>
    <d v="2024-07-03T16:59:26"/>
    <n v="1"/>
    <n v="23.02"/>
    <n v="23.02"/>
    <x v="6"/>
    <n v="1"/>
    <n v="263.0501510995382"/>
    <x v="1"/>
    <x v="0"/>
  </r>
  <r>
    <x v="345"/>
    <x v="345"/>
    <d v="2024-07-03T17:59:02"/>
    <n v="1"/>
    <n v="37.72"/>
    <n v="37.72"/>
    <x v="7"/>
    <n v="1"/>
    <n v="263.0087593518474"/>
    <x v="1"/>
    <x v="0"/>
  </r>
  <r>
    <x v="346"/>
    <x v="346"/>
    <d v="2024-10-27T11:01:57"/>
    <n v="8"/>
    <n v="206.7"/>
    <n v="25.837499999999999"/>
    <x v="3"/>
    <n v="114.88695686342544"/>
    <n v="147.29839968749729"/>
    <x v="0"/>
    <x v="0"/>
  </r>
  <r>
    <x v="347"/>
    <x v="347"/>
    <d v="2025-01-09T14:27:24"/>
    <n v="2"/>
    <n v="44.08"/>
    <n v="22.04"/>
    <x v="6"/>
    <n v="188.81351127315429"/>
    <n v="73.155728622681636"/>
    <x v="1"/>
    <x v="0"/>
  </r>
  <r>
    <x v="348"/>
    <x v="348"/>
    <d v="2024-07-05T22:11:56"/>
    <n v="1"/>
    <n v="23.02"/>
    <n v="23.02"/>
    <x v="6"/>
    <n v="1"/>
    <n v="260.8331268981492"/>
    <x v="1"/>
    <x v="0"/>
  </r>
  <r>
    <x v="349"/>
    <x v="349"/>
    <d v="2024-07-05T22:18:57"/>
    <n v="2"/>
    <n v="55.84"/>
    <n v="27.92"/>
    <x v="2"/>
    <n v="1.0006206134203239"/>
    <n v="260.82826030092838"/>
    <x v="1"/>
    <x v="0"/>
  </r>
  <r>
    <x v="350"/>
    <x v="350"/>
    <d v="2024-07-05T22:21:09"/>
    <n v="2"/>
    <n v="70.539999999999992"/>
    <n v="35.269999999999996"/>
    <x v="7"/>
    <n v="1.0007906018508947"/>
    <n v="260.82672659722448"/>
    <x v="1"/>
    <x v="0"/>
  </r>
  <r>
    <x v="351"/>
    <x v="351"/>
    <d v="2024-07-06T10:28:07"/>
    <n v="1"/>
    <n v="37.72"/>
    <n v="37.72"/>
    <x v="0"/>
    <n v="1"/>
    <n v="260.32189593750081"/>
    <x v="1"/>
    <x v="0"/>
  </r>
  <r>
    <x v="352"/>
    <x v="352"/>
    <d v="2024-07-07T09:15:37"/>
    <n v="2"/>
    <n v="55.84"/>
    <n v="27.92"/>
    <x v="3"/>
    <n v="1.0007822916668374"/>
    <n v="259.37224328703451"/>
    <x v="1"/>
    <x v="0"/>
  </r>
  <r>
    <x v="353"/>
    <x v="353"/>
    <d v="2024-07-07T09:29:56"/>
    <n v="2"/>
    <n v="65.64"/>
    <n v="32.82"/>
    <x v="7"/>
    <n v="1.000779085647082"/>
    <n v="259.3622968287018"/>
    <x v="1"/>
    <x v="0"/>
  </r>
  <r>
    <x v="354"/>
    <x v="354"/>
    <d v="2024-10-19T14:10:33"/>
    <n v="3"/>
    <n v="101.4"/>
    <n v="33.800000000000004"/>
    <x v="1"/>
    <n v="104.96808351851359"/>
    <n v="155.16743085648341"/>
    <x v="0"/>
    <x v="0"/>
  </r>
  <r>
    <x v="355"/>
    <x v="355"/>
    <d v="2024-07-07T17:07:50"/>
    <n v="1"/>
    <n v="32.82"/>
    <n v="32.82"/>
    <x v="0"/>
    <n v="1"/>
    <n v="259.04430961805338"/>
    <x v="1"/>
    <x v="0"/>
  </r>
  <r>
    <x v="356"/>
    <x v="356"/>
    <d v="2024-07-07T19:33:27"/>
    <n v="1"/>
    <n v="32.82"/>
    <n v="32.82"/>
    <x v="7"/>
    <n v="1"/>
    <n v="258.94318805555667"/>
    <x v="1"/>
    <x v="0"/>
  </r>
  <r>
    <x v="357"/>
    <x v="357"/>
    <d v="2024-07-07T20:01:32"/>
    <n v="1"/>
    <n v="32.82"/>
    <n v="32.82"/>
    <x v="1"/>
    <n v="1"/>
    <n v="258.92369192129263"/>
    <x v="1"/>
    <x v="0"/>
  </r>
  <r>
    <x v="358"/>
    <x v="358"/>
    <d v="2024-07-07T22:33:36"/>
    <n v="1"/>
    <n v="27.92"/>
    <n v="27.92"/>
    <x v="3"/>
    <n v="1"/>
    <n v="258.81808310185443"/>
    <x v="1"/>
    <x v="0"/>
  </r>
  <r>
    <x v="359"/>
    <x v="359"/>
    <d v="2024-07-08T07:33:08"/>
    <n v="1"/>
    <n v="32.82"/>
    <n v="32.82"/>
    <x v="0"/>
    <n v="1"/>
    <n v="258.44341332175827"/>
    <x v="1"/>
    <x v="0"/>
  </r>
  <r>
    <x v="360"/>
    <x v="360"/>
    <d v="2024-07-08T12:02:50"/>
    <n v="1"/>
    <n v="23.02"/>
    <n v="23.02"/>
    <x v="2"/>
    <n v="1"/>
    <n v="258.25611358795868"/>
    <x v="1"/>
    <x v="0"/>
  </r>
  <r>
    <x v="361"/>
    <x v="361"/>
    <d v="2024-07-08T14:40:24"/>
    <n v="1"/>
    <n v="23.02"/>
    <n v="23.02"/>
    <x v="2"/>
    <n v="1"/>
    <n v="258.14669311342732"/>
    <x v="1"/>
    <x v="0"/>
  </r>
  <r>
    <x v="362"/>
    <x v="362"/>
    <d v="2024-07-08T19:30:35"/>
    <n v="1"/>
    <n v="27.92"/>
    <n v="27.92"/>
    <x v="3"/>
    <n v="1"/>
    <n v="257.94518123842863"/>
    <x v="1"/>
    <x v="0"/>
  </r>
  <r>
    <x v="363"/>
    <x v="363"/>
    <d v="2024-07-09T16:43:00"/>
    <n v="1"/>
    <n v="27.92"/>
    <n v="27.92"/>
    <x v="3"/>
    <n v="1"/>
    <n v="257.06156365740753"/>
    <x v="1"/>
    <x v="0"/>
  </r>
  <r>
    <x v="364"/>
    <x v="364"/>
    <d v="2024-07-13T11:41:38"/>
    <n v="3"/>
    <n v="88.66"/>
    <n v="29.553333333333331"/>
    <x v="0"/>
    <n v="4.0214860995401978"/>
    <n v="253.27083965277416"/>
    <x v="0"/>
    <x v="0"/>
  </r>
  <r>
    <x v="365"/>
    <x v="365"/>
    <d v="2024-07-10T12:28:54"/>
    <n v="1"/>
    <n v="27.92"/>
    <n v="27.92"/>
    <x v="3"/>
    <n v="1"/>
    <n v="256.23802055555279"/>
    <x v="1"/>
    <x v="0"/>
  </r>
  <r>
    <x v="366"/>
    <x v="366"/>
    <d v="2024-08-12T08:26:19"/>
    <n v="4"/>
    <n v="131.28"/>
    <n v="32.82"/>
    <x v="1"/>
    <n v="32.874211759255559"/>
    <n v="223.40647195601923"/>
    <x v="0"/>
    <x v="0"/>
  </r>
  <r>
    <x v="367"/>
    <x v="367"/>
    <d v="2024-07-11T16:48:19"/>
    <n v="1"/>
    <n v="27.92"/>
    <n v="27.92"/>
    <x v="3"/>
    <n v="1"/>
    <n v="255.05786951389018"/>
    <x v="1"/>
    <x v="0"/>
  </r>
  <r>
    <x v="368"/>
    <x v="368"/>
    <d v="2024-07-11T22:22:14"/>
    <n v="1"/>
    <n v="32.82"/>
    <n v="32.82"/>
    <x v="0"/>
    <n v="1"/>
    <n v="254.825983645831"/>
    <x v="1"/>
    <x v="0"/>
  </r>
  <r>
    <x v="369"/>
    <x v="369"/>
    <d v="2024-07-11T22:30:59"/>
    <n v="1"/>
    <n v="23.02"/>
    <n v="23.02"/>
    <x v="2"/>
    <n v="1"/>
    <n v="254.81990849536669"/>
    <x v="1"/>
    <x v="0"/>
  </r>
  <r>
    <x v="370"/>
    <x v="370"/>
    <d v="2024-08-31T09:08:32"/>
    <n v="2"/>
    <n v="46.04"/>
    <n v="23.02"/>
    <x v="5"/>
    <n v="51.045312442125578"/>
    <n v="204.37715449074312"/>
    <x v="1"/>
    <x v="0"/>
  </r>
  <r>
    <x v="371"/>
    <x v="371"/>
    <d v="2024-07-12T11:48:33"/>
    <n v="1"/>
    <n v="32.82"/>
    <n v="32.82"/>
    <x v="1"/>
    <n v="1"/>
    <n v="254.26603303240699"/>
    <x v="1"/>
    <x v="0"/>
  </r>
  <r>
    <x v="372"/>
    <x v="372"/>
    <d v="2024-07-14T10:56:30"/>
    <n v="3"/>
    <n v="83.759999999999991"/>
    <n v="27.919999999999998"/>
    <x v="2"/>
    <n v="1.0014576851899619"/>
    <n v="252.30218037036684"/>
    <x v="0"/>
    <x v="0"/>
  </r>
  <r>
    <x v="373"/>
    <x v="373"/>
    <d v="2024-07-14T10:57:54"/>
    <n v="1"/>
    <n v="32.82"/>
    <n v="32.82"/>
    <x v="0"/>
    <n v="1"/>
    <n v="252.30121033564501"/>
    <x v="1"/>
    <x v="0"/>
  </r>
  <r>
    <x v="374"/>
    <x v="374"/>
    <d v="2024-11-08T09:49:00"/>
    <n v="20"/>
    <n v="542.71999999999991"/>
    <n v="27.135999999999996"/>
    <x v="2"/>
    <n v="117.94916591435322"/>
    <n v="135.34906136574136"/>
    <x v="0"/>
    <x v="0"/>
  </r>
  <r>
    <x v="375"/>
    <x v="375"/>
    <d v="2024-07-14T22:31:30"/>
    <n v="1"/>
    <n v="32.82"/>
    <n v="32.82"/>
    <x v="0"/>
    <n v="1"/>
    <n v="251.81954466435127"/>
    <x v="1"/>
    <x v="0"/>
  </r>
  <r>
    <x v="376"/>
    <x v="376"/>
    <d v="2024-07-15T07:33:06"/>
    <n v="1"/>
    <n v="32.82"/>
    <n v="32.82"/>
    <x v="7"/>
    <n v="1"/>
    <n v="251.44343840277725"/>
    <x v="1"/>
    <x v="0"/>
  </r>
  <r>
    <x v="377"/>
    <x v="377"/>
    <d v="2024-07-16T12:23:37"/>
    <n v="1"/>
    <n v="27.92"/>
    <n v="27.92"/>
    <x v="3"/>
    <n v="1"/>
    <n v="250.24168018518685"/>
    <x v="1"/>
    <x v="0"/>
  </r>
  <r>
    <x v="378"/>
    <x v="378"/>
    <d v="2024-07-26T12:07:02"/>
    <n v="3"/>
    <n v="88.66"/>
    <n v="29.553333333333331"/>
    <x v="3"/>
    <n v="9.9597445138933836"/>
    <n v="240.25320561342232"/>
    <x v="0"/>
    <x v="0"/>
  </r>
  <r>
    <x v="379"/>
    <x v="379"/>
    <d v="2024-07-18T11:10:13"/>
    <n v="1"/>
    <n v="27.92"/>
    <n v="27.92"/>
    <x v="3"/>
    <n v="1"/>
    <n v="248.2926532638885"/>
    <x v="1"/>
    <x v="0"/>
  </r>
  <r>
    <x v="380"/>
    <x v="380"/>
    <d v="2024-07-18T11:11:23"/>
    <n v="1"/>
    <n v="18.12"/>
    <n v="18.12"/>
    <x v="6"/>
    <n v="1"/>
    <n v="248.29184260416514"/>
    <x v="1"/>
    <x v="0"/>
  </r>
  <r>
    <x v="381"/>
    <x v="381"/>
    <d v="2024-07-18T18:18:23"/>
    <n v="1"/>
    <n v="32.82"/>
    <n v="32.82"/>
    <x v="7"/>
    <n v="1"/>
    <n v="247.99531547453807"/>
    <x v="1"/>
    <x v="0"/>
  </r>
  <r>
    <x v="382"/>
    <x v="382"/>
    <d v="2024-07-18T21:22:00"/>
    <n v="2"/>
    <n v="65.64"/>
    <n v="32.82"/>
    <x v="1"/>
    <n v="1.0015976967624738"/>
    <n v="247.86780995369918"/>
    <x v="1"/>
    <x v="0"/>
  </r>
  <r>
    <x v="383"/>
    <x v="383"/>
    <d v="2024-07-31T13:14:00"/>
    <n v="7"/>
    <n v="229.73999999999998"/>
    <n v="32.82"/>
    <x v="0"/>
    <n v="13.644231620368373"/>
    <n v="235.20669385416841"/>
    <x v="0"/>
    <x v="0"/>
  </r>
  <r>
    <x v="384"/>
    <x v="384"/>
    <d v="2025-01-10T09:16:36"/>
    <n v="17"/>
    <n v="503.06000000000017"/>
    <n v="29.591764705882362"/>
    <x v="3"/>
    <n v="175.91685172453435"/>
    <n v="72.371552511576738"/>
    <x v="2"/>
    <x v="1"/>
  </r>
  <r>
    <x v="385"/>
    <x v="385"/>
    <d v="2024-07-19T12:59:55"/>
    <n v="2"/>
    <n v="60.74"/>
    <n v="30.37"/>
    <x v="0"/>
    <n v="1.0009007175904117"/>
    <n v="247.21647282407503"/>
    <x v="1"/>
    <x v="0"/>
  </r>
  <r>
    <x v="386"/>
    <x v="386"/>
    <d v="2024-07-20T08:07:51"/>
    <n v="3"/>
    <n v="78.86"/>
    <n v="26.286666666666665"/>
    <x v="2"/>
    <n v="1.0014694907440571"/>
    <n v="246.41929631944367"/>
    <x v="0"/>
    <x v="0"/>
  </r>
  <r>
    <x v="387"/>
    <x v="387"/>
    <d v="2024-07-31T09:55:45"/>
    <n v="3"/>
    <n v="78.86"/>
    <n v="26.286666666666665"/>
    <x v="2"/>
    <n v="12.038096493059129"/>
    <n v="235.34436913194077"/>
    <x v="0"/>
    <x v="0"/>
  </r>
  <r>
    <x v="388"/>
    <x v="388"/>
    <d v="2024-07-20T09:02:28"/>
    <n v="1"/>
    <n v="32.82"/>
    <n v="32.82"/>
    <x v="0"/>
    <n v="1"/>
    <n v="246.38137484953768"/>
    <x v="1"/>
    <x v="0"/>
  </r>
  <r>
    <x v="389"/>
    <x v="389"/>
    <d v="2024-07-20T10:39:21"/>
    <n v="1"/>
    <n v="23.02"/>
    <n v="23.02"/>
    <x v="2"/>
    <n v="1"/>
    <n v="246.31409248842829"/>
    <x v="1"/>
    <x v="0"/>
  </r>
  <r>
    <x v="390"/>
    <x v="390"/>
    <d v="2024-07-20T15:15:09"/>
    <n v="1"/>
    <n v="32.82"/>
    <n v="32.82"/>
    <x v="0"/>
    <n v="1"/>
    <n v="246.12256266203622"/>
    <x v="1"/>
    <x v="0"/>
  </r>
  <r>
    <x v="391"/>
    <x v="391"/>
    <d v="2024-07-21T11:39:29"/>
    <n v="1"/>
    <n v="32.82"/>
    <n v="32.82"/>
    <x v="7"/>
    <n v="1"/>
    <n v="245.27233633101423"/>
    <x v="1"/>
    <x v="0"/>
  </r>
  <r>
    <x v="392"/>
    <x v="392"/>
    <d v="2024-07-21T13:34:31"/>
    <n v="1"/>
    <n v="23.02"/>
    <n v="23.02"/>
    <x v="5"/>
    <n v="1"/>
    <n v="245.19245122685243"/>
    <x v="1"/>
    <x v="0"/>
  </r>
  <r>
    <x v="393"/>
    <x v="393"/>
    <d v="2024-07-21T13:42:31"/>
    <n v="1"/>
    <n v="32.82"/>
    <n v="32.82"/>
    <x v="0"/>
    <n v="1"/>
    <n v="245.18688878472312"/>
    <x v="1"/>
    <x v="0"/>
  </r>
  <r>
    <x v="394"/>
    <x v="394"/>
    <d v="2024-07-23T08:40:19"/>
    <n v="2"/>
    <n v="46.04"/>
    <n v="23.02"/>
    <x v="2"/>
    <n v="1.9996461458285921"/>
    <n v="243.39675525463099"/>
    <x v="1"/>
    <x v="0"/>
  </r>
  <r>
    <x v="395"/>
    <x v="395"/>
    <d v="2024-07-22T16:44:38"/>
    <n v="1"/>
    <n v="32.82"/>
    <n v="32.82"/>
    <x v="0"/>
    <n v="1"/>
    <n v="244.06042872685066"/>
    <x v="1"/>
    <x v="0"/>
  </r>
  <r>
    <x v="396"/>
    <x v="396"/>
    <d v="2024-07-23T08:44:54"/>
    <n v="1"/>
    <n v="27.92"/>
    <n v="27.92"/>
    <x v="3"/>
    <n v="1"/>
    <n v="243.39357429397933"/>
    <x v="1"/>
    <x v="0"/>
  </r>
  <r>
    <x v="397"/>
    <x v="397"/>
    <d v="2024-07-23T08:49:25"/>
    <n v="1"/>
    <n v="32.82"/>
    <n v="32.82"/>
    <x v="4"/>
    <n v="1"/>
    <n v="243.39043435185158"/>
    <x v="1"/>
    <x v="0"/>
  </r>
  <r>
    <x v="398"/>
    <x v="398"/>
    <d v="2024-07-25T08:49:18"/>
    <n v="3"/>
    <n v="98.460000000000008"/>
    <n v="32.82"/>
    <x v="0"/>
    <n v="2.9987044328736374"/>
    <n v="241.39051165508863"/>
    <x v="0"/>
    <x v="0"/>
  </r>
  <r>
    <x v="399"/>
    <x v="399"/>
    <d v="2024-07-23T10:03:36"/>
    <n v="1"/>
    <n v="27.92"/>
    <n v="27.92"/>
    <x v="3"/>
    <n v="1"/>
    <n v="243.33891369213234"/>
    <x v="1"/>
    <x v="0"/>
  </r>
  <r>
    <x v="400"/>
    <x v="400"/>
    <d v="2024-08-03T09:38:41"/>
    <n v="4"/>
    <n v="116.58"/>
    <n v="29.145"/>
    <x v="3"/>
    <n v="11.762917118052428"/>
    <n v="232.35622251157474"/>
    <x v="0"/>
    <x v="0"/>
  </r>
  <r>
    <x v="401"/>
    <x v="401"/>
    <d v="2024-10-25T07:45:23"/>
    <n v="5"/>
    <n v="112.16"/>
    <n v="22.431999999999999"/>
    <x v="6"/>
    <n v="93.910247650463134"/>
    <n v="149.43490488425596"/>
    <x v="0"/>
    <x v="0"/>
  </r>
  <r>
    <x v="402"/>
    <x v="402"/>
    <d v="2024-07-25T15:25:07"/>
    <n v="1"/>
    <n v="32.82"/>
    <n v="32.82"/>
    <x v="7"/>
    <n v="1"/>
    <n v="241.11564957175869"/>
    <x v="1"/>
    <x v="0"/>
  </r>
  <r>
    <x v="403"/>
    <x v="403"/>
    <d v="2024-07-25T21:06:50"/>
    <n v="2"/>
    <n v="41.14"/>
    <n v="20.57"/>
    <x v="5"/>
    <n v="1.0005640046292683"/>
    <n v="240.87834065972129"/>
    <x v="1"/>
    <x v="0"/>
  </r>
  <r>
    <x v="404"/>
    <x v="404"/>
    <d v="2024-07-25T22:39:47"/>
    <n v="1"/>
    <n v="32.82"/>
    <n v="32.82"/>
    <x v="4"/>
    <n v="1"/>
    <n v="240.81379450231179"/>
    <x v="1"/>
    <x v="0"/>
  </r>
  <r>
    <x v="405"/>
    <x v="405"/>
    <d v="2025-01-16T16:35:11"/>
    <n v="2"/>
    <n v="68.58"/>
    <n v="34.29"/>
    <x v="0"/>
    <n v="175.33483487268677"/>
    <n v="66.066986446756346"/>
    <x v="1"/>
    <x v="0"/>
  </r>
  <r>
    <x v="406"/>
    <x v="406"/>
    <d v="2024-07-26T09:34:17"/>
    <n v="2"/>
    <n v="46.04"/>
    <n v="23.02"/>
    <x v="5"/>
    <n v="1.0007537268538726"/>
    <n v="240.35928243055241"/>
    <x v="1"/>
    <x v="0"/>
  </r>
  <r>
    <x v="407"/>
    <x v="407"/>
    <d v="2024-09-27T20:19:14"/>
    <n v="10"/>
    <n v="269.40000000000003"/>
    <n v="26.940000000000005"/>
    <x v="2"/>
    <n v="64.430630231479881"/>
    <n v="176.91139254629525"/>
    <x v="0"/>
    <x v="0"/>
  </r>
  <r>
    <x v="408"/>
    <x v="408"/>
    <d v="2024-12-07T15:44:05"/>
    <n v="2"/>
    <n v="68.58"/>
    <n v="34.29"/>
    <x v="0"/>
    <n v="135.10704540509323"/>
    <n v="106.10247423611145"/>
    <x v="1"/>
    <x v="0"/>
  </r>
  <r>
    <x v="409"/>
    <x v="409"/>
    <d v="2024-07-26T17:23:29"/>
    <n v="1"/>
    <n v="23.02"/>
    <n v="23.02"/>
    <x v="2"/>
    <n v="1"/>
    <n v="240.03344083332922"/>
    <x v="1"/>
    <x v="0"/>
  </r>
  <r>
    <x v="410"/>
    <x v="410"/>
    <d v="2024-07-26T17:58:29"/>
    <n v="1"/>
    <n v="32.82"/>
    <n v="32.82"/>
    <x v="7"/>
    <n v="1"/>
    <n v="240.00913678240613"/>
    <x v="1"/>
    <x v="0"/>
  </r>
  <r>
    <x v="411"/>
    <x v="411"/>
    <d v="2024-07-26T22:49:52"/>
    <n v="1"/>
    <n v="27.92"/>
    <n v="27.92"/>
    <x v="3"/>
    <n v="1"/>
    <n v="239.80678607639129"/>
    <x v="1"/>
    <x v="0"/>
  </r>
  <r>
    <x v="412"/>
    <x v="412"/>
    <d v="2024-07-27T11:55:31"/>
    <n v="1"/>
    <n v="27.92"/>
    <n v="27.92"/>
    <x v="3"/>
    <n v="1"/>
    <n v="239.26119506944087"/>
    <x v="1"/>
    <x v="0"/>
  </r>
  <r>
    <x v="413"/>
    <x v="413"/>
    <d v="2024-08-11T16:27:35"/>
    <n v="2"/>
    <n v="65.64"/>
    <n v="32.82"/>
    <x v="7"/>
    <n v="15.975714907406655"/>
    <n v="224.07226283564523"/>
    <x v="1"/>
    <x v="0"/>
  </r>
  <r>
    <x v="414"/>
    <x v="414"/>
    <d v="2024-07-27T17:03:39"/>
    <n v="1"/>
    <n v="32.82"/>
    <n v="32.82"/>
    <x v="7"/>
    <n v="1"/>
    <n v="239.04721670138679"/>
    <x v="1"/>
    <x v="0"/>
  </r>
  <r>
    <x v="415"/>
    <x v="415"/>
    <d v="2024-07-27T17:10:08"/>
    <n v="2"/>
    <n v="55.84"/>
    <n v="27.92"/>
    <x v="3"/>
    <n v="1.00078298610606"/>
    <n v="239.0427148263916"/>
    <x v="1"/>
    <x v="0"/>
  </r>
  <r>
    <x v="416"/>
    <x v="416"/>
    <d v="2024-07-27T22:56:24"/>
    <n v="1"/>
    <n v="32.82"/>
    <n v="32.82"/>
    <x v="7"/>
    <n v="1"/>
    <n v="238.80225370370317"/>
    <x v="1"/>
    <x v="0"/>
  </r>
  <r>
    <x v="417"/>
    <x v="417"/>
    <d v="2024-07-29T08:12:06"/>
    <n v="1"/>
    <n v="32.82"/>
    <n v="32.82"/>
    <x v="0"/>
    <n v="1"/>
    <n v="237.41634524305118"/>
    <x v="1"/>
    <x v="0"/>
  </r>
  <r>
    <x v="418"/>
    <x v="418"/>
    <d v="2025-01-16T09:38:09"/>
    <n v="5"/>
    <n v="145.48000000000002"/>
    <n v="29.096000000000004"/>
    <x v="3"/>
    <n v="171.99079412037099"/>
    <n v="66.356588842594647"/>
    <x v="2"/>
    <x v="1"/>
  </r>
  <r>
    <x v="419"/>
    <x v="419"/>
    <d v="2024-08-08T12:27:05"/>
    <n v="2"/>
    <n v="60.74"/>
    <n v="30.37"/>
    <x v="7"/>
    <n v="11.103191365742532"/>
    <n v="227.23927386573632"/>
    <x v="1"/>
    <x v="0"/>
  </r>
  <r>
    <x v="420"/>
    <x v="420"/>
    <d v="2024-07-29T10:44:56"/>
    <n v="2"/>
    <n v="65.64"/>
    <n v="32.82"/>
    <x v="1"/>
    <n v="1.0008320023189299"/>
    <n v="237.31021746527404"/>
    <x v="1"/>
    <x v="0"/>
  </r>
  <r>
    <x v="421"/>
    <x v="421"/>
    <d v="2024-07-29T19:06:31"/>
    <n v="1"/>
    <n v="32.82"/>
    <n v="32.82"/>
    <x v="7"/>
    <n v="1"/>
    <n v="236.96189240740932"/>
    <x v="1"/>
    <x v="0"/>
  </r>
  <r>
    <x v="422"/>
    <x v="422"/>
    <d v="2024-08-01T15:43:44"/>
    <n v="4"/>
    <n v="111.68"/>
    <n v="27.92"/>
    <x v="3"/>
    <n v="3.3351027199096279"/>
    <n v="234.10271776620357"/>
    <x v="0"/>
    <x v="0"/>
  </r>
  <r>
    <x v="423"/>
    <x v="423"/>
    <d v="2024-10-09T09:43:21"/>
    <n v="2"/>
    <n v="53.879999999999995"/>
    <n v="26.939999999999998"/>
    <x v="5"/>
    <n v="72.068215428240364"/>
    <n v="165.3529815509246"/>
    <x v="1"/>
    <x v="0"/>
  </r>
  <r>
    <x v="424"/>
    <x v="424"/>
    <d v="2024-09-13T08:41:03"/>
    <n v="5"/>
    <n v="164.1"/>
    <n v="32.82"/>
    <x v="0"/>
    <n v="46.014026273151103"/>
    <n v="191.39624594907218"/>
    <x v="0"/>
    <x v="0"/>
  </r>
  <r>
    <x v="425"/>
    <x v="425"/>
    <d v="2024-07-30T11:13:16"/>
    <n v="2"/>
    <n v="41.14"/>
    <n v="20.57"/>
    <x v="2"/>
    <n v="1.0007969791695359"/>
    <n v="236.29053723379184"/>
    <x v="1"/>
    <x v="0"/>
  </r>
  <r>
    <x v="426"/>
    <x v="426"/>
    <d v="2025-02-01T21:37:02"/>
    <n v="2"/>
    <n v="58.78"/>
    <n v="29.39"/>
    <x v="3"/>
    <n v="187.43217706018913"/>
    <n v="49.85737105323642"/>
    <x v="1"/>
    <x v="0"/>
  </r>
  <r>
    <x v="427"/>
    <x v="427"/>
    <d v="2024-07-30T11:16:02"/>
    <n v="1"/>
    <n v="27.92"/>
    <n v="27.92"/>
    <x v="3"/>
    <n v="1"/>
    <n v="236.2886227430572"/>
    <x v="1"/>
    <x v="0"/>
  </r>
  <r>
    <x v="428"/>
    <x v="428"/>
    <d v="2024-08-16T13:36:13"/>
    <n v="2"/>
    <n v="55.84"/>
    <n v="27.92"/>
    <x v="3"/>
    <n v="18.087246076385782"/>
    <n v="219.191271261574"/>
    <x v="1"/>
    <x v="0"/>
  </r>
  <r>
    <x v="429"/>
    <x v="429"/>
    <d v="2024-07-30T11:31:41"/>
    <n v="1"/>
    <n v="27.92"/>
    <n v="27.92"/>
    <x v="3"/>
    <n v="1"/>
    <n v="236.27775261573697"/>
    <x v="1"/>
    <x v="0"/>
  </r>
  <r>
    <x v="430"/>
    <x v="430"/>
    <d v="2024-07-30T12:08:08"/>
    <n v="1"/>
    <n v="32.82"/>
    <n v="32.82"/>
    <x v="0"/>
    <n v="1"/>
    <n v="236.25244359953649"/>
    <x v="1"/>
    <x v="0"/>
  </r>
  <r>
    <x v="431"/>
    <x v="431"/>
    <d v="2024-07-30T15:16:10"/>
    <n v="1"/>
    <n v="27.92"/>
    <n v="27.92"/>
    <x v="3"/>
    <n v="1"/>
    <n v="236.12186350694537"/>
    <x v="1"/>
    <x v="0"/>
  </r>
  <r>
    <x v="432"/>
    <x v="432"/>
    <d v="2024-07-30T16:09:44"/>
    <n v="2"/>
    <n v="50.94"/>
    <n v="25.47"/>
    <x v="5"/>
    <n v="1.0005873958289158"/>
    <n v="236.08466444444639"/>
    <x v="1"/>
    <x v="0"/>
  </r>
  <r>
    <x v="433"/>
    <x v="433"/>
    <d v="2024-07-30T20:24:20"/>
    <n v="1"/>
    <n v="18.12"/>
    <n v="18.12"/>
    <x v="6"/>
    <n v="1"/>
    <n v="235.90785603009135"/>
    <x v="1"/>
    <x v="0"/>
  </r>
  <r>
    <x v="434"/>
    <x v="434"/>
    <d v="2024-07-30T21:33:19"/>
    <n v="1"/>
    <n v="32.82"/>
    <n v="32.82"/>
    <x v="0"/>
    <n v="1"/>
    <n v="235.85994718749862"/>
    <x v="1"/>
    <x v="0"/>
  </r>
  <r>
    <x v="435"/>
    <x v="435"/>
    <d v="2024-07-30T22:16:19"/>
    <n v="2"/>
    <n v="55.84"/>
    <n v="27.92"/>
    <x v="2"/>
    <n v="1.0006687037021038"/>
    <n v="235.83008535879344"/>
    <x v="1"/>
    <x v="0"/>
  </r>
  <r>
    <x v="436"/>
    <x v="436"/>
    <d v="2024-07-31T08:38:38"/>
    <n v="2"/>
    <n v="55.84"/>
    <n v="27.92"/>
    <x v="3"/>
    <n v="1.0006515393542941"/>
    <n v="235.3979212847189"/>
    <x v="1"/>
    <x v="0"/>
  </r>
  <r>
    <x v="437"/>
    <x v="437"/>
    <d v="2024-07-31T13:24:49"/>
    <n v="1"/>
    <n v="27.92"/>
    <n v="27.92"/>
    <x v="3"/>
    <n v="1"/>
    <n v="235.1991805324069"/>
    <x v="1"/>
    <x v="0"/>
  </r>
  <r>
    <x v="438"/>
    <x v="438"/>
    <d v="2024-07-31T17:48:07"/>
    <n v="1"/>
    <n v="23.02"/>
    <n v="23.02"/>
    <x v="5"/>
    <n v="1"/>
    <n v="235.01634083333192"/>
    <x v="1"/>
    <x v="0"/>
  </r>
  <r>
    <x v="439"/>
    <x v="439"/>
    <d v="2024-10-14T10:39:14"/>
    <n v="7"/>
    <n v="221.9"/>
    <n v="31.7"/>
    <x v="0"/>
    <n v="75.690957685183093"/>
    <n v="160.31417730324029"/>
    <x v="0"/>
    <x v="0"/>
  </r>
  <r>
    <x v="440"/>
    <x v="440"/>
    <d v="2024-07-31T19:22:39"/>
    <n v="1"/>
    <n v="23.02"/>
    <n v="23.02"/>
    <x v="5"/>
    <n v="1"/>
    <n v="234.95069157407124"/>
    <x v="1"/>
    <x v="0"/>
  </r>
  <r>
    <x v="441"/>
    <x v="441"/>
    <d v="2024-08-10T21:37:42"/>
    <n v="3"/>
    <n v="98.460000000000008"/>
    <n v="32.82"/>
    <x v="4"/>
    <n v="11.03540623842855"/>
    <n v="224.85691108796163"/>
    <x v="0"/>
    <x v="0"/>
  </r>
  <r>
    <x v="442"/>
    <x v="442"/>
    <d v="2024-07-31T20:53:35"/>
    <n v="3"/>
    <n v="78.86"/>
    <n v="26.286666666666665"/>
    <x v="5"/>
    <n v="1.0024035416645347"/>
    <n v="234.88754118055658"/>
    <x v="0"/>
    <x v="0"/>
  </r>
  <r>
    <x v="443"/>
    <x v="443"/>
    <d v="2024-07-31T21:26:26"/>
    <n v="1"/>
    <n v="32.82"/>
    <n v="32.82"/>
    <x v="0"/>
    <n v="1"/>
    <n v="234.86472957176011"/>
    <x v="1"/>
    <x v="0"/>
  </r>
  <r>
    <x v="444"/>
    <x v="444"/>
    <d v="2024-09-28T20:34:31"/>
    <n v="2"/>
    <n v="68.58"/>
    <n v="34.29"/>
    <x v="0"/>
    <n v="59.944667662042775"/>
    <n v="175.90078153934883"/>
    <x v="1"/>
    <x v="0"/>
  </r>
  <r>
    <x v="445"/>
    <x v="445"/>
    <d v="2024-07-31T21:55:17"/>
    <n v="1"/>
    <n v="32.82"/>
    <n v="32.82"/>
    <x v="0"/>
    <n v="1"/>
    <n v="234.84469982638984"/>
    <x v="1"/>
    <x v="0"/>
  </r>
  <r>
    <x v="446"/>
    <x v="446"/>
    <d v="2024-08-01T11:22:46"/>
    <n v="1"/>
    <n v="27.92"/>
    <n v="27.92"/>
    <x v="3"/>
    <n v="1"/>
    <n v="234.28393826388492"/>
    <x v="1"/>
    <x v="0"/>
  </r>
  <r>
    <x v="447"/>
    <x v="447"/>
    <d v="2024-08-01T13:23:37"/>
    <n v="2"/>
    <n v="55.84"/>
    <n v="27.92"/>
    <x v="5"/>
    <n v="1.0005869560191059"/>
    <n v="234.20001528935245"/>
    <x v="1"/>
    <x v="0"/>
  </r>
  <r>
    <x v="448"/>
    <x v="448"/>
    <d v="2024-08-01T13:49:07"/>
    <n v="1"/>
    <n v="32.82"/>
    <n v="32.82"/>
    <x v="7"/>
    <n v="1"/>
    <n v="234.18230752314412"/>
    <x v="1"/>
    <x v="0"/>
  </r>
  <r>
    <x v="449"/>
    <x v="449"/>
    <d v="2024-08-14T12:51:05"/>
    <n v="3"/>
    <n v="73.959999999999994"/>
    <n v="24.653333333333332"/>
    <x v="2"/>
    <n v="13.852132025465835"/>
    <n v="221.22261302082916"/>
    <x v="0"/>
    <x v="0"/>
  </r>
  <r>
    <x v="450"/>
    <x v="450"/>
    <d v="2024-08-01T17:23:35"/>
    <n v="1"/>
    <n v="23.02"/>
    <n v="23.02"/>
    <x v="2"/>
    <n v="1"/>
    <n v="234.03337265046139"/>
    <x v="1"/>
    <x v="0"/>
  </r>
  <r>
    <x v="451"/>
    <x v="451"/>
    <d v="2024-08-01T20:41:28"/>
    <n v="1"/>
    <n v="32.82"/>
    <n v="32.82"/>
    <x v="7"/>
    <n v="1"/>
    <n v="233.89595505787292"/>
    <x v="1"/>
    <x v="0"/>
  </r>
  <r>
    <x v="452"/>
    <x v="452"/>
    <d v="2024-08-07T08:55:48"/>
    <n v="2"/>
    <n v="55.84"/>
    <n v="27.92"/>
    <x v="3"/>
    <n v="5.9957672453674604"/>
    <n v="228.38599745370448"/>
    <x v="1"/>
    <x v="0"/>
  </r>
  <r>
    <x v="453"/>
    <x v="453"/>
    <d v="2024-08-02T18:08:35"/>
    <n v="1"/>
    <n v="27.92"/>
    <n v="27.92"/>
    <x v="3"/>
    <n v="1"/>
    <n v="233.00212214120256"/>
    <x v="1"/>
    <x v="0"/>
  </r>
  <r>
    <x v="454"/>
    <x v="454"/>
    <d v="2024-11-05T18:55:19"/>
    <n v="8"/>
    <n v="240.01999999999998"/>
    <n v="30.002499999999998"/>
    <x v="3"/>
    <n v="95.315880266200111"/>
    <n v="137.96967603009398"/>
    <x v="0"/>
    <x v="0"/>
  </r>
  <r>
    <x v="455"/>
    <x v="455"/>
    <d v="2024-08-17T18:48:59"/>
    <n v="2"/>
    <n v="65.64"/>
    <n v="32.82"/>
    <x v="7"/>
    <n v="15.007139189809095"/>
    <n v="217.97407156250119"/>
    <x v="1"/>
    <x v="0"/>
  </r>
  <r>
    <x v="456"/>
    <x v="456"/>
    <d v="2024-08-03T21:33:06"/>
    <n v="2"/>
    <n v="65.64"/>
    <n v="32.82"/>
    <x v="0"/>
    <n v="1.0015892013907433"/>
    <n v="231.86009687499609"/>
    <x v="1"/>
    <x v="0"/>
  </r>
  <r>
    <x v="457"/>
    <x v="457"/>
    <d v="2024-08-04T08:18:37"/>
    <n v="1"/>
    <n v="32.82"/>
    <n v="32.82"/>
    <x v="7"/>
    <n v="1"/>
    <n v="231.4118208449072"/>
    <x v="1"/>
    <x v="0"/>
  </r>
  <r>
    <x v="458"/>
    <x v="458"/>
    <d v="2024-08-05T08:50:06"/>
    <n v="1"/>
    <n v="23.02"/>
    <n v="23.02"/>
    <x v="5"/>
    <n v="1"/>
    <n v="230.38996391203545"/>
    <x v="1"/>
    <x v="0"/>
  </r>
  <r>
    <x v="459"/>
    <x v="459"/>
    <d v="2024-08-05T13:45:22"/>
    <n v="1"/>
    <n v="32.82"/>
    <n v="32.82"/>
    <x v="7"/>
    <n v="1"/>
    <n v="230.18490950231353"/>
    <x v="1"/>
    <x v="0"/>
  </r>
  <r>
    <x v="460"/>
    <x v="460"/>
    <d v="2024-08-05T16:07:19"/>
    <n v="2"/>
    <n v="65.64"/>
    <n v="32.82"/>
    <x v="0"/>
    <n v="1.0009386458332301"/>
    <n v="230.08634025463107"/>
    <x v="1"/>
    <x v="0"/>
  </r>
  <r>
    <x v="461"/>
    <x v="461"/>
    <d v="2024-08-05T17:45:32"/>
    <n v="2"/>
    <n v="60.74"/>
    <n v="30.37"/>
    <x v="0"/>
    <n v="1.0007825347202015"/>
    <n v="230.01813099536957"/>
    <x v="1"/>
    <x v="0"/>
  </r>
  <r>
    <x v="462"/>
    <x v="462"/>
    <d v="2025-01-22T17:32:07"/>
    <n v="5"/>
    <n v="157.24"/>
    <n v="31.448"/>
    <x v="4"/>
    <n v="170.86291206018359"/>
    <n v="60.027454722221592"/>
    <x v="2"/>
    <x v="1"/>
  </r>
  <r>
    <x v="463"/>
    <x v="463"/>
    <d v="2024-08-05T22:43:48"/>
    <n v="1"/>
    <n v="27.92"/>
    <n v="27.92"/>
    <x v="3"/>
    <n v="1"/>
    <n v="229.81100048610824"/>
    <x v="1"/>
    <x v="0"/>
  </r>
  <r>
    <x v="464"/>
    <x v="464"/>
    <d v="2024-08-06T10:32:32"/>
    <n v="1"/>
    <n v="32.82"/>
    <n v="32.82"/>
    <x v="1"/>
    <n v="1"/>
    <n v="229.31882291666261"/>
    <x v="1"/>
    <x v="0"/>
  </r>
  <r>
    <x v="465"/>
    <x v="465"/>
    <d v="2024-08-06T17:44:05"/>
    <n v="3"/>
    <n v="98.460000000000008"/>
    <n v="32.82"/>
    <x v="7"/>
    <n v="1.0022669675963698"/>
    <n v="229.01913851851714"/>
    <x v="0"/>
    <x v="0"/>
  </r>
  <r>
    <x v="466"/>
    <x v="466"/>
    <d v="2024-09-29T10:48:45"/>
    <n v="5"/>
    <n v="132.74"/>
    <n v="26.548000000000002"/>
    <x v="3"/>
    <n v="54.655115046298306"/>
    <n v="175.3075646412035"/>
    <x v="0"/>
    <x v="0"/>
  </r>
  <r>
    <x v="467"/>
    <x v="467"/>
    <d v="2024-08-06T20:04:27"/>
    <n v="1"/>
    <n v="32.82"/>
    <n v="32.82"/>
    <x v="0"/>
    <n v="1"/>
    <n v="228.92166090277897"/>
    <x v="1"/>
    <x v="0"/>
  </r>
  <r>
    <x v="468"/>
    <x v="468"/>
    <d v="2024-08-07T13:11:16"/>
    <n v="1"/>
    <n v="18.12"/>
    <n v="18.12"/>
    <x v="6"/>
    <n v="1"/>
    <n v="228.20859351851686"/>
    <x v="1"/>
    <x v="0"/>
  </r>
  <r>
    <x v="469"/>
    <x v="469"/>
    <d v="2024-08-07T16:19:02"/>
    <n v="1"/>
    <n v="23.02"/>
    <n v="23.02"/>
    <x v="2"/>
    <n v="1"/>
    <n v="228.07820576388622"/>
    <x v="1"/>
    <x v="0"/>
  </r>
  <r>
    <x v="470"/>
    <x v="470"/>
    <d v="2024-08-07T22:28:57"/>
    <n v="1"/>
    <n v="32.82"/>
    <n v="32.82"/>
    <x v="0"/>
    <n v="1"/>
    <n v="227.82131885416311"/>
    <x v="1"/>
    <x v="0"/>
  </r>
  <r>
    <x v="471"/>
    <x v="471"/>
    <d v="2024-09-26T22:47:25"/>
    <n v="3"/>
    <n v="93.56"/>
    <n v="31.186666666666667"/>
    <x v="0"/>
    <n v="51.010519629635382"/>
    <n v="177.80849268518068"/>
    <x v="0"/>
    <x v="0"/>
  </r>
  <r>
    <x v="472"/>
    <x v="472"/>
    <d v="2024-08-08T16:57:53"/>
    <n v="1"/>
    <n v="32.82"/>
    <n v="32.82"/>
    <x v="7"/>
    <n v="1"/>
    <n v="227.05121954860806"/>
    <x v="1"/>
    <x v="0"/>
  </r>
  <r>
    <x v="473"/>
    <x v="473"/>
    <d v="2024-08-08T17:17:52"/>
    <n v="1"/>
    <n v="32.82"/>
    <n v="32.82"/>
    <x v="7"/>
    <n v="1"/>
    <n v="227.03734821759281"/>
    <x v="1"/>
    <x v="0"/>
  </r>
  <r>
    <x v="474"/>
    <x v="474"/>
    <d v="2024-10-08T15:13:41"/>
    <n v="7"/>
    <n v="227.77999999999997"/>
    <n v="32.54"/>
    <x v="0"/>
    <n v="61.318273263888841"/>
    <n v="166.12358200231392"/>
    <x v="0"/>
    <x v="0"/>
  </r>
  <r>
    <x v="475"/>
    <x v="475"/>
    <d v="2024-08-09T09:53:35"/>
    <n v="1"/>
    <n v="23.02"/>
    <n v="23.02"/>
    <x v="2"/>
    <n v="1"/>
    <n v="226.34588057870133"/>
    <x v="1"/>
    <x v="0"/>
  </r>
  <r>
    <x v="476"/>
    <x v="476"/>
    <d v="2024-08-09T11:29:49"/>
    <n v="1"/>
    <n v="23.02"/>
    <n v="23.02"/>
    <x v="2"/>
    <n v="1"/>
    <n v="226.27905038194149"/>
    <x v="1"/>
    <x v="0"/>
  </r>
  <r>
    <x v="477"/>
    <x v="477"/>
    <d v="2024-08-09T18:56:28"/>
    <n v="1"/>
    <n v="23.02"/>
    <n v="23.02"/>
    <x v="2"/>
    <n v="1"/>
    <n v="225.96887642361253"/>
    <x v="1"/>
    <x v="0"/>
  </r>
  <r>
    <x v="478"/>
    <x v="478"/>
    <d v="2024-08-09T19:03:07"/>
    <n v="1"/>
    <n v="32.82"/>
    <n v="32.82"/>
    <x v="1"/>
    <n v="1"/>
    <n v="225.96425953703874"/>
    <x v="1"/>
    <x v="0"/>
  </r>
  <r>
    <x v="479"/>
    <x v="479"/>
    <d v="2024-08-11T11:57:41"/>
    <n v="4"/>
    <n v="121.48"/>
    <n v="30.37"/>
    <x v="7"/>
    <n v="2.1395444560184842"/>
    <n v="224.25969173610792"/>
    <x v="0"/>
    <x v="0"/>
  </r>
  <r>
    <x v="480"/>
    <x v="480"/>
    <d v="2024-08-10T12:15:11"/>
    <n v="1"/>
    <n v="32.82"/>
    <n v="32.82"/>
    <x v="0"/>
    <n v="1"/>
    <n v="225.24754291666613"/>
    <x v="1"/>
    <x v="0"/>
  </r>
  <r>
    <x v="481"/>
    <x v="481"/>
    <d v="2024-08-10T21:17:41"/>
    <n v="2"/>
    <n v="65.64"/>
    <n v="32.82"/>
    <x v="4"/>
    <n v="1.000607928239333"/>
    <n v="224.87080495370174"/>
    <x v="1"/>
    <x v="0"/>
  </r>
  <r>
    <x v="482"/>
    <x v="482"/>
    <d v="2024-08-11T15:53:52"/>
    <n v="1"/>
    <n v="32.82"/>
    <n v="32.82"/>
    <x v="0"/>
    <n v="1"/>
    <n v="224.09568383101578"/>
    <x v="1"/>
    <x v="0"/>
  </r>
  <r>
    <x v="483"/>
    <x v="483"/>
    <d v="2024-08-11T15:56:28"/>
    <n v="2"/>
    <n v="60.74"/>
    <n v="30.37"/>
    <x v="3"/>
    <n v="1.000843101850478"/>
    <n v="224.09387659722415"/>
    <x v="1"/>
    <x v="0"/>
  </r>
  <r>
    <x v="484"/>
    <x v="484"/>
    <d v="2024-08-11T16:28:38"/>
    <n v="1"/>
    <n v="18.12"/>
    <n v="18.12"/>
    <x v="6"/>
    <n v="1"/>
    <n v="224.07153170138918"/>
    <x v="1"/>
    <x v="0"/>
  </r>
  <r>
    <x v="485"/>
    <x v="485"/>
    <d v="2024-09-08T12:43:28"/>
    <n v="2"/>
    <n v="46.04"/>
    <n v="23.02"/>
    <x v="5"/>
    <n v="28.633975439814094"/>
    <n v="196.22790055555379"/>
    <x v="1"/>
    <x v="0"/>
  </r>
  <r>
    <x v="486"/>
    <x v="486"/>
    <d v="2024-08-11T21:43:10"/>
    <n v="1"/>
    <n v="32.82"/>
    <n v="32.82"/>
    <x v="0"/>
    <n v="1"/>
    <n v="223.85310795138503"/>
    <x v="1"/>
    <x v="0"/>
  </r>
  <r>
    <x v="487"/>
    <x v="487"/>
    <d v="2024-08-11T22:39:30"/>
    <n v="1"/>
    <n v="32.82"/>
    <n v="32.82"/>
    <x v="7"/>
    <n v="1"/>
    <n v="223.81398983795953"/>
    <x v="1"/>
    <x v="0"/>
  </r>
  <r>
    <x v="488"/>
    <x v="488"/>
    <d v="2024-08-12T11:15:05"/>
    <n v="1"/>
    <n v="27.92"/>
    <n v="27.92"/>
    <x v="3"/>
    <n v="1"/>
    <n v="223.28928083333449"/>
    <x v="1"/>
    <x v="0"/>
  </r>
  <r>
    <x v="489"/>
    <x v="489"/>
    <d v="2024-08-12T11:20:24"/>
    <n v="2"/>
    <n v="55.84"/>
    <n v="27.92"/>
    <x v="2"/>
    <n v="1.0006264699040912"/>
    <n v="223.28559021990804"/>
    <x v="1"/>
    <x v="0"/>
  </r>
  <r>
    <x v="490"/>
    <x v="490"/>
    <d v="2024-08-19T21:31:57"/>
    <n v="2"/>
    <n v="65.64"/>
    <n v="32.82"/>
    <x v="0"/>
    <n v="8.4079705092590302"/>
    <n v="215.860898136576"/>
    <x v="1"/>
    <x v="0"/>
  </r>
  <r>
    <x v="491"/>
    <x v="491"/>
    <d v="2024-08-12T14:05:07"/>
    <n v="2"/>
    <n v="46.040000000000006"/>
    <n v="23.020000000000003"/>
    <x v="6"/>
    <n v="1.0007353240725934"/>
    <n v="223.17120027777855"/>
    <x v="1"/>
    <x v="0"/>
  </r>
  <r>
    <x v="492"/>
    <x v="492"/>
    <d v="2024-08-12T15:33:33"/>
    <n v="1"/>
    <n v="27.92"/>
    <n v="27.92"/>
    <x v="3"/>
    <n v="1"/>
    <n v="223.10978616897773"/>
    <x v="1"/>
    <x v="0"/>
  </r>
  <r>
    <x v="493"/>
    <x v="493"/>
    <d v="2024-12-13T16:23:24"/>
    <n v="13"/>
    <n v="450.17999999999995"/>
    <n v="34.629230769230766"/>
    <x v="0"/>
    <n v="123.78178075231699"/>
    <n v="100.07517056712823"/>
    <x v="0"/>
    <x v="0"/>
  </r>
  <r>
    <x v="494"/>
    <x v="494"/>
    <d v="2024-08-13T08:44:30"/>
    <n v="1"/>
    <n v="27.92"/>
    <n v="27.92"/>
    <x v="3"/>
    <n v="1"/>
    <n v="222.39384777777741"/>
    <x v="1"/>
    <x v="0"/>
  </r>
  <r>
    <x v="495"/>
    <x v="495"/>
    <d v="2024-08-13T11:59:48"/>
    <n v="1"/>
    <n v="32.82"/>
    <n v="32.82"/>
    <x v="0"/>
    <n v="1"/>
    <n v="222.25822943286767"/>
    <x v="1"/>
    <x v="0"/>
  </r>
  <r>
    <x v="496"/>
    <x v="496"/>
    <d v="2024-08-13T13:01:41"/>
    <n v="1"/>
    <n v="27.92"/>
    <n v="27.92"/>
    <x v="3"/>
    <n v="1"/>
    <n v="222.21524476851482"/>
    <x v="1"/>
    <x v="0"/>
  </r>
  <r>
    <x v="497"/>
    <x v="497"/>
    <d v="2024-08-13T15:47:57"/>
    <n v="1"/>
    <n v="32.82"/>
    <n v="32.82"/>
    <x v="7"/>
    <n v="1"/>
    <n v="222.09979087962711"/>
    <x v="1"/>
    <x v="0"/>
  </r>
  <r>
    <x v="498"/>
    <x v="498"/>
    <d v="2024-08-13T20:30:37"/>
    <n v="2"/>
    <n v="65.64"/>
    <n v="32.82"/>
    <x v="0"/>
    <n v="1.0007247569446918"/>
    <n v="221.90348940972035"/>
    <x v="1"/>
    <x v="0"/>
  </r>
  <r>
    <x v="499"/>
    <x v="499"/>
    <d v="2024-08-13T20:44:23"/>
    <n v="1"/>
    <n v="32.82"/>
    <n v="32.82"/>
    <x v="7"/>
    <n v="1"/>
    <n v="221.89393106481293"/>
    <x v="1"/>
    <x v="0"/>
  </r>
  <r>
    <x v="500"/>
    <x v="500"/>
    <d v="2024-08-13T21:00:45"/>
    <n v="1"/>
    <n v="23.02"/>
    <n v="23.02"/>
    <x v="5"/>
    <n v="1"/>
    <n v="221.88256883101712"/>
    <x v="1"/>
    <x v="0"/>
  </r>
  <r>
    <x v="501"/>
    <x v="501"/>
    <d v="2024-08-14T12:49:17"/>
    <n v="1"/>
    <n v="23.02"/>
    <n v="23.02"/>
    <x v="2"/>
    <n v="1"/>
    <n v="221.22386208333046"/>
    <x v="1"/>
    <x v="0"/>
  </r>
  <r>
    <x v="502"/>
    <x v="502"/>
    <d v="2024-08-14T15:21:27"/>
    <n v="1"/>
    <n v="32.82"/>
    <n v="32.82"/>
    <x v="0"/>
    <n v="1"/>
    <n v="221.11818721064628"/>
    <x v="1"/>
    <x v="0"/>
  </r>
  <r>
    <x v="503"/>
    <x v="503"/>
    <d v="2024-08-14T17:24:23"/>
    <n v="1"/>
    <n v="23.02"/>
    <n v="23.02"/>
    <x v="2"/>
    <n v="1"/>
    <n v="221.03282230324112"/>
    <x v="1"/>
    <x v="0"/>
  </r>
  <r>
    <x v="504"/>
    <x v="504"/>
    <d v="2024-08-14T18:10:04"/>
    <n v="1"/>
    <n v="23.02"/>
    <n v="23.02"/>
    <x v="5"/>
    <n v="1"/>
    <n v="221.00109851851448"/>
    <x v="1"/>
    <x v="0"/>
  </r>
  <r>
    <x v="505"/>
    <x v="505"/>
    <d v="2024-08-14T18:59:18"/>
    <n v="1"/>
    <n v="27.92"/>
    <n v="27.92"/>
    <x v="3"/>
    <n v="1"/>
    <n v="220.96690226851933"/>
    <x v="1"/>
    <x v="0"/>
  </r>
  <r>
    <x v="506"/>
    <x v="506"/>
    <d v="2025-03-21T18:52:13"/>
    <n v="51"/>
    <n v="1797.2999999999997"/>
    <n v="35.241176470588229"/>
    <x v="0"/>
    <n v="219.88240329861583"/>
    <n v="1.9718283449037699"/>
    <x v="3"/>
    <x v="2"/>
  </r>
  <r>
    <x v="507"/>
    <x v="507"/>
    <d v="2024-08-15T09:37:02"/>
    <n v="1"/>
    <n v="32.82"/>
    <n v="32.82"/>
    <x v="7"/>
    <n v="1"/>
    <n v="220.35736646990699"/>
    <x v="1"/>
    <x v="0"/>
  </r>
  <r>
    <x v="508"/>
    <x v="508"/>
    <d v="2024-08-15T09:38:50"/>
    <n v="2"/>
    <n v="65.64"/>
    <n v="32.82"/>
    <x v="1"/>
    <n v="1.0005188888826524"/>
    <n v="220.35612152778049"/>
    <x v="1"/>
    <x v="0"/>
  </r>
  <r>
    <x v="509"/>
    <x v="509"/>
    <d v="2024-10-17T10:26:38"/>
    <n v="9"/>
    <n v="297.33999999999997"/>
    <n v="33.037777777777777"/>
    <x v="0"/>
    <n v="63.860002187502687"/>
    <n v="157.32292644675908"/>
    <x v="0"/>
    <x v="0"/>
  </r>
  <r>
    <x v="510"/>
    <x v="510"/>
    <d v="2024-08-15T17:53:52"/>
    <n v="1"/>
    <n v="27.92"/>
    <n v="27.92"/>
    <x v="3"/>
    <n v="1"/>
    <n v="220.01234270833083"/>
    <x v="1"/>
    <x v="0"/>
  </r>
  <r>
    <x v="511"/>
    <x v="511"/>
    <d v="2024-08-15T19:11:54"/>
    <n v="2"/>
    <n v="60.74"/>
    <n v="30.37"/>
    <x v="1"/>
    <n v="1.0006459953729063"/>
    <n v="219.95815508101805"/>
    <x v="1"/>
    <x v="0"/>
  </r>
  <r>
    <x v="512"/>
    <x v="512"/>
    <d v="2024-08-16T12:29:17"/>
    <n v="3"/>
    <n v="83.759999999999991"/>
    <n v="27.919999999999998"/>
    <x v="3"/>
    <n v="1.6998436111098272"/>
    <n v="219.23775350694632"/>
    <x v="0"/>
    <x v="0"/>
  </r>
  <r>
    <x v="513"/>
    <x v="513"/>
    <d v="2024-08-15T20:40:42"/>
    <n v="1"/>
    <n v="32.82"/>
    <n v="32.82"/>
    <x v="7"/>
    <n v="1"/>
    <n v="219.89649443286908"/>
    <x v="1"/>
    <x v="0"/>
  </r>
  <r>
    <x v="514"/>
    <x v="514"/>
    <d v="2024-08-16T12:54:17"/>
    <n v="1"/>
    <n v="23.02"/>
    <n v="23.02"/>
    <x v="2"/>
    <n v="1"/>
    <n v="219.22038406250067"/>
    <x v="1"/>
    <x v="0"/>
  </r>
  <r>
    <x v="515"/>
    <x v="515"/>
    <d v="2024-08-17T09:18:09"/>
    <n v="1"/>
    <n v="32.82"/>
    <n v="32.82"/>
    <x v="7"/>
    <n v="1"/>
    <n v="218.37048208332999"/>
    <x v="1"/>
    <x v="0"/>
  </r>
  <r>
    <x v="516"/>
    <x v="516"/>
    <d v="2024-08-17T10:53:41"/>
    <n v="1"/>
    <n v="27.92"/>
    <n v="27.92"/>
    <x v="3"/>
    <n v="1"/>
    <n v="218.30413550925732"/>
    <x v="1"/>
    <x v="0"/>
  </r>
  <r>
    <x v="517"/>
    <x v="517"/>
    <d v="2024-10-23T21:57:21"/>
    <n v="2"/>
    <n v="58.78"/>
    <n v="29.39"/>
    <x v="3"/>
    <n v="68.3601916782427"/>
    <n v="150.84326261573733"/>
    <x v="1"/>
    <x v="0"/>
  </r>
  <r>
    <x v="518"/>
    <x v="518"/>
    <d v="2024-08-17T22:42:39"/>
    <n v="1"/>
    <n v="32.82"/>
    <n v="32.82"/>
    <x v="0"/>
    <n v="1"/>
    <n v="217.81179726851406"/>
    <x v="1"/>
    <x v="0"/>
  </r>
  <r>
    <x v="519"/>
    <x v="519"/>
    <d v="2024-08-18T08:09:43"/>
    <n v="1"/>
    <n v="32.82"/>
    <n v="32.82"/>
    <x v="7"/>
    <n v="1"/>
    <n v="217.41800965277798"/>
    <x v="1"/>
    <x v="0"/>
  </r>
  <r>
    <x v="520"/>
    <x v="520"/>
    <d v="2024-08-18T08:32:06"/>
    <n v="1"/>
    <n v="32.82"/>
    <n v="32.82"/>
    <x v="7"/>
    <n v="1"/>
    <n v="217.40246571759053"/>
    <x v="1"/>
    <x v="0"/>
  </r>
  <r>
    <x v="521"/>
    <x v="521"/>
    <d v="2024-08-18T08:56:01"/>
    <n v="1"/>
    <n v="27.92"/>
    <n v="27.92"/>
    <x v="3"/>
    <n v="1"/>
    <n v="217.38584887731122"/>
    <x v="1"/>
    <x v="0"/>
  </r>
  <r>
    <x v="522"/>
    <x v="522"/>
    <d v="2024-08-18T18:28:13"/>
    <n v="4"/>
    <n v="101.88"/>
    <n v="25.47"/>
    <x v="3"/>
    <n v="1.0028043171332683"/>
    <n v="216.98849034721934"/>
    <x v="0"/>
    <x v="0"/>
  </r>
  <r>
    <x v="523"/>
    <x v="523"/>
    <d v="2024-08-19T15:10:51"/>
    <n v="2"/>
    <n v="55.84"/>
    <n v="27.92"/>
    <x v="3"/>
    <n v="1.0007202546257759"/>
    <n v="216.12554887731676"/>
    <x v="1"/>
    <x v="0"/>
  </r>
  <r>
    <x v="524"/>
    <x v="524"/>
    <d v="2025-01-02T17:43:10"/>
    <n v="3"/>
    <n v="104.34"/>
    <n v="34.78"/>
    <x v="0"/>
    <n v="136.38466734953545"/>
    <n v="80.019773842592258"/>
    <x v="2"/>
    <x v="1"/>
  </r>
  <r>
    <x v="525"/>
    <x v="525"/>
    <d v="2024-08-20T08:50:36"/>
    <n v="2"/>
    <n v="41.14"/>
    <n v="20.57"/>
    <x v="6"/>
    <n v="1.0005656134308083"/>
    <n v="215.3896098611076"/>
    <x v="1"/>
    <x v="0"/>
  </r>
  <r>
    <x v="526"/>
    <x v="526"/>
    <d v="2024-08-20T11:09:56"/>
    <n v="1"/>
    <n v="23.02"/>
    <n v="23.02"/>
    <x v="2"/>
    <n v="1"/>
    <n v="215.29285949074256"/>
    <x v="1"/>
    <x v="0"/>
  </r>
  <r>
    <x v="527"/>
    <x v="527"/>
    <d v="2024-08-20T11:11:39"/>
    <n v="1"/>
    <n v="23.02"/>
    <n v="23.02"/>
    <x v="2"/>
    <n v="1"/>
    <n v="215.29166148148215"/>
    <x v="1"/>
    <x v="0"/>
  </r>
  <r>
    <x v="528"/>
    <x v="528"/>
    <d v="2024-08-20T11:12:31"/>
    <n v="1"/>
    <n v="23.02"/>
    <n v="23.02"/>
    <x v="2"/>
    <n v="1"/>
    <n v="215.29105849537154"/>
    <x v="1"/>
    <x v="0"/>
  </r>
  <r>
    <x v="529"/>
    <x v="529"/>
    <d v="2024-08-20T20:42:41"/>
    <n v="1"/>
    <n v="32.82"/>
    <n v="32.82"/>
    <x v="0"/>
    <n v="1"/>
    <n v="214.89511298610887"/>
    <x v="1"/>
    <x v="0"/>
  </r>
  <r>
    <x v="530"/>
    <x v="530"/>
    <d v="2024-09-30T20:00:42"/>
    <n v="8"/>
    <n v="245.90000000000003"/>
    <n v="30.737500000000004"/>
    <x v="0"/>
    <n v="41.969760219901218"/>
    <n v="173.92426504629839"/>
    <x v="0"/>
    <x v="0"/>
  </r>
  <r>
    <x v="531"/>
    <x v="531"/>
    <d v="2024-08-20T20:46:04"/>
    <n v="1"/>
    <n v="32.82"/>
    <n v="32.82"/>
    <x v="0"/>
    <n v="1"/>
    <n v="214.89276210647949"/>
    <x v="1"/>
    <x v="0"/>
  </r>
  <r>
    <x v="532"/>
    <x v="532"/>
    <d v="2025-01-13T08:08:20"/>
    <n v="2"/>
    <n v="58.78"/>
    <n v="29.39"/>
    <x v="3"/>
    <n v="146.0063330439807"/>
    <n v="69.418962523144728"/>
    <x v="1"/>
    <x v="0"/>
  </r>
  <r>
    <x v="533"/>
    <x v="533"/>
    <d v="2024-08-21T13:17:11"/>
    <n v="1"/>
    <n v="32.82"/>
    <n v="32.82"/>
    <x v="0"/>
    <n v="1"/>
    <n v="214.20448940971983"/>
    <x v="1"/>
    <x v="0"/>
  </r>
  <r>
    <x v="534"/>
    <x v="534"/>
    <d v="2024-08-22T10:47:59"/>
    <n v="1"/>
    <n v="27.92"/>
    <n v="27.92"/>
    <x v="3"/>
    <n v="1"/>
    <n v="213.30809350694472"/>
    <x v="1"/>
    <x v="0"/>
  </r>
  <r>
    <x v="535"/>
    <x v="535"/>
    <d v="2024-08-22T14:26:58"/>
    <n v="1"/>
    <n v="32.82"/>
    <n v="32.82"/>
    <x v="0"/>
    <n v="1"/>
    <n v="213.15602241898159"/>
    <x v="1"/>
    <x v="0"/>
  </r>
  <r>
    <x v="536"/>
    <x v="536"/>
    <d v="2024-08-22T15:07:07"/>
    <n v="1"/>
    <n v="32.82"/>
    <n v="32.82"/>
    <x v="7"/>
    <n v="1"/>
    <n v="213.12813898148306"/>
    <x v="1"/>
    <x v="0"/>
  </r>
  <r>
    <x v="537"/>
    <x v="537"/>
    <d v="2024-08-22T15:27:27"/>
    <n v="1"/>
    <n v="23.02"/>
    <n v="23.02"/>
    <x v="2"/>
    <n v="1"/>
    <n v="213.11401988425496"/>
    <x v="1"/>
    <x v="0"/>
  </r>
  <r>
    <x v="538"/>
    <x v="538"/>
    <d v="2024-08-23T10:11:55"/>
    <n v="2"/>
    <n v="55.84"/>
    <n v="27.92"/>
    <x v="4"/>
    <n v="1.0006570023106178"/>
    <n v="212.3331384953708"/>
    <x v="1"/>
    <x v="0"/>
  </r>
  <r>
    <x v="539"/>
    <x v="539"/>
    <d v="2024-08-23T11:12:59"/>
    <n v="1"/>
    <n v="32.82"/>
    <n v="32.82"/>
    <x v="1"/>
    <n v="1"/>
    <n v="212.29073203703592"/>
    <x v="1"/>
    <x v="0"/>
  </r>
  <r>
    <x v="540"/>
    <x v="540"/>
    <d v="2024-08-23T13:24:55"/>
    <n v="1"/>
    <n v="23.02"/>
    <n v="23.02"/>
    <x v="2"/>
    <n v="1"/>
    <n v="212.19911906249763"/>
    <x v="1"/>
    <x v="0"/>
  </r>
  <r>
    <x v="541"/>
    <x v="541"/>
    <d v="2024-08-23T15:28:53"/>
    <n v="1"/>
    <n v="23.02"/>
    <n v="23.02"/>
    <x v="2"/>
    <n v="1"/>
    <n v="212.11303074073658"/>
    <x v="1"/>
    <x v="0"/>
  </r>
  <r>
    <x v="542"/>
    <x v="542"/>
    <d v="2024-11-23T09:11:49"/>
    <n v="15"/>
    <n v="380.57999999999993"/>
    <n v="25.371999999999996"/>
    <x v="5"/>
    <n v="92.019182916665159"/>
    <n v="120.37488027777727"/>
    <x v="0"/>
    <x v="0"/>
  </r>
  <r>
    <x v="543"/>
    <x v="543"/>
    <d v="2024-08-24T10:19:49"/>
    <n v="3"/>
    <n v="59.260000000000005"/>
    <n v="19.753333333333334"/>
    <x v="6"/>
    <n v="1.0011546064779395"/>
    <n v="211.32765500000096"/>
    <x v="0"/>
    <x v="0"/>
  </r>
  <r>
    <x v="544"/>
    <x v="544"/>
    <d v="2024-08-25T09:24:22"/>
    <n v="1"/>
    <n v="32.82"/>
    <n v="32.82"/>
    <x v="7"/>
    <n v="1"/>
    <n v="210.36616168981709"/>
    <x v="1"/>
    <x v="0"/>
  </r>
  <r>
    <x v="545"/>
    <x v="545"/>
    <d v="2024-08-25T12:41:43"/>
    <n v="1"/>
    <n v="32.82"/>
    <n v="32.82"/>
    <x v="7"/>
    <n v="1"/>
    <n v="210.22911958333134"/>
    <x v="1"/>
    <x v="0"/>
  </r>
  <r>
    <x v="546"/>
    <x v="546"/>
    <d v="2024-08-26T10:37:44"/>
    <n v="1"/>
    <n v="32.82"/>
    <n v="32.82"/>
    <x v="0"/>
    <n v="1"/>
    <n v="209.31521031249576"/>
    <x v="1"/>
    <x v="0"/>
  </r>
  <r>
    <x v="547"/>
    <x v="547"/>
    <d v="2024-08-26T10:38:49"/>
    <n v="1"/>
    <n v="32.82"/>
    <n v="32.82"/>
    <x v="7"/>
    <n v="1"/>
    <n v="209.31446293981571"/>
    <x v="1"/>
    <x v="0"/>
  </r>
  <r>
    <x v="548"/>
    <x v="548"/>
    <d v="2024-08-26T18:54:31"/>
    <n v="2"/>
    <n v="60.74"/>
    <n v="30.37"/>
    <x v="3"/>
    <n v="1.0007349652805715"/>
    <n v="208.97022388888581"/>
    <x v="1"/>
    <x v="0"/>
  </r>
  <r>
    <x v="549"/>
    <x v="549"/>
    <d v="2024-10-20T22:17:29"/>
    <n v="2"/>
    <n v="63.68"/>
    <n v="31.84"/>
    <x v="3"/>
    <n v="55.973485370370327"/>
    <n v="153.82927770833339"/>
    <x v="1"/>
    <x v="0"/>
  </r>
  <r>
    <x v="550"/>
    <x v="550"/>
    <d v="2024-08-28T12:10:04"/>
    <n v="2"/>
    <n v="60.74"/>
    <n v="30.37"/>
    <x v="3"/>
    <n v="1.0012195254676044"/>
    <n v="207.25109370370046"/>
    <x v="1"/>
    <x v="0"/>
  </r>
  <r>
    <x v="551"/>
    <x v="551"/>
    <d v="2024-09-13T15:50:54"/>
    <n v="2"/>
    <n v="55.84"/>
    <n v="27.92"/>
    <x v="3"/>
    <n v="17.084938576394052"/>
    <n v="191.09774008101522"/>
    <x v="1"/>
    <x v="0"/>
  </r>
  <r>
    <x v="552"/>
    <x v="552"/>
    <d v="2024-08-29T07:29:30"/>
    <n v="1"/>
    <n v="23.02"/>
    <n v="23.02"/>
    <x v="2"/>
    <n v="1"/>
    <n v="206.44592958332942"/>
    <x v="1"/>
    <x v="0"/>
  </r>
  <r>
    <x v="553"/>
    <x v="553"/>
    <d v="2024-09-17T16:29:37"/>
    <n v="7"/>
    <n v="210.14"/>
    <n v="30.02"/>
    <x v="3"/>
    <n v="18.969522326391598"/>
    <n v="187.07084975694306"/>
    <x v="0"/>
    <x v="0"/>
  </r>
  <r>
    <x v="554"/>
    <x v="554"/>
    <d v="2024-08-31T10:02:08"/>
    <n v="1"/>
    <n v="27.92"/>
    <n v="27.92"/>
    <x v="3"/>
    <n v="1"/>
    <n v="204.33993567129801"/>
    <x v="1"/>
    <x v="0"/>
  </r>
  <r>
    <x v="555"/>
    <x v="555"/>
    <d v="2024-08-31T10:22:27"/>
    <n v="1"/>
    <n v="18.12"/>
    <n v="18.12"/>
    <x v="6"/>
    <n v="1"/>
    <n v="204.32583053240523"/>
    <x v="1"/>
    <x v="0"/>
  </r>
  <r>
    <x v="556"/>
    <x v="556"/>
    <d v="2024-08-31T11:29:55"/>
    <n v="1"/>
    <n v="27.92"/>
    <n v="27.92"/>
    <x v="3"/>
    <n v="1"/>
    <n v="204.27898222221847"/>
    <x v="1"/>
    <x v="0"/>
  </r>
  <r>
    <x v="557"/>
    <x v="557"/>
    <d v="2024-09-01T12:11:25"/>
    <n v="1"/>
    <n v="32.82"/>
    <n v="32.82"/>
    <x v="7"/>
    <n v="1"/>
    <n v="203.25016076389147"/>
    <x v="1"/>
    <x v="0"/>
  </r>
  <r>
    <x v="558"/>
    <x v="558"/>
    <d v="2024-09-01T12:50:17"/>
    <n v="1"/>
    <n v="27.92"/>
    <n v="27.92"/>
    <x v="3"/>
    <n v="1"/>
    <n v="203.22316188656987"/>
    <x v="1"/>
    <x v="0"/>
  </r>
  <r>
    <x v="559"/>
    <x v="559"/>
    <d v="2024-09-01T13:57:34"/>
    <n v="1"/>
    <n v="32.82"/>
    <n v="32.82"/>
    <x v="0"/>
    <n v="1"/>
    <n v="203.17644313657365"/>
    <x v="1"/>
    <x v="0"/>
  </r>
  <r>
    <x v="560"/>
    <x v="560"/>
    <d v="2024-09-01T17:20:46"/>
    <n v="1"/>
    <n v="32.82"/>
    <n v="32.82"/>
    <x v="0"/>
    <n v="1"/>
    <n v="203.03532763888506"/>
    <x v="1"/>
    <x v="0"/>
  </r>
  <r>
    <x v="561"/>
    <x v="561"/>
    <d v="2024-09-01T17:23:14"/>
    <n v="1"/>
    <n v="32.82"/>
    <n v="32.82"/>
    <x v="0"/>
    <n v="1"/>
    <n v="203.03361997684988"/>
    <x v="1"/>
    <x v="0"/>
  </r>
  <r>
    <x v="562"/>
    <x v="562"/>
    <d v="2024-09-01T17:24:50"/>
    <n v="1"/>
    <n v="32.82"/>
    <n v="32.82"/>
    <x v="0"/>
    <n v="1"/>
    <n v="203.03251094907318"/>
    <x v="1"/>
    <x v="0"/>
  </r>
  <r>
    <x v="563"/>
    <x v="563"/>
    <d v="2024-09-02T08:50:18"/>
    <n v="1"/>
    <n v="27.92"/>
    <n v="27.92"/>
    <x v="3"/>
    <n v="1"/>
    <n v="202.38982626157667"/>
    <x v="1"/>
    <x v="0"/>
  </r>
  <r>
    <x v="564"/>
    <x v="564"/>
    <d v="2024-09-12T12:08:22"/>
    <n v="3"/>
    <n v="98.460000000000008"/>
    <n v="32.82"/>
    <x v="0"/>
    <n v="11.136678356480843"/>
    <n v="192.25227403935423"/>
    <x v="0"/>
    <x v="0"/>
  </r>
  <r>
    <x v="565"/>
    <x v="565"/>
    <d v="2024-09-02T14:58:47"/>
    <n v="1"/>
    <n v="27.92"/>
    <n v="27.92"/>
    <x v="3"/>
    <n v="1"/>
    <n v="202.1339293055571"/>
    <x v="1"/>
    <x v="0"/>
  </r>
  <r>
    <x v="566"/>
    <x v="566"/>
    <d v="2024-09-02T20:09:44"/>
    <n v="1"/>
    <n v="32.82"/>
    <n v="32.82"/>
    <x v="7"/>
    <n v="1"/>
    <n v="201.91799435185385"/>
    <x v="1"/>
    <x v="0"/>
  </r>
  <r>
    <x v="567"/>
    <x v="567"/>
    <d v="2024-09-02T20:53:29"/>
    <n v="2"/>
    <n v="46.04"/>
    <n v="23.02"/>
    <x v="2"/>
    <n v="1.0006609490737901"/>
    <n v="201.8876104745359"/>
    <x v="1"/>
    <x v="0"/>
  </r>
  <r>
    <x v="568"/>
    <x v="568"/>
    <d v="2024-09-03T08:22:15"/>
    <n v="1"/>
    <n v="32.82"/>
    <n v="32.82"/>
    <x v="4"/>
    <n v="1"/>
    <n v="201.4092970717611"/>
    <x v="1"/>
    <x v="0"/>
  </r>
  <r>
    <x v="569"/>
    <x v="569"/>
    <d v="2025-01-09T08:56:35"/>
    <n v="30"/>
    <n v="1061.04"/>
    <n v="35.368000000000002"/>
    <x v="0"/>
    <n v="129.010683298613"/>
    <n v="73.385461805555678"/>
    <x v="2"/>
    <x v="1"/>
  </r>
  <r>
    <x v="570"/>
    <x v="570"/>
    <d v="2024-10-30T08:47:29"/>
    <n v="6"/>
    <n v="184.18"/>
    <n v="30.696666666666669"/>
    <x v="3"/>
    <n v="57.989083425927674"/>
    <n v="144.39177493055467"/>
    <x v="0"/>
    <x v="0"/>
  </r>
  <r>
    <x v="571"/>
    <x v="571"/>
    <d v="2024-09-03T09:13:34"/>
    <n v="2"/>
    <n v="65.64"/>
    <n v="32.82"/>
    <x v="4"/>
    <n v="1.0005266319421935"/>
    <n v="201.37366874999861"/>
    <x v="1"/>
    <x v="0"/>
  </r>
  <r>
    <x v="572"/>
    <x v="572"/>
    <d v="2024-09-23T14:08:52"/>
    <n v="2"/>
    <n v="55.84"/>
    <n v="27.92"/>
    <x v="3"/>
    <n v="21.200402499998745"/>
    <n v="181.16859593750269"/>
    <x v="1"/>
    <x v="0"/>
  </r>
  <r>
    <x v="573"/>
    <x v="573"/>
    <d v="2024-09-03T09:37:52"/>
    <n v="1"/>
    <n v="32.82"/>
    <n v="32.82"/>
    <x v="0"/>
    <n v="1"/>
    <n v="201.35678603009001"/>
    <x v="1"/>
    <x v="0"/>
  </r>
  <r>
    <x v="574"/>
    <x v="574"/>
    <d v="2024-09-03T09:38:56"/>
    <n v="1"/>
    <n v="32.82"/>
    <n v="32.82"/>
    <x v="4"/>
    <n v="1"/>
    <n v="201.35604439814779"/>
    <x v="1"/>
    <x v="0"/>
  </r>
  <r>
    <x v="575"/>
    <x v="575"/>
    <d v="2024-09-03T12:56:53"/>
    <n v="1"/>
    <n v="23.02"/>
    <n v="23.02"/>
    <x v="5"/>
    <n v="1"/>
    <n v="201.21857900462783"/>
    <x v="1"/>
    <x v="0"/>
  </r>
  <r>
    <x v="576"/>
    <x v="576"/>
    <d v="2024-09-04T11:11:22"/>
    <n v="1"/>
    <n v="27.92"/>
    <n v="27.92"/>
    <x v="3"/>
    <n v="1"/>
    <n v="200.29186413194111"/>
    <x v="1"/>
    <x v="0"/>
  </r>
  <r>
    <x v="577"/>
    <x v="577"/>
    <d v="2024-09-04T11:55:34"/>
    <n v="1"/>
    <n v="27.92"/>
    <n v="27.92"/>
    <x v="3"/>
    <n v="1"/>
    <n v="200.26115912036767"/>
    <x v="1"/>
    <x v="0"/>
  </r>
  <r>
    <x v="578"/>
    <x v="578"/>
    <d v="2024-12-05T11:31:58"/>
    <n v="3"/>
    <n v="96.5"/>
    <n v="32.166666666666664"/>
    <x v="0"/>
    <n v="92.936199641204439"/>
    <n v="108.27755064814846"/>
    <x v="0"/>
    <x v="0"/>
  </r>
  <r>
    <x v="579"/>
    <x v="579"/>
    <d v="2024-09-04T18:03:47"/>
    <n v="1"/>
    <n v="32.82"/>
    <n v="32.82"/>
    <x v="7"/>
    <n v="1"/>
    <n v="200.00545960648014"/>
    <x v="1"/>
    <x v="0"/>
  </r>
  <r>
    <x v="580"/>
    <x v="580"/>
    <d v="2024-09-05T10:28:56"/>
    <n v="1"/>
    <n v="27.92"/>
    <n v="27.92"/>
    <x v="3"/>
    <n v="1"/>
    <n v="199.32132416666718"/>
    <x v="1"/>
    <x v="0"/>
  </r>
  <r>
    <x v="581"/>
    <x v="581"/>
    <d v="2024-09-09T07:53:52"/>
    <n v="3"/>
    <n v="98.460000000000008"/>
    <n v="32.82"/>
    <x v="7"/>
    <n v="4.7454146296295221"/>
    <n v="195.42901711805462"/>
    <x v="0"/>
    <x v="0"/>
  </r>
  <r>
    <x v="582"/>
    <x v="582"/>
    <d v="2024-09-24T16:38:48"/>
    <n v="4"/>
    <n v="131.28"/>
    <n v="32.82"/>
    <x v="0"/>
    <n v="20.0511105787009"/>
    <n v="180.06447151620523"/>
    <x v="0"/>
    <x v="0"/>
  </r>
  <r>
    <x v="583"/>
    <x v="583"/>
    <d v="2024-09-23T12:11:04"/>
    <n v="4"/>
    <n v="96.98"/>
    <n v="24.245000000000001"/>
    <x v="2"/>
    <n v="18.814050543987832"/>
    <n v="181.25039679397742"/>
    <x v="0"/>
    <x v="0"/>
  </r>
  <r>
    <x v="584"/>
    <x v="584"/>
    <d v="2024-10-01T20:03:22"/>
    <n v="2"/>
    <n v="63.68"/>
    <n v="31.84"/>
    <x v="3"/>
    <n v="27.141232743058936"/>
    <n v="172.92241310184909"/>
    <x v="1"/>
    <x v="0"/>
  </r>
  <r>
    <x v="585"/>
    <x v="585"/>
    <d v="2024-09-05T17:05:32"/>
    <n v="2"/>
    <n v="65.64"/>
    <n v="32.82"/>
    <x v="7"/>
    <n v="1.0007266087995959"/>
    <n v="199.04591378472105"/>
    <x v="1"/>
    <x v="0"/>
  </r>
  <r>
    <x v="586"/>
    <x v="586"/>
    <d v="2024-09-05T20:30:15"/>
    <n v="1"/>
    <n v="32.82"/>
    <n v="32.82"/>
    <x v="7"/>
    <n v="1"/>
    <n v="198.90374619212525"/>
    <x v="1"/>
    <x v="0"/>
  </r>
  <r>
    <x v="587"/>
    <x v="587"/>
    <d v="2024-09-05T20:55:31"/>
    <n v="2"/>
    <n v="55.84"/>
    <n v="27.92"/>
    <x v="2"/>
    <n v="1.0007754629623378"/>
    <n v="198.88619451388513"/>
    <x v="1"/>
    <x v="0"/>
  </r>
  <r>
    <x v="588"/>
    <x v="588"/>
    <d v="2024-09-06T08:54:42"/>
    <n v="1"/>
    <n v="23.02"/>
    <n v="23.02"/>
    <x v="2"/>
    <n v="1"/>
    <n v="198.38676718749775"/>
    <x v="1"/>
    <x v="0"/>
  </r>
  <r>
    <x v="589"/>
    <x v="589"/>
    <d v="2024-09-06T09:51:52"/>
    <n v="2"/>
    <n v="50.94"/>
    <n v="25.47"/>
    <x v="6"/>
    <n v="1.0008364236127818"/>
    <n v="198.34706503472262"/>
    <x v="1"/>
    <x v="0"/>
  </r>
  <r>
    <x v="590"/>
    <x v="590"/>
    <d v="2024-09-06T10:30:06"/>
    <n v="1"/>
    <n v="32.82"/>
    <n v="32.82"/>
    <x v="1"/>
    <n v="1"/>
    <n v="198.32051604166918"/>
    <x v="1"/>
    <x v="0"/>
  </r>
  <r>
    <x v="591"/>
    <x v="591"/>
    <d v="2024-09-07T08:48:57"/>
    <n v="1"/>
    <n v="32.82"/>
    <n v="32.82"/>
    <x v="0"/>
    <n v="1"/>
    <n v="197.39075950231199"/>
    <x v="1"/>
    <x v="0"/>
  </r>
  <r>
    <x v="592"/>
    <x v="592"/>
    <d v="2024-09-07T09:54:42"/>
    <n v="1"/>
    <n v="23.02"/>
    <n v="23.02"/>
    <x v="5"/>
    <n v="1"/>
    <n v="197.34510442129249"/>
    <x v="1"/>
    <x v="0"/>
  </r>
  <r>
    <x v="593"/>
    <x v="593"/>
    <d v="2024-09-07T10:22:45"/>
    <n v="1"/>
    <n v="23.02"/>
    <n v="23.02"/>
    <x v="2"/>
    <n v="1"/>
    <n v="197.32562635416252"/>
    <x v="1"/>
    <x v="0"/>
  </r>
  <r>
    <x v="594"/>
    <x v="594"/>
    <d v="2024-09-07T10:40:13"/>
    <n v="2"/>
    <n v="36.24"/>
    <n v="18.12"/>
    <x v="6"/>
    <n v="1.0016235185175901"/>
    <n v="197.31349569444137"/>
    <x v="1"/>
    <x v="0"/>
  </r>
  <r>
    <x v="595"/>
    <x v="595"/>
    <d v="2024-09-07T10:53:32"/>
    <n v="1"/>
    <n v="32.82"/>
    <n v="32.82"/>
    <x v="0"/>
    <n v="1"/>
    <n v="197.30424090277666"/>
    <x v="1"/>
    <x v="0"/>
  </r>
  <r>
    <x v="596"/>
    <x v="596"/>
    <d v="2024-09-07T15:55:09"/>
    <n v="1"/>
    <n v="32.82"/>
    <n v="32.82"/>
    <x v="0"/>
    <n v="1"/>
    <n v="197.09479284722329"/>
    <x v="1"/>
    <x v="0"/>
  </r>
  <r>
    <x v="597"/>
    <x v="597"/>
    <d v="2024-10-07T21:40:49"/>
    <n v="3"/>
    <n v="101.4"/>
    <n v="33.800000000000004"/>
    <x v="0"/>
    <n v="31.06038012731733"/>
    <n v="166.85474675925798"/>
    <x v="0"/>
    <x v="0"/>
  </r>
  <r>
    <x v="598"/>
    <x v="598"/>
    <d v="2024-09-09T07:55:22"/>
    <n v="2"/>
    <n v="60.74"/>
    <n v="30.37"/>
    <x v="0"/>
    <n v="1.0028706018492812"/>
    <n v="195.4279751273134"/>
    <x v="1"/>
    <x v="0"/>
  </r>
  <r>
    <x v="599"/>
    <x v="599"/>
    <d v="2024-09-09T11:11:36"/>
    <n v="1"/>
    <n v="27.92"/>
    <n v="27.92"/>
    <x v="3"/>
    <n v="1"/>
    <n v="195.29169575231208"/>
    <x v="1"/>
    <x v="0"/>
  </r>
  <r>
    <x v="600"/>
    <x v="600"/>
    <d v="2024-09-09T11:12:51"/>
    <n v="1"/>
    <n v="27.92"/>
    <n v="27.92"/>
    <x v="3"/>
    <n v="1"/>
    <n v="195.29083327545959"/>
    <x v="1"/>
    <x v="0"/>
  </r>
  <r>
    <x v="601"/>
    <x v="601"/>
    <d v="2024-09-29T12:54:15"/>
    <n v="4"/>
    <n v="134.22"/>
    <n v="33.555"/>
    <x v="0"/>
    <n v="21.058635902780225"/>
    <n v="175.22040798611124"/>
    <x v="0"/>
    <x v="0"/>
  </r>
  <r>
    <x v="602"/>
    <x v="602"/>
    <d v="2024-09-09T12:07:00"/>
    <n v="1"/>
    <n v="18.12"/>
    <n v="18.12"/>
    <x v="6"/>
    <n v="1"/>
    <n v="195.25322891203541"/>
    <x v="1"/>
    <x v="0"/>
  </r>
  <r>
    <x v="603"/>
    <x v="603"/>
    <d v="2024-09-09T15:13:25"/>
    <n v="2"/>
    <n v="55.84"/>
    <n v="27.92"/>
    <x v="0"/>
    <n v="1.0008188773135771"/>
    <n v="195.12377451388602"/>
    <x v="1"/>
    <x v="0"/>
  </r>
  <r>
    <x v="604"/>
    <x v="604"/>
    <d v="2024-09-09T17:24:10"/>
    <n v="1"/>
    <n v="32.82"/>
    <n v="32.82"/>
    <x v="0"/>
    <n v="1"/>
    <n v="195.03296582175972"/>
    <x v="1"/>
    <x v="0"/>
  </r>
  <r>
    <x v="605"/>
    <x v="605"/>
    <d v="2024-09-09T20:13:44"/>
    <n v="1"/>
    <n v="32.82"/>
    <n v="32.82"/>
    <x v="0"/>
    <n v="1"/>
    <n v="194.91522119213187"/>
    <x v="1"/>
    <x v="0"/>
  </r>
  <r>
    <x v="606"/>
    <x v="606"/>
    <d v="2024-09-10T08:12:02"/>
    <n v="1"/>
    <n v="32.82"/>
    <n v="32.82"/>
    <x v="1"/>
    <n v="1"/>
    <n v="194.4163910300922"/>
    <x v="1"/>
    <x v="0"/>
  </r>
  <r>
    <x v="607"/>
    <x v="607"/>
    <d v="2024-09-10T09:32:47"/>
    <n v="1"/>
    <n v="32.82"/>
    <n v="32.82"/>
    <x v="7"/>
    <n v="1"/>
    <n v="194.36032232638536"/>
    <x v="1"/>
    <x v="0"/>
  </r>
  <r>
    <x v="608"/>
    <x v="608"/>
    <d v="2024-09-10T18:43:42"/>
    <n v="1"/>
    <n v="32.82"/>
    <n v="32.82"/>
    <x v="7"/>
    <n v="1"/>
    <n v="193.97774160879635"/>
    <x v="1"/>
    <x v="0"/>
  </r>
  <r>
    <x v="609"/>
    <x v="609"/>
    <d v="2024-09-10T18:45:23"/>
    <n v="1"/>
    <n v="27.92"/>
    <n v="27.92"/>
    <x v="3"/>
    <n v="1"/>
    <n v="193.97657420139149"/>
    <x v="1"/>
    <x v="0"/>
  </r>
  <r>
    <x v="610"/>
    <x v="610"/>
    <d v="2024-09-10T19:03:53"/>
    <n v="2"/>
    <n v="65.64"/>
    <n v="32.82"/>
    <x v="0"/>
    <n v="1.0008128472254612"/>
    <n v="193.96371965277649"/>
    <x v="1"/>
    <x v="0"/>
  </r>
  <r>
    <x v="611"/>
    <x v="611"/>
    <d v="2024-12-14T16:10:30"/>
    <n v="3"/>
    <n v="104.34"/>
    <n v="34.78"/>
    <x v="0"/>
    <n v="95.307727754632651"/>
    <n v="99.084127916663419"/>
    <x v="0"/>
    <x v="0"/>
  </r>
  <r>
    <x v="612"/>
    <x v="612"/>
    <d v="2024-09-11T10:52:09"/>
    <n v="1"/>
    <n v="32.82"/>
    <n v="32.82"/>
    <x v="0"/>
    <n v="1"/>
    <n v="193.30520206018264"/>
    <x v="1"/>
    <x v="0"/>
  </r>
  <r>
    <x v="613"/>
    <x v="613"/>
    <d v="2024-09-11T19:53:13"/>
    <n v="1"/>
    <n v="32.82"/>
    <n v="32.82"/>
    <x v="7"/>
    <n v="1"/>
    <n v="192.92946872684843"/>
    <x v="1"/>
    <x v="0"/>
  </r>
  <r>
    <x v="614"/>
    <x v="614"/>
    <d v="2024-09-12T11:27:36"/>
    <n v="1"/>
    <n v="27.92"/>
    <n v="27.92"/>
    <x v="3"/>
    <n v="1"/>
    <n v="192.28058530092676"/>
    <x v="1"/>
    <x v="0"/>
  </r>
  <r>
    <x v="615"/>
    <x v="615"/>
    <d v="2024-09-12T12:32:23"/>
    <n v="2"/>
    <n v="46.04"/>
    <n v="23.02"/>
    <x v="5"/>
    <n v="1.0008794444438536"/>
    <n v="192.23559784721874"/>
    <x v="1"/>
    <x v="0"/>
  </r>
  <r>
    <x v="616"/>
    <x v="616"/>
    <d v="2024-09-12T17:01:25"/>
    <n v="1"/>
    <n v="32.82"/>
    <n v="32.82"/>
    <x v="0"/>
    <n v="1"/>
    <n v="192.04876633101958"/>
    <x v="1"/>
    <x v="0"/>
  </r>
  <r>
    <x v="617"/>
    <x v="617"/>
    <d v="2024-09-12T21:10:21"/>
    <n v="2"/>
    <n v="55.84"/>
    <n v="27.92"/>
    <x v="2"/>
    <n v="1.0008188310166588"/>
    <n v="191.87589671296155"/>
    <x v="1"/>
    <x v="0"/>
  </r>
  <r>
    <x v="618"/>
    <x v="618"/>
    <d v="2024-09-13T09:51:19"/>
    <n v="1"/>
    <n v="32.82"/>
    <n v="32.82"/>
    <x v="0"/>
    <n v="1"/>
    <n v="191.34744499999942"/>
    <x v="1"/>
    <x v="0"/>
  </r>
  <r>
    <x v="619"/>
    <x v="619"/>
    <d v="2025-01-03T22:13:29"/>
    <n v="4"/>
    <n v="122.46000000000001"/>
    <n v="30.615000000000002"/>
    <x v="3"/>
    <n v="111.51654883101583"/>
    <n v="78.832061053239158"/>
    <x v="2"/>
    <x v="1"/>
  </r>
  <r>
    <x v="620"/>
    <x v="620"/>
    <d v="2024-09-17T08:09:01"/>
    <n v="3"/>
    <n v="98.460000000000008"/>
    <n v="32.82"/>
    <x v="0"/>
    <n v="1.7754400578705827"/>
    <n v="187.41849234953406"/>
    <x v="0"/>
    <x v="0"/>
  </r>
  <r>
    <x v="621"/>
    <x v="621"/>
    <d v="2024-11-06T15:44:16"/>
    <n v="4"/>
    <n v="135.19999999999999"/>
    <n v="33.799999999999997"/>
    <x v="1"/>
    <n v="51.936235659719387"/>
    <n v="137.10233958333265"/>
    <x v="0"/>
    <x v="0"/>
  </r>
  <r>
    <x v="622"/>
    <x v="622"/>
    <d v="2024-09-16T17:18:03"/>
    <n v="1"/>
    <n v="32.82"/>
    <n v="32.82"/>
    <x v="0"/>
    <n v="1"/>
    <n v="188.03721509259049"/>
    <x v="1"/>
    <x v="0"/>
  </r>
  <r>
    <x v="623"/>
    <x v="623"/>
    <d v="2024-09-16T18:54:45"/>
    <n v="1"/>
    <n v="32.82"/>
    <n v="32.82"/>
    <x v="0"/>
    <n v="1"/>
    <n v="187.97006003472052"/>
    <x v="1"/>
    <x v="0"/>
  </r>
  <r>
    <x v="624"/>
    <x v="624"/>
    <d v="2024-09-16T18:56:05"/>
    <n v="1"/>
    <n v="32.82"/>
    <n v="32.82"/>
    <x v="0"/>
    <n v="1"/>
    <n v="187.96913611111086"/>
    <x v="1"/>
    <x v="0"/>
  </r>
  <r>
    <x v="625"/>
    <x v="625"/>
    <d v="2024-09-16T21:11:33"/>
    <n v="2"/>
    <n v="60.74"/>
    <n v="30.37"/>
    <x v="3"/>
    <n v="1.0008542476862203"/>
    <n v="187.87507100694347"/>
    <x v="1"/>
    <x v="0"/>
  </r>
  <r>
    <x v="626"/>
    <x v="626"/>
    <d v="2024-09-19T08:30:29"/>
    <n v="2"/>
    <n v="46.04"/>
    <n v="23.02"/>
    <x v="5"/>
    <n v="3.0246657407406019"/>
    <n v="185.40358319444204"/>
    <x v="1"/>
    <x v="0"/>
  </r>
  <r>
    <x v="627"/>
    <x v="627"/>
    <d v="2024-09-17T12:39:34"/>
    <n v="2"/>
    <n v="46.040000000000006"/>
    <n v="23.020000000000003"/>
    <x v="6"/>
    <n v="1.0006934490811545"/>
    <n v="187.23061288194003"/>
    <x v="1"/>
    <x v="0"/>
  </r>
  <r>
    <x v="628"/>
    <x v="628"/>
    <d v="2024-09-17T12:44:15"/>
    <n v="1"/>
    <n v="32.82"/>
    <n v="32.82"/>
    <x v="0"/>
    <n v="1"/>
    <n v="187.22735512731742"/>
    <x v="1"/>
    <x v="0"/>
  </r>
  <r>
    <x v="629"/>
    <x v="629"/>
    <d v="2024-09-17T16:31:01"/>
    <n v="2"/>
    <n v="55.84"/>
    <n v="27.92"/>
    <x v="5"/>
    <n v="1.1079800347215496"/>
    <n v="187.06988332176115"/>
    <x v="1"/>
    <x v="0"/>
  </r>
  <r>
    <x v="630"/>
    <x v="630"/>
    <d v="2024-09-30T19:59:19"/>
    <n v="3"/>
    <n v="101.4"/>
    <n v="33.800000000000004"/>
    <x v="0"/>
    <n v="14.045083449076628"/>
    <n v="173.92522733796068"/>
    <x v="0"/>
    <x v="0"/>
  </r>
  <r>
    <x v="631"/>
    <x v="631"/>
    <d v="2024-09-17T19:00:46"/>
    <n v="1"/>
    <n v="27.92"/>
    <n v="27.92"/>
    <x v="3"/>
    <n v="1"/>
    <n v="186.96588798610901"/>
    <x v="1"/>
    <x v="0"/>
  </r>
  <r>
    <x v="632"/>
    <x v="632"/>
    <d v="2024-09-30T20:01:42"/>
    <n v="2"/>
    <n v="58.78"/>
    <n v="29.39"/>
    <x v="3"/>
    <n v="14.040149502317945"/>
    <n v="173.9235699537021"/>
    <x v="1"/>
    <x v="0"/>
  </r>
  <r>
    <x v="633"/>
    <x v="633"/>
    <d v="2025-01-15T15:37:56"/>
    <n v="7"/>
    <n v="225.81999999999996"/>
    <n v="32.26"/>
    <x v="0"/>
    <n v="120.85078497685026"/>
    <n v="67.10674662036763"/>
    <x v="2"/>
    <x v="1"/>
  </r>
  <r>
    <x v="634"/>
    <x v="634"/>
    <d v="2024-09-17T19:31:57"/>
    <n v="1"/>
    <n v="27.92"/>
    <n v="27.92"/>
    <x v="3"/>
    <n v="1"/>
    <n v="186.94422762731119"/>
    <x v="1"/>
    <x v="0"/>
  </r>
  <r>
    <x v="635"/>
    <x v="635"/>
    <d v="2024-12-22T20:26:37"/>
    <n v="5"/>
    <n v="175.85999999999999"/>
    <n v="35.171999999999997"/>
    <x v="1"/>
    <n v="96.921536469912098"/>
    <n v="90.906272025458748"/>
    <x v="0"/>
    <x v="0"/>
  </r>
  <r>
    <x v="636"/>
    <x v="636"/>
    <d v="2024-11-25T21:43:00"/>
    <n v="17"/>
    <n v="594.19999999999993"/>
    <n v="34.952941176470581"/>
    <x v="1"/>
    <n v="69.974085648151231"/>
    <n v="117.85321973379178"/>
    <x v="0"/>
    <x v="0"/>
  </r>
  <r>
    <x v="637"/>
    <x v="637"/>
    <d v="2024-09-18T14:29:49"/>
    <n v="1"/>
    <n v="32.82"/>
    <n v="32.82"/>
    <x v="0"/>
    <n v="1"/>
    <n v="186.15404788194428"/>
    <x v="1"/>
    <x v="0"/>
  </r>
  <r>
    <x v="638"/>
    <x v="638"/>
    <d v="2024-09-18T17:34:20"/>
    <n v="1"/>
    <n v="32.82"/>
    <n v="32.82"/>
    <x v="0"/>
    <n v="1"/>
    <n v="186.02591400462552"/>
    <x v="1"/>
    <x v="0"/>
  </r>
  <r>
    <x v="639"/>
    <x v="639"/>
    <d v="2024-09-19T13:45:42"/>
    <n v="1"/>
    <n v="23.02"/>
    <n v="23.02"/>
    <x v="5"/>
    <n v="1"/>
    <n v="185.18467902777775"/>
    <x v="1"/>
    <x v="0"/>
  </r>
  <r>
    <x v="640"/>
    <x v="640"/>
    <d v="2024-09-23T22:15:15"/>
    <n v="3"/>
    <n v="83.76"/>
    <n v="27.92"/>
    <x v="3"/>
    <n v="4.5201337731414242"/>
    <n v="180.83082959491003"/>
    <x v="0"/>
    <x v="0"/>
  </r>
  <r>
    <x v="641"/>
    <x v="641"/>
    <d v="2024-09-20T16:03:30"/>
    <n v="1"/>
    <n v="32.82"/>
    <n v="32.82"/>
    <x v="0"/>
    <n v="1"/>
    <n v="184.08899333333102"/>
    <x v="1"/>
    <x v="0"/>
  </r>
  <r>
    <x v="642"/>
    <x v="642"/>
    <d v="2024-09-20T20:39:23"/>
    <n v="1"/>
    <n v="23.02"/>
    <n v="23.02"/>
    <x v="2"/>
    <n v="1"/>
    <n v="183.89740168981371"/>
    <x v="1"/>
    <x v="0"/>
  </r>
  <r>
    <x v="643"/>
    <x v="643"/>
    <d v="2024-09-21T11:02:14"/>
    <n v="2"/>
    <n v="65.64"/>
    <n v="32.82"/>
    <x v="0"/>
    <n v="1.0006811805578764"/>
    <n v="183.2982040856441"/>
    <x v="1"/>
    <x v="0"/>
  </r>
  <r>
    <x v="644"/>
    <x v="644"/>
    <d v="2024-09-21T15:10:09"/>
    <n v="1"/>
    <n v="32.82"/>
    <n v="32.82"/>
    <x v="7"/>
    <n v="1"/>
    <n v="183.1260331828671"/>
    <x v="1"/>
    <x v="0"/>
  </r>
  <r>
    <x v="645"/>
    <x v="645"/>
    <d v="2024-09-21T15:36:14"/>
    <n v="1"/>
    <n v="32.82"/>
    <n v="32.82"/>
    <x v="0"/>
    <n v="1"/>
    <n v="183.10792854166357"/>
    <x v="1"/>
    <x v="0"/>
  </r>
  <r>
    <x v="646"/>
    <x v="646"/>
    <d v="2024-09-21T22:20:48"/>
    <n v="3"/>
    <n v="73.959999999999994"/>
    <n v="24.653333333333332"/>
    <x v="2"/>
    <n v="1.0014151851864881"/>
    <n v="182.8269707754589"/>
    <x v="0"/>
    <x v="0"/>
  </r>
  <r>
    <x v="647"/>
    <x v="647"/>
    <d v="2024-09-22T08:32:54"/>
    <n v="1"/>
    <n v="23.02"/>
    <n v="23.02"/>
    <x v="2"/>
    <n v="1"/>
    <n v="182.4019035069432"/>
    <x v="1"/>
    <x v="0"/>
  </r>
  <r>
    <x v="648"/>
    <x v="648"/>
    <d v="2024-09-22T10:13:09"/>
    <n v="2"/>
    <n v="60.74"/>
    <n v="30.37"/>
    <x v="3"/>
    <n v="1.00068081018253"/>
    <n v="182.33229223379749"/>
    <x v="1"/>
    <x v="0"/>
  </r>
  <r>
    <x v="649"/>
    <x v="649"/>
    <d v="2024-10-20T14:29:44"/>
    <n v="11"/>
    <n v="284.58000000000004"/>
    <n v="25.870909090909095"/>
    <x v="5"/>
    <n v="29.141171736111573"/>
    <n v="154.15410983796028"/>
    <x v="0"/>
    <x v="0"/>
  </r>
  <r>
    <x v="650"/>
    <x v="650"/>
    <d v="2024-09-22T11:52:00"/>
    <n v="1"/>
    <n v="27.92"/>
    <n v="27.92"/>
    <x v="3"/>
    <n v="1"/>
    <n v="182.26364290509082"/>
    <x v="1"/>
    <x v="0"/>
  </r>
  <r>
    <x v="651"/>
    <x v="651"/>
    <d v="2024-09-22T15:35:24"/>
    <n v="2"/>
    <n v="60.74"/>
    <n v="30.37"/>
    <x v="0"/>
    <n v="1.0008580439825892"/>
    <n v="182.10850001157087"/>
    <x v="1"/>
    <x v="0"/>
  </r>
  <r>
    <x v="652"/>
    <x v="652"/>
    <d v="2024-09-22T16:25:03"/>
    <n v="1"/>
    <n v="32.82"/>
    <n v="32.82"/>
    <x v="4"/>
    <n v="1"/>
    <n v="182.07401813657634"/>
    <x v="1"/>
    <x v="0"/>
  </r>
  <r>
    <x v="653"/>
    <x v="653"/>
    <d v="2024-09-22T20:20:36"/>
    <n v="2"/>
    <n v="65.64"/>
    <n v="32.82"/>
    <x v="0"/>
    <n v="1.0009896643532556"/>
    <n v="181.91045192129241"/>
    <x v="1"/>
    <x v="0"/>
  </r>
  <r>
    <x v="654"/>
    <x v="654"/>
    <d v="2024-09-22T21:08:15"/>
    <n v="2"/>
    <n v="55.84"/>
    <n v="27.92"/>
    <x v="3"/>
    <n v="1.0008102314823191"/>
    <n v="181.8773592245343"/>
    <x v="1"/>
    <x v="0"/>
  </r>
  <r>
    <x v="655"/>
    <x v="655"/>
    <d v="2024-09-22T22:37:02"/>
    <n v="1"/>
    <n v="23.02"/>
    <n v="23.02"/>
    <x v="2"/>
    <n v="1"/>
    <n v="181.81569734953518"/>
    <x v="1"/>
    <x v="0"/>
  </r>
  <r>
    <x v="656"/>
    <x v="656"/>
    <d v="2024-09-22T22:37:58"/>
    <n v="1"/>
    <n v="27.92"/>
    <n v="27.92"/>
    <x v="3"/>
    <n v="1"/>
    <n v="181.81504894675891"/>
    <x v="1"/>
    <x v="0"/>
  </r>
  <r>
    <x v="657"/>
    <x v="657"/>
    <d v="2024-10-09T17:27:49"/>
    <n v="3"/>
    <n v="94.539999999999992"/>
    <n v="31.513333333333332"/>
    <x v="7"/>
    <n v="17.00001491898729"/>
    <n v="165.03043697916291"/>
    <x v="0"/>
    <x v="0"/>
  </r>
  <r>
    <x v="658"/>
    <x v="658"/>
    <d v="2024-09-23T18:48:30"/>
    <n v="1"/>
    <n v="23.02"/>
    <n v="23.02"/>
    <x v="2"/>
    <n v="1"/>
    <n v="180.97440045138501"/>
    <x v="1"/>
    <x v="0"/>
  </r>
  <r>
    <x v="659"/>
    <x v="659"/>
    <d v="2024-09-24T12:47:49"/>
    <n v="2"/>
    <n v="65.64"/>
    <n v="32.82"/>
    <x v="0"/>
    <n v="1.0007525578694185"/>
    <n v="180.22487512731459"/>
    <x v="1"/>
    <x v="0"/>
  </r>
  <r>
    <x v="660"/>
    <x v="660"/>
    <d v="2024-09-24T14:11:39"/>
    <n v="1"/>
    <n v="32.82"/>
    <n v="32.82"/>
    <x v="0"/>
    <n v="1"/>
    <n v="180.16665851851576"/>
    <x v="1"/>
    <x v="0"/>
  </r>
  <r>
    <x v="661"/>
    <x v="661"/>
    <d v="2024-09-24T14:31:29"/>
    <n v="1"/>
    <n v="23.02"/>
    <n v="23.02"/>
    <x v="5"/>
    <n v="1"/>
    <n v="180.15289229166228"/>
    <x v="1"/>
    <x v="0"/>
  </r>
  <r>
    <x v="662"/>
    <x v="662"/>
    <d v="2024-09-24T20:15:50"/>
    <n v="1"/>
    <n v="32.82"/>
    <n v="32.82"/>
    <x v="1"/>
    <n v="1"/>
    <n v="179.91375276620238"/>
    <x v="1"/>
    <x v="0"/>
  </r>
  <r>
    <x v="663"/>
    <x v="663"/>
    <d v="2024-12-17T17:14:22"/>
    <n v="3"/>
    <n v="104.34"/>
    <n v="34.78"/>
    <x v="7"/>
    <n v="84.390983391196642"/>
    <n v="96.039775115743396"/>
    <x v="0"/>
    <x v="0"/>
  </r>
  <r>
    <x v="664"/>
    <x v="664"/>
    <d v="2024-10-06T12:11:43"/>
    <n v="5"/>
    <n v="163.12"/>
    <n v="32.624000000000002"/>
    <x v="3"/>
    <n v="12.01421467592445"/>
    <n v="168.24994531249831"/>
    <x v="0"/>
    <x v="0"/>
  </r>
  <r>
    <x v="665"/>
    <x v="665"/>
    <d v="2024-09-28T08:06:45"/>
    <n v="3"/>
    <n v="83.76"/>
    <n v="27.92"/>
    <x v="3"/>
    <n v="3.7582640625041677"/>
    <n v="176.42005979166424"/>
    <x v="0"/>
    <x v="0"/>
  </r>
  <r>
    <x v="666"/>
    <x v="666"/>
    <d v="2024-09-25T17:37:32"/>
    <n v="2"/>
    <n v="55.84"/>
    <n v="27.92"/>
    <x v="3"/>
    <n v="1.0006326157454168"/>
    <n v="179.02368975694117"/>
    <x v="1"/>
    <x v="0"/>
  </r>
  <r>
    <x v="667"/>
    <x v="667"/>
    <d v="2024-09-25T21:34:41"/>
    <n v="1"/>
    <n v="23.02"/>
    <n v="23.02"/>
    <x v="2"/>
    <n v="1"/>
    <n v="178.85899706018245"/>
    <x v="1"/>
    <x v="0"/>
  </r>
  <r>
    <x v="668"/>
    <x v="668"/>
    <d v="2024-09-26T10:55:52"/>
    <n v="1"/>
    <n v="18.12"/>
    <n v="18.12"/>
    <x v="6"/>
    <n v="1"/>
    <n v="178.30261837963189"/>
    <x v="1"/>
    <x v="0"/>
  </r>
  <r>
    <x v="669"/>
    <x v="669"/>
    <d v="2024-09-26T11:34:49"/>
    <n v="1"/>
    <n v="32.82"/>
    <n v="32.82"/>
    <x v="7"/>
    <n v="1"/>
    <n v="178.27557944444561"/>
    <x v="1"/>
    <x v="0"/>
  </r>
  <r>
    <x v="670"/>
    <x v="670"/>
    <d v="2024-09-26T12:48:01"/>
    <n v="1"/>
    <n v="32.82"/>
    <n v="32.82"/>
    <x v="0"/>
    <n v="1"/>
    <n v="178.22473688657192"/>
    <x v="1"/>
    <x v="0"/>
  </r>
  <r>
    <x v="671"/>
    <x v="671"/>
    <d v="2024-09-26T18:21:56"/>
    <n v="1"/>
    <n v="32.82"/>
    <n v="32.82"/>
    <x v="0"/>
    <n v="1"/>
    <n v="177.99285766203684"/>
    <x v="1"/>
    <x v="0"/>
  </r>
  <r>
    <x v="672"/>
    <x v="672"/>
    <d v="2024-09-26T22:46:18"/>
    <n v="2"/>
    <n v="55.84"/>
    <n v="27.92"/>
    <x v="0"/>
    <n v="1.0007240277773235"/>
    <n v="177.80927081018308"/>
    <x v="1"/>
    <x v="0"/>
  </r>
  <r>
    <x v="673"/>
    <x v="673"/>
    <d v="2024-09-27T09:41:05"/>
    <n v="1"/>
    <n v="32.82"/>
    <n v="32.82"/>
    <x v="7"/>
    <n v="1"/>
    <n v="177.3545590624999"/>
    <x v="1"/>
    <x v="0"/>
  </r>
  <r>
    <x v="674"/>
    <x v="674"/>
    <d v="2024-09-27T13:20:31"/>
    <n v="1"/>
    <n v="32.82"/>
    <n v="32.82"/>
    <x v="7"/>
    <n v="1"/>
    <n v="177.20217106481141"/>
    <x v="1"/>
    <x v="0"/>
  </r>
  <r>
    <x v="675"/>
    <x v="675"/>
    <d v="2024-09-27T13:28:33"/>
    <n v="2"/>
    <n v="55.84"/>
    <n v="27.92"/>
    <x v="7"/>
    <n v="1.002405497682048"/>
    <n v="177.19659175926063"/>
    <x v="1"/>
    <x v="0"/>
  </r>
  <r>
    <x v="676"/>
    <x v="676"/>
    <d v="2024-09-27T13:33:52"/>
    <n v="1"/>
    <n v="27.92"/>
    <n v="27.92"/>
    <x v="3"/>
    <n v="1"/>
    <n v="177.1928956018528"/>
    <x v="1"/>
    <x v="0"/>
  </r>
  <r>
    <x v="677"/>
    <x v="677"/>
    <d v="2024-09-27T18:08:58"/>
    <n v="2"/>
    <n v="65.64"/>
    <n v="32.82"/>
    <x v="0"/>
    <n v="1.0008626620328869"/>
    <n v="177.00185643518489"/>
    <x v="1"/>
    <x v="0"/>
  </r>
  <r>
    <x v="678"/>
    <x v="678"/>
    <d v="2024-09-27T18:37:46"/>
    <n v="1"/>
    <n v="32.82"/>
    <n v="32.82"/>
    <x v="7"/>
    <n v="1"/>
    <n v="176.98186046296178"/>
    <x v="1"/>
    <x v="0"/>
  </r>
  <r>
    <x v="679"/>
    <x v="679"/>
    <d v="2024-09-27T18:40:54"/>
    <n v="1"/>
    <n v="32.82"/>
    <n v="32.82"/>
    <x v="7"/>
    <n v="1"/>
    <n v="176.97968608796509"/>
    <x v="1"/>
    <x v="0"/>
  </r>
  <r>
    <x v="680"/>
    <x v="680"/>
    <d v="2024-09-27T20:58:15"/>
    <n v="1"/>
    <n v="27.92"/>
    <n v="27.92"/>
    <x v="3"/>
    <n v="1"/>
    <n v="176.88430171296204"/>
    <x v="1"/>
    <x v="0"/>
  </r>
  <r>
    <x v="681"/>
    <x v="681"/>
    <d v="2025-01-14T07:37:42"/>
    <n v="3"/>
    <n v="99.44"/>
    <n v="33.146666666666668"/>
    <x v="3"/>
    <n v="108.92115395833389"/>
    <n v="68.440233495370194"/>
    <x v="2"/>
    <x v="1"/>
  </r>
  <r>
    <x v="682"/>
    <x v="682"/>
    <d v="2024-11-23T10:05:16"/>
    <n v="11"/>
    <n v="363.96"/>
    <n v="33.087272727272726"/>
    <x v="0"/>
    <n v="56.713838379633671"/>
    <n v="120.33776482638496"/>
    <x v="0"/>
    <x v="0"/>
  </r>
  <r>
    <x v="683"/>
    <x v="683"/>
    <d v="2024-09-28T17:26:17"/>
    <n v="1"/>
    <n v="30.86"/>
    <n v="30.86"/>
    <x v="3"/>
    <n v="1"/>
    <n v="176.03150383101456"/>
    <x v="1"/>
    <x v="0"/>
  </r>
  <r>
    <x v="684"/>
    <x v="684"/>
    <d v="2024-12-03T21:35:19"/>
    <n v="4"/>
    <n v="143.04"/>
    <n v="35.76"/>
    <x v="0"/>
    <n v="67.039379062502121"/>
    <n v="109.85856229166529"/>
    <x v="0"/>
    <x v="0"/>
  </r>
  <r>
    <x v="685"/>
    <x v="685"/>
    <d v="2024-09-28T22:17:30"/>
    <n v="2"/>
    <n v="71.52"/>
    <n v="35.76"/>
    <x v="7"/>
    <n v="1.000611226852925"/>
    <n v="175.82927138888772"/>
    <x v="1"/>
    <x v="0"/>
  </r>
  <r>
    <x v="686"/>
    <x v="686"/>
    <d v="2024-09-28T22:19:13"/>
    <n v="2"/>
    <n v="61.72"/>
    <n v="30.86"/>
    <x v="5"/>
    <n v="1.0006592245408683"/>
    <n v="175.82807414351555"/>
    <x v="1"/>
    <x v="0"/>
  </r>
  <r>
    <x v="687"/>
    <x v="687"/>
    <d v="2024-09-29T12:55:22"/>
    <n v="1"/>
    <n v="35.76"/>
    <n v="35.76"/>
    <x v="0"/>
    <n v="1"/>
    <n v="175.21964118055621"/>
    <x v="1"/>
    <x v="0"/>
  </r>
  <r>
    <x v="688"/>
    <x v="688"/>
    <d v="2024-09-29T18:02:27"/>
    <n v="1"/>
    <n v="35.76"/>
    <n v="35.76"/>
    <x v="7"/>
    <n v="1"/>
    <n v="175.00638123842509"/>
    <x v="1"/>
    <x v="0"/>
  </r>
  <r>
    <x v="689"/>
    <x v="689"/>
    <d v="2025-01-03T22:21:26"/>
    <n v="8"/>
    <n v="286.08"/>
    <n v="35.76"/>
    <x v="0"/>
    <n v="96.993323344904638"/>
    <n v="78.826535682870599"/>
    <x v="2"/>
    <x v="1"/>
  </r>
  <r>
    <x v="690"/>
    <x v="690"/>
    <d v="2024-11-12T14:39:15"/>
    <n v="2"/>
    <n v="61.72"/>
    <n v="30.86"/>
    <x v="5"/>
    <n v="44.236345127312234"/>
    <n v="131.14749707176088"/>
    <x v="1"/>
    <x v="0"/>
  </r>
  <r>
    <x v="691"/>
    <x v="691"/>
    <d v="2024-09-30T09:00:05"/>
    <n v="1"/>
    <n v="35.76"/>
    <n v="35.76"/>
    <x v="1"/>
    <n v="1"/>
    <n v="174.38302914351516"/>
    <x v="1"/>
    <x v="0"/>
  </r>
  <r>
    <x v="692"/>
    <x v="692"/>
    <d v="2024-09-30T11:32:55"/>
    <n v="1"/>
    <n v="30.86"/>
    <n v="30.86"/>
    <x v="3"/>
    <n v="1"/>
    <n v="174.27689903935243"/>
    <x v="1"/>
    <x v="0"/>
  </r>
  <r>
    <x v="693"/>
    <x v="693"/>
    <d v="2024-09-30T19:54:18"/>
    <n v="2"/>
    <n v="56.82"/>
    <n v="28.41"/>
    <x v="3"/>
    <n v="1.0007352777756751"/>
    <n v="173.92871545138769"/>
    <x v="1"/>
    <x v="0"/>
  </r>
  <r>
    <x v="694"/>
    <x v="694"/>
    <d v="2024-11-01T22:41:56"/>
    <n v="3"/>
    <n v="92.58"/>
    <n v="30.86"/>
    <x v="3"/>
    <n v="33.042226493053022"/>
    <n v="141.81230021990632"/>
    <x v="0"/>
    <x v="0"/>
  </r>
  <r>
    <x v="695"/>
    <x v="695"/>
    <d v="2024-12-02T07:50:37"/>
    <n v="19"/>
    <n v="679.43999999999994"/>
    <n v="35.76"/>
    <x v="0"/>
    <n v="63.00240883101651"/>
    <n v="111.43127387731511"/>
    <x v="0"/>
    <x v="0"/>
  </r>
  <r>
    <x v="696"/>
    <x v="696"/>
    <d v="2024-10-01T11:55:32"/>
    <n v="1"/>
    <n v="30.86"/>
    <n v="30.86"/>
    <x v="3"/>
    <n v="1"/>
    <n v="173.26118960647727"/>
    <x v="1"/>
    <x v="0"/>
  </r>
  <r>
    <x v="697"/>
    <x v="697"/>
    <d v="2024-10-01T12:14:23"/>
    <n v="2"/>
    <n v="61.72"/>
    <n v="30.86"/>
    <x v="3"/>
    <n v="1.0010987962959916"/>
    <n v="173.24809320602071"/>
    <x v="1"/>
    <x v="0"/>
  </r>
  <r>
    <x v="698"/>
    <x v="698"/>
    <d v="2024-10-01T14:18:53"/>
    <n v="2"/>
    <n v="56.82"/>
    <n v="28.41"/>
    <x v="2"/>
    <n v="1.0008981597202364"/>
    <n v="173.16164440972352"/>
    <x v="1"/>
    <x v="0"/>
  </r>
  <r>
    <x v="699"/>
    <x v="699"/>
    <d v="2024-10-21T10:25:09"/>
    <n v="3"/>
    <n v="77.88"/>
    <n v="25.959999999999997"/>
    <x v="2"/>
    <n v="20.738366469908215"/>
    <n v="153.32395012731286"/>
    <x v="0"/>
    <x v="0"/>
  </r>
  <r>
    <x v="700"/>
    <x v="700"/>
    <d v="2024-12-27T22:54:33"/>
    <n v="2"/>
    <n v="71.52"/>
    <n v="35.76"/>
    <x v="0"/>
    <n v="88.19868458333076"/>
    <n v="85.803538680556812"/>
    <x v="1"/>
    <x v="0"/>
  </r>
  <r>
    <x v="701"/>
    <x v="701"/>
    <d v="2024-10-17T16:39:10"/>
    <n v="5"/>
    <n v="178.79999999999998"/>
    <n v="35.76"/>
    <x v="1"/>
    <n v="16.927756319440959"/>
    <n v="157.06422487268719"/>
    <x v="0"/>
    <x v="0"/>
  </r>
  <r>
    <x v="702"/>
    <x v="702"/>
    <d v="2024-10-31T07:54:17"/>
    <n v="5"/>
    <n v="178.79999999999998"/>
    <n v="35.76"/>
    <x v="0"/>
    <n v="29.99789974536543"/>
    <n v="143.4287187962982"/>
    <x v="0"/>
    <x v="0"/>
  </r>
  <r>
    <x v="703"/>
    <x v="703"/>
    <d v="2024-10-02T10:23:55"/>
    <n v="1"/>
    <n v="30.86"/>
    <n v="30.86"/>
    <x v="3"/>
    <n v="1"/>
    <n v="172.32480744212808"/>
    <x v="1"/>
    <x v="0"/>
  </r>
  <r>
    <x v="704"/>
    <x v="704"/>
    <d v="2024-10-02T11:28:54"/>
    <n v="1"/>
    <n v="35.76"/>
    <n v="35.76"/>
    <x v="7"/>
    <n v="1"/>
    <n v="172.27968451388733"/>
    <x v="1"/>
    <x v="0"/>
  </r>
  <r>
    <x v="705"/>
    <x v="705"/>
    <d v="2024-10-02T15:13:42"/>
    <n v="1"/>
    <n v="35.76"/>
    <n v="35.76"/>
    <x v="7"/>
    <n v="1"/>
    <n v="172.12357052083098"/>
    <x v="1"/>
    <x v="0"/>
  </r>
  <r>
    <x v="706"/>
    <x v="706"/>
    <d v="2024-10-28T12:01:36"/>
    <n v="2"/>
    <n v="71.52"/>
    <n v="35.76"/>
    <x v="1"/>
    <n v="26.570282442131429"/>
    <n v="146.25697431712615"/>
    <x v="1"/>
    <x v="0"/>
  </r>
  <r>
    <x v="707"/>
    <x v="707"/>
    <d v="2024-10-03T13:47:36"/>
    <n v="1"/>
    <n v="35.76"/>
    <n v="35.76"/>
    <x v="4"/>
    <n v="1"/>
    <n v="171.18336473379895"/>
    <x v="1"/>
    <x v="0"/>
  </r>
  <r>
    <x v="708"/>
    <x v="708"/>
    <d v="2024-10-03T15:12:05"/>
    <n v="1"/>
    <n v="30.86"/>
    <n v="30.86"/>
    <x v="3"/>
    <n v="1"/>
    <n v="171.12469299768418"/>
    <x v="1"/>
    <x v="0"/>
  </r>
  <r>
    <x v="709"/>
    <x v="709"/>
    <d v="2024-10-03T20:14:05"/>
    <n v="2"/>
    <n v="61.72"/>
    <n v="30.86"/>
    <x v="5"/>
    <n v="1.0007756944469293"/>
    <n v="170.91497516203526"/>
    <x v="1"/>
    <x v="0"/>
  </r>
  <r>
    <x v="710"/>
    <x v="710"/>
    <d v="2024-10-03T21:29:03"/>
    <n v="1"/>
    <n v="35.76"/>
    <n v="35.76"/>
    <x v="7"/>
    <n v="1"/>
    <n v="170.86290792824002"/>
    <x v="1"/>
    <x v="0"/>
  </r>
  <r>
    <x v="711"/>
    <x v="711"/>
    <d v="2024-10-03T21:31:00"/>
    <n v="1"/>
    <n v="35.76"/>
    <n v="35.76"/>
    <x v="1"/>
    <n v="1"/>
    <n v="170.8615530555544"/>
    <x v="1"/>
    <x v="0"/>
  </r>
  <r>
    <x v="712"/>
    <x v="712"/>
    <d v="2024-10-10T18:57:35"/>
    <n v="3"/>
    <n v="102.38"/>
    <n v="34.126666666666665"/>
    <x v="0"/>
    <n v="7.0571810185210779"/>
    <n v="163.96809474536713"/>
    <x v="0"/>
    <x v="0"/>
  </r>
  <r>
    <x v="713"/>
    <x v="713"/>
    <d v="2024-12-16T08:46:54"/>
    <n v="4"/>
    <n v="143.04"/>
    <n v="35.76"/>
    <x v="4"/>
    <n v="73.628144039350445"/>
    <n v="97.392185289354529"/>
    <x v="0"/>
    <x v="0"/>
  </r>
  <r>
    <x v="714"/>
    <x v="714"/>
    <d v="2024-10-26T19:19:21"/>
    <n v="2"/>
    <n v="71.52"/>
    <n v="35.76"/>
    <x v="4"/>
    <n v="22.405282430554507"/>
    <n v="147.95297835647943"/>
    <x v="1"/>
    <x v="0"/>
  </r>
  <r>
    <x v="715"/>
    <x v="715"/>
    <d v="2024-10-06T11:55:29"/>
    <n v="1"/>
    <n v="35.76"/>
    <n v="35.76"/>
    <x v="0"/>
    <n v="1"/>
    <n v="168.26122440971812"/>
    <x v="1"/>
    <x v="0"/>
  </r>
  <r>
    <x v="716"/>
    <x v="716"/>
    <d v="2024-10-06T13:47:02"/>
    <n v="2"/>
    <n v="61.72"/>
    <n v="30.86"/>
    <x v="2"/>
    <n v="1.0006745138889528"/>
    <n v="168.18375789351558"/>
    <x v="1"/>
    <x v="0"/>
  </r>
  <r>
    <x v="717"/>
    <x v="717"/>
    <d v="2024-10-06T13:51:56"/>
    <n v="3"/>
    <n v="102.38"/>
    <n v="34.126666666666665"/>
    <x v="3"/>
    <n v="1.0013442476847558"/>
    <n v="168.18035129629425"/>
    <x v="0"/>
    <x v="0"/>
  </r>
  <r>
    <x v="718"/>
    <x v="718"/>
    <d v="2024-10-06T16:31:34"/>
    <n v="1"/>
    <n v="35.76"/>
    <n v="35.76"/>
    <x v="7"/>
    <n v="1"/>
    <n v="168.06950285879429"/>
    <x v="1"/>
    <x v="0"/>
  </r>
  <r>
    <x v="719"/>
    <x v="719"/>
    <d v="2024-10-06T16:35:46"/>
    <n v="1"/>
    <n v="21.06"/>
    <n v="21.06"/>
    <x v="6"/>
    <n v="1"/>
    <n v="168.06658576388872"/>
    <x v="1"/>
    <x v="0"/>
  </r>
  <r>
    <x v="720"/>
    <x v="720"/>
    <d v="2024-10-06T18:17:45"/>
    <n v="1"/>
    <n v="30.86"/>
    <n v="30.86"/>
    <x v="3"/>
    <n v="1"/>
    <n v="167.99575995370105"/>
    <x v="1"/>
    <x v="0"/>
  </r>
  <r>
    <x v="721"/>
    <x v="721"/>
    <d v="2024-11-05T21:54:20"/>
    <n v="2"/>
    <n v="71.52"/>
    <n v="35.76"/>
    <x v="1"/>
    <n v="31.138231238430308"/>
    <n v="137.84535865740327"/>
    <x v="1"/>
    <x v="0"/>
  </r>
  <r>
    <x v="722"/>
    <x v="722"/>
    <d v="2024-10-06T21:10:00"/>
    <n v="2"/>
    <n v="71.52"/>
    <n v="35.76"/>
    <x v="1"/>
    <n v="1.0005507754685823"/>
    <n v="167.87613609953405"/>
    <x v="1"/>
    <x v="0"/>
  </r>
  <r>
    <x v="723"/>
    <x v="723"/>
    <d v="2024-10-07T08:33:36"/>
    <n v="1"/>
    <n v="35.76"/>
    <n v="35.76"/>
    <x v="0"/>
    <n v="1"/>
    <n v="167.40141449074144"/>
    <x v="1"/>
    <x v="0"/>
  </r>
  <r>
    <x v="724"/>
    <x v="724"/>
    <d v="2024-10-11T08:55:44"/>
    <n v="2"/>
    <n v="71.52"/>
    <n v="35.76"/>
    <x v="4"/>
    <n v="4.9932372222247068"/>
    <n v="163.38605148148054"/>
    <x v="1"/>
    <x v="0"/>
  </r>
  <r>
    <x v="725"/>
    <x v="725"/>
    <d v="2024-10-21T14:43:58"/>
    <n v="5"/>
    <n v="173.89999999999998"/>
    <n v="34.779999999999994"/>
    <x v="0"/>
    <n v="15.231941250000091"/>
    <n v="153.14421976851736"/>
    <x v="0"/>
    <x v="0"/>
  </r>
  <r>
    <x v="726"/>
    <x v="726"/>
    <d v="2024-12-28T10:18:44"/>
    <n v="2"/>
    <n v="61.72"/>
    <n v="30.86"/>
    <x v="3"/>
    <n v="82.917216539353831"/>
    <n v="85.328407511573459"/>
    <x v="1"/>
    <x v="0"/>
  </r>
  <r>
    <x v="727"/>
    <x v="727"/>
    <d v="2024-10-07T14:32:39"/>
    <n v="2"/>
    <n v="51.92"/>
    <n v="25.96"/>
    <x v="2"/>
    <n v="1.0006192939836183"/>
    <n v="167.15208182870265"/>
    <x v="1"/>
    <x v="0"/>
  </r>
  <r>
    <x v="728"/>
    <x v="728"/>
    <d v="2024-12-29T21:17:19"/>
    <n v="3"/>
    <n v="107.28"/>
    <n v="35.76"/>
    <x v="0"/>
    <n v="83.342574363428866"/>
    <n v="83.871056770833093"/>
    <x v="2"/>
    <x v="1"/>
  </r>
  <r>
    <x v="729"/>
    <x v="729"/>
    <d v="2024-10-08T15:50:43"/>
    <n v="1"/>
    <n v="30.86"/>
    <n v="30.86"/>
    <x v="3"/>
    <n v="1"/>
    <n v="166.09786473379791"/>
    <x v="1"/>
    <x v="0"/>
  </r>
  <r>
    <x v="730"/>
    <x v="730"/>
    <d v="2025-01-15T21:41:14"/>
    <n v="7"/>
    <n v="245.41999999999996"/>
    <n v="35.059999999999995"/>
    <x v="7"/>
    <n v="100.04205792823632"/>
    <n v="66.854448738427891"/>
    <x v="2"/>
    <x v="1"/>
  </r>
  <r>
    <x v="731"/>
    <x v="731"/>
    <d v="2024-10-08T20:51:09"/>
    <n v="1"/>
    <n v="35.76"/>
    <n v="35.76"/>
    <x v="0"/>
    <n v="1"/>
    <n v="165.88923510416498"/>
    <x v="1"/>
    <x v="0"/>
  </r>
  <r>
    <x v="732"/>
    <x v="732"/>
    <d v="2024-10-09T10:37:57"/>
    <n v="1"/>
    <n v="21.06"/>
    <n v="21.06"/>
    <x v="6"/>
    <n v="1"/>
    <n v="165.31506607638585"/>
    <x v="1"/>
    <x v="0"/>
  </r>
  <r>
    <x v="733"/>
    <x v="733"/>
    <d v="2024-10-30T12:10:58"/>
    <n v="2"/>
    <n v="56.82"/>
    <n v="28.41"/>
    <x v="2"/>
    <n v="22.036762187497516"/>
    <n v="144.25046578703768"/>
    <x v="1"/>
    <x v="0"/>
  </r>
  <r>
    <x v="734"/>
    <x v="734"/>
    <d v="2024-10-09T13:52:35"/>
    <n v="1"/>
    <n v="30.86"/>
    <n v="30.86"/>
    <x v="3"/>
    <n v="1"/>
    <n v="165.17990623842343"/>
    <x v="1"/>
    <x v="0"/>
  </r>
  <r>
    <x v="735"/>
    <x v="735"/>
    <d v="2024-10-15T11:16:27"/>
    <n v="3"/>
    <n v="92.579999999999984"/>
    <n v="30.859999999999996"/>
    <x v="6"/>
    <n v="6.7267120023097959"/>
    <n v="159.28832368055737"/>
    <x v="0"/>
    <x v="0"/>
  </r>
  <r>
    <x v="736"/>
    <x v="736"/>
    <d v="2024-10-09T20:49:13"/>
    <n v="1"/>
    <n v="35.76"/>
    <n v="35.76"/>
    <x v="7"/>
    <n v="1"/>
    <n v="164.89058026620478"/>
    <x v="1"/>
    <x v="0"/>
  </r>
  <r>
    <x v="737"/>
    <x v="737"/>
    <d v="2024-10-10T09:51:44"/>
    <n v="1"/>
    <n v="35.76"/>
    <n v="35.76"/>
    <x v="1"/>
    <n v="1"/>
    <n v="164.34715768518072"/>
    <x v="1"/>
    <x v="0"/>
  </r>
  <r>
    <x v="738"/>
    <x v="738"/>
    <d v="2024-10-10T10:55:33"/>
    <n v="1"/>
    <n v="35.76"/>
    <n v="35.76"/>
    <x v="0"/>
    <n v="1"/>
    <n v="164.30284744212986"/>
    <x v="1"/>
    <x v="0"/>
  </r>
  <r>
    <x v="739"/>
    <x v="739"/>
    <d v="2024-10-11T13:05:01"/>
    <n v="2"/>
    <n v="71.52"/>
    <n v="35.76"/>
    <x v="0"/>
    <n v="2.0838200694415718"/>
    <n v="163.21293092592532"/>
    <x v="1"/>
    <x v="0"/>
  </r>
  <r>
    <x v="740"/>
    <x v="740"/>
    <d v="2024-10-10T17:40:44"/>
    <n v="1"/>
    <n v="35.76"/>
    <n v="35.76"/>
    <x v="0"/>
    <n v="1"/>
    <n v="164.02146123842249"/>
    <x v="1"/>
    <x v="0"/>
  </r>
  <r>
    <x v="741"/>
    <x v="741"/>
    <d v="2024-11-06T13:15:33"/>
    <n v="2"/>
    <n v="51.92"/>
    <n v="25.96"/>
    <x v="2"/>
    <n v="27.789585081016412"/>
    <n v="137.20562237268314"/>
    <x v="1"/>
    <x v="0"/>
  </r>
  <r>
    <x v="742"/>
    <x v="742"/>
    <d v="2024-10-11T08:58:09"/>
    <n v="1"/>
    <n v="35.76"/>
    <n v="35.76"/>
    <x v="1"/>
    <n v="1"/>
    <n v="163.38436959490355"/>
    <x v="1"/>
    <x v="0"/>
  </r>
  <r>
    <x v="743"/>
    <x v="743"/>
    <d v="2024-10-11T09:31:42"/>
    <n v="1"/>
    <n v="30.86"/>
    <n v="30.86"/>
    <x v="3"/>
    <n v="1"/>
    <n v="163.361068252314"/>
    <x v="1"/>
    <x v="0"/>
  </r>
  <r>
    <x v="744"/>
    <x v="744"/>
    <d v="2024-10-11T14:35:29"/>
    <n v="2"/>
    <n v="61.72"/>
    <n v="30.86"/>
    <x v="4"/>
    <n v="1.0012589930556715"/>
    <n v="163.15010790509405"/>
    <x v="1"/>
    <x v="0"/>
  </r>
  <r>
    <x v="745"/>
    <x v="745"/>
    <d v="2024-10-11T17:13:22"/>
    <n v="2"/>
    <n v="71.52"/>
    <n v="35.76"/>
    <x v="0"/>
    <n v="1.0008595370381954"/>
    <n v="163.04047497684951"/>
    <x v="1"/>
    <x v="0"/>
  </r>
  <r>
    <x v="746"/>
    <x v="746"/>
    <d v="2024-10-11T17:26:11"/>
    <n v="1"/>
    <n v="35.76"/>
    <n v="35.76"/>
    <x v="1"/>
    <n v="1"/>
    <n v="163.03156792824302"/>
    <x v="1"/>
    <x v="0"/>
  </r>
  <r>
    <x v="747"/>
    <x v="747"/>
    <d v="2024-12-13T21:35:42"/>
    <n v="3"/>
    <n v="102.38"/>
    <n v="34.126666666666665"/>
    <x v="3"/>
    <n v="63.987365138891619"/>
    <n v="99.858294907404343"/>
    <x v="0"/>
    <x v="0"/>
  </r>
  <r>
    <x v="748"/>
    <x v="748"/>
    <d v="2024-10-11T22:37:27"/>
    <n v="2"/>
    <n v="71.52"/>
    <n v="35.76"/>
    <x v="1"/>
    <n v="1.0006836574102635"/>
    <n v="162.81541590277629"/>
    <x v="1"/>
    <x v="0"/>
  </r>
  <r>
    <x v="749"/>
    <x v="749"/>
    <d v="2024-10-12T11:53:41"/>
    <n v="1"/>
    <n v="30.86"/>
    <n v="30.86"/>
    <x v="3"/>
    <n v="1"/>
    <n v="162.26247155092278"/>
    <x v="1"/>
    <x v="0"/>
  </r>
  <r>
    <x v="750"/>
    <x v="750"/>
    <d v="2024-10-21T12:40:24"/>
    <n v="2"/>
    <n v="71.52"/>
    <n v="35.76"/>
    <x v="7"/>
    <n v="9.9733476736146258"/>
    <n v="153.23002709490538"/>
    <x v="1"/>
    <x v="0"/>
  </r>
  <r>
    <x v="751"/>
    <x v="751"/>
    <d v="2024-10-13T12:20:47"/>
    <n v="1"/>
    <n v="30.86"/>
    <n v="30.86"/>
    <x v="3"/>
    <n v="1"/>
    <n v="161.24365787037095"/>
    <x v="1"/>
    <x v="0"/>
  </r>
  <r>
    <x v="752"/>
    <x v="752"/>
    <d v="2024-10-13T18:22:59"/>
    <n v="1"/>
    <n v="35.76"/>
    <n v="35.76"/>
    <x v="7"/>
    <n v="1"/>
    <n v="160.99212750000152"/>
    <x v="1"/>
    <x v="0"/>
  </r>
  <r>
    <x v="753"/>
    <x v="753"/>
    <d v="2024-10-14T09:49:55"/>
    <n v="1"/>
    <n v="35.76"/>
    <n v="35.76"/>
    <x v="4"/>
    <n v="1"/>
    <n v="160.34842689814832"/>
    <x v="1"/>
    <x v="0"/>
  </r>
  <r>
    <x v="754"/>
    <x v="754"/>
    <d v="2024-10-14T11:23:51"/>
    <n v="1"/>
    <n v="35.76"/>
    <n v="35.76"/>
    <x v="7"/>
    <n v="1"/>
    <n v="160.28319512731105"/>
    <x v="1"/>
    <x v="0"/>
  </r>
  <r>
    <x v="755"/>
    <x v="755"/>
    <d v="2024-10-14T14:36:07"/>
    <n v="1"/>
    <n v="35.76"/>
    <n v="35.76"/>
    <x v="0"/>
    <n v="1"/>
    <n v="160.14967012731358"/>
    <x v="1"/>
    <x v="0"/>
  </r>
  <r>
    <x v="756"/>
    <x v="756"/>
    <d v="2024-10-14T16:37:47"/>
    <n v="1"/>
    <n v="25.96"/>
    <n v="25.96"/>
    <x v="2"/>
    <n v="1"/>
    <n v="160.06517556712788"/>
    <x v="1"/>
    <x v="0"/>
  </r>
  <r>
    <x v="757"/>
    <x v="757"/>
    <d v="2024-10-14T18:20:21"/>
    <n v="2"/>
    <n v="71.52"/>
    <n v="35.76"/>
    <x v="0"/>
    <n v="1.000710567132046"/>
    <n v="159.99395892360917"/>
    <x v="1"/>
    <x v="0"/>
  </r>
  <r>
    <x v="758"/>
    <x v="758"/>
    <d v="2024-10-14T22:08:54"/>
    <n v="1"/>
    <n v="35.76"/>
    <n v="35.76"/>
    <x v="0"/>
    <n v="1"/>
    <n v="159.83524195601785"/>
    <x v="1"/>
    <x v="0"/>
  </r>
  <r>
    <x v="759"/>
    <x v="759"/>
    <d v="2024-10-14T22:10:24"/>
    <n v="1"/>
    <n v="35.76"/>
    <n v="35.76"/>
    <x v="0"/>
    <n v="1"/>
    <n v="159.83420096064947"/>
    <x v="1"/>
    <x v="0"/>
  </r>
  <r>
    <x v="760"/>
    <x v="760"/>
    <d v="2024-10-15T08:34:18"/>
    <n v="1"/>
    <n v="21.06"/>
    <n v="21.06"/>
    <x v="6"/>
    <n v="1"/>
    <n v="159.40093481481745"/>
    <x v="1"/>
    <x v="0"/>
  </r>
  <r>
    <x v="761"/>
    <x v="761"/>
    <d v="2024-10-15T11:13:22"/>
    <n v="1"/>
    <n v="35.76"/>
    <n v="35.76"/>
    <x v="1"/>
    <n v="1"/>
    <n v="159.29047074074333"/>
    <x v="1"/>
    <x v="0"/>
  </r>
  <r>
    <x v="762"/>
    <x v="762"/>
    <d v="2024-10-15T13:00:43"/>
    <n v="1"/>
    <n v="35.76"/>
    <n v="35.76"/>
    <x v="0"/>
    <n v="1"/>
    <n v="159.21591900462954"/>
    <x v="1"/>
    <x v="0"/>
  </r>
  <r>
    <x v="763"/>
    <x v="763"/>
    <d v="2024-10-16T13:20:10"/>
    <n v="2"/>
    <n v="56.82"/>
    <n v="28.41"/>
    <x v="3"/>
    <n v="2.003074467596889"/>
    <n v="158.2024093171276"/>
    <x v="1"/>
    <x v="0"/>
  </r>
  <r>
    <x v="764"/>
    <x v="764"/>
    <d v="2024-10-15T15:55:19"/>
    <n v="2"/>
    <n v="47.019999999999996"/>
    <n v="23.509999999999998"/>
    <x v="2"/>
    <n v="1.0007236805540742"/>
    <n v="159.09467125000083"/>
    <x v="1"/>
    <x v="0"/>
  </r>
  <r>
    <x v="765"/>
    <x v="765"/>
    <d v="2024-10-15T17:04:11"/>
    <n v="1"/>
    <n v="35.76"/>
    <n v="35.76"/>
    <x v="1"/>
    <n v="1"/>
    <n v="159.04684375000215"/>
    <x v="1"/>
    <x v="0"/>
  </r>
  <r>
    <x v="766"/>
    <x v="766"/>
    <d v="2024-10-15T19:23:17"/>
    <n v="2"/>
    <n v="61.72"/>
    <n v="30.86"/>
    <x v="2"/>
    <n v="1.0006478472205345"/>
    <n v="158.95024631944398"/>
    <x v="1"/>
    <x v="0"/>
  </r>
  <r>
    <x v="767"/>
    <x v="767"/>
    <d v="2024-10-16T11:49:45"/>
    <n v="1"/>
    <n v="25.96"/>
    <n v="25.96"/>
    <x v="2"/>
    <n v="1"/>
    <n v="158.26520835648262"/>
    <x v="1"/>
    <x v="0"/>
  </r>
  <r>
    <x v="768"/>
    <x v="768"/>
    <d v="2024-11-18T07:52:20"/>
    <n v="3"/>
    <n v="92.58"/>
    <n v="30.86"/>
    <x v="3"/>
    <n v="33.807353761570994"/>
    <n v="125.43008120370359"/>
    <x v="0"/>
    <x v="0"/>
  </r>
  <r>
    <x v="769"/>
    <x v="769"/>
    <d v="2024-10-16T16:45:30"/>
    <n v="1"/>
    <n v="35.76"/>
    <n v="35.76"/>
    <x v="0"/>
    <n v="1"/>
    <n v="158.05982752314594"/>
    <x v="1"/>
    <x v="0"/>
  </r>
  <r>
    <x v="770"/>
    <x v="770"/>
    <d v="2024-12-05T16:02:10"/>
    <n v="3"/>
    <n v="97.47999999999999"/>
    <n v="32.493333333333332"/>
    <x v="3"/>
    <n v="50.850319490738912"/>
    <n v="108.08991458333185"/>
    <x v="0"/>
    <x v="0"/>
  </r>
  <r>
    <x v="771"/>
    <x v="771"/>
    <d v="2024-10-16T21:20:29"/>
    <n v="1"/>
    <n v="35.76"/>
    <n v="35.76"/>
    <x v="1"/>
    <n v="1"/>
    <n v="157.86886692129337"/>
    <x v="1"/>
    <x v="0"/>
  </r>
  <r>
    <x v="772"/>
    <x v="772"/>
    <d v="2024-10-17T09:24:27"/>
    <n v="1"/>
    <n v="30.86"/>
    <n v="30.86"/>
    <x v="3"/>
    <n v="1"/>
    <n v="157.36610501156974"/>
    <x v="1"/>
    <x v="0"/>
  </r>
  <r>
    <x v="773"/>
    <x v="773"/>
    <d v="2024-10-17T11:59:27"/>
    <n v="1"/>
    <n v="30.86"/>
    <n v="30.86"/>
    <x v="3"/>
    <n v="1"/>
    <n v="157.25846969907434"/>
    <x v="1"/>
    <x v="0"/>
  </r>
  <r>
    <x v="774"/>
    <x v="774"/>
    <d v="2024-10-17T13:57:25"/>
    <n v="1"/>
    <n v="35.76"/>
    <n v="35.76"/>
    <x v="0"/>
    <n v="1"/>
    <n v="157.17654791666428"/>
    <x v="1"/>
    <x v="0"/>
  </r>
  <r>
    <x v="775"/>
    <x v="775"/>
    <d v="2024-10-17T14:34:43"/>
    <n v="1"/>
    <n v="25.96"/>
    <n v="25.96"/>
    <x v="2"/>
    <n v="1"/>
    <n v="157.15064857638936"/>
    <x v="1"/>
    <x v="0"/>
  </r>
  <r>
    <x v="776"/>
    <x v="776"/>
    <d v="2024-10-17T16:49:33"/>
    <n v="2"/>
    <n v="71.52"/>
    <n v="35.76"/>
    <x v="1"/>
    <n v="1.0006631828655372"/>
    <n v="157.0570078587989"/>
    <x v="1"/>
    <x v="0"/>
  </r>
  <r>
    <x v="777"/>
    <x v="777"/>
    <d v="2024-10-17T20:11:36"/>
    <n v="1"/>
    <n v="30.86"/>
    <n v="30.86"/>
    <x v="3"/>
    <n v="1"/>
    <n v="156.91669248842663"/>
    <x v="1"/>
    <x v="0"/>
  </r>
  <r>
    <x v="778"/>
    <x v="778"/>
    <d v="2024-10-17T21:49:55"/>
    <n v="4"/>
    <n v="143.04"/>
    <n v="35.76"/>
    <x v="0"/>
    <n v="1.0025656712969067"/>
    <n v="156.84842611110798"/>
    <x v="0"/>
    <x v="0"/>
  </r>
  <r>
    <x v="779"/>
    <x v="779"/>
    <d v="2024-10-18T11:54:59"/>
    <n v="2"/>
    <n v="71.52"/>
    <n v="35.76"/>
    <x v="7"/>
    <n v="1.0830854976884439"/>
    <n v="156.26157197916473"/>
    <x v="1"/>
    <x v="0"/>
  </r>
  <r>
    <x v="780"/>
    <x v="780"/>
    <d v="2024-10-18T14:52:15"/>
    <n v="2"/>
    <n v="71.52"/>
    <n v="35.76"/>
    <x v="0"/>
    <n v="1.0008241666655522"/>
    <n v="156.13846423610812"/>
    <x v="1"/>
    <x v="0"/>
  </r>
  <r>
    <x v="781"/>
    <x v="781"/>
    <d v="2024-10-18T16:09:58"/>
    <n v="1"/>
    <n v="35.76"/>
    <n v="35.76"/>
    <x v="0"/>
    <n v="1"/>
    <n v="156.08449952545925"/>
    <x v="1"/>
    <x v="0"/>
  </r>
  <r>
    <x v="782"/>
    <x v="782"/>
    <d v="2024-12-04T10:29:48"/>
    <n v="2"/>
    <n v="71.52"/>
    <n v="35.76"/>
    <x v="1"/>
    <n v="47.697321979168919"/>
    <n v="109.32072960647929"/>
    <x v="1"/>
    <x v="0"/>
  </r>
  <r>
    <x v="783"/>
    <x v="783"/>
    <d v="2024-10-18T21:52:23"/>
    <n v="1"/>
    <n v="30.86"/>
    <n v="30.86"/>
    <x v="3"/>
    <n v="1"/>
    <n v="155.84670401619951"/>
    <x v="1"/>
    <x v="0"/>
  </r>
  <r>
    <x v="784"/>
    <x v="784"/>
    <d v="2024-10-19T08:34:14"/>
    <n v="1"/>
    <n v="30.86"/>
    <n v="30.86"/>
    <x v="3"/>
    <n v="1"/>
    <n v="155.40098357638635"/>
    <x v="1"/>
    <x v="0"/>
  </r>
  <r>
    <x v="785"/>
    <x v="785"/>
    <d v="2024-10-19T22:46:38"/>
    <n v="1"/>
    <n v="35.76"/>
    <n v="35.76"/>
    <x v="7"/>
    <n v="1"/>
    <n v="154.8090386342592"/>
    <x v="1"/>
    <x v="0"/>
  </r>
  <r>
    <x v="786"/>
    <x v="786"/>
    <d v="2024-12-08T10:43:43"/>
    <n v="3"/>
    <n v="107.28"/>
    <n v="35.76"/>
    <x v="0"/>
    <n v="49.976977835642174"/>
    <n v="105.3110637615755"/>
    <x v="0"/>
    <x v="0"/>
  </r>
  <r>
    <x v="787"/>
    <x v="787"/>
    <d v="2024-10-24T15:48:30"/>
    <n v="4"/>
    <n v="143.04"/>
    <n v="35.76"/>
    <x v="0"/>
    <n v="4.960649930551881"/>
    <n v="150.09940622685099"/>
    <x v="0"/>
    <x v="0"/>
  </r>
  <r>
    <x v="788"/>
    <x v="788"/>
    <d v="2024-10-21T22:30:44"/>
    <n v="2"/>
    <n v="71.52"/>
    <n v="35.76"/>
    <x v="1"/>
    <n v="2.0530833912052913"/>
    <n v="152.82007158564375"/>
    <x v="1"/>
    <x v="0"/>
  </r>
  <r>
    <x v="789"/>
    <x v="789"/>
    <d v="2024-10-20T21:15:18"/>
    <n v="1"/>
    <n v="25.96"/>
    <n v="25.96"/>
    <x v="5"/>
    <n v="1"/>
    <n v="153.87246359953861"/>
    <x v="1"/>
    <x v="0"/>
  </r>
  <r>
    <x v="790"/>
    <x v="790"/>
    <d v="2024-10-21T22:31:34"/>
    <n v="2"/>
    <n v="71.52"/>
    <n v="35.76"/>
    <x v="4"/>
    <n v="2.0514710763891344"/>
    <n v="152.81949848379736"/>
    <x v="1"/>
    <x v="0"/>
  </r>
  <r>
    <x v="791"/>
    <x v="791"/>
    <d v="2024-10-20T21:25:00"/>
    <n v="1"/>
    <n v="35.76"/>
    <n v="35.76"/>
    <x v="0"/>
    <n v="1"/>
    <n v="153.86572395833355"/>
    <x v="1"/>
    <x v="0"/>
  </r>
  <r>
    <x v="792"/>
    <x v="792"/>
    <d v="2024-10-21T09:34:26"/>
    <n v="1"/>
    <n v="35.76"/>
    <n v="35.76"/>
    <x v="0"/>
    <n v="1"/>
    <n v="153.35917925925605"/>
    <x v="1"/>
    <x v="0"/>
  </r>
  <r>
    <x v="793"/>
    <x v="793"/>
    <d v="2024-10-21T14:42:56"/>
    <n v="1"/>
    <n v="35.76"/>
    <n v="35.76"/>
    <x v="0"/>
    <n v="1"/>
    <n v="153.14493733796553"/>
    <x v="1"/>
    <x v="0"/>
  </r>
  <r>
    <x v="794"/>
    <x v="794"/>
    <d v="2024-10-21T15:27:02"/>
    <n v="1"/>
    <n v="30.86"/>
    <n v="30.86"/>
    <x v="3"/>
    <n v="1"/>
    <n v="153.11430780092633"/>
    <x v="1"/>
    <x v="0"/>
  </r>
  <r>
    <x v="795"/>
    <x v="795"/>
    <d v="2024-10-21T15:39:05"/>
    <n v="1"/>
    <n v="25.96"/>
    <n v="25.96"/>
    <x v="5"/>
    <n v="1"/>
    <n v="153.10594848379696"/>
    <x v="1"/>
    <x v="0"/>
  </r>
  <r>
    <x v="796"/>
    <x v="796"/>
    <d v="2024-10-21T16:55:23"/>
    <n v="1"/>
    <n v="35.76"/>
    <n v="35.76"/>
    <x v="0"/>
    <n v="1"/>
    <n v="153.05296395833284"/>
    <x v="1"/>
    <x v="0"/>
  </r>
  <r>
    <x v="797"/>
    <x v="797"/>
    <d v="2024-12-15T17:58:05"/>
    <n v="2"/>
    <n v="71.52"/>
    <n v="35.76"/>
    <x v="1"/>
    <n v="55.942268912040163"/>
    <n v="98.009412604165846"/>
    <x v="1"/>
    <x v="0"/>
  </r>
  <r>
    <x v="798"/>
    <x v="798"/>
    <d v="2024-10-29T20:07:36"/>
    <n v="2"/>
    <n v="71.52"/>
    <n v="35.76"/>
    <x v="0"/>
    <n v="8.9597170486158575"/>
    <n v="144.91947888888535"/>
    <x v="1"/>
    <x v="0"/>
  </r>
  <r>
    <x v="799"/>
    <x v="799"/>
    <d v="2024-10-22T09:17:50"/>
    <n v="1"/>
    <n v="25.96"/>
    <n v="25.96"/>
    <x v="5"/>
    <n v="1"/>
    <n v="152.37069708333001"/>
    <x v="1"/>
    <x v="0"/>
  </r>
  <r>
    <x v="800"/>
    <x v="800"/>
    <d v="2024-10-22T18:07:03"/>
    <n v="1"/>
    <n v="25.96"/>
    <n v="25.96"/>
    <x v="2"/>
    <n v="1"/>
    <n v="152.00319515046431"/>
    <x v="1"/>
    <x v="0"/>
  </r>
  <r>
    <x v="801"/>
    <x v="801"/>
    <d v="2024-12-09T13:00:55"/>
    <n v="2"/>
    <n v="56.82"/>
    <n v="28.41"/>
    <x v="3"/>
    <n v="48.020711666664283"/>
    <n v="104.2157838194471"/>
    <x v="1"/>
    <x v="0"/>
  </r>
  <r>
    <x v="802"/>
    <x v="802"/>
    <d v="2024-10-23T16:21:09"/>
    <n v="2"/>
    <n v="61.72"/>
    <n v="30.86"/>
    <x v="3"/>
    <n v="1.0007728356504231"/>
    <n v="151.07673148148024"/>
    <x v="1"/>
    <x v="0"/>
  </r>
  <r>
    <x v="803"/>
    <x v="803"/>
    <d v="2024-10-29T08:40:52"/>
    <n v="3"/>
    <n v="107.28"/>
    <n v="35.76"/>
    <x v="7"/>
    <n v="6.6655339699136675"/>
    <n v="145.39636898147728"/>
    <x v="0"/>
    <x v="0"/>
  </r>
  <r>
    <x v="804"/>
    <x v="804"/>
    <d v="2024-10-23T17:02:46"/>
    <n v="1"/>
    <n v="21.06"/>
    <n v="21.06"/>
    <x v="6"/>
    <n v="1"/>
    <n v="151.04782761573733"/>
    <x v="1"/>
    <x v="0"/>
  </r>
  <r>
    <x v="805"/>
    <x v="805"/>
    <d v="2024-10-23T21:58:24"/>
    <n v="1"/>
    <n v="35.76"/>
    <n v="35.76"/>
    <x v="1"/>
    <n v="1"/>
    <n v="150.84253342592274"/>
    <x v="1"/>
    <x v="0"/>
  </r>
  <r>
    <x v="806"/>
    <x v="806"/>
    <d v="2024-10-23T22:23:38"/>
    <n v="1"/>
    <n v="35.76"/>
    <n v="35.76"/>
    <x v="0"/>
    <n v="1"/>
    <n v="150.82500376157259"/>
    <x v="1"/>
    <x v="0"/>
  </r>
  <r>
    <x v="807"/>
    <x v="807"/>
    <d v="2024-10-24T12:07:47"/>
    <n v="1"/>
    <n v="25.96"/>
    <n v="25.96"/>
    <x v="2"/>
    <n v="1"/>
    <n v="150.25268603009317"/>
    <x v="1"/>
    <x v="0"/>
  </r>
  <r>
    <x v="808"/>
    <x v="808"/>
    <d v="2024-10-24T13:24:00"/>
    <n v="1"/>
    <n v="35.76"/>
    <n v="35.76"/>
    <x v="7"/>
    <n v="1"/>
    <n v="150.19975756944041"/>
    <x v="1"/>
    <x v="0"/>
  </r>
  <r>
    <x v="809"/>
    <x v="809"/>
    <d v="2024-10-24T14:49:49"/>
    <n v="2"/>
    <n v="71.52"/>
    <n v="35.76"/>
    <x v="1"/>
    <n v="1.0005495486111613"/>
    <n v="150.14015387731342"/>
    <x v="1"/>
    <x v="0"/>
  </r>
  <r>
    <x v="810"/>
    <x v="810"/>
    <d v="2024-10-24T18:55:08"/>
    <n v="2"/>
    <n v="51.92"/>
    <n v="25.96"/>
    <x v="2"/>
    <n v="1.0009288888904848"/>
    <n v="149.96980394675484"/>
    <x v="1"/>
    <x v="0"/>
  </r>
  <r>
    <x v="811"/>
    <x v="811"/>
    <d v="2024-10-24T20:44:11"/>
    <n v="1"/>
    <n v="25.96"/>
    <n v="25.96"/>
    <x v="2"/>
    <n v="1"/>
    <n v="149.89406434027478"/>
    <x v="1"/>
    <x v="0"/>
  </r>
  <r>
    <x v="812"/>
    <x v="812"/>
    <d v="2024-10-24T21:15:29"/>
    <n v="2"/>
    <n v="71.52"/>
    <n v="35.76"/>
    <x v="1"/>
    <n v="1.0005120138885104"/>
    <n v="149.87233228009427"/>
    <x v="1"/>
    <x v="0"/>
  </r>
  <r>
    <x v="813"/>
    <x v="813"/>
    <d v="2024-10-25T12:40:37"/>
    <n v="1"/>
    <n v="35.76"/>
    <n v="35.76"/>
    <x v="0"/>
    <n v="1"/>
    <n v="149.22987464120524"/>
    <x v="1"/>
    <x v="0"/>
  </r>
  <r>
    <x v="814"/>
    <x v="814"/>
    <d v="2024-10-25T22:22:32"/>
    <n v="2"/>
    <n v="56.819999999999993"/>
    <n v="28.409999999999997"/>
    <x v="1"/>
    <n v="1.0021734490728704"/>
    <n v="148.82577418981236"/>
    <x v="1"/>
    <x v="0"/>
  </r>
  <r>
    <x v="815"/>
    <x v="815"/>
    <d v="2024-10-26T10:24:38"/>
    <n v="1"/>
    <n v="25.96"/>
    <n v="25.96"/>
    <x v="2"/>
    <n v="1"/>
    <n v="148.32430942129577"/>
    <x v="1"/>
    <x v="0"/>
  </r>
  <r>
    <x v="816"/>
    <x v="816"/>
    <d v="2024-10-26T13:03:31"/>
    <n v="1"/>
    <n v="35.76"/>
    <n v="35.76"/>
    <x v="0"/>
    <n v="1"/>
    <n v="148.21397680555674"/>
    <x v="1"/>
    <x v="0"/>
  </r>
  <r>
    <x v="817"/>
    <x v="817"/>
    <d v="2024-10-26T15:39:30"/>
    <n v="2"/>
    <n v="71.52"/>
    <n v="35.76"/>
    <x v="0"/>
    <n v="1.0007042129655019"/>
    <n v="148.10566043981089"/>
    <x v="1"/>
    <x v="0"/>
  </r>
  <r>
    <x v="818"/>
    <x v="818"/>
    <d v="2024-12-20T12:22:49"/>
    <n v="11"/>
    <n v="334.56000000000006"/>
    <n v="30.414545454545461"/>
    <x v="3"/>
    <n v="55.854718888891512"/>
    <n v="93.242236840276746"/>
    <x v="0"/>
    <x v="0"/>
  </r>
  <r>
    <x v="819"/>
    <x v="819"/>
    <d v="2024-10-26T15:53:22"/>
    <n v="1"/>
    <n v="30.86"/>
    <n v="30.86"/>
    <x v="3"/>
    <n v="1"/>
    <n v="148.09603158565005"/>
    <x v="1"/>
    <x v="0"/>
  </r>
  <r>
    <x v="820"/>
    <x v="820"/>
    <d v="2024-10-26T20:34:47"/>
    <n v="1"/>
    <n v="30.86"/>
    <n v="30.86"/>
    <x v="3"/>
    <n v="1"/>
    <n v="147.90060089120379"/>
    <x v="1"/>
    <x v="0"/>
  </r>
  <r>
    <x v="821"/>
    <x v="821"/>
    <d v="2024-10-27T13:43:47"/>
    <n v="1"/>
    <n v="35.76"/>
    <n v="35.76"/>
    <x v="7"/>
    <n v="1"/>
    <n v="147.18601881944051"/>
    <x v="1"/>
    <x v="0"/>
  </r>
  <r>
    <x v="822"/>
    <x v="822"/>
    <d v="2024-10-28T08:01:12"/>
    <n v="1"/>
    <n v="25.96"/>
    <n v="25.96"/>
    <x v="2"/>
    <n v="1"/>
    <n v="146.42391592592321"/>
    <x v="1"/>
    <x v="0"/>
  </r>
  <r>
    <x v="823"/>
    <x v="823"/>
    <d v="2024-10-28T11:43:43"/>
    <n v="2"/>
    <n v="71.52"/>
    <n v="35.76"/>
    <x v="0"/>
    <n v="1.0007734606479062"/>
    <n v="146.26939019675774"/>
    <x v="1"/>
    <x v="0"/>
  </r>
  <r>
    <x v="824"/>
    <x v="824"/>
    <d v="2024-10-28T12:02:35"/>
    <n v="1"/>
    <n v="30.86"/>
    <n v="30.86"/>
    <x v="3"/>
    <n v="1"/>
    <n v="146.25629430555273"/>
    <x v="1"/>
    <x v="0"/>
  </r>
  <r>
    <x v="825"/>
    <x v="825"/>
    <d v="2024-10-28T12:21:30"/>
    <n v="1"/>
    <n v="35.76"/>
    <n v="35.76"/>
    <x v="7"/>
    <n v="1"/>
    <n v="146.24315065972041"/>
    <x v="1"/>
    <x v="0"/>
  </r>
  <r>
    <x v="826"/>
    <x v="826"/>
    <d v="2024-10-28T14:31:00"/>
    <n v="1"/>
    <n v="30.86"/>
    <n v="30.86"/>
    <x v="3"/>
    <n v="1"/>
    <n v="146.15323002314835"/>
    <x v="1"/>
    <x v="0"/>
  </r>
  <r>
    <x v="827"/>
    <x v="827"/>
    <d v="2024-11-07T18:17:34"/>
    <n v="4"/>
    <n v="143.04"/>
    <n v="35.76"/>
    <x v="4"/>
    <n v="11.015458506939467"/>
    <n v="135.99589005787129"/>
    <x v="0"/>
    <x v="0"/>
  </r>
  <r>
    <x v="828"/>
    <x v="828"/>
    <d v="2024-10-29T11:59:47"/>
    <n v="1"/>
    <n v="30.86"/>
    <n v="30.86"/>
    <x v="3"/>
    <n v="1"/>
    <n v="145.25824021990411"/>
    <x v="1"/>
    <x v="0"/>
  </r>
  <r>
    <x v="829"/>
    <x v="829"/>
    <d v="2024-10-29T12:21:37"/>
    <n v="1"/>
    <n v="21.06"/>
    <n v="21.06"/>
    <x v="6"/>
    <n v="1"/>
    <n v="145.2430767245387"/>
    <x v="1"/>
    <x v="0"/>
  </r>
  <r>
    <x v="830"/>
    <x v="830"/>
    <d v="2024-10-29T14:17:01"/>
    <n v="2"/>
    <n v="51.92"/>
    <n v="25.96"/>
    <x v="5"/>
    <n v="1.0008895717546693"/>
    <n v="145.16293909722299"/>
    <x v="1"/>
    <x v="0"/>
  </r>
  <r>
    <x v="831"/>
    <x v="831"/>
    <d v="2024-10-29T14:37:36"/>
    <n v="1"/>
    <n v="35.76"/>
    <n v="35.76"/>
    <x v="7"/>
    <n v="1"/>
    <n v="145.14864206018683"/>
    <x v="1"/>
    <x v="0"/>
  </r>
  <r>
    <x v="832"/>
    <x v="832"/>
    <d v="2024-10-29T16:09:34"/>
    <n v="1"/>
    <n v="35.76"/>
    <n v="35.76"/>
    <x v="1"/>
    <n v="1"/>
    <n v="145.08477885416505"/>
    <x v="1"/>
    <x v="0"/>
  </r>
  <r>
    <x v="833"/>
    <x v="833"/>
    <d v="2024-10-29T16:10:57"/>
    <n v="1"/>
    <n v="35.76"/>
    <n v="35.76"/>
    <x v="4"/>
    <n v="1"/>
    <n v="145.08381736111187"/>
    <x v="1"/>
    <x v="0"/>
  </r>
  <r>
    <x v="834"/>
    <x v="834"/>
    <d v="2024-10-29T18:02:57"/>
    <n v="2"/>
    <n v="61.72"/>
    <n v="30.86"/>
    <x v="3"/>
    <n v="1.0006141666672193"/>
    <n v="145.00603244212834"/>
    <x v="1"/>
    <x v="0"/>
  </r>
  <r>
    <x v="835"/>
    <x v="835"/>
    <d v="2024-10-29T19:02:05"/>
    <n v="1"/>
    <n v="30.86"/>
    <n v="30.86"/>
    <x v="3"/>
    <n v="1"/>
    <n v="144.96496843749628"/>
    <x v="1"/>
    <x v="0"/>
  </r>
  <r>
    <x v="836"/>
    <x v="836"/>
    <d v="2024-10-30T09:11:29"/>
    <n v="1"/>
    <n v="35.76"/>
    <n v="35.76"/>
    <x v="0"/>
    <n v="1"/>
    <n v="144.3751073611129"/>
    <x v="1"/>
    <x v="0"/>
  </r>
  <r>
    <x v="837"/>
    <x v="837"/>
    <d v="2024-10-30T10:33:08"/>
    <n v="2"/>
    <n v="71.52"/>
    <n v="35.76"/>
    <x v="0"/>
    <n v="1.0008628240757389"/>
    <n v="144.31841361110855"/>
    <x v="1"/>
    <x v="0"/>
  </r>
  <r>
    <x v="838"/>
    <x v="838"/>
    <d v="2024-10-30T12:37:01"/>
    <n v="1"/>
    <n v="25.96"/>
    <n v="25.96"/>
    <x v="2"/>
    <n v="1"/>
    <n v="144.23238275462791"/>
    <x v="1"/>
    <x v="0"/>
  </r>
  <r>
    <x v="839"/>
    <x v="839"/>
    <d v="2024-10-30T16:04:48"/>
    <n v="1"/>
    <n v="30.86"/>
    <n v="30.86"/>
    <x v="3"/>
    <n v="1"/>
    <n v="144.0880817129655"/>
    <x v="1"/>
    <x v="0"/>
  </r>
  <r>
    <x v="840"/>
    <x v="840"/>
    <d v="2024-10-30T18:08:12"/>
    <n v="1"/>
    <n v="35.76"/>
    <n v="35.76"/>
    <x v="1"/>
    <n v="1"/>
    <n v="144.00238590277877"/>
    <x v="1"/>
    <x v="0"/>
  </r>
  <r>
    <x v="841"/>
    <x v="841"/>
    <d v="2025-01-12T11:48:19"/>
    <n v="6"/>
    <n v="185.16"/>
    <n v="30.86"/>
    <x v="3"/>
    <n v="74.670110405088053"/>
    <n v="70.266202615741349"/>
    <x v="2"/>
    <x v="1"/>
  </r>
  <r>
    <x v="842"/>
    <x v="842"/>
    <d v="2024-10-31T15:59:27"/>
    <n v="1"/>
    <n v="35.76"/>
    <n v="35.76"/>
    <x v="0"/>
    <n v="1"/>
    <n v="143.09180494213069"/>
    <x v="1"/>
    <x v="0"/>
  </r>
  <r>
    <x v="843"/>
    <x v="843"/>
    <d v="2024-10-31T16:00:31"/>
    <n v="1"/>
    <n v="30.86"/>
    <n v="30.86"/>
    <x v="3"/>
    <n v="1"/>
    <n v="143.09106078703917"/>
    <x v="1"/>
    <x v="0"/>
  </r>
  <r>
    <x v="844"/>
    <x v="844"/>
    <d v="2024-11-01T15:55:42"/>
    <n v="1"/>
    <n v="25.96"/>
    <n v="25.96"/>
    <x v="5"/>
    <n v="1"/>
    <n v="142.09440059027838"/>
    <x v="1"/>
    <x v="0"/>
  </r>
  <r>
    <x v="845"/>
    <x v="845"/>
    <d v="2024-11-02T14:54:15"/>
    <n v="1"/>
    <n v="30.86"/>
    <n v="30.86"/>
    <x v="3"/>
    <n v="1"/>
    <n v="141.13708318286808"/>
    <x v="1"/>
    <x v="0"/>
  </r>
  <r>
    <x v="846"/>
    <x v="846"/>
    <d v="2024-11-02T16:37:05"/>
    <n v="1"/>
    <n v="35.76"/>
    <n v="35.76"/>
    <x v="0"/>
    <n v="1"/>
    <n v="141.0656670138851"/>
    <x v="1"/>
    <x v="0"/>
  </r>
  <r>
    <x v="847"/>
    <x v="847"/>
    <d v="2024-11-02T18:58:24"/>
    <n v="1"/>
    <n v="25.96"/>
    <n v="25.96"/>
    <x v="2"/>
    <n v="1"/>
    <n v="140.96753603008983"/>
    <x v="1"/>
    <x v="0"/>
  </r>
  <r>
    <x v="848"/>
    <x v="848"/>
    <d v="2024-11-03T13:14:57"/>
    <n v="2"/>
    <n v="66.62"/>
    <n v="33.31"/>
    <x v="0"/>
    <n v="1.0007554282419733"/>
    <n v="140.20604122684745"/>
    <x v="1"/>
    <x v="0"/>
  </r>
  <r>
    <x v="849"/>
    <x v="849"/>
    <d v="2024-11-03T13:44:19"/>
    <n v="1"/>
    <n v="25.96"/>
    <n v="25.96"/>
    <x v="2"/>
    <n v="1"/>
    <n v="140.18564952546149"/>
    <x v="1"/>
    <x v="0"/>
  </r>
  <r>
    <x v="850"/>
    <x v="850"/>
    <d v="2024-11-15T17:35:41"/>
    <n v="2"/>
    <n v="61.72"/>
    <n v="30.86"/>
    <x v="3"/>
    <n v="13.150462685181992"/>
    <n v="128.02497201388906"/>
    <x v="1"/>
    <x v="0"/>
  </r>
  <r>
    <x v="851"/>
    <x v="851"/>
    <d v="2024-11-03T16:21:46"/>
    <n v="2"/>
    <n v="51.92"/>
    <n v="25.96"/>
    <x v="2"/>
    <n v="1.00079790509335"/>
    <n v="140.07630300925666"/>
    <x v="1"/>
    <x v="0"/>
  </r>
  <r>
    <x v="852"/>
    <x v="852"/>
    <d v="2024-11-04T12:33:36"/>
    <n v="1"/>
    <n v="25.96"/>
    <n v="25.96"/>
    <x v="2"/>
    <n v="1"/>
    <n v="139.2347551967614"/>
    <x v="1"/>
    <x v="0"/>
  </r>
  <r>
    <x v="853"/>
    <x v="853"/>
    <d v="2024-11-04T12:35:06"/>
    <n v="1"/>
    <n v="30.86"/>
    <n v="30.86"/>
    <x v="3"/>
    <n v="1"/>
    <n v="139.23371034722368"/>
    <x v="1"/>
    <x v="0"/>
  </r>
  <r>
    <x v="854"/>
    <x v="854"/>
    <d v="2024-11-05T11:47:30"/>
    <n v="1"/>
    <n v="35.76"/>
    <n v="35.76"/>
    <x v="4"/>
    <n v="1"/>
    <n v="138.26676824074093"/>
    <x v="1"/>
    <x v="0"/>
  </r>
  <r>
    <x v="855"/>
    <x v="855"/>
    <d v="2024-11-05T11:48:22"/>
    <n v="1"/>
    <n v="35.76"/>
    <n v="35.76"/>
    <x v="0"/>
    <n v="1"/>
    <n v="138.26615915509319"/>
    <x v="1"/>
    <x v="0"/>
  </r>
  <r>
    <x v="856"/>
    <x v="856"/>
    <d v="2024-11-05T14:36:38"/>
    <n v="1"/>
    <n v="35.76"/>
    <n v="35.76"/>
    <x v="0"/>
    <n v="1"/>
    <n v="138.14931457176135"/>
    <x v="1"/>
    <x v="0"/>
  </r>
  <r>
    <x v="857"/>
    <x v="857"/>
    <d v="2024-11-05T14:41:48"/>
    <n v="1"/>
    <n v="35.76"/>
    <n v="35.76"/>
    <x v="0"/>
    <n v="1"/>
    <n v="138.14572438657342"/>
    <x v="1"/>
    <x v="0"/>
  </r>
  <r>
    <x v="858"/>
    <x v="858"/>
    <d v="2024-11-05T21:42:03"/>
    <n v="2"/>
    <n v="71.52"/>
    <n v="35.76"/>
    <x v="4"/>
    <n v="1.000902835643501"/>
    <n v="137.85388754629821"/>
    <x v="1"/>
    <x v="0"/>
  </r>
  <r>
    <x v="859"/>
    <x v="859"/>
    <d v="2024-11-06T11:45:31"/>
    <n v="1"/>
    <n v="21.06"/>
    <n v="21.06"/>
    <x v="6"/>
    <n v="1"/>
    <n v="137.26814192129677"/>
    <x v="1"/>
    <x v="0"/>
  </r>
  <r>
    <x v="860"/>
    <x v="860"/>
    <d v="2024-11-06T16:00:44"/>
    <n v="1"/>
    <n v="35.76"/>
    <n v="35.76"/>
    <x v="0"/>
    <n v="1"/>
    <n v="137.0909122916637"/>
    <x v="1"/>
    <x v="0"/>
  </r>
  <r>
    <x v="861"/>
    <x v="861"/>
    <d v="2025-01-30T11:26:29"/>
    <n v="2"/>
    <n v="61.72"/>
    <n v="30.86"/>
    <x v="7"/>
    <n v="85.808611828702851"/>
    <n v="52.281359490742034"/>
    <x v="1"/>
    <x v="0"/>
  </r>
  <r>
    <x v="862"/>
    <x v="862"/>
    <d v="2024-11-06T18:41:31"/>
    <n v="2"/>
    <n v="71.52"/>
    <n v="35.76"/>
    <x v="1"/>
    <n v="1.0005532175928238"/>
    <n v="136.97925905092416"/>
    <x v="1"/>
    <x v="0"/>
  </r>
  <r>
    <x v="863"/>
    <x v="863"/>
    <d v="2024-11-07T12:17:16"/>
    <n v="1"/>
    <n v="35.76"/>
    <n v="35.76"/>
    <x v="0"/>
    <n v="1"/>
    <n v="136.24609539351513"/>
    <x v="1"/>
    <x v="0"/>
  </r>
  <r>
    <x v="864"/>
    <x v="864"/>
    <d v="2024-11-07T15:50:11"/>
    <n v="1"/>
    <n v="25.96"/>
    <n v="25.96"/>
    <x v="2"/>
    <n v="1"/>
    <n v="136.09824163194571"/>
    <x v="1"/>
    <x v="0"/>
  </r>
  <r>
    <x v="865"/>
    <x v="865"/>
    <d v="2024-11-07T16:39:39"/>
    <n v="1"/>
    <n v="25.96"/>
    <n v="25.96"/>
    <x v="2"/>
    <n v="1"/>
    <n v="136.0638799537046"/>
    <x v="1"/>
    <x v="0"/>
  </r>
  <r>
    <x v="866"/>
    <x v="866"/>
    <d v="2024-11-07T19:21:38"/>
    <n v="2"/>
    <n v="71.52"/>
    <n v="35.76"/>
    <x v="1"/>
    <n v="1.0009637847178965"/>
    <n v="135.95139597222442"/>
    <x v="1"/>
    <x v="0"/>
  </r>
  <r>
    <x v="867"/>
    <x v="867"/>
    <d v="2024-11-08T13:26:18"/>
    <n v="2"/>
    <n v="71.52"/>
    <n v="35.76"/>
    <x v="0"/>
    <n v="1.0007426504671457"/>
    <n v="135.19815998842387"/>
    <x v="1"/>
    <x v="0"/>
  </r>
  <r>
    <x v="868"/>
    <x v="868"/>
    <d v="2024-11-08T16:33:03"/>
    <n v="1"/>
    <n v="30.86"/>
    <n v="30.86"/>
    <x v="3"/>
    <n v="1"/>
    <n v="135.06846934027999"/>
    <x v="1"/>
    <x v="0"/>
  </r>
  <r>
    <x v="869"/>
    <x v="869"/>
    <d v="2024-11-08T16:55:28"/>
    <n v="1"/>
    <n v="30.86"/>
    <n v="30.86"/>
    <x v="3"/>
    <n v="1"/>
    <n v="135.05290037037048"/>
    <x v="1"/>
    <x v="0"/>
  </r>
  <r>
    <x v="870"/>
    <x v="870"/>
    <d v="2024-11-25T16:30:56"/>
    <n v="4"/>
    <n v="143.04"/>
    <n v="35.76"/>
    <x v="1"/>
    <n v="17.845420173616731"/>
    <n v="118.06993246527418"/>
    <x v="0"/>
    <x v="0"/>
  </r>
  <r>
    <x v="871"/>
    <x v="871"/>
    <d v="2024-11-08T20:15:20"/>
    <n v="2"/>
    <n v="71.52"/>
    <n v="35.76"/>
    <x v="1"/>
    <n v="1.0006447916675825"/>
    <n v="134.91410457175516"/>
    <x v="1"/>
    <x v="0"/>
  </r>
  <r>
    <x v="872"/>
    <x v="872"/>
    <d v="2024-11-09T11:08:44"/>
    <n v="1"/>
    <n v="35.76"/>
    <n v="35.76"/>
    <x v="0"/>
    <n v="1"/>
    <n v="134.29368537037226"/>
    <x v="1"/>
    <x v="0"/>
  </r>
  <r>
    <x v="873"/>
    <x v="873"/>
    <d v="2024-11-09T14:22:50"/>
    <n v="2"/>
    <n v="71.52"/>
    <n v="35.76"/>
    <x v="1"/>
    <n v="1.000680972225382"/>
    <n v="134.15889114583115"/>
    <x v="1"/>
    <x v="0"/>
  </r>
  <r>
    <x v="874"/>
    <x v="874"/>
    <d v="2024-11-09T14:37:33"/>
    <n v="1"/>
    <n v="25.96"/>
    <n v="25.96"/>
    <x v="2"/>
    <n v="1"/>
    <n v="134.14867458333174"/>
    <x v="1"/>
    <x v="0"/>
  </r>
  <r>
    <x v="875"/>
    <x v="875"/>
    <d v="2024-12-13T19:20:10"/>
    <n v="4"/>
    <n v="133.23999999999998"/>
    <n v="33.309999999999995"/>
    <x v="7"/>
    <n v="34.943120324074698"/>
    <n v="99.952413379629434"/>
    <x v="0"/>
    <x v="0"/>
  </r>
  <r>
    <x v="876"/>
    <x v="876"/>
    <d v="2025-01-17T21:22:19"/>
    <n v="7"/>
    <n v="245.41999999999996"/>
    <n v="35.059999999999995"/>
    <x v="4"/>
    <n v="69.964482708332071"/>
    <n v="64.86758884259325"/>
    <x v="2"/>
    <x v="1"/>
  </r>
  <r>
    <x v="877"/>
    <x v="877"/>
    <d v="2025-02-24T19:04:34"/>
    <n v="4"/>
    <n v="113.64"/>
    <n v="28.41"/>
    <x v="2"/>
    <n v="107.84139291667088"/>
    <n v="26.963243032405444"/>
    <x v="2"/>
    <x v="1"/>
  </r>
  <r>
    <x v="878"/>
    <x v="878"/>
    <d v="2024-11-09T22:54:19"/>
    <n v="1"/>
    <n v="25.96"/>
    <n v="25.96"/>
    <x v="2"/>
    <n v="1"/>
    <n v="133.80369824074296"/>
    <x v="1"/>
    <x v="0"/>
  </r>
  <r>
    <x v="879"/>
    <x v="879"/>
    <d v="2024-11-10T09:46:22"/>
    <n v="1"/>
    <n v="25.96"/>
    <n v="25.96"/>
    <x v="2"/>
    <n v="1"/>
    <n v="133.35088929397898"/>
    <x v="1"/>
    <x v="0"/>
  </r>
  <r>
    <x v="880"/>
    <x v="880"/>
    <d v="2024-11-10T17:52:48"/>
    <n v="1"/>
    <n v="35.76"/>
    <n v="35.76"/>
    <x v="4"/>
    <n v="1"/>
    <n v="133.01308736111241"/>
    <x v="1"/>
    <x v="0"/>
  </r>
  <r>
    <x v="881"/>
    <x v="881"/>
    <d v="2024-11-10T18:12:53"/>
    <n v="1"/>
    <n v="35.76"/>
    <n v="35.76"/>
    <x v="1"/>
    <n v="1"/>
    <n v="132.99913513888896"/>
    <x v="1"/>
    <x v="0"/>
  </r>
  <r>
    <x v="882"/>
    <x v="882"/>
    <d v="2024-11-10T18:14:04"/>
    <n v="1"/>
    <n v="35.76"/>
    <n v="35.76"/>
    <x v="1"/>
    <n v="1"/>
    <n v="132.99832165508997"/>
    <x v="1"/>
    <x v="0"/>
  </r>
  <r>
    <x v="883"/>
    <x v="883"/>
    <d v="2024-11-10T20:39:07"/>
    <n v="2"/>
    <n v="71.52"/>
    <n v="35.76"/>
    <x v="7"/>
    <n v="1.0006796180605306"/>
    <n v="132.89759015046002"/>
    <x v="1"/>
    <x v="0"/>
  </r>
  <r>
    <x v="884"/>
    <x v="884"/>
    <d v="2024-11-11T17:33:32"/>
    <n v="1"/>
    <n v="35.76"/>
    <n v="35.76"/>
    <x v="7"/>
    <n v="1"/>
    <n v="132.02646506944438"/>
    <x v="1"/>
    <x v="0"/>
  </r>
  <r>
    <x v="885"/>
    <x v="885"/>
    <d v="2025-01-16T09:32:58"/>
    <n v="5"/>
    <n v="178.79999999999998"/>
    <n v="35.76"/>
    <x v="0"/>
    <n v="66.605680254629988"/>
    <n v="66.360196192130388"/>
    <x v="2"/>
    <x v="1"/>
  </r>
  <r>
    <x v="886"/>
    <x v="886"/>
    <d v="2024-11-11T19:04:16"/>
    <n v="1"/>
    <n v="35.76"/>
    <n v="35.76"/>
    <x v="1"/>
    <n v="1"/>
    <n v="131.96346188657481"/>
    <x v="1"/>
    <x v="0"/>
  </r>
  <r>
    <x v="887"/>
    <x v="887"/>
    <d v="2024-11-11T21:09:47"/>
    <n v="2"/>
    <n v="71.52"/>
    <n v="35.76"/>
    <x v="0"/>
    <n v="1.0008712037015357"/>
    <n v="131.8762926157433"/>
    <x v="1"/>
    <x v="0"/>
  </r>
  <r>
    <x v="888"/>
    <x v="888"/>
    <d v="2024-11-12T10:03:09"/>
    <n v="1"/>
    <n v="35.76"/>
    <n v="35.76"/>
    <x v="0"/>
    <n v="1"/>
    <n v="131.33923684027832"/>
    <x v="1"/>
    <x v="0"/>
  </r>
  <r>
    <x v="889"/>
    <x v="889"/>
    <d v="2024-11-12T13:15:45"/>
    <n v="1"/>
    <n v="35.76"/>
    <n v="35.76"/>
    <x v="0"/>
    <n v="1"/>
    <n v="131.20547732638806"/>
    <x v="1"/>
    <x v="0"/>
  </r>
  <r>
    <x v="890"/>
    <x v="890"/>
    <d v="2024-11-12T16:49:04"/>
    <n v="3"/>
    <n v="107.28"/>
    <n v="35.76"/>
    <x v="1"/>
    <n v="1.0012680555519182"/>
    <n v="131.05734619213035"/>
    <x v="0"/>
    <x v="0"/>
  </r>
  <r>
    <x v="891"/>
    <x v="891"/>
    <d v="2024-11-14T09:36:28"/>
    <n v="4"/>
    <n v="143.04"/>
    <n v="35.76"/>
    <x v="0"/>
    <n v="2.561457893520128"/>
    <n v="129.35776454860752"/>
    <x v="0"/>
    <x v="0"/>
  </r>
  <r>
    <x v="892"/>
    <x v="892"/>
    <d v="2024-11-12T20:09:22"/>
    <n v="1"/>
    <n v="35.76"/>
    <n v="35.76"/>
    <x v="4"/>
    <n v="1"/>
    <n v="130.91825037037052"/>
    <x v="1"/>
    <x v="0"/>
  </r>
  <r>
    <x v="893"/>
    <x v="893"/>
    <d v="2024-11-13T08:09:11"/>
    <n v="1"/>
    <n v="30.86"/>
    <n v="30.86"/>
    <x v="3"/>
    <n v="1"/>
    <n v="130.4183771180542"/>
    <x v="1"/>
    <x v="0"/>
  </r>
  <r>
    <x v="894"/>
    <x v="894"/>
    <d v="2024-11-13T13:20:58"/>
    <n v="2"/>
    <n v="61.72"/>
    <n v="30.86"/>
    <x v="3"/>
    <n v="1.0007396643486572"/>
    <n v="130.20185368055536"/>
    <x v="1"/>
    <x v="0"/>
  </r>
  <r>
    <x v="895"/>
    <x v="895"/>
    <d v="2024-12-16T14:13:18"/>
    <n v="2"/>
    <n v="66.62"/>
    <n v="33.31"/>
    <x v="3"/>
    <n v="33.997082280089671"/>
    <n v="97.165514884261938"/>
    <x v="1"/>
    <x v="0"/>
  </r>
  <r>
    <x v="896"/>
    <x v="896"/>
    <d v="2024-11-14T10:06:43"/>
    <n v="1"/>
    <n v="25.96"/>
    <n v="25.96"/>
    <x v="2"/>
    <n v="1"/>
    <n v="129.33675873842731"/>
    <x v="1"/>
    <x v="0"/>
  </r>
  <r>
    <x v="897"/>
    <x v="897"/>
    <d v="2024-11-14T12:48:50"/>
    <n v="1"/>
    <n v="21.06"/>
    <n v="21.06"/>
    <x v="6"/>
    <n v="1"/>
    <n v="129.22416847222485"/>
    <x v="1"/>
    <x v="0"/>
  </r>
  <r>
    <x v="898"/>
    <x v="898"/>
    <d v="2024-11-14T15:03:45"/>
    <n v="1"/>
    <n v="35.76"/>
    <n v="35.76"/>
    <x v="7"/>
    <n v="1"/>
    <n v="129.13047710648243"/>
    <x v="1"/>
    <x v="0"/>
  </r>
  <r>
    <x v="899"/>
    <x v="899"/>
    <d v="2024-11-14T15:05:50"/>
    <n v="2"/>
    <n v="71.52"/>
    <n v="35.76"/>
    <x v="0"/>
    <n v="1.0006139351826278"/>
    <n v="129.12903752314742"/>
    <x v="1"/>
    <x v="0"/>
  </r>
  <r>
    <x v="900"/>
    <x v="900"/>
    <d v="2024-11-14T22:40:42"/>
    <n v="1"/>
    <n v="35.76"/>
    <n v="35.76"/>
    <x v="0"/>
    <n v="1"/>
    <n v="128.81315148148133"/>
    <x v="1"/>
    <x v="0"/>
  </r>
  <r>
    <x v="901"/>
    <x v="901"/>
    <d v="2024-11-15T08:45:51"/>
    <n v="1"/>
    <n v="30.86"/>
    <n v="30.86"/>
    <x v="3"/>
    <n v="1"/>
    <n v="128.39291083333228"/>
    <x v="1"/>
    <x v="0"/>
  </r>
  <r>
    <x v="902"/>
    <x v="902"/>
    <d v="2024-11-26T11:02:56"/>
    <n v="3"/>
    <n v="107.28"/>
    <n v="35.76"/>
    <x v="4"/>
    <n v="11.954118159723294"/>
    <n v="117.29771256944514"/>
    <x v="0"/>
    <x v="0"/>
  </r>
  <r>
    <x v="903"/>
    <x v="903"/>
    <d v="2024-11-15T12:14:19"/>
    <n v="1"/>
    <n v="35.76"/>
    <n v="35.76"/>
    <x v="4"/>
    <n v="1"/>
    <n v="128.24814912037255"/>
    <x v="1"/>
    <x v="0"/>
  </r>
  <r>
    <x v="904"/>
    <x v="904"/>
    <d v="2024-11-15T15:19:51"/>
    <n v="1"/>
    <n v="25.96"/>
    <n v="25.96"/>
    <x v="2"/>
    <n v="1"/>
    <n v="128.11930559027678"/>
    <x v="1"/>
    <x v="0"/>
  </r>
  <r>
    <x v="905"/>
    <x v="905"/>
    <d v="2025-01-17T17:39:11"/>
    <n v="11"/>
    <n v="393.35999999999996"/>
    <n v="35.76"/>
    <x v="0"/>
    <n v="63.98899447916483"/>
    <n v="65.022546585649252"/>
    <x v="2"/>
    <x v="1"/>
  </r>
  <r>
    <x v="906"/>
    <x v="906"/>
    <d v="2024-12-17T18:54:57"/>
    <n v="2"/>
    <n v="71.52"/>
    <n v="35.76"/>
    <x v="1"/>
    <n v="33.029309849538549"/>
    <n v="95.969922835647594"/>
    <x v="1"/>
    <x v="0"/>
  </r>
  <r>
    <x v="907"/>
    <x v="907"/>
    <d v="2024-11-16T10:45:51"/>
    <n v="1"/>
    <n v="25.96"/>
    <n v="25.96"/>
    <x v="5"/>
    <n v="1"/>
    <n v="127.30957471064903"/>
    <x v="1"/>
    <x v="0"/>
  </r>
  <r>
    <x v="908"/>
    <x v="908"/>
    <d v="2024-11-16T11:02:01"/>
    <n v="1"/>
    <n v="35.76"/>
    <n v="35.76"/>
    <x v="1"/>
    <n v="1"/>
    <n v="127.29835519675544"/>
    <x v="1"/>
    <x v="0"/>
  </r>
  <r>
    <x v="909"/>
    <x v="909"/>
    <d v="2024-11-16T11:03:07"/>
    <n v="1"/>
    <n v="35.76"/>
    <n v="35.76"/>
    <x v="0"/>
    <n v="1"/>
    <n v="127.29759328703949"/>
    <x v="1"/>
    <x v="0"/>
  </r>
  <r>
    <x v="910"/>
    <x v="910"/>
    <d v="2024-11-16T12:30:15"/>
    <n v="1"/>
    <n v="35.76"/>
    <n v="35.76"/>
    <x v="7"/>
    <n v="1"/>
    <n v="127.2370792939837"/>
    <x v="1"/>
    <x v="0"/>
  </r>
  <r>
    <x v="911"/>
    <x v="911"/>
    <d v="2024-11-16T12:31:51"/>
    <n v="1"/>
    <n v="30.86"/>
    <n v="30.86"/>
    <x v="3"/>
    <n v="1"/>
    <n v="127.23597313657228"/>
    <x v="1"/>
    <x v="0"/>
  </r>
  <r>
    <x v="912"/>
    <x v="912"/>
    <d v="2024-11-16T12:49:35"/>
    <n v="2"/>
    <n v="71.52"/>
    <n v="35.76"/>
    <x v="0"/>
    <n v="1.0006861226866022"/>
    <n v="127.22365171296406"/>
    <x v="1"/>
    <x v="0"/>
  </r>
  <r>
    <x v="913"/>
    <x v="913"/>
    <d v="2024-11-16T13:19:09"/>
    <n v="2"/>
    <n v="71.52"/>
    <n v="35.76"/>
    <x v="0"/>
    <n v="1.0007934259192552"/>
    <n v="127.20312045139144"/>
    <x v="1"/>
    <x v="0"/>
  </r>
  <r>
    <x v="914"/>
    <x v="914"/>
    <d v="2024-11-16T14:25:47"/>
    <n v="1"/>
    <n v="30.86"/>
    <n v="30.86"/>
    <x v="3"/>
    <n v="1"/>
    <n v="127.15684313657403"/>
    <x v="1"/>
    <x v="0"/>
  </r>
  <r>
    <x v="915"/>
    <x v="915"/>
    <d v="2024-11-17T10:29:37"/>
    <n v="1"/>
    <n v="30.86"/>
    <n v="30.86"/>
    <x v="3"/>
    <n v="1"/>
    <n v="126.32085245370399"/>
    <x v="1"/>
    <x v="0"/>
  </r>
  <r>
    <x v="916"/>
    <x v="916"/>
    <d v="2024-11-17T13:35:20"/>
    <n v="1"/>
    <n v="30.86"/>
    <n v="30.86"/>
    <x v="3"/>
    <n v="1"/>
    <n v="126.19188587962708"/>
    <x v="1"/>
    <x v="0"/>
  </r>
  <r>
    <x v="917"/>
    <x v="917"/>
    <d v="2024-11-17T14:18:42"/>
    <n v="1"/>
    <n v="25.96"/>
    <n v="25.96"/>
    <x v="2"/>
    <n v="1"/>
    <n v="126.16176895832905"/>
    <x v="1"/>
    <x v="0"/>
  </r>
  <r>
    <x v="918"/>
    <x v="918"/>
    <d v="2024-11-17T14:33:40"/>
    <n v="1"/>
    <n v="30.86"/>
    <n v="30.86"/>
    <x v="3"/>
    <n v="1"/>
    <n v="126.15137023148418"/>
    <x v="1"/>
    <x v="0"/>
  </r>
  <r>
    <x v="919"/>
    <x v="919"/>
    <d v="2024-12-30T15:13:39"/>
    <n v="4"/>
    <n v="138.13999999999999"/>
    <n v="34.534999999999997"/>
    <x v="0"/>
    <n v="43.948755868055741"/>
    <n v="83.12361046296428"/>
    <x v="2"/>
    <x v="1"/>
  </r>
  <r>
    <x v="920"/>
    <x v="920"/>
    <d v="2024-11-17T18:10:07"/>
    <n v="1"/>
    <n v="35.76"/>
    <n v="35.76"/>
    <x v="1"/>
    <n v="1"/>
    <n v="126.00106474536733"/>
    <x v="1"/>
    <x v="0"/>
  </r>
  <r>
    <x v="921"/>
    <x v="921"/>
    <d v="2024-12-12T19:50:58"/>
    <n v="4"/>
    <n v="143.04"/>
    <n v="35.76"/>
    <x v="1"/>
    <n v="26.023188020830275"/>
    <n v="100.93102894676122"/>
    <x v="0"/>
    <x v="0"/>
  </r>
  <r>
    <x v="922"/>
    <x v="922"/>
    <d v="2024-11-19T07:52:13"/>
    <n v="3"/>
    <n v="97.47999999999999"/>
    <n v="32.493333333333332"/>
    <x v="3"/>
    <n v="1.9992715624975972"/>
    <n v="124.43015302083222"/>
    <x v="0"/>
    <x v="0"/>
  </r>
  <r>
    <x v="923"/>
    <x v="923"/>
    <d v="2024-11-18T16:44:49"/>
    <n v="1"/>
    <n v="35.76"/>
    <n v="35.76"/>
    <x v="0"/>
    <n v="1"/>
    <n v="125.06029584490898"/>
    <x v="1"/>
    <x v="0"/>
  </r>
  <r>
    <x v="924"/>
    <x v="924"/>
    <d v="2024-11-18T18:50:54"/>
    <n v="1"/>
    <n v="35.76"/>
    <n v="35.76"/>
    <x v="0"/>
    <n v="1"/>
    <n v="124.97273724537081"/>
    <x v="1"/>
    <x v="0"/>
  </r>
  <r>
    <x v="925"/>
    <x v="925"/>
    <d v="2024-11-19T07:53:38"/>
    <n v="1"/>
    <n v="21.06"/>
    <n v="21.06"/>
    <x v="6"/>
    <n v="1"/>
    <n v="124.42916946759215"/>
    <x v="1"/>
    <x v="0"/>
  </r>
  <r>
    <x v="926"/>
    <x v="926"/>
    <d v="2024-11-19T07:54:47"/>
    <n v="1"/>
    <n v="35.76"/>
    <n v="35.76"/>
    <x v="0"/>
    <n v="1"/>
    <n v="124.42837664351828"/>
    <x v="1"/>
    <x v="0"/>
  </r>
  <r>
    <x v="927"/>
    <x v="927"/>
    <d v="2024-11-19T11:07:09"/>
    <n v="1"/>
    <n v="35.76"/>
    <n v="35.76"/>
    <x v="0"/>
    <n v="1"/>
    <n v="124.29478724536602"/>
    <x v="1"/>
    <x v="0"/>
  </r>
  <r>
    <x v="928"/>
    <x v="928"/>
    <d v="2024-11-19T16:47:41"/>
    <n v="1"/>
    <n v="35.76"/>
    <n v="35.76"/>
    <x v="7"/>
    <n v="1"/>
    <n v="124.05830325231364"/>
    <x v="1"/>
    <x v="0"/>
  </r>
  <r>
    <x v="929"/>
    <x v="929"/>
    <d v="2024-11-20T13:29:39"/>
    <n v="1"/>
    <n v="30.86"/>
    <n v="30.86"/>
    <x v="3"/>
    <n v="1"/>
    <n v="123.19583215277817"/>
    <x v="1"/>
    <x v="0"/>
  </r>
  <r>
    <x v="930"/>
    <x v="930"/>
    <d v="2024-11-20T17:50:50"/>
    <n v="2"/>
    <n v="71.52"/>
    <n v="35.76"/>
    <x v="7"/>
    <n v="1.0006717476862832"/>
    <n v="123.01445457175578"/>
    <x v="1"/>
    <x v="0"/>
  </r>
  <r>
    <x v="931"/>
    <x v="931"/>
    <d v="2024-11-21T13:00:47"/>
    <n v="1"/>
    <n v="35.76"/>
    <n v="35.76"/>
    <x v="4"/>
    <n v="1"/>
    <n v="122.21587089120294"/>
    <x v="1"/>
    <x v="0"/>
  </r>
  <r>
    <x v="932"/>
    <x v="932"/>
    <d v="2024-11-21T17:35:27"/>
    <n v="1"/>
    <n v="30.86"/>
    <n v="30.86"/>
    <x v="3"/>
    <n v="1"/>
    <n v="122.02513060185447"/>
    <x v="1"/>
    <x v="0"/>
  </r>
  <r>
    <x v="933"/>
    <x v="933"/>
    <d v="2024-11-21T17:39:23"/>
    <n v="1"/>
    <n v="25.96"/>
    <n v="25.96"/>
    <x v="5"/>
    <n v="1"/>
    <n v="122.02240350694046"/>
    <x v="1"/>
    <x v="0"/>
  </r>
  <r>
    <x v="934"/>
    <x v="934"/>
    <d v="2024-11-21T19:01:03"/>
    <n v="1"/>
    <n v="35.76"/>
    <n v="35.76"/>
    <x v="1"/>
    <n v="1"/>
    <n v="121.96569083333452"/>
    <x v="1"/>
    <x v="0"/>
  </r>
  <r>
    <x v="935"/>
    <x v="935"/>
    <d v="2024-11-22T11:02:32"/>
    <n v="1"/>
    <n v="35.76"/>
    <n v="35.76"/>
    <x v="0"/>
    <n v="1"/>
    <n v="121.29798881944589"/>
    <x v="1"/>
    <x v="0"/>
  </r>
  <r>
    <x v="936"/>
    <x v="936"/>
    <d v="2024-11-22T11:24:26"/>
    <n v="1"/>
    <n v="35.76"/>
    <n v="35.76"/>
    <x v="4"/>
    <n v="1"/>
    <n v="121.28278013888485"/>
    <x v="1"/>
    <x v="0"/>
  </r>
  <r>
    <x v="937"/>
    <x v="937"/>
    <d v="2024-12-10T18:21:58"/>
    <n v="4"/>
    <n v="143.04"/>
    <n v="35.76"/>
    <x v="1"/>
    <n v="19.075607835649862"/>
    <n v="102.99283326388831"/>
    <x v="0"/>
    <x v="0"/>
  </r>
  <r>
    <x v="938"/>
    <x v="938"/>
    <d v="2024-11-23T11:10:26"/>
    <n v="2"/>
    <n v="51.92"/>
    <n v="25.96"/>
    <x v="2"/>
    <n v="1.0006692361130263"/>
    <n v="120.29250913194119"/>
    <x v="1"/>
    <x v="0"/>
  </r>
  <r>
    <x v="939"/>
    <x v="939"/>
    <d v="2024-11-23T22:37:04"/>
    <n v="1"/>
    <n v="35.76"/>
    <n v="35.76"/>
    <x v="0"/>
    <n v="1"/>
    <n v="119.81567653935053"/>
    <x v="1"/>
    <x v="0"/>
  </r>
  <r>
    <x v="940"/>
    <x v="940"/>
    <d v="2024-11-25T07:54:24"/>
    <n v="1"/>
    <n v="35.76"/>
    <n v="35.76"/>
    <x v="0"/>
    <n v="1"/>
    <n v="118.42864734953764"/>
    <x v="1"/>
    <x v="0"/>
  </r>
  <r>
    <x v="941"/>
    <x v="941"/>
    <d v="2024-11-25T12:50:58"/>
    <n v="1"/>
    <n v="35.76"/>
    <n v="35.76"/>
    <x v="0"/>
    <n v="1"/>
    <n v="118.22269023147965"/>
    <x v="1"/>
    <x v="0"/>
  </r>
  <r>
    <x v="942"/>
    <x v="942"/>
    <d v="2024-11-25T12:52:41"/>
    <n v="1"/>
    <n v="35.76"/>
    <n v="35.76"/>
    <x v="0"/>
    <n v="1"/>
    <n v="118.22149979166716"/>
    <x v="1"/>
    <x v="0"/>
  </r>
  <r>
    <x v="943"/>
    <x v="943"/>
    <d v="2024-11-25T19:01:59"/>
    <n v="1"/>
    <n v="30.86"/>
    <n v="30.86"/>
    <x v="3"/>
    <n v="1"/>
    <n v="117.96504094907141"/>
    <x v="1"/>
    <x v="0"/>
  </r>
  <r>
    <x v="944"/>
    <x v="944"/>
    <d v="2024-11-25T19:37:58"/>
    <n v="1"/>
    <n v="35.76"/>
    <n v="35.76"/>
    <x v="1"/>
    <n v="1"/>
    <n v="117.94004798610695"/>
    <x v="1"/>
    <x v="0"/>
  </r>
  <r>
    <x v="945"/>
    <x v="945"/>
    <d v="2024-11-26T11:03:47"/>
    <n v="1"/>
    <n v="25.96"/>
    <n v="25.96"/>
    <x v="2"/>
    <n v="1"/>
    <n v="117.2971222222186"/>
    <x v="1"/>
    <x v="0"/>
  </r>
  <r>
    <x v="946"/>
    <x v="946"/>
    <d v="2024-11-26T11:07:10"/>
    <n v="2"/>
    <n v="71.52"/>
    <n v="35.76"/>
    <x v="4"/>
    <n v="1.0007046064783935"/>
    <n v="117.29477626157313"/>
    <x v="1"/>
    <x v="0"/>
  </r>
  <r>
    <x v="947"/>
    <x v="947"/>
    <d v="2024-11-26T16:03:54"/>
    <n v="1"/>
    <n v="35.76"/>
    <n v="35.76"/>
    <x v="0"/>
    <n v="1"/>
    <n v="117.08870753472002"/>
    <x v="1"/>
    <x v="0"/>
  </r>
  <r>
    <x v="948"/>
    <x v="948"/>
    <d v="2024-11-26T16:05:01"/>
    <n v="1"/>
    <n v="35.76"/>
    <n v="35.76"/>
    <x v="0"/>
    <n v="1"/>
    <n v="117.08794074074103"/>
    <x v="1"/>
    <x v="0"/>
  </r>
  <r>
    <x v="949"/>
    <x v="949"/>
    <d v="2024-11-26T17:12:34"/>
    <n v="2"/>
    <n v="56.82"/>
    <n v="28.41"/>
    <x v="2"/>
    <n v="1.0006563773204107"/>
    <n v="117.04102081018209"/>
    <x v="1"/>
    <x v="0"/>
  </r>
  <r>
    <x v="950"/>
    <x v="950"/>
    <d v="2024-11-26T19:47:25"/>
    <n v="1"/>
    <n v="35.76"/>
    <n v="35.76"/>
    <x v="4"/>
    <n v="1"/>
    <n v="116.93349502314959"/>
    <x v="1"/>
    <x v="0"/>
  </r>
  <r>
    <x v="951"/>
    <x v="951"/>
    <d v="2024-11-28T08:41:17"/>
    <n v="1"/>
    <n v="35.76"/>
    <n v="35.76"/>
    <x v="7"/>
    <n v="1"/>
    <n v="115.39608460648014"/>
    <x v="1"/>
    <x v="0"/>
  </r>
  <r>
    <x v="952"/>
    <x v="952"/>
    <d v="2024-11-29T15:18:07"/>
    <n v="1"/>
    <n v="30.86"/>
    <n v="30.86"/>
    <x v="3"/>
    <n v="1"/>
    <n v="114.12050665509014"/>
    <x v="1"/>
    <x v="0"/>
  </r>
  <r>
    <x v="953"/>
    <x v="953"/>
    <d v="2024-11-29T15:19:20"/>
    <n v="1"/>
    <n v="35.76"/>
    <n v="35.76"/>
    <x v="0"/>
    <n v="1"/>
    <n v="114.11965609953768"/>
    <x v="1"/>
    <x v="0"/>
  </r>
  <r>
    <x v="954"/>
    <x v="954"/>
    <d v="2024-11-29T20:57:55"/>
    <n v="1"/>
    <n v="35.76"/>
    <n v="35.76"/>
    <x v="4"/>
    <n v="1"/>
    <n v="113.88453666666464"/>
    <x v="1"/>
    <x v="0"/>
  </r>
  <r>
    <x v="955"/>
    <x v="955"/>
    <d v="2024-11-30T14:05:58"/>
    <n v="2"/>
    <n v="61.72"/>
    <n v="30.86"/>
    <x v="2"/>
    <n v="1.0007206481459434"/>
    <n v="113.17060829861293"/>
    <x v="1"/>
    <x v="0"/>
  </r>
  <r>
    <x v="956"/>
    <x v="956"/>
    <d v="2024-11-30T22:03:48"/>
    <n v="1"/>
    <n v="30.86"/>
    <n v="30.86"/>
    <x v="3"/>
    <n v="1"/>
    <n v="112.83877489583392"/>
    <x v="1"/>
    <x v="0"/>
  </r>
  <r>
    <x v="957"/>
    <x v="957"/>
    <d v="2024-12-01T14:34:23"/>
    <n v="1"/>
    <n v="30.86"/>
    <n v="30.86"/>
    <x v="3"/>
    <n v="1"/>
    <n v="112.15087690971995"/>
    <x v="1"/>
    <x v="0"/>
  </r>
  <r>
    <x v="958"/>
    <x v="958"/>
    <d v="2024-12-01T15:09:57"/>
    <n v="2"/>
    <n v="71.52"/>
    <n v="35.76"/>
    <x v="4"/>
    <n v="1.0005128240736667"/>
    <n v="112.12617678240349"/>
    <x v="1"/>
    <x v="0"/>
  </r>
  <r>
    <x v="959"/>
    <x v="959"/>
    <d v="2024-12-01T15:43:02"/>
    <n v="1"/>
    <n v="35.76"/>
    <n v="35.76"/>
    <x v="7"/>
    <n v="1"/>
    <n v="112.10319840277953"/>
    <x v="1"/>
    <x v="0"/>
  </r>
  <r>
    <x v="960"/>
    <x v="960"/>
    <d v="2024-12-01T15:56:31"/>
    <n v="1"/>
    <n v="35.76"/>
    <n v="35.76"/>
    <x v="0"/>
    <n v="1"/>
    <n v="112.09383587962657"/>
    <x v="1"/>
    <x v="0"/>
  </r>
  <r>
    <x v="961"/>
    <x v="961"/>
    <d v="2024-12-01T15:57:49"/>
    <n v="1"/>
    <n v="35.76"/>
    <n v="35.76"/>
    <x v="0"/>
    <n v="1"/>
    <n v="112.09293135416374"/>
    <x v="1"/>
    <x v="0"/>
  </r>
  <r>
    <x v="962"/>
    <x v="962"/>
    <d v="2024-12-01T16:32:59"/>
    <n v="1"/>
    <n v="35.76"/>
    <n v="35.76"/>
    <x v="0"/>
    <n v="1"/>
    <n v="112.06850872685027"/>
    <x v="1"/>
    <x v="0"/>
  </r>
  <r>
    <x v="963"/>
    <x v="963"/>
    <d v="2024-12-01T16:34:30"/>
    <n v="1"/>
    <n v="35.76"/>
    <n v="35.76"/>
    <x v="0"/>
    <n v="1"/>
    <n v="112.06746050925722"/>
    <x v="1"/>
    <x v="0"/>
  </r>
  <r>
    <x v="964"/>
    <x v="964"/>
    <d v="2024-12-01T17:11:32"/>
    <n v="2"/>
    <n v="61.72"/>
    <n v="30.86"/>
    <x v="3"/>
    <n v="1.0007921643482405"/>
    <n v="112.0417432407412"/>
    <x v="1"/>
    <x v="0"/>
  </r>
  <r>
    <x v="965"/>
    <x v="965"/>
    <d v="2024-12-01T18:38:29"/>
    <n v="1"/>
    <n v="30.86"/>
    <n v="30.86"/>
    <x v="3"/>
    <n v="1"/>
    <n v="111.98136516203522"/>
    <x v="1"/>
    <x v="0"/>
  </r>
  <r>
    <x v="966"/>
    <x v="966"/>
    <d v="2024-12-02T07:51:59"/>
    <n v="1"/>
    <n v="25.96"/>
    <n v="25.96"/>
    <x v="2"/>
    <n v="1"/>
    <n v="111.43031553240871"/>
    <x v="1"/>
    <x v="0"/>
  </r>
  <r>
    <x v="967"/>
    <x v="967"/>
    <d v="2024-12-02T08:53:14"/>
    <n v="1"/>
    <n v="35.76"/>
    <n v="35.76"/>
    <x v="4"/>
    <n v="1"/>
    <n v="111.38777987268259"/>
    <x v="1"/>
    <x v="0"/>
  </r>
  <r>
    <x v="968"/>
    <x v="968"/>
    <d v="2024-12-02T15:28:24"/>
    <n v="1"/>
    <n v="21.06"/>
    <n v="21.06"/>
    <x v="6"/>
    <n v="1"/>
    <n v="111.11336445601773"/>
    <x v="1"/>
    <x v="0"/>
  </r>
  <r>
    <x v="969"/>
    <x v="969"/>
    <d v="2024-12-02T16:12:24"/>
    <n v="1"/>
    <n v="35.76"/>
    <n v="35.76"/>
    <x v="7"/>
    <n v="1"/>
    <n v="111.08280920139077"/>
    <x v="1"/>
    <x v="0"/>
  </r>
  <r>
    <x v="970"/>
    <x v="970"/>
    <d v="2024-12-02T17:34:22"/>
    <n v="1"/>
    <n v="25.96"/>
    <n v="25.96"/>
    <x v="2"/>
    <n v="1"/>
    <n v="111.02589050925599"/>
    <x v="1"/>
    <x v="0"/>
  </r>
  <r>
    <x v="971"/>
    <x v="971"/>
    <d v="2024-12-02T18:00:32"/>
    <n v="1"/>
    <n v="35.76"/>
    <n v="35.76"/>
    <x v="7"/>
    <n v="1"/>
    <n v="111.00771221064497"/>
    <x v="1"/>
    <x v="0"/>
  </r>
  <r>
    <x v="972"/>
    <x v="972"/>
    <d v="2024-12-03T11:17:58"/>
    <n v="1"/>
    <n v="25.96"/>
    <n v="25.96"/>
    <x v="2"/>
    <n v="1"/>
    <n v="110.28727105323924"/>
    <x v="1"/>
    <x v="0"/>
  </r>
  <r>
    <x v="973"/>
    <x v="973"/>
    <d v="2024-12-03T11:42:08"/>
    <n v="1"/>
    <n v="30.86"/>
    <n v="30.86"/>
    <x v="3"/>
    <n v="1"/>
    <n v="110.27049832175544"/>
    <x v="1"/>
    <x v="0"/>
  </r>
  <r>
    <x v="974"/>
    <x v="974"/>
    <d v="2024-12-03T20:50:56"/>
    <n v="1"/>
    <n v="35.76"/>
    <n v="35.76"/>
    <x v="4"/>
    <n v="1"/>
    <n v="109.88938521990349"/>
    <x v="1"/>
    <x v="0"/>
  </r>
  <r>
    <x v="975"/>
    <x v="975"/>
    <d v="2024-12-08T21:41:24"/>
    <n v="2"/>
    <n v="61.72"/>
    <n v="30.86"/>
    <x v="3"/>
    <n v="5.9737239583337214"/>
    <n v="104.85434157407144"/>
    <x v="1"/>
    <x v="0"/>
  </r>
  <r>
    <x v="976"/>
    <x v="976"/>
    <d v="2024-12-04T08:50:30"/>
    <n v="1"/>
    <n v="35.76"/>
    <n v="35.76"/>
    <x v="0"/>
    <n v="1"/>
    <n v="109.38968021990877"/>
    <x v="1"/>
    <x v="0"/>
  </r>
  <r>
    <x v="977"/>
    <x v="977"/>
    <d v="2024-12-04T08:52:15"/>
    <n v="1"/>
    <n v="35.76"/>
    <n v="35.76"/>
    <x v="0"/>
    <n v="1"/>
    <n v="109.38846790508978"/>
    <x v="1"/>
    <x v="0"/>
  </r>
  <r>
    <x v="978"/>
    <x v="978"/>
    <d v="2024-12-04T09:04:14"/>
    <n v="1"/>
    <n v="25.96"/>
    <n v="25.96"/>
    <x v="2"/>
    <n v="1"/>
    <n v="109.38014456018573"/>
    <x v="1"/>
    <x v="0"/>
  </r>
  <r>
    <x v="979"/>
    <x v="979"/>
    <d v="2024-12-04T10:26:58"/>
    <n v="1"/>
    <n v="30.86"/>
    <n v="30.86"/>
    <x v="3"/>
    <n v="1"/>
    <n v="109.32269541666756"/>
    <x v="1"/>
    <x v="0"/>
  </r>
  <r>
    <x v="980"/>
    <x v="980"/>
    <d v="2024-12-04T11:45:58"/>
    <n v="1"/>
    <n v="30.86"/>
    <n v="30.86"/>
    <x v="3"/>
    <n v="1"/>
    <n v="109.26783462963067"/>
    <x v="1"/>
    <x v="0"/>
  </r>
  <r>
    <x v="981"/>
    <x v="981"/>
    <d v="2024-12-04T14:33:55"/>
    <n v="1"/>
    <n v="35.76"/>
    <n v="35.76"/>
    <x v="1"/>
    <n v="1"/>
    <n v="109.1512028703728"/>
    <x v="1"/>
    <x v="0"/>
  </r>
  <r>
    <x v="982"/>
    <x v="982"/>
    <d v="2024-12-05T08:53:48"/>
    <n v="1"/>
    <n v="25.96"/>
    <n v="25.96"/>
    <x v="2"/>
    <n v="1"/>
    <n v="108.38738828703936"/>
    <x v="1"/>
    <x v="0"/>
  </r>
  <r>
    <x v="983"/>
    <x v="983"/>
    <d v="2024-12-05T11:50:45"/>
    <n v="1"/>
    <n v="25.96"/>
    <n v="25.96"/>
    <x v="2"/>
    <n v="1"/>
    <n v="108.2645147916628"/>
    <x v="1"/>
    <x v="0"/>
  </r>
  <r>
    <x v="984"/>
    <x v="984"/>
    <d v="2024-12-05T14:30:58"/>
    <n v="1"/>
    <n v="35.76"/>
    <n v="35.76"/>
    <x v="7"/>
    <n v="1"/>
    <n v="108.15324413194321"/>
    <x v="1"/>
    <x v="0"/>
  </r>
  <r>
    <x v="985"/>
    <x v="985"/>
    <d v="2024-12-07T11:17:10"/>
    <n v="1"/>
    <n v="30.86"/>
    <n v="30.86"/>
    <x v="3"/>
    <n v="1"/>
    <n v="106.28782976851653"/>
    <x v="1"/>
    <x v="0"/>
  </r>
  <r>
    <x v="986"/>
    <x v="986"/>
    <d v="2024-12-07T14:16:43"/>
    <n v="1"/>
    <n v="25.96"/>
    <n v="25.96"/>
    <x v="2"/>
    <n v="1"/>
    <n v="106.1631451620342"/>
    <x v="1"/>
    <x v="0"/>
  </r>
  <r>
    <x v="987"/>
    <x v="987"/>
    <d v="2024-12-07T22:00:10"/>
    <n v="1"/>
    <n v="30.86"/>
    <n v="30.86"/>
    <x v="3"/>
    <n v="1"/>
    <n v="105.84130371527863"/>
    <x v="1"/>
    <x v="0"/>
  </r>
  <r>
    <x v="988"/>
    <x v="988"/>
    <d v="2024-12-07T22:28:17"/>
    <n v="1"/>
    <n v="25.96"/>
    <n v="25.96"/>
    <x v="2"/>
    <n v="1"/>
    <n v="105.82177716435399"/>
    <x v="1"/>
    <x v="0"/>
  </r>
  <r>
    <x v="989"/>
    <x v="989"/>
    <d v="2024-12-08T12:51:41"/>
    <n v="1"/>
    <n v="25.96"/>
    <n v="25.96"/>
    <x v="5"/>
    <n v="1"/>
    <n v="105.22219629629399"/>
    <x v="1"/>
    <x v="0"/>
  </r>
  <r>
    <x v="990"/>
    <x v="990"/>
    <d v="2024-12-08T13:03:39"/>
    <n v="2"/>
    <n v="61.72"/>
    <n v="30.86"/>
    <x v="3"/>
    <n v="1.0007235879602376"/>
    <n v="105.21388790509081"/>
    <x v="1"/>
    <x v="0"/>
  </r>
  <r>
    <x v="991"/>
    <x v="991"/>
    <d v="2024-12-08T18:41:49"/>
    <n v="1"/>
    <n v="21.06"/>
    <n v="21.06"/>
    <x v="6"/>
    <n v="1"/>
    <n v="104.97904956018465"/>
    <x v="1"/>
    <x v="0"/>
  </r>
  <r>
    <x v="992"/>
    <x v="992"/>
    <d v="2024-12-08T21:28:30"/>
    <n v="1"/>
    <n v="30.86"/>
    <n v="30.86"/>
    <x v="3"/>
    <n v="1"/>
    <n v="104.86329347221908"/>
    <x v="1"/>
    <x v="0"/>
  </r>
  <r>
    <x v="993"/>
    <x v="993"/>
    <d v="2024-12-09T08:32:41"/>
    <n v="1"/>
    <n v="35.76"/>
    <n v="35.76"/>
    <x v="7"/>
    <n v="1"/>
    <n v="104.40205815972149"/>
    <x v="1"/>
    <x v="0"/>
  </r>
  <r>
    <x v="994"/>
    <x v="994"/>
    <d v="2024-12-09T09:12:25"/>
    <n v="1"/>
    <n v="25.96"/>
    <n v="25.96"/>
    <x v="2"/>
    <n v="1"/>
    <n v="104.37446137731604"/>
    <x v="1"/>
    <x v="0"/>
  </r>
  <r>
    <x v="995"/>
    <x v="995"/>
    <d v="2024-12-09T21:21:51"/>
    <n v="1"/>
    <n v="35.76"/>
    <n v="35.76"/>
    <x v="4"/>
    <n v="1"/>
    <n v="103.86790932869917"/>
    <x v="1"/>
    <x v="0"/>
  </r>
  <r>
    <x v="996"/>
    <x v="996"/>
    <d v="2024-12-11T12:13:06"/>
    <n v="1"/>
    <n v="35.76"/>
    <n v="35.76"/>
    <x v="1"/>
    <n v="1"/>
    <n v="102.24898567129276"/>
    <x v="1"/>
    <x v="0"/>
  </r>
  <r>
    <x v="997"/>
    <x v="997"/>
    <d v="2024-12-11T12:56:48"/>
    <n v="1"/>
    <n v="21.06"/>
    <n v="21.06"/>
    <x v="6"/>
    <n v="1"/>
    <n v="102.21864432869916"/>
    <x v="1"/>
    <x v="0"/>
  </r>
  <r>
    <x v="998"/>
    <x v="998"/>
    <d v="2024-12-11T17:59:25"/>
    <n v="1"/>
    <n v="35.76"/>
    <n v="35.76"/>
    <x v="4"/>
    <n v="1"/>
    <n v="102.00848587962537"/>
    <x v="1"/>
    <x v="0"/>
  </r>
  <r>
    <x v="999"/>
    <x v="999"/>
    <d v="2025-01-04T22:23:31"/>
    <n v="2"/>
    <n v="71.52"/>
    <n v="35.76"/>
    <x v="0"/>
    <n v="25.045295462965441"/>
    <n v="77.825091608792718"/>
    <x v="1"/>
    <x v="0"/>
  </r>
  <r>
    <x v="1000"/>
    <x v="1000"/>
    <d v="2024-12-12T07:58:31"/>
    <n v="1"/>
    <n v="30.86"/>
    <n v="30.86"/>
    <x v="3"/>
    <n v="1"/>
    <n v="101.42578065972339"/>
    <x v="1"/>
    <x v="0"/>
  </r>
  <r>
    <x v="1001"/>
    <x v="1001"/>
    <d v="2024-12-12T12:49:24"/>
    <n v="1"/>
    <n v="25.96"/>
    <n v="25.96"/>
    <x v="2"/>
    <n v="1"/>
    <n v="101.22378429397941"/>
    <x v="1"/>
    <x v="0"/>
  </r>
  <r>
    <x v="1002"/>
    <x v="1002"/>
    <d v="2024-12-30T16:29:54"/>
    <n v="8"/>
    <n v="212.57999999999998"/>
    <n v="26.572499999999998"/>
    <x v="2"/>
    <n v="18.982543692131003"/>
    <n v="83.070656851850799"/>
    <x v="2"/>
    <x v="1"/>
  </r>
  <r>
    <x v="1003"/>
    <x v="1003"/>
    <d v="2024-12-13T12:27:25"/>
    <n v="1"/>
    <n v="25.96"/>
    <n v="25.96"/>
    <x v="2"/>
    <n v="1"/>
    <n v="100.23904145833512"/>
    <x v="1"/>
    <x v="0"/>
  </r>
  <r>
    <x v="1004"/>
    <x v="1004"/>
    <d v="2024-12-13T14:01:58"/>
    <n v="1"/>
    <n v="35.76"/>
    <n v="35.76"/>
    <x v="1"/>
    <n v="1"/>
    <n v="100.17338624999684"/>
    <x v="1"/>
    <x v="0"/>
  </r>
  <r>
    <x v="1005"/>
    <x v="1005"/>
    <d v="2024-12-14T08:27:32"/>
    <n v="1"/>
    <n v="30.86"/>
    <n v="30.86"/>
    <x v="3"/>
    <n v="1"/>
    <n v="99.405631724534032"/>
    <x v="1"/>
    <x v="0"/>
  </r>
  <r>
    <x v="1006"/>
    <x v="1006"/>
    <d v="2024-12-14T09:03:06"/>
    <n v="1"/>
    <n v="35.76"/>
    <n v="35.76"/>
    <x v="4"/>
    <n v="1"/>
    <n v="99.380938229165622"/>
    <x v="1"/>
    <x v="0"/>
  </r>
  <r>
    <x v="1007"/>
    <x v="1007"/>
    <d v="2024-12-14T13:20:09"/>
    <n v="2"/>
    <n v="61.72"/>
    <n v="30.86"/>
    <x v="2"/>
    <n v="1.0007126157361199"/>
    <n v="99.202430925928638"/>
    <x v="1"/>
    <x v="0"/>
  </r>
  <r>
    <x v="1008"/>
    <x v="1008"/>
    <d v="2024-12-14T18:23:44"/>
    <n v="1"/>
    <n v="30.86"/>
    <n v="30.86"/>
    <x v="3"/>
    <n v="1"/>
    <n v="98.991602766203869"/>
    <x v="1"/>
    <x v="0"/>
  </r>
  <r>
    <x v="1009"/>
    <x v="1009"/>
    <d v="2025-01-21T08:05:04"/>
    <n v="2"/>
    <n v="71.52"/>
    <n v="35.76"/>
    <x v="1"/>
    <n v="37.001078356486687"/>
    <n v="61.421231087959313"/>
    <x v="1"/>
    <x v="0"/>
  </r>
  <r>
    <x v="1010"/>
    <x v="1010"/>
    <d v="2024-12-16T12:19:08"/>
    <n v="1"/>
    <n v="30.86"/>
    <n v="30.86"/>
    <x v="3"/>
    <n v="1"/>
    <n v="97.244797499995911"/>
    <x v="1"/>
    <x v="0"/>
  </r>
  <r>
    <x v="1011"/>
    <x v="1011"/>
    <d v="2024-12-17T08:48:18"/>
    <n v="1"/>
    <n v="25.96"/>
    <n v="25.96"/>
    <x v="5"/>
    <n v="1"/>
    <n v="96.391209224537306"/>
    <x v="1"/>
    <x v="0"/>
  </r>
  <r>
    <x v="1012"/>
    <x v="1012"/>
    <d v="2024-12-17T08:52:33"/>
    <n v="1"/>
    <n v="35.76"/>
    <n v="35.76"/>
    <x v="7"/>
    <n v="1"/>
    <n v="96.388263935186842"/>
    <x v="1"/>
    <x v="0"/>
  </r>
  <r>
    <x v="1013"/>
    <x v="1013"/>
    <d v="2024-12-17T16:23:37"/>
    <n v="2"/>
    <n v="61.72"/>
    <n v="30.86"/>
    <x v="2"/>
    <n v="1.000712337969162"/>
    <n v="96.075023495366622"/>
    <x v="1"/>
    <x v="0"/>
  </r>
  <r>
    <x v="1014"/>
    <x v="1014"/>
    <d v="2024-12-18T09:30:28"/>
    <n v="1"/>
    <n v="35.76"/>
    <n v="35.76"/>
    <x v="0"/>
    <n v="1"/>
    <n v="95.361925347220676"/>
    <x v="1"/>
    <x v="0"/>
  </r>
  <r>
    <x v="1015"/>
    <x v="1015"/>
    <d v="2024-12-18T10:04:03"/>
    <n v="3"/>
    <n v="102.38"/>
    <n v="34.126666666666665"/>
    <x v="3"/>
    <n v="1.0018737152786343"/>
    <n v="95.33860248842393"/>
    <x v="0"/>
    <x v="0"/>
  </r>
  <r>
    <x v="1016"/>
    <x v="1016"/>
    <d v="2024-12-19T10:12:11"/>
    <n v="1"/>
    <n v="35.76"/>
    <n v="35.76"/>
    <x v="1"/>
    <n v="1"/>
    <n v="94.332956597223529"/>
    <x v="1"/>
    <x v="0"/>
  </r>
  <r>
    <x v="1017"/>
    <x v="1017"/>
    <d v="2024-12-19T12:10:52"/>
    <n v="1"/>
    <n v="21.06"/>
    <n v="21.06"/>
    <x v="6"/>
    <n v="1"/>
    <n v="94.250535949075129"/>
    <x v="1"/>
    <x v="0"/>
  </r>
  <r>
    <x v="1018"/>
    <x v="1018"/>
    <d v="2024-12-19T13:38:57"/>
    <n v="1"/>
    <n v="35.76"/>
    <n v="35.76"/>
    <x v="1"/>
    <n v="1"/>
    <n v="94.189373240740679"/>
    <x v="1"/>
    <x v="0"/>
  </r>
  <r>
    <x v="1019"/>
    <x v="1019"/>
    <d v="2024-12-21T17:47:28"/>
    <n v="3"/>
    <n v="102.38"/>
    <n v="34.126666666666665"/>
    <x v="3"/>
    <n v="2.9160859953699401"/>
    <n v="92.016791469905002"/>
    <x v="0"/>
    <x v="0"/>
  </r>
  <r>
    <x v="1020"/>
    <x v="1020"/>
    <d v="2024-12-19T21:09:16"/>
    <n v="2"/>
    <n v="71.52"/>
    <n v="35.76"/>
    <x v="0"/>
    <n v="1.0007396759319818"/>
    <n v="93.876654120365856"/>
    <x v="1"/>
    <x v="0"/>
  </r>
  <r>
    <x v="1021"/>
    <x v="1021"/>
    <d v="2024-12-20T10:12:43"/>
    <n v="1"/>
    <n v="35.76"/>
    <n v="35.76"/>
    <x v="7"/>
    <n v="1"/>
    <n v="93.332590324076591"/>
    <x v="1"/>
    <x v="0"/>
  </r>
  <r>
    <x v="1022"/>
    <x v="1022"/>
    <d v="2024-12-20T14:58:20"/>
    <n v="1"/>
    <n v="25.96"/>
    <n v="25.96"/>
    <x v="5"/>
    <n v="1"/>
    <n v="93.134239421298844"/>
    <x v="1"/>
    <x v="0"/>
  </r>
  <r>
    <x v="1023"/>
    <x v="1023"/>
    <d v="2024-12-20T18:28:22"/>
    <n v="1"/>
    <n v="35.76"/>
    <n v="35.76"/>
    <x v="7"/>
    <n v="1"/>
    <n v="92.988385231481516"/>
    <x v="1"/>
    <x v="0"/>
  </r>
  <r>
    <x v="1024"/>
    <x v="1024"/>
    <d v="2024-12-21T10:20:41"/>
    <n v="2"/>
    <n v="71.52"/>
    <n v="35.76"/>
    <x v="7"/>
    <n v="1.0008938773171394"/>
    <n v="92.327054733796103"/>
    <x v="1"/>
    <x v="0"/>
  </r>
  <r>
    <x v="1025"/>
    <x v="1025"/>
    <d v="2024-12-21T10:32:03"/>
    <n v="1"/>
    <n v="25.96"/>
    <n v="25.96"/>
    <x v="2"/>
    <n v="1"/>
    <n v="92.319164803237072"/>
    <x v="1"/>
    <x v="0"/>
  </r>
  <r>
    <x v="1026"/>
    <x v="1026"/>
    <d v="2024-12-21T15:58:07"/>
    <n v="1"/>
    <n v="35.76"/>
    <n v="35.76"/>
    <x v="0"/>
    <n v="1"/>
    <n v="92.092727002316678"/>
    <x v="1"/>
    <x v="0"/>
  </r>
  <r>
    <x v="1027"/>
    <x v="1027"/>
    <d v="2024-12-21T18:02:37"/>
    <n v="1"/>
    <n v="35.76"/>
    <n v="35.76"/>
    <x v="1"/>
    <n v="1"/>
    <n v="92.006270439815125"/>
    <x v="1"/>
    <x v="0"/>
  </r>
  <r>
    <x v="1028"/>
    <x v="1028"/>
    <d v="2025-01-14T09:53:43"/>
    <n v="15"/>
    <n v="389.39999999999992"/>
    <n v="25.959999999999994"/>
    <x v="5"/>
    <n v="24.656546793987218"/>
    <n v="68.345784988421656"/>
    <x v="2"/>
    <x v="1"/>
  </r>
  <r>
    <x v="1029"/>
    <x v="1029"/>
    <d v="2024-12-21T19:49:46"/>
    <n v="2"/>
    <n v="56.82"/>
    <n v="28.41"/>
    <x v="3"/>
    <n v="1.0010684606531868"/>
    <n v="91.931861874996684"/>
    <x v="1"/>
    <x v="0"/>
  </r>
  <r>
    <x v="1030"/>
    <x v="1030"/>
    <d v="2024-12-21T21:58:49"/>
    <n v="1"/>
    <n v="35.76"/>
    <n v="35.76"/>
    <x v="0"/>
    <n v="1"/>
    <n v="91.842243993058219"/>
    <x v="1"/>
    <x v="0"/>
  </r>
  <r>
    <x v="1031"/>
    <x v="1031"/>
    <d v="2024-12-22T19:36:30"/>
    <n v="2"/>
    <n v="71.52"/>
    <n v="35.76"/>
    <x v="1"/>
    <n v="1.0005094328662381"/>
    <n v="90.941073750000214"/>
    <x v="1"/>
    <x v="0"/>
  </r>
  <r>
    <x v="1032"/>
    <x v="1032"/>
    <d v="2024-12-22T21:55:19"/>
    <n v="1"/>
    <n v="35.76"/>
    <n v="35.76"/>
    <x v="4"/>
    <n v="1"/>
    <n v="90.844674548607145"/>
    <x v="1"/>
    <x v="0"/>
  </r>
  <r>
    <x v="1033"/>
    <x v="1033"/>
    <d v="2025-01-24T13:43:38"/>
    <n v="11"/>
    <n v="329.65999999999997"/>
    <n v="29.969090909090905"/>
    <x v="5"/>
    <n v="33.657422326388769"/>
    <n v="58.186123263891204"/>
    <x v="4"/>
    <x v="2"/>
  </r>
  <r>
    <x v="1034"/>
    <x v="1034"/>
    <d v="2024-12-23T14:05:32"/>
    <n v="1"/>
    <n v="35.76"/>
    <n v="35.76"/>
    <x v="0"/>
    <n v="1"/>
    <n v="90.170913194444438"/>
    <x v="1"/>
    <x v="0"/>
  </r>
  <r>
    <x v="1035"/>
    <x v="1035"/>
    <d v="2024-12-23T15:00:24"/>
    <n v="1"/>
    <n v="30.86"/>
    <n v="30.86"/>
    <x v="3"/>
    <n v="1"/>
    <n v="90.132811990741175"/>
    <x v="1"/>
    <x v="0"/>
  </r>
  <r>
    <x v="1036"/>
    <x v="1036"/>
    <d v="2024-12-23T17:22:40"/>
    <n v="2"/>
    <n v="61.72"/>
    <n v="30.86"/>
    <x v="5"/>
    <n v="1.0009236342593795"/>
    <n v="90.0340085416683"/>
    <x v="1"/>
    <x v="0"/>
  </r>
  <r>
    <x v="1037"/>
    <x v="1037"/>
    <d v="2024-12-24T15:10:43"/>
    <n v="1"/>
    <n v="30.86"/>
    <n v="30.86"/>
    <x v="3"/>
    <n v="1"/>
    <n v="89.125639050922473"/>
    <x v="1"/>
    <x v="0"/>
  </r>
  <r>
    <x v="1038"/>
    <x v="1038"/>
    <d v="2024-12-24T19:12:35"/>
    <n v="3"/>
    <n v="92.58"/>
    <n v="30.86"/>
    <x v="1"/>
    <n v="1.1277413425923442"/>
    <n v="88.957681168983981"/>
    <x v="2"/>
    <x v="1"/>
  </r>
  <r>
    <x v="1039"/>
    <x v="1039"/>
    <d v="2024-12-24T19:11:37"/>
    <n v="1"/>
    <n v="35.76"/>
    <n v="35.76"/>
    <x v="0"/>
    <n v="1"/>
    <n v="88.95835383101803"/>
    <x v="1"/>
    <x v="0"/>
  </r>
  <r>
    <x v="1040"/>
    <x v="1040"/>
    <d v="2024-12-25T10:45:02"/>
    <n v="2"/>
    <n v="71.52"/>
    <n v="35.76"/>
    <x v="0"/>
    <n v="1.0007588078660774"/>
    <n v="88.310141840280266"/>
    <x v="1"/>
    <x v="0"/>
  </r>
  <r>
    <x v="1041"/>
    <x v="1041"/>
    <d v="2024-12-25T12:36:00"/>
    <n v="2"/>
    <n v="56.82"/>
    <n v="28.41"/>
    <x v="3"/>
    <n v="1.0006573379578185"/>
    <n v="88.233085138890601"/>
    <x v="1"/>
    <x v="0"/>
  </r>
  <r>
    <x v="1042"/>
    <x v="1042"/>
    <d v="2024-12-25T13:17:11"/>
    <n v="1"/>
    <n v="30.86"/>
    <n v="30.86"/>
    <x v="3"/>
    <n v="1"/>
    <n v="88.204481898144877"/>
    <x v="1"/>
    <x v="0"/>
  </r>
  <r>
    <x v="1043"/>
    <x v="1043"/>
    <d v="2024-12-25T13:32:48"/>
    <n v="1"/>
    <n v="25.96"/>
    <n v="25.96"/>
    <x v="2"/>
    <n v="1"/>
    <n v="88.193646874999104"/>
    <x v="1"/>
    <x v="0"/>
  </r>
  <r>
    <x v="1044"/>
    <x v="1044"/>
    <d v="2025-01-24T21:16:26"/>
    <n v="6"/>
    <n v="214.55999999999997"/>
    <n v="35.76"/>
    <x v="4"/>
    <n v="30.998340289355838"/>
    <n v="57.871668865736865"/>
    <x v="4"/>
    <x v="2"/>
  </r>
  <r>
    <x v="1045"/>
    <x v="1045"/>
    <d v="2024-12-25T21:57:30"/>
    <n v="1"/>
    <n v="35.76"/>
    <n v="35.76"/>
    <x v="0"/>
    <n v="1"/>
    <n v="87.843152372683107"/>
    <x v="1"/>
    <x v="0"/>
  </r>
  <r>
    <x v="1046"/>
    <x v="1046"/>
    <d v="2024-12-26T13:12:38"/>
    <n v="1"/>
    <n v="35.76"/>
    <n v="35.76"/>
    <x v="7"/>
    <n v="1"/>
    <n v="87.207646932867647"/>
    <x v="1"/>
    <x v="0"/>
  </r>
  <r>
    <x v="1047"/>
    <x v="1047"/>
    <d v="2024-12-26T15:04:34"/>
    <n v="1"/>
    <n v="21.06"/>
    <n v="21.06"/>
    <x v="6"/>
    <n v="1"/>
    <n v="87.129909305556794"/>
    <x v="1"/>
    <x v="0"/>
  </r>
  <r>
    <x v="1048"/>
    <x v="1048"/>
    <d v="2024-12-27T07:50:21"/>
    <n v="1"/>
    <n v="25.96"/>
    <n v="25.96"/>
    <x v="2"/>
    <n v="1"/>
    <n v="86.431457453705661"/>
    <x v="1"/>
    <x v="0"/>
  </r>
  <r>
    <x v="1049"/>
    <x v="1049"/>
    <d v="2024-12-27T17:12:05"/>
    <n v="1"/>
    <n v="35.76"/>
    <n v="35.76"/>
    <x v="0"/>
    <n v="1"/>
    <n v="86.04136567129899"/>
    <x v="1"/>
    <x v="0"/>
  </r>
  <r>
    <x v="1050"/>
    <x v="1050"/>
    <d v="2025-01-22T19:11:23"/>
    <n v="4"/>
    <n v="123.44"/>
    <n v="30.86"/>
    <x v="3"/>
    <n v="26.974945243055117"/>
    <n v="59.958512858793256"/>
    <x v="2"/>
    <x v="1"/>
  </r>
  <r>
    <x v="1051"/>
    <x v="1051"/>
    <d v="2024-12-28T14:10:01"/>
    <n v="1"/>
    <n v="35.76"/>
    <n v="35.76"/>
    <x v="7"/>
    <n v="1"/>
    <n v="85.167793391199666"/>
    <x v="1"/>
    <x v="0"/>
  </r>
  <r>
    <x v="1052"/>
    <x v="1052"/>
    <d v="2024-12-28T14:13:17"/>
    <n v="1"/>
    <n v="35.76"/>
    <n v="35.76"/>
    <x v="1"/>
    <n v="1"/>
    <n v="85.165524027775973"/>
    <x v="1"/>
    <x v="0"/>
  </r>
  <r>
    <x v="1053"/>
    <x v="1053"/>
    <d v="2024-12-28T22:11:02"/>
    <n v="1"/>
    <n v="35.76"/>
    <n v="35.76"/>
    <x v="7"/>
    <n v="1"/>
    <n v="84.833759421293507"/>
    <x v="1"/>
    <x v="0"/>
  </r>
  <r>
    <x v="1054"/>
    <x v="1054"/>
    <d v="2024-12-29T15:05:16"/>
    <n v="2"/>
    <n v="47.019999999999996"/>
    <n v="23.509999999999998"/>
    <x v="6"/>
    <n v="1.0005751273129135"/>
    <n v="84.129424907405337"/>
    <x v="1"/>
    <x v="0"/>
  </r>
  <r>
    <x v="1055"/>
    <x v="1055"/>
    <d v="2024-12-29T17:30:05"/>
    <n v="1"/>
    <n v="25.96"/>
    <n v="25.96"/>
    <x v="5"/>
    <n v="1"/>
    <n v="84.028867152774183"/>
    <x v="1"/>
    <x v="0"/>
  </r>
  <r>
    <x v="1056"/>
    <x v="1056"/>
    <d v="2024-12-29T17:31:47"/>
    <n v="1"/>
    <n v="21.06"/>
    <n v="21.06"/>
    <x v="6"/>
    <n v="1"/>
    <n v="84.027684409724316"/>
    <x v="1"/>
    <x v="0"/>
  </r>
  <r>
    <x v="1057"/>
    <x v="1057"/>
    <d v="2024-12-29T20:25:54"/>
    <n v="1"/>
    <n v="35.76"/>
    <n v="35.76"/>
    <x v="1"/>
    <n v="1"/>
    <n v="83.906763935185154"/>
    <x v="1"/>
    <x v="0"/>
  </r>
  <r>
    <x v="1058"/>
    <x v="1058"/>
    <d v="2024-12-30T13:53:39"/>
    <n v="2"/>
    <n v="71.52"/>
    <n v="35.76"/>
    <x v="0"/>
    <n v="1.0007858449098421"/>
    <n v="83.179159513885679"/>
    <x v="1"/>
    <x v="0"/>
  </r>
  <r>
    <x v="1059"/>
    <x v="1059"/>
    <d v="2024-12-30T16:31:29"/>
    <n v="1"/>
    <n v="25.96"/>
    <n v="25.96"/>
    <x v="2"/>
    <n v="1"/>
    <n v="83.069559120369377"/>
    <x v="1"/>
    <x v="0"/>
  </r>
  <r>
    <x v="1060"/>
    <x v="1060"/>
    <d v="2024-12-31T09:45:29"/>
    <n v="1"/>
    <n v="35.76"/>
    <n v="35.76"/>
    <x v="4"/>
    <n v="1"/>
    <n v="82.351505902777717"/>
    <x v="1"/>
    <x v="0"/>
  </r>
  <r>
    <x v="1061"/>
    <x v="1061"/>
    <d v="2024-12-31T10:29:28"/>
    <n v="2"/>
    <n v="61.72"/>
    <n v="30.86"/>
    <x v="3"/>
    <n v="1.0017967476887861"/>
    <n v="82.320953981477942"/>
    <x v="1"/>
    <x v="0"/>
  </r>
  <r>
    <x v="1062"/>
    <x v="1062"/>
    <d v="2024-12-31T16:07:19"/>
    <n v="1"/>
    <n v="35.76"/>
    <n v="35.76"/>
    <x v="7"/>
    <n v="1"/>
    <n v="82.086339722220146"/>
    <x v="1"/>
    <x v="0"/>
  </r>
  <r>
    <x v="1063"/>
    <x v="1063"/>
    <d v="2024-12-31T17:30:53"/>
    <n v="1"/>
    <n v="30.86"/>
    <n v="30.86"/>
    <x v="3"/>
    <n v="1"/>
    <n v="82.028308449072938"/>
    <x v="1"/>
    <x v="0"/>
  </r>
  <r>
    <x v="1064"/>
    <x v="1064"/>
    <d v="2024-12-31T17:31:49"/>
    <n v="1"/>
    <n v="35.76"/>
    <n v="35.76"/>
    <x v="7"/>
    <n v="1"/>
    <n v="82.027663101849612"/>
    <x v="1"/>
    <x v="0"/>
  </r>
  <r>
    <x v="1065"/>
    <x v="1065"/>
    <d v="2024-12-31T19:08:39"/>
    <n v="2"/>
    <n v="71.52"/>
    <n v="35.76"/>
    <x v="0"/>
    <n v="1.0008505324076395"/>
    <n v="81.960413611108379"/>
    <x v="1"/>
    <x v="0"/>
  </r>
  <r>
    <x v="1066"/>
    <x v="1066"/>
    <d v="2025-01-02T13:30:39"/>
    <n v="2"/>
    <n v="71.52"/>
    <n v="35.76"/>
    <x v="4"/>
    <n v="1.0006781481424696"/>
    <n v="80.19513790509518"/>
    <x v="1"/>
    <x v="0"/>
  </r>
  <r>
    <x v="1067"/>
    <x v="1067"/>
    <d v="2025-01-02T14:42:46"/>
    <n v="2"/>
    <n v="51.92"/>
    <n v="25.96"/>
    <x v="5"/>
    <n v="1.0011024652776541"/>
    <n v="80.145055416665855"/>
    <x v="1"/>
    <x v="0"/>
  </r>
  <r>
    <x v="1068"/>
    <x v="1068"/>
    <d v="2025-02-01T15:49:59"/>
    <n v="4"/>
    <n v="118.53999999999999"/>
    <n v="29.634999999999998"/>
    <x v="2"/>
    <n v="30.977390787033073"/>
    <n v="50.098375972222129"/>
    <x v="2"/>
    <x v="1"/>
  </r>
  <r>
    <x v="1069"/>
    <x v="1069"/>
    <d v="2025-01-03T16:58:09"/>
    <n v="1"/>
    <n v="30.86"/>
    <n v="30.86"/>
    <x v="3"/>
    <n v="1"/>
    <n v="79.051032581017353"/>
    <x v="1"/>
    <x v="0"/>
  </r>
  <r>
    <x v="1070"/>
    <x v="1070"/>
    <d v="2025-01-03T22:18:20"/>
    <n v="1"/>
    <n v="25.96"/>
    <n v="25.96"/>
    <x v="2"/>
    <n v="1"/>
    <n v="78.828683749998163"/>
    <x v="1"/>
    <x v="0"/>
  </r>
  <r>
    <x v="1071"/>
    <x v="1071"/>
    <d v="2025-01-03T22:19:14"/>
    <n v="1"/>
    <n v="25.96"/>
    <n v="25.96"/>
    <x v="2"/>
    <n v="1"/>
    <n v="78.828058807870548"/>
    <x v="1"/>
    <x v="0"/>
  </r>
  <r>
    <x v="1072"/>
    <x v="1072"/>
    <d v="2025-01-04T09:59:28"/>
    <n v="1"/>
    <n v="25.96"/>
    <n v="25.96"/>
    <x v="2"/>
    <n v="1"/>
    <n v="78.341792256942426"/>
    <x v="1"/>
    <x v="0"/>
  </r>
  <r>
    <x v="1073"/>
    <x v="1073"/>
    <d v="2025-01-04T13:40:00"/>
    <n v="1"/>
    <n v="35.76"/>
    <n v="35.76"/>
    <x v="7"/>
    <n v="1"/>
    <n v="78.188638298612204"/>
    <x v="1"/>
    <x v="0"/>
  </r>
  <r>
    <x v="1074"/>
    <x v="1074"/>
    <d v="2025-01-04T18:11:39"/>
    <n v="1"/>
    <n v="25.96"/>
    <n v="25.96"/>
    <x v="2"/>
    <n v="1"/>
    <n v="77.999992789351381"/>
    <x v="1"/>
    <x v="0"/>
  </r>
  <r>
    <x v="1075"/>
    <x v="1075"/>
    <d v="2025-01-05T09:45:58"/>
    <n v="1"/>
    <n v="30.86"/>
    <n v="30.86"/>
    <x v="3"/>
    <n v="1"/>
    <n v="77.351167326385621"/>
    <x v="1"/>
    <x v="0"/>
  </r>
  <r>
    <x v="1076"/>
    <x v="1076"/>
    <d v="2025-01-05T10:53:01"/>
    <n v="1"/>
    <n v="35.76"/>
    <n v="35.76"/>
    <x v="0"/>
    <n v="1"/>
    <n v="77.304604085649771"/>
    <x v="1"/>
    <x v="0"/>
  </r>
  <r>
    <x v="1077"/>
    <x v="1077"/>
    <d v="2025-01-05T22:07:16"/>
    <n v="1"/>
    <n v="30.86"/>
    <n v="30.86"/>
    <x v="3"/>
    <n v="1"/>
    <n v="76.836367592593888"/>
    <x v="1"/>
    <x v="0"/>
  </r>
  <r>
    <x v="1078"/>
    <x v="1078"/>
    <d v="2025-01-06T19:58:51"/>
    <n v="1"/>
    <n v="25.96"/>
    <n v="25.96"/>
    <x v="2"/>
    <n v="1"/>
    <n v="75.925554942128656"/>
    <x v="1"/>
    <x v="0"/>
  </r>
  <r>
    <x v="1079"/>
    <x v="1079"/>
    <d v="2025-01-07T13:29:03"/>
    <n v="1"/>
    <n v="35.76"/>
    <n v="35.76"/>
    <x v="7"/>
    <n v="1"/>
    <n v="75.196248217594984"/>
    <x v="1"/>
    <x v="0"/>
  </r>
  <r>
    <x v="1080"/>
    <x v="1080"/>
    <d v="2025-01-07T22:33:59"/>
    <n v="2"/>
    <n v="71.52"/>
    <n v="35.76"/>
    <x v="4"/>
    <n v="1.0008541782372049"/>
    <n v="74.817821168981027"/>
    <x v="1"/>
    <x v="0"/>
  </r>
  <r>
    <x v="1081"/>
    <x v="1081"/>
    <d v="2025-01-21T08:19:28"/>
    <n v="3"/>
    <n v="92.58"/>
    <n v="30.86"/>
    <x v="3"/>
    <n v="14.034331678238232"/>
    <n v="61.411231006946764"/>
    <x v="2"/>
    <x v="1"/>
  </r>
  <r>
    <x v="1082"/>
    <x v="1082"/>
    <d v="2025-01-08T09:11:15"/>
    <n v="1"/>
    <n v="35.76"/>
    <n v="35.76"/>
    <x v="0"/>
    <n v="1"/>
    <n v="74.375271909724688"/>
    <x v="1"/>
    <x v="0"/>
  </r>
  <r>
    <x v="1083"/>
    <x v="1083"/>
    <d v="2025-01-09T08:07:08"/>
    <n v="1"/>
    <n v="25.96"/>
    <n v="25.96"/>
    <x v="2"/>
    <n v="1"/>
    <n v="73.419803831020545"/>
    <x v="1"/>
    <x v="0"/>
  </r>
  <r>
    <x v="1084"/>
    <x v="1084"/>
    <d v="2025-01-09T15:36:59"/>
    <n v="1"/>
    <n v="35.76"/>
    <n v="35.76"/>
    <x v="0"/>
    <n v="1"/>
    <n v="73.107406898147019"/>
    <x v="1"/>
    <x v="0"/>
  </r>
  <r>
    <x v="1085"/>
    <x v="1085"/>
    <d v="2025-01-10T17:51:19"/>
    <n v="1"/>
    <n v="35.76"/>
    <n v="35.76"/>
    <x v="7"/>
    <n v="1"/>
    <n v="72.014118796294497"/>
    <x v="1"/>
    <x v="0"/>
  </r>
  <r>
    <x v="1086"/>
    <x v="1086"/>
    <d v="2025-01-11T10:49:41"/>
    <n v="1"/>
    <n v="35.76"/>
    <n v="35.76"/>
    <x v="1"/>
    <n v="1"/>
    <n v="71.306913703701866"/>
    <x v="1"/>
    <x v="0"/>
  </r>
  <r>
    <x v="1087"/>
    <x v="1087"/>
    <d v="2025-01-11T11:13:54"/>
    <n v="1"/>
    <n v="25.96"/>
    <n v="25.96"/>
    <x v="2"/>
    <n v="1"/>
    <n v="71.290101493053953"/>
    <x v="1"/>
    <x v="0"/>
  </r>
  <r>
    <x v="1088"/>
    <x v="1088"/>
    <d v="2025-01-11T12:13:25"/>
    <n v="4"/>
    <n v="143.04"/>
    <n v="35.76"/>
    <x v="0"/>
    <n v="1.0368885648131254"/>
    <n v="71.248771423612197"/>
    <x v="2"/>
    <x v="1"/>
  </r>
  <r>
    <x v="1089"/>
    <x v="1089"/>
    <d v="2025-01-11T14:12:55"/>
    <n v="1"/>
    <n v="30.86"/>
    <n v="30.86"/>
    <x v="3"/>
    <n v="1"/>
    <n v="71.165784618053294"/>
    <x v="1"/>
    <x v="0"/>
  </r>
  <r>
    <x v="1090"/>
    <x v="1090"/>
    <d v="2025-01-11T14:16:44"/>
    <n v="2"/>
    <n v="66.62"/>
    <n v="33.31"/>
    <x v="3"/>
    <n v="1.0007615972208441"/>
    <n v="71.16313303240895"/>
    <x v="1"/>
    <x v="0"/>
  </r>
  <r>
    <x v="1091"/>
    <x v="1091"/>
    <d v="2025-01-11T14:47:03"/>
    <n v="1"/>
    <n v="35.76"/>
    <n v="35.76"/>
    <x v="0"/>
    <n v="1"/>
    <n v="71.142079432866012"/>
    <x v="1"/>
    <x v="0"/>
  </r>
  <r>
    <x v="1092"/>
    <x v="1092"/>
    <d v="2025-01-11T17:22:05"/>
    <n v="2"/>
    <n v="51.92"/>
    <n v="25.96"/>
    <x v="5"/>
    <n v="1.0017492708284408"/>
    <n v="71.034415856483974"/>
    <x v="1"/>
    <x v="0"/>
  </r>
  <r>
    <x v="1093"/>
    <x v="1093"/>
    <d v="2025-01-11T17:20:57"/>
    <n v="1"/>
    <n v="35.76"/>
    <n v="35.76"/>
    <x v="0"/>
    <n v="1"/>
    <n v="71.035206655091315"/>
    <x v="1"/>
    <x v="0"/>
  </r>
  <r>
    <x v="1094"/>
    <x v="1094"/>
    <d v="2025-01-11T18:01:28"/>
    <n v="1"/>
    <n v="30.86"/>
    <n v="30.86"/>
    <x v="3"/>
    <n v="1"/>
    <n v="71.007061990741931"/>
    <x v="1"/>
    <x v="0"/>
  </r>
  <r>
    <x v="1095"/>
    <x v="1095"/>
    <d v="2025-01-12T16:15:59"/>
    <n v="1"/>
    <n v="35.76"/>
    <n v="35.76"/>
    <x v="1"/>
    <n v="1"/>
    <n v="70.080321666668169"/>
    <x v="1"/>
    <x v="0"/>
  </r>
  <r>
    <x v="1096"/>
    <x v="1096"/>
    <d v="2025-01-16T18:15:57"/>
    <n v="4"/>
    <n v="138.13999999999999"/>
    <n v="34.534999999999997"/>
    <x v="0"/>
    <n v="4.8888093171262881"/>
    <n v="65.997004467593797"/>
    <x v="2"/>
    <x v="1"/>
  </r>
  <r>
    <x v="1097"/>
    <x v="1097"/>
    <d v="2025-01-13T14:12:28"/>
    <n v="2"/>
    <n v="71.52"/>
    <n v="35.76"/>
    <x v="0"/>
    <n v="1.0007060995339998"/>
    <n v="69.166091377315752"/>
    <x v="1"/>
    <x v="0"/>
  </r>
  <r>
    <x v="1098"/>
    <x v="1098"/>
    <d v="2025-01-13T16:25:36"/>
    <n v="1"/>
    <n v="35.76"/>
    <n v="35.76"/>
    <x v="0"/>
    <n v="1"/>
    <n v="69.073637638888613"/>
    <x v="1"/>
    <x v="0"/>
  </r>
  <r>
    <x v="1099"/>
    <x v="1099"/>
    <d v="2025-01-14T12:49:14"/>
    <n v="1"/>
    <n v="35.76"/>
    <n v="35.76"/>
    <x v="0"/>
    <n v="1"/>
    <n v="68.223892175927176"/>
    <x v="1"/>
    <x v="0"/>
  </r>
  <r>
    <x v="1100"/>
    <x v="1100"/>
    <d v="2025-01-14T16:19:27"/>
    <n v="2"/>
    <n v="61.72"/>
    <n v="30.86"/>
    <x v="3"/>
    <n v="1.0007782754619257"/>
    <n v="68.077917870366946"/>
    <x v="1"/>
    <x v="0"/>
  </r>
  <r>
    <x v="1101"/>
    <x v="1101"/>
    <d v="2025-01-15T11:10:24"/>
    <n v="1"/>
    <n v="25.96"/>
    <n v="25.96"/>
    <x v="2"/>
    <n v="1"/>
    <n v="67.292533912033832"/>
    <x v="1"/>
    <x v="0"/>
  </r>
  <r>
    <x v="1102"/>
    <x v="1102"/>
    <d v="2025-01-15T15:36:48"/>
    <n v="1"/>
    <n v="35.76"/>
    <n v="35.76"/>
    <x v="7"/>
    <n v="1"/>
    <n v="67.107531157409539"/>
    <x v="1"/>
    <x v="0"/>
  </r>
  <r>
    <x v="1103"/>
    <x v="1103"/>
    <d v="2025-01-15T16:55:26"/>
    <n v="1"/>
    <n v="35.76"/>
    <n v="35.76"/>
    <x v="0"/>
    <n v="1"/>
    <n v="67.052923726849258"/>
    <x v="1"/>
    <x v="0"/>
  </r>
  <r>
    <x v="1104"/>
    <x v="1104"/>
    <d v="2025-01-15T18:06:12"/>
    <n v="1"/>
    <n v="35.76"/>
    <n v="35.76"/>
    <x v="0"/>
    <n v="1"/>
    <n v="67.003775648146984"/>
    <x v="1"/>
    <x v="0"/>
  </r>
  <r>
    <x v="1105"/>
    <x v="1105"/>
    <d v="2025-01-16T15:16:19"/>
    <n v="1"/>
    <n v="35.76"/>
    <n v="35.76"/>
    <x v="0"/>
    <n v="1"/>
    <n v="66.121752835650113"/>
    <x v="1"/>
    <x v="0"/>
  </r>
  <r>
    <x v="1106"/>
    <x v="1106"/>
    <d v="2025-01-16T21:40:13"/>
    <n v="1"/>
    <n v="25.96"/>
    <n v="25.96"/>
    <x v="5"/>
    <n v="1"/>
    <n v="65.855163206018915"/>
    <x v="1"/>
    <x v="0"/>
  </r>
  <r>
    <x v="1107"/>
    <x v="1107"/>
    <d v="2025-01-17T07:38:20"/>
    <n v="1"/>
    <n v="35.76"/>
    <n v="35.76"/>
    <x v="4"/>
    <n v="1"/>
    <n v="65.439801724533027"/>
    <x v="1"/>
    <x v="0"/>
  </r>
  <r>
    <x v="1108"/>
    <x v="1108"/>
    <d v="2025-01-17T08:27:48"/>
    <n v="2"/>
    <n v="71.52"/>
    <n v="35.76"/>
    <x v="0"/>
    <n v="1.0010134490730707"/>
    <n v="65.405442858798779"/>
    <x v="1"/>
    <x v="0"/>
  </r>
  <r>
    <x v="1109"/>
    <x v="1109"/>
    <d v="2025-03-21T15:28:20"/>
    <n v="33"/>
    <n v="886.08000000000038"/>
    <n v="26.850909090909102"/>
    <x v="2"/>
    <n v="64.046823981479974"/>
    <n v="2.1134151736114291"/>
    <x v="3"/>
    <x v="2"/>
  </r>
  <r>
    <x v="1110"/>
    <x v="1110"/>
    <d v="2025-01-20T12:06:01"/>
    <n v="2"/>
    <n v="51.92"/>
    <n v="25.96"/>
    <x v="2"/>
    <n v="1.0008196412018151"/>
    <n v="62.253911319443432"/>
    <x v="1"/>
    <x v="0"/>
  </r>
  <r>
    <x v="1111"/>
    <x v="1111"/>
    <d v="2025-01-20T13:45:14"/>
    <n v="1"/>
    <n v="30.86"/>
    <n v="30.86"/>
    <x v="3"/>
    <n v="1"/>
    <n v="62.185006030093064"/>
    <x v="1"/>
    <x v="0"/>
  </r>
  <r>
    <x v="1112"/>
    <x v="1112"/>
    <d v="2025-01-20T20:08:11"/>
    <n v="1"/>
    <n v="35.76"/>
    <n v="35.76"/>
    <x v="1"/>
    <n v="1"/>
    <n v="61.919064849535062"/>
    <x v="1"/>
    <x v="0"/>
  </r>
  <r>
    <x v="1113"/>
    <x v="1113"/>
    <d v="2025-02-01T18:57:14"/>
    <n v="4"/>
    <n v="143.04"/>
    <n v="35.76"/>
    <x v="7"/>
    <n v="12.938072719902266"/>
    <n v="49.968336469908536"/>
    <x v="2"/>
    <x v="1"/>
  </r>
  <r>
    <x v="1114"/>
    <x v="1114"/>
    <d v="2025-01-20T21:13:45"/>
    <n v="1"/>
    <n v="35.76"/>
    <n v="35.76"/>
    <x v="0"/>
    <n v="1"/>
    <n v="61.873532349534798"/>
    <x v="1"/>
    <x v="0"/>
  </r>
  <r>
    <x v="1115"/>
    <x v="1115"/>
    <d v="2025-01-21T15:35:17"/>
    <n v="1"/>
    <n v="25.96"/>
    <n v="25.96"/>
    <x v="2"/>
    <n v="1"/>
    <n v="61.108589317125734"/>
    <x v="1"/>
    <x v="0"/>
  </r>
  <r>
    <x v="1116"/>
    <x v="1116"/>
    <d v="2025-01-21T18:32:33"/>
    <n v="1"/>
    <n v="35.76"/>
    <n v="35.76"/>
    <x v="1"/>
    <n v="1"/>
    <n v="60.985485370372771"/>
    <x v="1"/>
    <x v="0"/>
  </r>
  <r>
    <x v="1117"/>
    <x v="1117"/>
    <d v="2025-01-22T11:24:46"/>
    <n v="1"/>
    <n v="21.06"/>
    <n v="21.06"/>
    <x v="6"/>
    <n v="1"/>
    <n v="60.282555312500335"/>
    <x v="1"/>
    <x v="0"/>
  </r>
  <r>
    <x v="1118"/>
    <x v="1118"/>
    <d v="2025-01-22T18:49:59"/>
    <n v="1"/>
    <n v="35.76"/>
    <n v="35.76"/>
    <x v="4"/>
    <n v="1"/>
    <n v="59.973371076390322"/>
    <x v="1"/>
    <x v="0"/>
  </r>
  <r>
    <x v="1119"/>
    <x v="1119"/>
    <d v="2025-01-22T19:29:16"/>
    <n v="1"/>
    <n v="35.76"/>
    <n v="35.76"/>
    <x v="0"/>
    <n v="1"/>
    <n v="59.946098749998782"/>
    <x v="1"/>
    <x v="0"/>
  </r>
  <r>
    <x v="1120"/>
    <x v="1120"/>
    <d v="2025-01-22T20:14:31"/>
    <n v="1"/>
    <n v="30.86"/>
    <n v="30.86"/>
    <x v="3"/>
    <n v="1"/>
    <n v="59.914674849533185"/>
    <x v="1"/>
    <x v="0"/>
  </r>
  <r>
    <x v="1121"/>
    <x v="1121"/>
    <d v="2025-01-24T15:28:39"/>
    <n v="1"/>
    <n v="35.76"/>
    <n v="35.76"/>
    <x v="4"/>
    <n v="1"/>
    <n v="58.113192372686171"/>
    <x v="1"/>
    <x v="0"/>
  </r>
  <r>
    <x v="1122"/>
    <x v="1122"/>
    <d v="2025-01-24T17:41:49"/>
    <n v="1"/>
    <n v="25.96"/>
    <n v="25.96"/>
    <x v="2"/>
    <n v="1"/>
    <n v="58.020709826385428"/>
    <x v="1"/>
    <x v="0"/>
  </r>
  <r>
    <x v="1123"/>
    <x v="1123"/>
    <d v="2025-01-24T22:32:58"/>
    <n v="2"/>
    <n v="71.52"/>
    <n v="35.76"/>
    <x v="1"/>
    <n v="1.0007214814831968"/>
    <n v="57.818526898146956"/>
    <x v="1"/>
    <x v="0"/>
  </r>
  <r>
    <x v="1124"/>
    <x v="1124"/>
    <d v="2025-01-25T14:38:25"/>
    <n v="1"/>
    <n v="35.76"/>
    <n v="35.76"/>
    <x v="7"/>
    <n v="1"/>
    <n v="57.148079270831659"/>
    <x v="1"/>
    <x v="0"/>
  </r>
  <r>
    <x v="1125"/>
    <x v="1125"/>
    <d v="2025-01-25T14:39:35"/>
    <n v="1"/>
    <n v="25.96"/>
    <n v="25.96"/>
    <x v="2"/>
    <n v="1"/>
    <n v="57.147263321756327"/>
    <x v="1"/>
    <x v="0"/>
  </r>
  <r>
    <x v="1126"/>
    <x v="1126"/>
    <d v="2025-01-26T12:36:34"/>
    <n v="2"/>
    <n v="47.019999999999996"/>
    <n v="23.509999999999998"/>
    <x v="2"/>
    <n v="1.0008223032418755"/>
    <n v="56.23269206018449"/>
    <x v="1"/>
    <x v="0"/>
  </r>
  <r>
    <x v="1127"/>
    <x v="1127"/>
    <d v="2025-01-27T12:05:02"/>
    <n v="1"/>
    <n v="35.76"/>
    <n v="35.76"/>
    <x v="7"/>
    <n v="1"/>
    <n v="55.254586446761095"/>
    <x v="1"/>
    <x v="0"/>
  </r>
  <r>
    <x v="1128"/>
    <x v="1128"/>
    <d v="2025-01-27T18:55:19"/>
    <n v="1"/>
    <n v="35.76"/>
    <n v="35.76"/>
    <x v="0"/>
    <n v="1"/>
    <n v="54.969667777775612"/>
    <x v="1"/>
    <x v="0"/>
  </r>
  <r>
    <x v="1129"/>
    <x v="1129"/>
    <d v="2025-01-27T19:02:40"/>
    <n v="1"/>
    <n v="35.76"/>
    <n v="35.76"/>
    <x v="0"/>
    <n v="1"/>
    <n v="54.964563773144619"/>
    <x v="1"/>
    <x v="0"/>
  </r>
  <r>
    <x v="1130"/>
    <x v="1130"/>
    <d v="2025-01-27T19:03:45"/>
    <n v="1"/>
    <n v="35.76"/>
    <n v="35.76"/>
    <x v="0"/>
    <n v="1"/>
    <n v="54.963809930552088"/>
    <x v="1"/>
    <x v="0"/>
  </r>
  <r>
    <x v="1131"/>
    <x v="1131"/>
    <d v="2025-02-02T10:57:38"/>
    <n v="3"/>
    <n v="97.47999999999999"/>
    <n v="32.493333333333332"/>
    <x v="7"/>
    <n v="6.0585726157369209"/>
    <n v="49.301398784722551"/>
    <x v="2"/>
    <x v="1"/>
  </r>
  <r>
    <x v="1132"/>
    <x v="1132"/>
    <d v="2025-01-31T12:31:01"/>
    <n v="2"/>
    <n v="61.72"/>
    <n v="30.86"/>
    <x v="2"/>
    <n v="4.0062500925923814"/>
    <n v="51.236543912033085"/>
    <x v="1"/>
    <x v="0"/>
  </r>
  <r>
    <x v="1133"/>
    <x v="1133"/>
    <d v="2025-01-28T16:20:45"/>
    <n v="2"/>
    <n v="61.72"/>
    <n v="30.86"/>
    <x v="4"/>
    <n v="1.0011232986071263"/>
    <n v="54.077013622685627"/>
    <x v="1"/>
    <x v="0"/>
  </r>
  <r>
    <x v="1134"/>
    <x v="1134"/>
    <d v="2025-01-28T17:40:01"/>
    <n v="1"/>
    <n v="25.96"/>
    <n v="25.96"/>
    <x v="2"/>
    <n v="1"/>
    <n v="54.021964155093883"/>
    <x v="1"/>
    <x v="0"/>
  </r>
  <r>
    <x v="1135"/>
    <x v="1135"/>
    <d v="2025-01-28T20:11:51"/>
    <n v="1"/>
    <n v="35.76"/>
    <n v="35.76"/>
    <x v="0"/>
    <n v="1"/>
    <n v="53.916525243053911"/>
    <x v="1"/>
    <x v="0"/>
  </r>
  <r>
    <x v="1136"/>
    <x v="1136"/>
    <d v="2025-01-28T20:13:45"/>
    <n v="1"/>
    <n v="35.76"/>
    <n v="35.76"/>
    <x v="7"/>
    <n v="1"/>
    <n v="53.915202233794844"/>
    <x v="1"/>
    <x v="0"/>
  </r>
  <r>
    <x v="1137"/>
    <x v="1137"/>
    <d v="2025-01-29T16:25:37"/>
    <n v="1"/>
    <n v="25.96"/>
    <n v="25.96"/>
    <x v="2"/>
    <n v="1"/>
    <n v="53.073632812498545"/>
    <x v="1"/>
    <x v="0"/>
  </r>
  <r>
    <x v="1138"/>
    <x v="1138"/>
    <d v="2025-01-29T19:20:35"/>
    <n v="2"/>
    <n v="51.92"/>
    <n v="25.96"/>
    <x v="3"/>
    <n v="1.001000428244879"/>
    <n v="52.952128935183282"/>
    <x v="1"/>
    <x v="0"/>
  </r>
  <r>
    <x v="1139"/>
    <x v="1139"/>
    <d v="2025-01-30T12:42:16"/>
    <n v="1"/>
    <n v="35.76"/>
    <n v="35.76"/>
    <x v="1"/>
    <n v="1"/>
    <n v="52.228737534722313"/>
    <x v="1"/>
    <x v="0"/>
  </r>
  <r>
    <x v="1140"/>
    <x v="1140"/>
    <d v="2025-01-30T13:02:01"/>
    <n v="1"/>
    <n v="25.96"/>
    <n v="25.96"/>
    <x v="2"/>
    <n v="1"/>
    <n v="52.215021840274858"/>
    <x v="1"/>
    <x v="0"/>
  </r>
  <r>
    <x v="1141"/>
    <x v="1141"/>
    <d v="2025-01-30T14:41:42"/>
    <n v="1"/>
    <n v="30.86"/>
    <n v="30.86"/>
    <x v="3"/>
    <n v="1"/>
    <n v="52.145791180555534"/>
    <x v="1"/>
    <x v="0"/>
  </r>
  <r>
    <x v="1142"/>
    <x v="1142"/>
    <d v="2025-01-30T17:18:48"/>
    <n v="1"/>
    <n v="35.76"/>
    <n v="35.76"/>
    <x v="1"/>
    <n v="1"/>
    <n v="52.036692488421977"/>
    <x v="1"/>
    <x v="0"/>
  </r>
  <r>
    <x v="1143"/>
    <x v="1143"/>
    <d v="2025-01-30T18:41:50"/>
    <n v="1"/>
    <n v="25.96"/>
    <n v="25.96"/>
    <x v="5"/>
    <n v="1"/>
    <n v="51.979039085650584"/>
    <x v="1"/>
    <x v="0"/>
  </r>
  <r>
    <x v="1144"/>
    <x v="1144"/>
    <d v="2025-01-31T09:20:11"/>
    <n v="1"/>
    <n v="35.76"/>
    <n v="35.76"/>
    <x v="4"/>
    <n v="1"/>
    <n v="51.369070069442387"/>
    <x v="1"/>
    <x v="0"/>
  </r>
  <r>
    <x v="1145"/>
    <x v="1145"/>
    <d v="2025-01-31T14:02:58"/>
    <n v="1"/>
    <n v="35.76"/>
    <n v="35.76"/>
    <x v="7"/>
    <n v="1"/>
    <n v="51.172689398146758"/>
    <x v="1"/>
    <x v="0"/>
  </r>
  <r>
    <x v="1146"/>
    <x v="1146"/>
    <d v="2025-01-31T22:35:59"/>
    <n v="1"/>
    <n v="30.86"/>
    <n v="30.86"/>
    <x v="3"/>
    <n v="1"/>
    <n v="50.816432777777663"/>
    <x v="1"/>
    <x v="0"/>
  </r>
  <r>
    <x v="1147"/>
    <x v="1147"/>
    <d v="2025-01-31T22:37:02"/>
    <n v="1"/>
    <n v="25.96"/>
    <n v="25.96"/>
    <x v="2"/>
    <n v="1"/>
    <n v="50.815701435181836"/>
    <x v="1"/>
    <x v="0"/>
  </r>
  <r>
    <x v="1148"/>
    <x v="1148"/>
    <d v="2025-02-01T14:36:17"/>
    <n v="2"/>
    <n v="71.52"/>
    <n v="35.76"/>
    <x v="7"/>
    <n v="1.0006682754610665"/>
    <n v="50.149560474535974"/>
    <x v="1"/>
    <x v="0"/>
  </r>
  <r>
    <x v="1149"/>
    <x v="1149"/>
    <d v="2025-02-02T12:54:32"/>
    <n v="1"/>
    <n v="35.76"/>
    <n v="35.76"/>
    <x v="0"/>
    <n v="1"/>
    <n v="49.220213657405111"/>
    <x v="1"/>
    <x v="0"/>
  </r>
  <r>
    <x v="1150"/>
    <x v="1150"/>
    <d v="2025-02-02T12:56:05"/>
    <n v="1"/>
    <n v="35.76"/>
    <n v="35.76"/>
    <x v="0"/>
    <n v="1"/>
    <n v="49.219143310183426"/>
    <x v="1"/>
    <x v="0"/>
  </r>
  <r>
    <x v="1151"/>
    <x v="1151"/>
    <d v="2025-03-22T10:30:09"/>
    <n v="23"/>
    <n v="665.68000000000006"/>
    <n v="28.942608695652176"/>
    <x v="2"/>
    <n v="48.738335416666814"/>
    <n v="1.3204772222234169"/>
    <x v="3"/>
    <x v="2"/>
  </r>
  <r>
    <x v="1152"/>
    <x v="1152"/>
    <d v="2025-03-17T09:02:59"/>
    <n v="11"/>
    <n v="344.36000000000007"/>
    <n v="31.305454545454552"/>
    <x v="3"/>
    <n v="43.037384108800325"/>
    <n v="6.3810148263873998"/>
    <x v="3"/>
    <x v="2"/>
  </r>
  <r>
    <x v="1153"/>
    <x v="1153"/>
    <d v="2025-02-03T10:15:39"/>
    <n v="1"/>
    <n v="25.96"/>
    <n v="25.96"/>
    <x v="2"/>
    <n v="1"/>
    <n v="48.330556307868392"/>
    <x v="1"/>
    <x v="0"/>
  </r>
  <r>
    <x v="1154"/>
    <x v="1154"/>
    <d v="2025-03-07T10:09:58"/>
    <n v="3"/>
    <n v="107.28"/>
    <n v="35.76"/>
    <x v="1"/>
    <n v="32.991429571760818"/>
    <n v="16.334498888885719"/>
    <x v="2"/>
    <x v="1"/>
  </r>
  <r>
    <x v="1155"/>
    <x v="1155"/>
    <d v="2025-02-28T16:22:27"/>
    <n v="10"/>
    <n v="337.99999999999994"/>
    <n v="33.799999999999997"/>
    <x v="3"/>
    <n v="26.230888078702264"/>
    <n v="23.075824710649613"/>
    <x v="3"/>
    <x v="2"/>
  </r>
  <r>
    <x v="1156"/>
    <x v="1156"/>
    <d v="2025-03-11T18:56:52"/>
    <n v="10"/>
    <n v="313.50000000000006"/>
    <n v="31.350000000000005"/>
    <x v="3"/>
    <n v="37.230440312501742"/>
    <n v="11.968594016201678"/>
    <x v="3"/>
    <x v="2"/>
  </r>
  <r>
    <x v="1157"/>
    <x v="1157"/>
    <d v="2025-03-23T10:34:55"/>
    <n v="20"/>
    <n v="715.19999999999993"/>
    <n v="35.76"/>
    <x v="7"/>
    <n v="48.876403032409144"/>
    <n v="0.31717292824032484"/>
    <x v="3"/>
    <x v="2"/>
  </r>
  <r>
    <x v="1158"/>
    <x v="1158"/>
    <d v="2025-02-03T13:51:03"/>
    <n v="1"/>
    <n v="25.96"/>
    <n v="25.96"/>
    <x v="2"/>
    <n v="1"/>
    <n v="48.180964745370147"/>
    <x v="1"/>
    <x v="0"/>
  </r>
  <r>
    <x v="1159"/>
    <x v="1159"/>
    <d v="2025-02-17T10:44:48"/>
    <n v="11"/>
    <n v="314.95999999999998"/>
    <n v="28.632727272727269"/>
    <x v="2"/>
    <n v="14.859855162030726"/>
    <n v="34.310308217594866"/>
    <x v="4"/>
    <x v="2"/>
  </r>
  <r>
    <x v="1160"/>
    <x v="1160"/>
    <d v="2025-03-20T14:59:47"/>
    <n v="20"/>
    <n v="690.69999999999993"/>
    <n v="34.534999999999997"/>
    <x v="7"/>
    <n v="45.998643958329922"/>
    <n v="3.133231296298618"/>
    <x v="3"/>
    <x v="2"/>
  </r>
  <r>
    <x v="1161"/>
    <x v="1161"/>
    <d v="2025-03-08T13:40:06"/>
    <n v="8"/>
    <n v="251.78000000000003"/>
    <n v="31.472500000000004"/>
    <x v="3"/>
    <n v="33.854293043979851"/>
    <n v="15.18857153935096"/>
    <x v="4"/>
    <x v="2"/>
  </r>
  <r>
    <x v="1162"/>
    <x v="1162"/>
    <d v="2025-03-21T15:29:32"/>
    <n v="77"/>
    <n v="2278.2200000000007"/>
    <n v="29.587272727272737"/>
    <x v="2"/>
    <n v="46.929457650468976"/>
    <n v="2.112572974532668"/>
    <x v="3"/>
    <x v="2"/>
  </r>
  <r>
    <x v="1163"/>
    <x v="1163"/>
    <d v="2025-03-07T15:52:53"/>
    <n v="9"/>
    <n v="321.83999999999997"/>
    <n v="35.76"/>
    <x v="0"/>
    <n v="32.944114236110181"/>
    <n v="16.096361643518321"/>
    <x v="4"/>
    <x v="2"/>
  </r>
  <r>
    <x v="1164"/>
    <x v="1164"/>
    <d v="2025-03-21T17:21:17"/>
    <n v="20"/>
    <n v="715.19999999999993"/>
    <n v="35.76"/>
    <x v="1"/>
    <n v="47.003889224535669"/>
    <n v="2.0349734374976833"/>
    <x v="3"/>
    <x v="2"/>
  </r>
  <r>
    <x v="1165"/>
    <x v="1165"/>
    <d v="2025-03-18T15:11:07"/>
    <n v="5"/>
    <n v="154.30000000000001"/>
    <n v="30.860000000000003"/>
    <x v="3"/>
    <n v="43.893630775462952"/>
    <n v="5.1253615856476245"/>
    <x v="4"/>
    <x v="2"/>
  </r>
  <r>
    <x v="1166"/>
    <x v="1166"/>
    <d v="2025-03-19T16:29:56"/>
    <n v="18"/>
    <n v="467.27999999999986"/>
    <n v="25.959999999999994"/>
    <x v="2"/>
    <n v="44.93120127315342"/>
    <n v="4.0706291550886817"/>
    <x v="3"/>
    <x v="2"/>
  </r>
  <r>
    <x v="1167"/>
    <x v="1167"/>
    <d v="2025-03-18T08:33:50"/>
    <n v="8"/>
    <n v="286.08"/>
    <n v="35.76"/>
    <x v="4"/>
    <n v="43.492771157405514"/>
    <n v="5.4012624537062948"/>
    <x v="4"/>
    <x v="2"/>
  </r>
  <r>
    <x v="1168"/>
    <x v="1168"/>
    <d v="2025-02-20T20:07:04"/>
    <n v="4"/>
    <n v="123.44"/>
    <n v="30.86"/>
    <x v="3"/>
    <n v="17.31325596064562"/>
    <n v="30.919849965277535"/>
    <x v="2"/>
    <x v="1"/>
  </r>
  <r>
    <x v="1169"/>
    <x v="1169"/>
    <d v="2025-03-21T18:59:24"/>
    <n v="32"/>
    <n v="850.32000000000039"/>
    <n v="26.572500000000012"/>
    <x v="2"/>
    <n v="46.197340983795584"/>
    <n v="1.9668329166670446"/>
    <x v="3"/>
    <x v="2"/>
  </r>
  <r>
    <x v="1170"/>
    <x v="1170"/>
    <d v="2025-03-11T13:16:55"/>
    <n v="7"/>
    <n v="171.92000000000002"/>
    <n v="24.560000000000002"/>
    <x v="2"/>
    <n v="35.956321134261088"/>
    <n v="12.204675289351144"/>
    <x v="4"/>
    <x v="2"/>
  </r>
  <r>
    <x v="1171"/>
    <x v="1171"/>
    <d v="2025-02-04T19:05:22"/>
    <n v="1"/>
    <n v="35.76"/>
    <n v="35.76"/>
    <x v="4"/>
    <n v="1"/>
    <n v="46.962693518515152"/>
    <x v="1"/>
    <x v="0"/>
  </r>
  <r>
    <x v="1172"/>
    <x v="1172"/>
    <d v="2025-02-04T19:10:28"/>
    <n v="2"/>
    <n v="71.52"/>
    <n v="35.76"/>
    <x v="4"/>
    <n v="1.000588506940403"/>
    <n v="46.95915579861321"/>
    <x v="1"/>
    <x v="0"/>
  </r>
  <r>
    <x v="1173"/>
    <x v="1173"/>
    <d v="2025-03-04T19:10:09"/>
    <n v="2"/>
    <n v="61.72"/>
    <n v="30.86"/>
    <x v="5"/>
    <n v="28.987988287037297"/>
    <n v="18.959365324073588"/>
    <x v="5"/>
    <x v="1"/>
  </r>
  <r>
    <x v="1174"/>
    <x v="1174"/>
    <d v="2025-02-05T12:10:47"/>
    <n v="1"/>
    <n v="25.96"/>
    <n v="25.96"/>
    <x v="2"/>
    <n v="1"/>
    <n v="46.250599062499532"/>
    <x v="1"/>
    <x v="0"/>
  </r>
  <r>
    <x v="1175"/>
    <x v="1175"/>
    <d v="2025-03-04T11:05:07"/>
    <n v="3"/>
    <n v="77.88"/>
    <n v="25.959999999999997"/>
    <x v="2"/>
    <n v="27.905796354170889"/>
    <n v="19.2961997800885"/>
    <x v="2"/>
    <x v="1"/>
  </r>
  <r>
    <x v="1176"/>
    <x v="1176"/>
    <d v="2025-02-24T16:28:52"/>
    <n v="2"/>
    <n v="71.52"/>
    <n v="35.76"/>
    <x v="7"/>
    <n v="20.026312013884308"/>
    <n v="27.071371562502463"/>
    <x v="5"/>
    <x v="1"/>
  </r>
  <r>
    <x v="1177"/>
    <x v="1177"/>
    <d v="2025-03-03T17:58:27"/>
    <n v="9"/>
    <n v="316.93999999999994"/>
    <n v="35.215555555555547"/>
    <x v="4"/>
    <n v="26.986029120373132"/>
    <n v="20.009158472217678"/>
    <x v="4"/>
    <x v="2"/>
  </r>
  <r>
    <x v="1178"/>
    <x v="1178"/>
    <d v="2025-03-03T17:57:33"/>
    <n v="12"/>
    <n v="424.21999999999991"/>
    <n v="35.351666666666659"/>
    <x v="4"/>
    <n v="26.984532523143571"/>
    <n v="20.009791053242225"/>
    <x v="3"/>
    <x v="2"/>
  </r>
  <r>
    <x v="1179"/>
    <x v="1179"/>
    <d v="2025-02-05T18:20:51"/>
    <n v="1"/>
    <n v="35.76"/>
    <n v="35.76"/>
    <x v="4"/>
    <n v="1"/>
    <n v="45.993601261572621"/>
    <x v="1"/>
    <x v="0"/>
  </r>
  <r>
    <x v="1180"/>
    <x v="1180"/>
    <d v="2025-02-05T18:45:42"/>
    <n v="1"/>
    <n v="35.76"/>
    <n v="35.76"/>
    <x v="7"/>
    <n v="1"/>
    <n v="45.97634841434774"/>
    <x v="1"/>
    <x v="0"/>
  </r>
  <r>
    <x v="1181"/>
    <x v="1181"/>
    <d v="2025-02-19T20:05:28"/>
    <n v="2"/>
    <n v="71.52"/>
    <n v="35.76"/>
    <x v="4"/>
    <n v="15.001478506943386"/>
    <n v="31.92095211805281"/>
    <x v="1"/>
    <x v="0"/>
  </r>
  <r>
    <x v="1182"/>
    <x v="1182"/>
    <d v="2025-02-06T17:54:25"/>
    <n v="1"/>
    <n v="35.76"/>
    <n v="35.76"/>
    <x v="4"/>
    <n v="1"/>
    <n v="45.011962893520831"/>
    <x v="1"/>
    <x v="0"/>
  </r>
  <r>
    <x v="1183"/>
    <x v="1183"/>
    <d v="2025-03-11T17:46:50"/>
    <n v="13"/>
    <n v="450.17999999999989"/>
    <n v="34.629230769230759"/>
    <x v="7"/>
    <n v="33.910922824077716"/>
    <n v="12.017226874995686"/>
    <x v="3"/>
    <x v="2"/>
  </r>
  <r>
    <x v="1184"/>
    <x v="1184"/>
    <d v="2025-03-11T20:08:56"/>
    <n v="3"/>
    <n v="107.28"/>
    <n v="35.76"/>
    <x v="4"/>
    <n v="34.001354444444587"/>
    <n v="11.918545208332944"/>
    <x v="2"/>
    <x v="1"/>
  </r>
  <r>
    <x v="1185"/>
    <x v="1185"/>
    <d v="2025-02-06T20:07:47"/>
    <n v="1"/>
    <n v="35.76"/>
    <n v="35.76"/>
    <x v="4"/>
    <n v="1"/>
    <n v="44.91934641203261"/>
    <x v="1"/>
    <x v="0"/>
  </r>
  <r>
    <x v="1186"/>
    <x v="1186"/>
    <d v="2025-03-04T08:51:45"/>
    <n v="2"/>
    <n v="61.72"/>
    <n v="30.86"/>
    <x v="3"/>
    <n v="25.989359004626749"/>
    <n v="19.388812071760185"/>
    <x v="5"/>
    <x v="1"/>
  </r>
  <r>
    <x v="1187"/>
    <x v="1187"/>
    <d v="2025-02-12T10:43:13"/>
    <n v="2"/>
    <n v="51.92"/>
    <n v="25.96"/>
    <x v="2"/>
    <n v="5.995720752311172"/>
    <n v="39.311402314815496"/>
    <x v="1"/>
    <x v="0"/>
  </r>
  <r>
    <x v="1188"/>
    <x v="1188"/>
    <d v="2025-03-07T11:50:59"/>
    <n v="7"/>
    <n v="250.31999999999996"/>
    <n v="35.76"/>
    <x v="4"/>
    <n v="28.987047013892152"/>
    <n v="16.264342372684041"/>
    <x v="4"/>
    <x v="2"/>
  </r>
  <r>
    <x v="1189"/>
    <x v="1189"/>
    <d v="2025-03-08T11:20:32"/>
    <n v="9"/>
    <n v="233.64000000000004"/>
    <n v="25.960000000000004"/>
    <x v="2"/>
    <n v="29.931719907406659"/>
    <n v="15.285489097223035"/>
    <x v="4"/>
    <x v="2"/>
  </r>
  <r>
    <x v="1190"/>
    <x v="1190"/>
    <d v="2025-03-21T17:22:50"/>
    <n v="27"/>
    <n v="965.51999999999987"/>
    <n v="35.76"/>
    <x v="0"/>
    <n v="43.042092407406017"/>
    <n v="2.0338976851853658"/>
    <x v="3"/>
    <x v="2"/>
  </r>
  <r>
    <x v="1191"/>
    <x v="1191"/>
    <d v="2025-02-17T20:18:17"/>
    <n v="3"/>
    <n v="97.47999999999999"/>
    <n v="32.493333333333332"/>
    <x v="5"/>
    <n v="11.065123333333759"/>
    <n v="33.912050196755445"/>
    <x v="2"/>
    <x v="1"/>
  </r>
  <r>
    <x v="1192"/>
    <x v="1192"/>
    <d v="2025-02-07T20:10:59"/>
    <n v="1"/>
    <n v="35.76"/>
    <n v="35.76"/>
    <x v="4"/>
    <n v="1"/>
    <n v="43.917120624995732"/>
    <x v="1"/>
    <x v="0"/>
  </r>
  <r>
    <x v="1193"/>
    <x v="1193"/>
    <d v="2025-03-13T14:55:32"/>
    <n v="4"/>
    <n v="113.64000000000001"/>
    <n v="28.410000000000004"/>
    <x v="3"/>
    <n v="34.161691770837933"/>
    <n v="10.136193067126442"/>
    <x v="2"/>
    <x v="1"/>
  </r>
  <r>
    <x v="1194"/>
    <x v="1194"/>
    <d v="2025-02-08T11:39:34"/>
    <n v="1"/>
    <n v="25.96"/>
    <n v="25.96"/>
    <x v="2"/>
    <n v="1"/>
    <n v="43.272277233794739"/>
    <x v="1"/>
    <x v="0"/>
  </r>
  <r>
    <x v="1195"/>
    <x v="1195"/>
    <d v="2025-03-23T10:07:11"/>
    <n v="6"/>
    <n v="214.55999999999997"/>
    <n v="35.76"/>
    <x v="0"/>
    <n v="42.918128136574524"/>
    <n v="0.3364277430518996"/>
    <x v="4"/>
    <x v="2"/>
  </r>
  <r>
    <x v="1196"/>
    <x v="1196"/>
    <d v="2025-02-10T13:26:55"/>
    <n v="1"/>
    <n v="30.86"/>
    <n v="30.86"/>
    <x v="3"/>
    <n v="1"/>
    <n v="41.197731064814434"/>
    <x v="1"/>
    <x v="0"/>
  </r>
  <r>
    <x v="1197"/>
    <x v="1197"/>
    <d v="2025-03-06T11:05:44"/>
    <n v="15"/>
    <n v="394.29999999999995"/>
    <n v="26.286666666666665"/>
    <x v="2"/>
    <n v="24.892711747685098"/>
    <n v="17.295775590275298"/>
    <x v="3"/>
    <x v="2"/>
  </r>
  <r>
    <x v="1198"/>
    <x v="1198"/>
    <d v="2025-03-12T13:56:24"/>
    <n v="2"/>
    <n v="71.52"/>
    <n v="35.76"/>
    <x v="0"/>
    <n v="30.996199097222416"/>
    <n v="11.177256875002058"/>
    <x v="5"/>
    <x v="1"/>
  </r>
  <r>
    <x v="1199"/>
    <x v="1199"/>
    <d v="2025-02-17T06:50:04"/>
    <n v="7"/>
    <n v="245.41999999999996"/>
    <n v="35.059999999999995"/>
    <x v="7"/>
    <n v="7.65844334490248"/>
    <n v="34.473312268521113"/>
    <x v="4"/>
    <x v="2"/>
  </r>
  <r>
    <x v="1200"/>
    <x v="1200"/>
    <d v="2025-02-15T15:40:08"/>
    <n v="2"/>
    <n v="71.52"/>
    <n v="35.76"/>
    <x v="0"/>
    <n v="5.8508581134228734"/>
    <n v="36.105219537035737"/>
    <x v="1"/>
    <x v="0"/>
  </r>
  <r>
    <x v="1201"/>
    <x v="1201"/>
    <d v="2025-02-17T11:55:02"/>
    <n v="3"/>
    <n v="63.179999999999993"/>
    <n v="21.06"/>
    <x v="6"/>
    <n v="6.7953843518553185"/>
    <n v="34.261532777774846"/>
    <x v="2"/>
    <x v="1"/>
  </r>
  <r>
    <x v="1202"/>
    <x v="1202"/>
    <d v="2025-03-18T16:23:21"/>
    <n v="11"/>
    <n v="305.16000000000003"/>
    <n v="27.741818181818186"/>
    <x v="3"/>
    <n v="35.943842916669382"/>
    <n v="5.0752084837949951"/>
    <x v="3"/>
    <x v="2"/>
  </r>
  <r>
    <x v="1203"/>
    <x v="1203"/>
    <d v="2025-02-11T19:05:04"/>
    <n v="2"/>
    <n v="71.52"/>
    <n v="35.76"/>
    <x v="0"/>
    <n v="1.0006110300892033"/>
    <n v="39.962902835650311"/>
    <x v="1"/>
    <x v="0"/>
  </r>
  <r>
    <x v="1204"/>
    <x v="1204"/>
    <d v="2025-02-12T12:43:29"/>
    <n v="1"/>
    <n v="25.96"/>
    <n v="25.96"/>
    <x v="2"/>
    <n v="1"/>
    <n v="39.227888321758655"/>
    <x v="1"/>
    <x v="0"/>
  </r>
  <r>
    <x v="1205"/>
    <x v="1205"/>
    <d v="2025-02-17T18:23:53"/>
    <n v="2"/>
    <n v="51.92"/>
    <n v="25.96"/>
    <x v="2"/>
    <n v="6.2192513078698539"/>
    <n v="33.991504594909202"/>
    <x v="1"/>
    <x v="0"/>
  </r>
  <r>
    <x v="1206"/>
    <x v="1206"/>
    <d v="2025-03-14T09:26:08"/>
    <n v="7"/>
    <n v="176.82"/>
    <n v="25.259999999999998"/>
    <x v="6"/>
    <n v="30.006098182871938"/>
    <n v="9.3649390162026975"/>
    <x v="4"/>
    <x v="2"/>
  </r>
  <r>
    <x v="1207"/>
    <x v="1207"/>
    <d v="2025-02-27T18:17:29"/>
    <n v="2"/>
    <n v="71.52"/>
    <n v="35.76"/>
    <x v="0"/>
    <n v="15.011036053241696"/>
    <n v="23.995945208334888"/>
    <x v="5"/>
    <x v="1"/>
  </r>
  <r>
    <x v="1208"/>
    <x v="1208"/>
    <d v="2025-03-11T19:07:14"/>
    <n v="2"/>
    <n v="71.52"/>
    <n v="35.76"/>
    <x v="0"/>
    <n v="27.000509270830662"/>
    <n v="11.961391909724625"/>
    <x v="5"/>
    <x v="1"/>
  </r>
  <r>
    <x v="1209"/>
    <x v="1209"/>
    <d v="2025-03-11T16:49:41"/>
    <n v="7"/>
    <n v="250.31999999999996"/>
    <n v="35.76"/>
    <x v="1"/>
    <n v="26.112863622685836"/>
    <n v="12.056919965274574"/>
    <x v="4"/>
    <x v="2"/>
  </r>
  <r>
    <x v="1210"/>
    <x v="1210"/>
    <d v="2025-02-14T14:58:12"/>
    <n v="1"/>
    <n v="30.86"/>
    <n v="30.86"/>
    <x v="3"/>
    <n v="1"/>
    <n v="37.13433319444448"/>
    <x v="1"/>
    <x v="0"/>
  </r>
  <r>
    <x v="1211"/>
    <x v="1211"/>
    <d v="2025-03-10T15:41:58"/>
    <n v="4"/>
    <n v="143.04"/>
    <n v="35.76"/>
    <x v="1"/>
    <n v="24.991682939813472"/>
    <n v="13.103944004629739"/>
    <x v="2"/>
    <x v="1"/>
  </r>
  <r>
    <x v="1212"/>
    <x v="1212"/>
    <d v="2025-02-14T17:25:25"/>
    <n v="1"/>
    <n v="30.86"/>
    <n v="30.86"/>
    <x v="3"/>
    <n v="1"/>
    <n v="37.032103749996168"/>
    <x v="1"/>
    <x v="0"/>
  </r>
  <r>
    <x v="1213"/>
    <x v="1213"/>
    <d v="2025-03-14T21:40:44"/>
    <n v="2"/>
    <n v="51.92"/>
    <n v="25.96"/>
    <x v="2"/>
    <n v="29.015435532412084"/>
    <n v="8.8548038078661193"/>
    <x v="5"/>
    <x v="1"/>
  </r>
  <r>
    <x v="1214"/>
    <x v="1214"/>
    <d v="2025-03-18T10:51:18"/>
    <n v="6"/>
    <n v="185.16"/>
    <n v="30.86"/>
    <x v="2"/>
    <n v="31.860692037036642"/>
    <n v="5.3057976967611467"/>
    <x v="4"/>
    <x v="2"/>
  </r>
  <r>
    <x v="1215"/>
    <x v="1215"/>
    <d v="2025-03-06T16:06:47"/>
    <n v="2"/>
    <n v="56.82"/>
    <n v="28.41"/>
    <x v="2"/>
    <n v="19.222269444442645"/>
    <n v="17.086705231478845"/>
    <x v="5"/>
    <x v="1"/>
  </r>
  <r>
    <x v="1216"/>
    <x v="1216"/>
    <d v="2025-03-15T19:30:37"/>
    <n v="5"/>
    <n v="154.30000000000001"/>
    <n v="30.860000000000003"/>
    <x v="3"/>
    <n v="28.073654212967085"/>
    <n v="7.9451635416626232"/>
    <x v="4"/>
    <x v="2"/>
  </r>
  <r>
    <x v="1217"/>
    <x v="1217"/>
    <d v="2025-02-18T12:15:27"/>
    <n v="3"/>
    <n v="82.78"/>
    <n v="27.593333333333334"/>
    <x v="3"/>
    <n v="2.1162036226887722"/>
    <n v="33.247361805551918"/>
    <x v="2"/>
    <x v="1"/>
  </r>
  <r>
    <x v="1218"/>
    <x v="1218"/>
    <d v="2025-03-19T17:09:55"/>
    <n v="2"/>
    <n v="61.72"/>
    <n v="30.86"/>
    <x v="3"/>
    <n v="31.28452509258932"/>
    <n v="4.0428657638913137"/>
    <x v="5"/>
    <x v="1"/>
  </r>
  <r>
    <x v="1219"/>
    <x v="1219"/>
    <d v="2025-02-24T09:14:54"/>
    <n v="3"/>
    <n v="102.38"/>
    <n v="34.126666666666665"/>
    <x v="7"/>
    <n v="7.8513338425982511"/>
    <n v="27.372743865736993"/>
    <x v="2"/>
    <x v="1"/>
  </r>
  <r>
    <x v="1220"/>
    <x v="1220"/>
    <d v="2025-02-17T14:23:02"/>
    <n v="1"/>
    <n v="35.76"/>
    <n v="35.76"/>
    <x v="0"/>
    <n v="1"/>
    <n v="34.158758449069865"/>
    <x v="1"/>
    <x v="0"/>
  </r>
  <r>
    <x v="1221"/>
    <x v="1221"/>
    <d v="2025-03-19T17:27:40"/>
    <n v="7"/>
    <n v="216.02000000000004"/>
    <n v="30.860000000000007"/>
    <x v="3"/>
    <n v="30.997518055555702"/>
    <n v="4.0305435648115235"/>
    <x v="4"/>
    <x v="2"/>
  </r>
  <r>
    <x v="1222"/>
    <x v="1222"/>
    <d v="2025-02-17T19:15:01"/>
    <n v="2"/>
    <n v="51.92"/>
    <n v="25.96"/>
    <x v="2"/>
    <n v="1.0007990625017555"/>
    <n v="33.95599256944115"/>
    <x v="1"/>
    <x v="0"/>
  </r>
  <r>
    <x v="1223"/>
    <x v="1223"/>
    <d v="2025-02-18T13:04:27"/>
    <n v="1"/>
    <n v="35.76"/>
    <n v="35.76"/>
    <x v="4"/>
    <n v="1"/>
    <n v="33.213326226854406"/>
    <x v="1"/>
    <x v="0"/>
  </r>
  <r>
    <x v="1224"/>
    <x v="1224"/>
    <d v="2025-02-18T17:11:36"/>
    <n v="4"/>
    <n v="123.44"/>
    <n v="30.86"/>
    <x v="4"/>
    <n v="1.0022731597200618"/>
    <n v="33.04170053240523"/>
    <x v="2"/>
    <x v="1"/>
  </r>
  <r>
    <x v="1225"/>
    <x v="1225"/>
    <d v="2025-02-18T19:36:27"/>
    <n v="1"/>
    <n v="35.76"/>
    <n v="35.76"/>
    <x v="4"/>
    <n v="1"/>
    <n v="32.941103217592172"/>
    <x v="1"/>
    <x v="0"/>
  </r>
  <r>
    <x v="1226"/>
    <x v="1226"/>
    <d v="2025-03-19T10:18:39"/>
    <n v="3"/>
    <n v="107.28"/>
    <n v="35.76"/>
    <x v="1"/>
    <n v="28.999744780092442"/>
    <n v="4.3284653935188544"/>
    <x v="2"/>
    <x v="1"/>
  </r>
  <r>
    <x v="1227"/>
    <x v="1227"/>
    <d v="2025-02-19T18:35:39"/>
    <n v="1"/>
    <n v="35.76"/>
    <n v="35.76"/>
    <x v="7"/>
    <n v="1"/>
    <n v="31.983331111106963"/>
    <x v="1"/>
    <x v="0"/>
  </r>
  <r>
    <x v="1228"/>
    <x v="1228"/>
    <d v="2025-02-19T19:01:33"/>
    <n v="1"/>
    <n v="35.76"/>
    <n v="35.76"/>
    <x v="0"/>
    <n v="1"/>
    <n v="31.965341979164805"/>
    <x v="1"/>
    <x v="0"/>
  </r>
  <r>
    <x v="1229"/>
    <x v="1229"/>
    <d v="2025-02-20T15:19:46"/>
    <n v="1"/>
    <n v="21.06"/>
    <n v="21.06"/>
    <x v="6"/>
    <n v="1"/>
    <n v="31.119364351849072"/>
    <x v="1"/>
    <x v="0"/>
  </r>
  <r>
    <x v="1230"/>
    <x v="1230"/>
    <d v="2025-02-20T17:00:37"/>
    <n v="2"/>
    <n v="71.52"/>
    <n v="35.76"/>
    <x v="7"/>
    <n v="1.0010453009308549"/>
    <n v="31.049325150459481"/>
    <x v="1"/>
    <x v="0"/>
  </r>
  <r>
    <x v="1231"/>
    <x v="1231"/>
    <d v="2025-02-21T10:18:11"/>
    <n v="2"/>
    <n v="51.92"/>
    <n v="25.96"/>
    <x v="2"/>
    <n v="1.6393095949097187"/>
    <n v="30.328792326385155"/>
    <x v="1"/>
    <x v="0"/>
  </r>
  <r>
    <x v="1232"/>
    <x v="1232"/>
    <d v="2025-03-20T18:55:59"/>
    <n v="2"/>
    <n v="71.52"/>
    <n v="35.76"/>
    <x v="1"/>
    <n v="28.995918935186637"/>
    <n v="2.9692125347210094"/>
    <x v="5"/>
    <x v="1"/>
  </r>
  <r>
    <x v="1233"/>
    <x v="1233"/>
    <d v="2025-03-04T18:43:22"/>
    <n v="3"/>
    <n v="107.28"/>
    <n v="35.76"/>
    <x v="4"/>
    <n v="12.983290509255312"/>
    <n v="18.977971840278769"/>
    <x v="2"/>
    <x v="1"/>
  </r>
  <r>
    <x v="1234"/>
    <x v="1234"/>
    <d v="2025-02-21T09:41:30"/>
    <n v="1"/>
    <n v="35.76"/>
    <n v="35.76"/>
    <x v="0"/>
    <n v="1"/>
    <n v="30.354271134259761"/>
    <x v="1"/>
    <x v="0"/>
  </r>
  <r>
    <x v="1235"/>
    <x v="1235"/>
    <d v="2025-02-21T09:49:21"/>
    <n v="1"/>
    <n v="35.76"/>
    <n v="35.76"/>
    <x v="7"/>
    <n v="1"/>
    <n v="30.348816168982012"/>
    <x v="1"/>
    <x v="0"/>
  </r>
  <r>
    <x v="1236"/>
    <x v="1236"/>
    <d v="2025-02-27T10:52:29"/>
    <n v="3"/>
    <n v="63.179999999999993"/>
    <n v="21.06"/>
    <x v="6"/>
    <n v="7.0425526388935396"/>
    <n v="24.304970856479486"/>
    <x v="2"/>
    <x v="1"/>
  </r>
  <r>
    <x v="1237"/>
    <x v="1237"/>
    <d v="2025-02-21T12:07:43"/>
    <n v="1"/>
    <n v="25.96"/>
    <n v="25.96"/>
    <x v="2"/>
    <n v="1"/>
    <n v="30.252729965279286"/>
    <x v="1"/>
    <x v="0"/>
  </r>
  <r>
    <x v="1238"/>
    <x v="1238"/>
    <d v="2025-02-21T16:10:06"/>
    <n v="1"/>
    <n v="35.76"/>
    <n v="35.76"/>
    <x v="4"/>
    <n v="1"/>
    <n v="30.084404050925514"/>
    <x v="1"/>
    <x v="0"/>
  </r>
  <r>
    <x v="1239"/>
    <x v="1239"/>
    <d v="2025-02-22T10:52:19"/>
    <n v="1"/>
    <n v="35.76"/>
    <n v="35.76"/>
    <x v="1"/>
    <n v="1"/>
    <n v="29.305092048613005"/>
    <x v="5"/>
    <x v="1"/>
  </r>
  <r>
    <x v="1240"/>
    <x v="1240"/>
    <d v="2025-02-22T11:28:30"/>
    <n v="1"/>
    <n v="25.96"/>
    <n v="25.96"/>
    <x v="2"/>
    <n v="1"/>
    <n v="29.27995581018331"/>
    <x v="5"/>
    <x v="1"/>
  </r>
  <r>
    <x v="1241"/>
    <x v="1241"/>
    <d v="2025-02-23T13:50:22"/>
    <n v="1"/>
    <n v="35.76"/>
    <n v="35.76"/>
    <x v="7"/>
    <n v="1"/>
    <n v="28.181446851849614"/>
    <x v="5"/>
    <x v="1"/>
  </r>
  <r>
    <x v="1242"/>
    <x v="1242"/>
    <d v="2025-02-23T17:27:45"/>
    <n v="1"/>
    <n v="25.96"/>
    <n v="25.96"/>
    <x v="2"/>
    <n v="1"/>
    <n v="28.030482789348753"/>
    <x v="5"/>
    <x v="1"/>
  </r>
  <r>
    <x v="1243"/>
    <x v="1243"/>
    <d v="2025-03-03T09:48:39"/>
    <n v="4"/>
    <n v="143.04"/>
    <n v="35.76"/>
    <x v="0"/>
    <n v="8.0024148032389348"/>
    <n v="20.349297418979404"/>
    <x v="2"/>
    <x v="1"/>
  </r>
  <r>
    <x v="1244"/>
    <x v="1244"/>
    <d v="2025-02-24T10:10:22"/>
    <n v="2"/>
    <n v="61.72"/>
    <n v="30.86"/>
    <x v="3"/>
    <n v="1.0008012962935027"/>
    <n v="27.334223483798269"/>
    <x v="5"/>
    <x v="1"/>
  </r>
  <r>
    <x v="1245"/>
    <x v="1245"/>
    <d v="2025-03-04T20:09:01"/>
    <n v="2"/>
    <n v="71.52"/>
    <n v="35.76"/>
    <x v="4"/>
    <n v="9.1728498611118994"/>
    <n v="18.918496296297235"/>
    <x v="5"/>
    <x v="1"/>
  </r>
  <r>
    <x v="1246"/>
    <x v="1246"/>
    <d v="2025-02-26T15:17:25"/>
    <n v="2"/>
    <n v="61.72"/>
    <n v="30.86"/>
    <x v="0"/>
    <n v="2.8281265740733943"/>
    <n v="25.120996388890489"/>
    <x v="5"/>
    <x v="1"/>
  </r>
  <r>
    <x v="1247"/>
    <x v="1247"/>
    <d v="2025-03-05T10:40:35"/>
    <n v="3"/>
    <n v="92.58"/>
    <n v="30.86"/>
    <x v="3"/>
    <n v="8.0202277893477003"/>
    <n v="18.313238587965316"/>
    <x v="2"/>
    <x v="1"/>
  </r>
  <r>
    <x v="1248"/>
    <x v="1248"/>
    <d v="2025-02-26T15:14:48"/>
    <n v="1"/>
    <n v="25.96"/>
    <n v="25.96"/>
    <x v="2"/>
    <n v="1"/>
    <n v="25.122808402775263"/>
    <x v="5"/>
    <x v="1"/>
  </r>
  <r>
    <x v="1249"/>
    <x v="1249"/>
    <d v="2025-02-26T15:20:49"/>
    <n v="2"/>
    <n v="61.72"/>
    <n v="30.86"/>
    <x v="1"/>
    <n v="1.0005322337892721"/>
    <n v="25.118632291669201"/>
    <x v="5"/>
    <x v="1"/>
  </r>
  <r>
    <x v="1250"/>
    <x v="1250"/>
    <d v="2025-02-27T12:48:16"/>
    <n v="1"/>
    <n v="35.76"/>
    <n v="35.76"/>
    <x v="4"/>
    <n v="1"/>
    <n v="24.224568946759973"/>
    <x v="5"/>
    <x v="1"/>
  </r>
  <r>
    <x v="1251"/>
    <x v="1251"/>
    <d v="2025-02-27T13:29:48"/>
    <n v="1"/>
    <n v="30.86"/>
    <n v="30.86"/>
    <x v="3"/>
    <n v="1"/>
    <n v="24.195720034724218"/>
    <x v="5"/>
    <x v="1"/>
  </r>
  <r>
    <x v="1252"/>
    <x v="1252"/>
    <d v="2025-02-27T14:43:19"/>
    <n v="1"/>
    <n v="35.76"/>
    <n v="35.76"/>
    <x v="0"/>
    <n v="1"/>
    <n v="24.144667939814099"/>
    <x v="5"/>
    <x v="1"/>
  </r>
  <r>
    <x v="1253"/>
    <x v="1253"/>
    <d v="2025-03-01T14:43:24"/>
    <n v="2"/>
    <n v="71.52"/>
    <n v="35.76"/>
    <x v="0"/>
    <n v="2.8681802430510288"/>
    <n v="22.144615833334683"/>
    <x v="5"/>
    <x v="1"/>
  </r>
  <r>
    <x v="1254"/>
    <x v="1254"/>
    <d v="2025-02-28T08:09:58"/>
    <n v="1"/>
    <n v="21.06"/>
    <n v="21.06"/>
    <x v="6"/>
    <n v="1"/>
    <n v="23.417833923609578"/>
    <x v="5"/>
    <x v="1"/>
  </r>
  <r>
    <x v="1255"/>
    <x v="1255"/>
    <d v="2025-03-03T17:28:43"/>
    <n v="2"/>
    <n v="61.72"/>
    <n v="30.86"/>
    <x v="3"/>
    <n v="3.9983617708348902"/>
    <n v="20.029812858796504"/>
    <x v="5"/>
    <x v="1"/>
  </r>
  <r>
    <x v="1256"/>
    <x v="1256"/>
    <d v="2025-03-10T18:49:22"/>
    <n v="4"/>
    <n v="143.04"/>
    <n v="35.76"/>
    <x v="0"/>
    <n v="10.996907754633867"/>
    <n v="12.973799976847658"/>
    <x v="2"/>
    <x v="1"/>
  </r>
  <r>
    <x v="1257"/>
    <x v="1257"/>
    <d v="2025-03-01T17:08:34"/>
    <n v="1"/>
    <n v="25.96"/>
    <n v="25.96"/>
    <x v="2"/>
    <n v="1"/>
    <n v="22.043809409718961"/>
    <x v="5"/>
    <x v="1"/>
  </r>
  <r>
    <x v="1258"/>
    <x v="1258"/>
    <d v="2025-03-22T11:14:06"/>
    <n v="3"/>
    <n v="107.28"/>
    <n v="35.76"/>
    <x v="1"/>
    <n v="20.034250509263074"/>
    <n v="1.289961516202311"/>
    <x v="2"/>
    <x v="1"/>
  </r>
  <r>
    <x v="1259"/>
    <x v="1259"/>
    <d v="2025-03-07T13:55:32"/>
    <n v="2"/>
    <n v="51.92"/>
    <n v="25.96"/>
    <x v="2"/>
    <n v="4.1645189467599266"/>
    <n v="16.17785914351407"/>
    <x v="5"/>
    <x v="1"/>
  </r>
  <r>
    <x v="1260"/>
    <x v="1260"/>
    <d v="2025-03-05T10:10:51"/>
    <n v="1"/>
    <n v="35.76"/>
    <n v="35.76"/>
    <x v="7"/>
    <n v="1"/>
    <n v="18.333890208334196"/>
    <x v="5"/>
    <x v="1"/>
  </r>
  <r>
    <x v="1261"/>
    <x v="1261"/>
    <d v="2025-03-07T10:41:46"/>
    <n v="2"/>
    <n v="71.52"/>
    <n v="35.76"/>
    <x v="4"/>
    <n v="2.9797641898112488"/>
    <n v="16.312417175926385"/>
    <x v="5"/>
    <x v="1"/>
  </r>
  <r>
    <x v="1262"/>
    <x v="1262"/>
    <d v="2025-03-05T17:16:24"/>
    <n v="1"/>
    <n v="21.06"/>
    <n v="21.06"/>
    <x v="6"/>
    <n v="1"/>
    <n v="18.038369039350073"/>
    <x v="5"/>
    <x v="1"/>
  </r>
  <r>
    <x v="1263"/>
    <x v="1263"/>
    <d v="2025-03-12T18:17:18"/>
    <n v="2"/>
    <n v="71.52"/>
    <n v="35.76"/>
    <x v="4"/>
    <n v="7.9682989120337879"/>
    <n v="10.996073969909048"/>
    <x v="5"/>
    <x v="1"/>
  </r>
  <r>
    <x v="1264"/>
    <x v="1264"/>
    <d v="2025-03-06T11:17:38"/>
    <n v="1"/>
    <n v="35.76"/>
    <n v="35.76"/>
    <x v="7"/>
    <n v="1"/>
    <n v="17.287507141205424"/>
    <x v="5"/>
    <x v="1"/>
  </r>
  <r>
    <x v="1265"/>
    <x v="1265"/>
    <d v="2025-03-07T10:27:33"/>
    <n v="2"/>
    <n v="61.72"/>
    <n v="30.86"/>
    <x v="3"/>
    <n v="1.0006667013876722"/>
    <n v="16.322292754630325"/>
    <x v="5"/>
    <x v="1"/>
  </r>
  <r>
    <x v="1266"/>
    <x v="1266"/>
    <d v="2025-03-22T13:23:18"/>
    <n v="2"/>
    <n v="61.72"/>
    <n v="30.86"/>
    <x v="3"/>
    <n v="15.02914446759678"/>
    <n v="1.2002397800897597"/>
    <x v="5"/>
    <x v="1"/>
  </r>
  <r>
    <x v="1267"/>
    <x v="1267"/>
    <d v="2025-03-09T09:42:04"/>
    <n v="1"/>
    <n v="21.06"/>
    <n v="21.06"/>
    <x v="6"/>
    <n v="1"/>
    <n v="14.353874444444955"/>
    <x v="5"/>
    <x v="1"/>
  </r>
  <r>
    <x v="1268"/>
    <x v="1268"/>
    <d v="2025-03-09T11:25:53"/>
    <n v="1"/>
    <n v="30.86"/>
    <n v="30.86"/>
    <x v="3"/>
    <n v="1"/>
    <n v="14.281776053241629"/>
    <x v="5"/>
    <x v="1"/>
  </r>
  <r>
    <x v="1269"/>
    <x v="1269"/>
    <d v="2025-03-09T15:53:40"/>
    <n v="1"/>
    <n v="35.76"/>
    <n v="35.76"/>
    <x v="4"/>
    <n v="1"/>
    <n v="14.095812974534056"/>
    <x v="5"/>
    <x v="1"/>
  </r>
  <r>
    <x v="1270"/>
    <x v="1270"/>
    <d v="2025-03-14T08:59:27"/>
    <n v="3"/>
    <n v="87.68"/>
    <n v="29.22666666666667"/>
    <x v="2"/>
    <n v="5.0171683449079865"/>
    <n v="9.383469988424622"/>
    <x v="2"/>
    <x v="1"/>
  </r>
  <r>
    <x v="1271"/>
    <x v="1271"/>
    <d v="2025-03-10T09:50:54"/>
    <n v="1"/>
    <n v="35.76"/>
    <n v="35.76"/>
    <x v="4"/>
    <n v="1"/>
    <n v="13.347737407406385"/>
    <x v="5"/>
    <x v="1"/>
  </r>
  <r>
    <x v="1272"/>
    <x v="1272"/>
    <d v="2025-03-10T10:18:57"/>
    <n v="1"/>
    <n v="35.76"/>
    <n v="35.76"/>
    <x v="1"/>
    <n v="1"/>
    <n v="13.328258969908347"/>
    <x v="5"/>
    <x v="1"/>
  </r>
  <r>
    <x v="1273"/>
    <x v="1273"/>
    <d v="2025-03-22T17:53:36"/>
    <n v="5"/>
    <n v="164.10000000000002"/>
    <n v="32.820000000000007"/>
    <x v="3"/>
    <n v="13.061927118062158"/>
    <n v="1.0125311689771479"/>
    <x v="4"/>
    <x v="2"/>
  </r>
  <r>
    <x v="1274"/>
    <x v="1274"/>
    <d v="2025-03-23T18:11:39"/>
    <n v="4"/>
    <n v="143.04"/>
    <n v="35.76"/>
    <x v="0"/>
    <n v="13.364285092589853"/>
    <n v="0"/>
    <x v="2"/>
    <x v="1"/>
  </r>
  <r>
    <x v="1275"/>
    <x v="1275"/>
    <d v="2025-03-20T15:21:52"/>
    <n v="8"/>
    <n v="276.27999999999997"/>
    <n v="34.534999999999997"/>
    <x v="4"/>
    <n v="9.9530180555520928"/>
    <n v="3.1179029282429838"/>
    <x v="4"/>
    <x v="2"/>
  </r>
  <r>
    <x v="1276"/>
    <x v="1276"/>
    <d v="2025-03-12T11:11:39"/>
    <n v="1"/>
    <n v="35.76"/>
    <n v="35.76"/>
    <x v="4"/>
    <n v="1"/>
    <n v="11.291657280089566"/>
    <x v="5"/>
    <x v="1"/>
  </r>
  <r>
    <x v="1277"/>
    <x v="1277"/>
    <d v="2025-03-12T12:06:11"/>
    <n v="1"/>
    <n v="25.96"/>
    <n v="25.96"/>
    <x v="2"/>
    <n v="1"/>
    <n v="11.253791400464252"/>
    <x v="5"/>
    <x v="1"/>
  </r>
  <r>
    <x v="1278"/>
    <x v="1278"/>
    <d v="2025-03-22T11:41:21"/>
    <n v="2"/>
    <n v="71.52"/>
    <n v="35.76"/>
    <x v="1"/>
    <n v="10.948404710645264"/>
    <n v="1.2710423148164409"/>
    <x v="5"/>
    <x v="1"/>
  </r>
  <r>
    <x v="1279"/>
    <x v="1279"/>
    <d v="2025-03-12T13:01:49"/>
    <n v="1"/>
    <n v="35.76"/>
    <n v="35.76"/>
    <x v="0"/>
    <n v="1"/>
    <n v="11.215154236109811"/>
    <x v="5"/>
    <x v="1"/>
  </r>
  <r>
    <x v="1280"/>
    <x v="1280"/>
    <d v="2025-03-12T16:27:37"/>
    <n v="1"/>
    <n v="35.76"/>
    <n v="35.76"/>
    <x v="7"/>
    <n v="1"/>
    <n v="11.072239050925418"/>
    <x v="5"/>
    <x v="1"/>
  </r>
  <r>
    <x v="1281"/>
    <x v="1281"/>
    <d v="2025-03-12T18:24:40"/>
    <n v="1"/>
    <n v="25.96"/>
    <n v="25.96"/>
    <x v="2"/>
    <n v="1"/>
    <n v="10.990950740742846"/>
    <x v="5"/>
    <x v="1"/>
  </r>
  <r>
    <x v="1282"/>
    <x v="1282"/>
    <d v="2025-03-13T09:38:20"/>
    <n v="1"/>
    <n v="25.96"/>
    <n v="25.96"/>
    <x v="2"/>
    <n v="1"/>
    <n v="10.356469999998808"/>
    <x v="5"/>
    <x v="1"/>
  </r>
  <r>
    <x v="1283"/>
    <x v="1283"/>
    <d v="2025-03-13T09:39:15"/>
    <n v="1"/>
    <n v="30.86"/>
    <n v="30.86"/>
    <x v="3"/>
    <n v="1"/>
    <n v="10.355833877314581"/>
    <x v="5"/>
    <x v="1"/>
  </r>
  <r>
    <x v="1284"/>
    <x v="1284"/>
    <d v="2025-03-13T14:53:50"/>
    <n v="1"/>
    <n v="30.86"/>
    <n v="30.86"/>
    <x v="3"/>
    <n v="1"/>
    <n v="10.137368379626423"/>
    <x v="5"/>
    <x v="1"/>
  </r>
  <r>
    <x v="1285"/>
    <x v="1285"/>
    <d v="2025-03-14T08:13:40"/>
    <n v="1"/>
    <n v="30.86"/>
    <n v="30.86"/>
    <x v="3"/>
    <n v="1"/>
    <n v="9.4152598495347775"/>
    <x v="5"/>
    <x v="1"/>
  </r>
  <r>
    <x v="1286"/>
    <x v="1286"/>
    <d v="2025-03-14T09:00:30"/>
    <n v="1"/>
    <n v="35.76"/>
    <n v="35.76"/>
    <x v="0"/>
    <n v="1"/>
    <n v="9.3827401851813192"/>
    <x v="5"/>
    <x v="1"/>
  </r>
  <r>
    <x v="1287"/>
    <x v="1287"/>
    <d v="2025-03-14T10:49:28"/>
    <n v="2"/>
    <n v="71.52"/>
    <n v="35.76"/>
    <x v="0"/>
    <n v="1.0007522222222178"/>
    <n v="9.307069895832683"/>
    <x v="5"/>
    <x v="1"/>
  </r>
  <r>
    <x v="1288"/>
    <x v="1288"/>
    <d v="2025-03-14T16:32:40"/>
    <n v="2"/>
    <n v="71.52"/>
    <n v="35.76"/>
    <x v="4"/>
    <n v="1.0005224884298514"/>
    <n v="9.0687316435141838"/>
    <x v="5"/>
    <x v="1"/>
  </r>
  <r>
    <x v="1289"/>
    <x v="1289"/>
    <d v="2025-03-20T14:21:42"/>
    <n v="3"/>
    <n v="72.98"/>
    <n v="24.326666666666668"/>
    <x v="2"/>
    <n v="6.8863169907344854"/>
    <n v="3.1596844212981523"/>
    <x v="2"/>
    <x v="1"/>
  </r>
  <r>
    <x v="1290"/>
    <x v="1290"/>
    <d v="2025-03-14T20:20:22"/>
    <n v="1"/>
    <n v="25.96"/>
    <n v="25.96"/>
    <x v="2"/>
    <n v="1"/>
    <n v="8.9106089467604761"/>
    <x v="5"/>
    <x v="1"/>
  </r>
  <r>
    <x v="1291"/>
    <x v="1291"/>
    <d v="2025-03-15T19:51:27"/>
    <n v="1"/>
    <n v="35.76"/>
    <n v="35.76"/>
    <x v="7"/>
    <n v="1"/>
    <n v="7.9306891898158938"/>
    <x v="5"/>
    <x v="1"/>
  </r>
  <r>
    <x v="1292"/>
    <x v="1292"/>
    <d v="2025-03-20T10:06:44"/>
    <n v="3"/>
    <n v="92.58"/>
    <n v="30.86"/>
    <x v="3"/>
    <n v="5.0210777893516934"/>
    <n v="3.3367398032423807"/>
    <x v="2"/>
    <x v="1"/>
  </r>
  <r>
    <x v="1293"/>
    <x v="1293"/>
    <d v="2025-03-16T12:00:47"/>
    <n v="2"/>
    <n v="71.52"/>
    <n v="35.76"/>
    <x v="0"/>
    <n v="1.0490481828746852"/>
    <n v="7.2575405092575238"/>
    <x v="5"/>
    <x v="1"/>
  </r>
  <r>
    <x v="1294"/>
    <x v="1294"/>
    <d v="2025-03-19T15:12:53"/>
    <n v="2"/>
    <n v="71.52"/>
    <n v="35.76"/>
    <x v="0"/>
    <n v="3.0172412731481018"/>
    <n v="4.124137395832804"/>
    <x v="5"/>
    <x v="1"/>
  </r>
  <r>
    <x v="1295"/>
    <x v="1295"/>
    <d v="2025-03-18T08:23:11"/>
    <n v="1"/>
    <n v="30.86"/>
    <n v="30.86"/>
    <x v="3"/>
    <n v="1"/>
    <n v="5.4086533564841375"/>
    <x v="5"/>
    <x v="1"/>
  </r>
  <r>
    <x v="1296"/>
    <x v="1296"/>
    <d v="2025-03-18T11:48:56"/>
    <n v="2"/>
    <n v="71.52"/>
    <n v="35.76"/>
    <x v="1"/>
    <n v="1.0011074652793468"/>
    <n v="5.2657752430532128"/>
    <x v="5"/>
    <x v="1"/>
  </r>
  <r>
    <x v="1297"/>
    <x v="1297"/>
    <d v="2025-03-20T21:50:16"/>
    <n v="2"/>
    <n v="71.52"/>
    <n v="35.76"/>
    <x v="0"/>
    <n v="3.02055071759969"/>
    <n v="2.8481831249955576"/>
    <x v="5"/>
    <x v="1"/>
  </r>
  <r>
    <x v="1298"/>
    <x v="1298"/>
    <d v="2025-03-19T12:58:27"/>
    <n v="1"/>
    <n v="25.96"/>
    <n v="25.96"/>
    <x v="2"/>
    <n v="1"/>
    <n v="4.2174937268500798"/>
    <x v="5"/>
    <x v="1"/>
  </r>
  <r>
    <x v="1299"/>
    <x v="1299"/>
    <d v="2025-03-19T15:14:23"/>
    <n v="1"/>
    <n v="35.76"/>
    <n v="35.76"/>
    <x v="0"/>
    <n v="1"/>
    <n v="4.1230927777796751"/>
    <x v="5"/>
    <x v="1"/>
  </r>
  <r>
    <x v="1300"/>
    <x v="1300"/>
    <d v="2025-03-19T18:29:50"/>
    <n v="1"/>
    <n v="25.96"/>
    <n v="25.96"/>
    <x v="5"/>
    <n v="1"/>
    <n v="3.9873640856458223"/>
    <x v="5"/>
    <x v="1"/>
  </r>
  <r>
    <x v="1301"/>
    <x v="1301"/>
    <d v="2025-03-22T15:57:58"/>
    <n v="2"/>
    <n v="42.12"/>
    <n v="21.06"/>
    <x v="6"/>
    <n v="3.8939140740767471"/>
    <n v="1.0928293055549148"/>
    <x v="5"/>
    <x v="1"/>
  </r>
  <r>
    <x v="1302"/>
    <x v="1302"/>
    <d v="2025-03-19T18:31:26"/>
    <n v="1"/>
    <n v="21.06"/>
    <n v="21.06"/>
    <x v="6"/>
    <n v="1"/>
    <n v="3.9862574652797775"/>
    <x v="5"/>
    <x v="1"/>
  </r>
  <r>
    <x v="1303"/>
    <x v="1303"/>
    <d v="2025-03-20T08:13:16"/>
    <n v="1"/>
    <n v="30.86"/>
    <n v="30.86"/>
    <x v="3"/>
    <n v="1"/>
    <n v="3.4155364814796485"/>
    <x v="5"/>
    <x v="1"/>
  </r>
  <r>
    <x v="1304"/>
    <x v="1304"/>
    <d v="2025-03-20T10:45:44"/>
    <n v="1"/>
    <n v="25.96"/>
    <n v="25.96"/>
    <x v="2"/>
    <n v="1"/>
    <n v="3.3096579629636835"/>
    <x v="5"/>
    <x v="1"/>
  </r>
  <r>
    <x v="1305"/>
    <x v="1305"/>
    <d v="2025-03-22T12:26:00"/>
    <n v="4"/>
    <n v="103.84"/>
    <n v="25.96"/>
    <x v="2"/>
    <n v="2.9844361921277596"/>
    <n v="1.2400342476830701"/>
    <x v="2"/>
    <x v="1"/>
  </r>
  <r>
    <x v="1306"/>
    <x v="1306"/>
    <d v="2025-03-20T14:25:05"/>
    <n v="1"/>
    <n v="25.96"/>
    <n v="25.96"/>
    <x v="5"/>
    <n v="1"/>
    <n v="3.1573373263890971"/>
    <x v="5"/>
    <x v="1"/>
  </r>
  <r>
    <x v="1307"/>
    <x v="1307"/>
    <d v="2025-03-20T14:26:47"/>
    <n v="1"/>
    <n v="35.76"/>
    <n v="35.76"/>
    <x v="7"/>
    <n v="1"/>
    <n v="3.1561564814837766"/>
    <x v="5"/>
    <x v="1"/>
  </r>
  <r>
    <x v="1308"/>
    <x v="1308"/>
    <d v="2025-03-22T13:06:22"/>
    <n v="2"/>
    <n v="51.92"/>
    <n v="25.96"/>
    <x v="2"/>
    <n v="2.8211825115795364"/>
    <n v="1.2120028356439434"/>
    <x v="5"/>
    <x v="1"/>
  </r>
  <r>
    <x v="1309"/>
    <x v="1309"/>
    <d v="2025-03-20T19:36:42"/>
    <n v="1"/>
    <n v="35.76"/>
    <n v="35.76"/>
    <x v="4"/>
    <n v="1"/>
    <n v="2.9409379050921416"/>
    <x v="5"/>
    <x v="1"/>
  </r>
  <r>
    <x v="1310"/>
    <x v="1310"/>
    <d v="2025-03-21T08:35:19"/>
    <n v="1"/>
    <n v="35.76"/>
    <n v="35.76"/>
    <x v="7"/>
    <n v="1"/>
    <n v="2.4002273032383528"/>
    <x v="5"/>
    <x v="1"/>
  </r>
  <r>
    <x v="1311"/>
    <x v="1311"/>
    <d v="2025-03-21T15:09:03"/>
    <n v="1"/>
    <n v="35.76"/>
    <n v="35.76"/>
    <x v="7"/>
    <n v="1"/>
    <n v="2.1268010763888014"/>
    <x v="5"/>
    <x v="1"/>
  </r>
  <r>
    <x v="1312"/>
    <x v="1312"/>
    <d v="2025-03-22T12:18:27"/>
    <n v="1"/>
    <n v="30.86"/>
    <n v="30.86"/>
    <x v="3"/>
    <n v="1"/>
    <n v="1.2452678703702986"/>
    <x v="5"/>
    <x v="1"/>
  </r>
  <r>
    <x v="1313"/>
    <x v="1313"/>
    <d v="2025-03-22T19:16:53"/>
    <n v="1"/>
    <n v="30.86"/>
    <n v="30.86"/>
    <x v="3"/>
    <n v="1"/>
    <n v="0.95469800925638992"/>
    <x v="5"/>
    <x v="1"/>
  </r>
  <r>
    <x v="1314"/>
    <x v="1314"/>
    <d v="2025-03-23T14:44:17"/>
    <n v="2"/>
    <n v="71.52"/>
    <n v="35.76"/>
    <x v="4"/>
    <n v="1.000457199079392"/>
    <n v="0.1440019791625673"/>
    <x v="5"/>
    <x v="1"/>
  </r>
  <r>
    <x v="1315"/>
    <x v="1315"/>
    <d v="2025-03-23T15:47:29"/>
    <n v="1"/>
    <n v="25.96"/>
    <n v="25.96"/>
    <x v="2"/>
    <n v="1"/>
    <n v="0.10011472221958684"/>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6D60E-F2C0-4BCE-8A93-B6C255ACB2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J11" firstHeaderRow="1" firstDataRow="2" firstDataCol="1"/>
  <pivotFields count="13">
    <pivotField dataField="1"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pivotField showAll="0"/>
    <pivotField numFmtId="164" showAll="0"/>
    <pivotField numFmtId="164" showAll="0"/>
    <pivotField axis="axisCol" showAll="0">
      <items count="9">
        <item x="2"/>
        <item x="3"/>
        <item x="7"/>
        <item x="4"/>
        <item x="5"/>
        <item x="6"/>
        <item x="1"/>
        <item x="0"/>
        <item t="default"/>
      </items>
    </pivotField>
    <pivotField numFmtId="1" showAll="0"/>
    <pivotField numFmtId="1" showAll="0"/>
    <pivotField axis="axisRow" showAll="0">
      <items count="7">
        <item x="1"/>
        <item x="4"/>
        <item x="0"/>
        <item x="5"/>
        <item x="2"/>
        <item x="3"/>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7">
    <i>
      <x/>
    </i>
    <i>
      <x v="1"/>
    </i>
    <i>
      <x v="2"/>
    </i>
    <i>
      <x v="3"/>
    </i>
    <i>
      <x v="4"/>
    </i>
    <i>
      <x v="5"/>
    </i>
    <i t="grand">
      <x/>
    </i>
  </rowItems>
  <colFields count="1">
    <field x="6"/>
  </colFields>
  <colItems count="9">
    <i>
      <x/>
    </i>
    <i>
      <x v="1"/>
    </i>
    <i>
      <x v="2"/>
    </i>
    <i>
      <x v="3"/>
    </i>
    <i>
      <x v="4"/>
    </i>
    <i>
      <x v="5"/>
    </i>
    <i>
      <x v="6"/>
    </i>
    <i>
      <x v="7"/>
    </i>
    <i t="grand">
      <x/>
    </i>
  </colItems>
  <dataFields count="1">
    <dataField name="Count of Customer ID" fld="0" subtotal="count" baseField="0" baseItem="0"/>
  </dataFields>
  <chartFormats count="57">
    <chartFormat chart="18" format="64" series="1">
      <pivotArea type="data" outline="0" fieldPosition="0">
        <references count="2">
          <reference field="4294967294" count="1" selected="0">
            <x v="0"/>
          </reference>
          <reference field="6" count="1" selected="0">
            <x v="0"/>
          </reference>
        </references>
      </pivotArea>
    </chartFormat>
    <chartFormat chart="18" format="65">
      <pivotArea type="data" outline="0" fieldPosition="0">
        <references count="3">
          <reference field="4294967294" count="1" selected="0">
            <x v="0"/>
          </reference>
          <reference field="6" count="1" selected="0">
            <x v="0"/>
          </reference>
          <reference field="9" count="1" selected="0">
            <x v="0"/>
          </reference>
        </references>
      </pivotArea>
    </chartFormat>
    <chartFormat chart="18" format="66">
      <pivotArea type="data" outline="0" fieldPosition="0">
        <references count="3">
          <reference field="4294967294" count="1" selected="0">
            <x v="0"/>
          </reference>
          <reference field="6" count="1" selected="0">
            <x v="0"/>
          </reference>
          <reference field="9" count="1" selected="0">
            <x v="1"/>
          </reference>
        </references>
      </pivotArea>
    </chartFormat>
    <chartFormat chart="18" format="67">
      <pivotArea type="data" outline="0" fieldPosition="0">
        <references count="3">
          <reference field="4294967294" count="1" selected="0">
            <x v="0"/>
          </reference>
          <reference field="6" count="1" selected="0">
            <x v="0"/>
          </reference>
          <reference field="9" count="1" selected="0">
            <x v="2"/>
          </reference>
        </references>
      </pivotArea>
    </chartFormat>
    <chartFormat chart="18" format="68">
      <pivotArea type="data" outline="0" fieldPosition="0">
        <references count="3">
          <reference field="4294967294" count="1" selected="0">
            <x v="0"/>
          </reference>
          <reference field="6" count="1" selected="0">
            <x v="0"/>
          </reference>
          <reference field="9" count="1" selected="0">
            <x v="3"/>
          </reference>
        </references>
      </pivotArea>
    </chartFormat>
    <chartFormat chart="18" format="69">
      <pivotArea type="data" outline="0" fieldPosition="0">
        <references count="3">
          <reference field="4294967294" count="1" selected="0">
            <x v="0"/>
          </reference>
          <reference field="6" count="1" selected="0">
            <x v="0"/>
          </reference>
          <reference field="9" count="1" selected="0">
            <x v="4"/>
          </reference>
        </references>
      </pivotArea>
    </chartFormat>
    <chartFormat chart="18" format="70">
      <pivotArea type="data" outline="0" fieldPosition="0">
        <references count="3">
          <reference field="4294967294" count="1" selected="0">
            <x v="0"/>
          </reference>
          <reference field="6" count="1" selected="0">
            <x v="0"/>
          </reference>
          <reference field="9" count="1" selected="0">
            <x v="5"/>
          </reference>
        </references>
      </pivotArea>
    </chartFormat>
    <chartFormat chart="18" format="71" series="1">
      <pivotArea type="data" outline="0" fieldPosition="0">
        <references count="2">
          <reference field="4294967294" count="1" selected="0">
            <x v="0"/>
          </reference>
          <reference field="6" count="1" selected="0">
            <x v="1"/>
          </reference>
        </references>
      </pivotArea>
    </chartFormat>
    <chartFormat chart="18" format="72">
      <pivotArea type="data" outline="0" fieldPosition="0">
        <references count="3">
          <reference field="4294967294" count="1" selected="0">
            <x v="0"/>
          </reference>
          <reference field="6" count="1" selected="0">
            <x v="1"/>
          </reference>
          <reference field="9" count="1" selected="0">
            <x v="0"/>
          </reference>
        </references>
      </pivotArea>
    </chartFormat>
    <chartFormat chart="18" format="73">
      <pivotArea type="data" outline="0" fieldPosition="0">
        <references count="3">
          <reference field="4294967294" count="1" selected="0">
            <x v="0"/>
          </reference>
          <reference field="6" count="1" selected="0">
            <x v="1"/>
          </reference>
          <reference field="9" count="1" selected="0">
            <x v="1"/>
          </reference>
        </references>
      </pivotArea>
    </chartFormat>
    <chartFormat chart="18" format="74">
      <pivotArea type="data" outline="0" fieldPosition="0">
        <references count="3">
          <reference field="4294967294" count="1" selected="0">
            <x v="0"/>
          </reference>
          <reference field="6" count="1" selected="0">
            <x v="1"/>
          </reference>
          <reference field="9" count="1" selected="0">
            <x v="2"/>
          </reference>
        </references>
      </pivotArea>
    </chartFormat>
    <chartFormat chart="18" format="75">
      <pivotArea type="data" outline="0" fieldPosition="0">
        <references count="3">
          <reference field="4294967294" count="1" selected="0">
            <x v="0"/>
          </reference>
          <reference field="6" count="1" selected="0">
            <x v="1"/>
          </reference>
          <reference field="9" count="1" selected="0">
            <x v="3"/>
          </reference>
        </references>
      </pivotArea>
    </chartFormat>
    <chartFormat chart="18" format="76">
      <pivotArea type="data" outline="0" fieldPosition="0">
        <references count="3">
          <reference field="4294967294" count="1" selected="0">
            <x v="0"/>
          </reference>
          <reference field="6" count="1" selected="0">
            <x v="1"/>
          </reference>
          <reference field="9" count="1" selected="0">
            <x v="4"/>
          </reference>
        </references>
      </pivotArea>
    </chartFormat>
    <chartFormat chart="18" format="77">
      <pivotArea type="data" outline="0" fieldPosition="0">
        <references count="3">
          <reference field="4294967294" count="1" selected="0">
            <x v="0"/>
          </reference>
          <reference field="6" count="1" selected="0">
            <x v="1"/>
          </reference>
          <reference field="9" count="1" selected="0">
            <x v="5"/>
          </reference>
        </references>
      </pivotArea>
    </chartFormat>
    <chartFormat chart="18" format="78" series="1">
      <pivotArea type="data" outline="0" fieldPosition="0">
        <references count="2">
          <reference field="4294967294" count="1" selected="0">
            <x v="0"/>
          </reference>
          <reference field="6" count="1" selected="0">
            <x v="2"/>
          </reference>
        </references>
      </pivotArea>
    </chartFormat>
    <chartFormat chart="18" format="79">
      <pivotArea type="data" outline="0" fieldPosition="0">
        <references count="3">
          <reference field="4294967294" count="1" selected="0">
            <x v="0"/>
          </reference>
          <reference field="6" count="1" selected="0">
            <x v="2"/>
          </reference>
          <reference field="9" count="1" selected="0">
            <x v="0"/>
          </reference>
        </references>
      </pivotArea>
    </chartFormat>
    <chartFormat chart="18" format="80">
      <pivotArea type="data" outline="0" fieldPosition="0">
        <references count="3">
          <reference field="4294967294" count="1" selected="0">
            <x v="0"/>
          </reference>
          <reference field="6" count="1" selected="0">
            <x v="2"/>
          </reference>
          <reference field="9" count="1" selected="0">
            <x v="1"/>
          </reference>
        </references>
      </pivotArea>
    </chartFormat>
    <chartFormat chart="18" format="81">
      <pivotArea type="data" outline="0" fieldPosition="0">
        <references count="3">
          <reference field="4294967294" count="1" selected="0">
            <x v="0"/>
          </reference>
          <reference field="6" count="1" selected="0">
            <x v="2"/>
          </reference>
          <reference field="9" count="1" selected="0">
            <x v="2"/>
          </reference>
        </references>
      </pivotArea>
    </chartFormat>
    <chartFormat chart="18" format="82">
      <pivotArea type="data" outline="0" fieldPosition="0">
        <references count="3">
          <reference field="4294967294" count="1" selected="0">
            <x v="0"/>
          </reference>
          <reference field="6" count="1" selected="0">
            <x v="2"/>
          </reference>
          <reference field="9" count="1" selected="0">
            <x v="3"/>
          </reference>
        </references>
      </pivotArea>
    </chartFormat>
    <chartFormat chart="18" format="83">
      <pivotArea type="data" outline="0" fieldPosition="0">
        <references count="3">
          <reference field="4294967294" count="1" selected="0">
            <x v="0"/>
          </reference>
          <reference field="6" count="1" selected="0">
            <x v="2"/>
          </reference>
          <reference field="9" count="1" selected="0">
            <x v="4"/>
          </reference>
        </references>
      </pivotArea>
    </chartFormat>
    <chartFormat chart="18" format="84">
      <pivotArea type="data" outline="0" fieldPosition="0">
        <references count="3">
          <reference field="4294967294" count="1" selected="0">
            <x v="0"/>
          </reference>
          <reference field="6" count="1" selected="0">
            <x v="2"/>
          </reference>
          <reference field="9" count="1" selected="0">
            <x v="5"/>
          </reference>
        </references>
      </pivotArea>
    </chartFormat>
    <chartFormat chart="18" format="85" series="1">
      <pivotArea type="data" outline="0" fieldPosition="0">
        <references count="2">
          <reference field="4294967294" count="1" selected="0">
            <x v="0"/>
          </reference>
          <reference field="6" count="1" selected="0">
            <x v="3"/>
          </reference>
        </references>
      </pivotArea>
    </chartFormat>
    <chartFormat chart="18" format="86">
      <pivotArea type="data" outline="0" fieldPosition="0">
        <references count="3">
          <reference field="4294967294" count="1" selected="0">
            <x v="0"/>
          </reference>
          <reference field="6" count="1" selected="0">
            <x v="3"/>
          </reference>
          <reference field="9" count="1" selected="0">
            <x v="0"/>
          </reference>
        </references>
      </pivotArea>
    </chartFormat>
    <chartFormat chart="18" format="87">
      <pivotArea type="data" outline="0" fieldPosition="0">
        <references count="3">
          <reference field="4294967294" count="1" selected="0">
            <x v="0"/>
          </reference>
          <reference field="6" count="1" selected="0">
            <x v="3"/>
          </reference>
          <reference field="9" count="1" selected="0">
            <x v="1"/>
          </reference>
        </references>
      </pivotArea>
    </chartFormat>
    <chartFormat chart="18" format="88">
      <pivotArea type="data" outline="0" fieldPosition="0">
        <references count="3">
          <reference field="4294967294" count="1" selected="0">
            <x v="0"/>
          </reference>
          <reference field="6" count="1" selected="0">
            <x v="3"/>
          </reference>
          <reference field="9" count="1" selected="0">
            <x v="2"/>
          </reference>
        </references>
      </pivotArea>
    </chartFormat>
    <chartFormat chart="18" format="89">
      <pivotArea type="data" outline="0" fieldPosition="0">
        <references count="3">
          <reference field="4294967294" count="1" selected="0">
            <x v="0"/>
          </reference>
          <reference field="6" count="1" selected="0">
            <x v="3"/>
          </reference>
          <reference field="9" count="1" selected="0">
            <x v="3"/>
          </reference>
        </references>
      </pivotArea>
    </chartFormat>
    <chartFormat chart="18" format="90">
      <pivotArea type="data" outline="0" fieldPosition="0">
        <references count="3">
          <reference field="4294967294" count="1" selected="0">
            <x v="0"/>
          </reference>
          <reference field="6" count="1" selected="0">
            <x v="3"/>
          </reference>
          <reference field="9" count="1" selected="0">
            <x v="4"/>
          </reference>
        </references>
      </pivotArea>
    </chartFormat>
    <chartFormat chart="18" format="91">
      <pivotArea type="data" outline="0" fieldPosition="0">
        <references count="3">
          <reference field="4294967294" count="1" selected="0">
            <x v="0"/>
          </reference>
          <reference field="6" count="1" selected="0">
            <x v="3"/>
          </reference>
          <reference field="9" count="1" selected="0">
            <x v="5"/>
          </reference>
        </references>
      </pivotArea>
    </chartFormat>
    <chartFormat chart="18" format="92" series="1">
      <pivotArea type="data" outline="0" fieldPosition="0">
        <references count="2">
          <reference field="4294967294" count="1" selected="0">
            <x v="0"/>
          </reference>
          <reference field="6" count="1" selected="0">
            <x v="4"/>
          </reference>
        </references>
      </pivotArea>
    </chartFormat>
    <chartFormat chart="18" format="93">
      <pivotArea type="data" outline="0" fieldPosition="0">
        <references count="3">
          <reference field="4294967294" count="1" selected="0">
            <x v="0"/>
          </reference>
          <reference field="6" count="1" selected="0">
            <x v="4"/>
          </reference>
          <reference field="9" count="1" selected="0">
            <x v="0"/>
          </reference>
        </references>
      </pivotArea>
    </chartFormat>
    <chartFormat chart="18" format="94">
      <pivotArea type="data" outline="0" fieldPosition="0">
        <references count="3">
          <reference field="4294967294" count="1" selected="0">
            <x v="0"/>
          </reference>
          <reference field="6" count="1" selected="0">
            <x v="4"/>
          </reference>
          <reference field="9" count="1" selected="0">
            <x v="1"/>
          </reference>
        </references>
      </pivotArea>
    </chartFormat>
    <chartFormat chart="18" format="95">
      <pivotArea type="data" outline="0" fieldPosition="0">
        <references count="3">
          <reference field="4294967294" count="1" selected="0">
            <x v="0"/>
          </reference>
          <reference field="6" count="1" selected="0">
            <x v="4"/>
          </reference>
          <reference field="9" count="1" selected="0">
            <x v="2"/>
          </reference>
        </references>
      </pivotArea>
    </chartFormat>
    <chartFormat chart="18" format="96">
      <pivotArea type="data" outline="0" fieldPosition="0">
        <references count="3">
          <reference field="4294967294" count="1" selected="0">
            <x v="0"/>
          </reference>
          <reference field="6" count="1" selected="0">
            <x v="4"/>
          </reference>
          <reference field="9" count="1" selected="0">
            <x v="3"/>
          </reference>
        </references>
      </pivotArea>
    </chartFormat>
    <chartFormat chart="18" format="97">
      <pivotArea type="data" outline="0" fieldPosition="0">
        <references count="3">
          <reference field="4294967294" count="1" selected="0">
            <x v="0"/>
          </reference>
          <reference field="6" count="1" selected="0">
            <x v="4"/>
          </reference>
          <reference field="9" count="1" selected="0">
            <x v="4"/>
          </reference>
        </references>
      </pivotArea>
    </chartFormat>
    <chartFormat chart="18" format="98">
      <pivotArea type="data" outline="0" fieldPosition="0">
        <references count="3">
          <reference field="4294967294" count="1" selected="0">
            <x v="0"/>
          </reference>
          <reference field="6" count="1" selected="0">
            <x v="4"/>
          </reference>
          <reference field="9" count="1" selected="0">
            <x v="5"/>
          </reference>
        </references>
      </pivotArea>
    </chartFormat>
    <chartFormat chart="18" format="99" series="1">
      <pivotArea type="data" outline="0" fieldPosition="0">
        <references count="2">
          <reference field="4294967294" count="1" selected="0">
            <x v="0"/>
          </reference>
          <reference field="6" count="1" selected="0">
            <x v="5"/>
          </reference>
        </references>
      </pivotArea>
    </chartFormat>
    <chartFormat chart="18" format="100">
      <pivotArea type="data" outline="0" fieldPosition="0">
        <references count="3">
          <reference field="4294967294" count="1" selected="0">
            <x v="0"/>
          </reference>
          <reference field="6" count="1" selected="0">
            <x v="5"/>
          </reference>
          <reference field="9" count="1" selected="0">
            <x v="0"/>
          </reference>
        </references>
      </pivotArea>
    </chartFormat>
    <chartFormat chart="18" format="101">
      <pivotArea type="data" outline="0" fieldPosition="0">
        <references count="3">
          <reference field="4294967294" count="1" selected="0">
            <x v="0"/>
          </reference>
          <reference field="6" count="1" selected="0">
            <x v="5"/>
          </reference>
          <reference field="9" count="1" selected="0">
            <x v="1"/>
          </reference>
        </references>
      </pivotArea>
    </chartFormat>
    <chartFormat chart="18" format="102">
      <pivotArea type="data" outline="0" fieldPosition="0">
        <references count="3">
          <reference field="4294967294" count="1" selected="0">
            <x v="0"/>
          </reference>
          <reference field="6" count="1" selected="0">
            <x v="5"/>
          </reference>
          <reference field="9" count="1" selected="0">
            <x v="2"/>
          </reference>
        </references>
      </pivotArea>
    </chartFormat>
    <chartFormat chart="18" format="103">
      <pivotArea type="data" outline="0" fieldPosition="0">
        <references count="3">
          <reference field="4294967294" count="1" selected="0">
            <x v="0"/>
          </reference>
          <reference field="6" count="1" selected="0">
            <x v="5"/>
          </reference>
          <reference field="9" count="1" selected="0">
            <x v="3"/>
          </reference>
        </references>
      </pivotArea>
    </chartFormat>
    <chartFormat chart="18" format="104">
      <pivotArea type="data" outline="0" fieldPosition="0">
        <references count="3">
          <reference field="4294967294" count="1" selected="0">
            <x v="0"/>
          </reference>
          <reference field="6" count="1" selected="0">
            <x v="5"/>
          </reference>
          <reference field="9" count="1" selected="0">
            <x v="4"/>
          </reference>
        </references>
      </pivotArea>
    </chartFormat>
    <chartFormat chart="18" format="105">
      <pivotArea type="data" outline="0" fieldPosition="0">
        <references count="3">
          <reference field="4294967294" count="1" selected="0">
            <x v="0"/>
          </reference>
          <reference field="6" count="1" selected="0">
            <x v="5"/>
          </reference>
          <reference field="9" count="1" selected="0">
            <x v="5"/>
          </reference>
        </references>
      </pivotArea>
    </chartFormat>
    <chartFormat chart="18" format="106" series="1">
      <pivotArea type="data" outline="0" fieldPosition="0">
        <references count="2">
          <reference field="4294967294" count="1" selected="0">
            <x v="0"/>
          </reference>
          <reference field="6" count="1" selected="0">
            <x v="6"/>
          </reference>
        </references>
      </pivotArea>
    </chartFormat>
    <chartFormat chart="18" format="107">
      <pivotArea type="data" outline="0" fieldPosition="0">
        <references count="3">
          <reference field="4294967294" count="1" selected="0">
            <x v="0"/>
          </reference>
          <reference field="6" count="1" selected="0">
            <x v="6"/>
          </reference>
          <reference field="9" count="1" selected="0">
            <x v="0"/>
          </reference>
        </references>
      </pivotArea>
    </chartFormat>
    <chartFormat chart="18" format="108">
      <pivotArea type="data" outline="0" fieldPosition="0">
        <references count="3">
          <reference field="4294967294" count="1" selected="0">
            <x v="0"/>
          </reference>
          <reference field="6" count="1" selected="0">
            <x v="6"/>
          </reference>
          <reference field="9" count="1" selected="0">
            <x v="1"/>
          </reference>
        </references>
      </pivotArea>
    </chartFormat>
    <chartFormat chart="18" format="109">
      <pivotArea type="data" outline="0" fieldPosition="0">
        <references count="3">
          <reference field="4294967294" count="1" selected="0">
            <x v="0"/>
          </reference>
          <reference field="6" count="1" selected="0">
            <x v="6"/>
          </reference>
          <reference field="9" count="1" selected="0">
            <x v="2"/>
          </reference>
        </references>
      </pivotArea>
    </chartFormat>
    <chartFormat chart="18" format="110">
      <pivotArea type="data" outline="0" fieldPosition="0">
        <references count="3">
          <reference field="4294967294" count="1" selected="0">
            <x v="0"/>
          </reference>
          <reference field="6" count="1" selected="0">
            <x v="6"/>
          </reference>
          <reference field="9" count="1" selected="0">
            <x v="3"/>
          </reference>
        </references>
      </pivotArea>
    </chartFormat>
    <chartFormat chart="18" format="111">
      <pivotArea type="data" outline="0" fieldPosition="0">
        <references count="3">
          <reference field="4294967294" count="1" selected="0">
            <x v="0"/>
          </reference>
          <reference field="6" count="1" selected="0">
            <x v="6"/>
          </reference>
          <reference field="9" count="1" selected="0">
            <x v="4"/>
          </reference>
        </references>
      </pivotArea>
    </chartFormat>
    <chartFormat chart="18" format="112">
      <pivotArea type="data" outline="0" fieldPosition="0">
        <references count="3">
          <reference field="4294967294" count="1" selected="0">
            <x v="0"/>
          </reference>
          <reference field="6" count="1" selected="0">
            <x v="6"/>
          </reference>
          <reference field="9" count="1" selected="0">
            <x v="5"/>
          </reference>
        </references>
      </pivotArea>
    </chartFormat>
    <chartFormat chart="18" format="113" series="1">
      <pivotArea type="data" outline="0" fieldPosition="0">
        <references count="2">
          <reference field="4294967294" count="1" selected="0">
            <x v="0"/>
          </reference>
          <reference field="6" count="1" selected="0">
            <x v="7"/>
          </reference>
        </references>
      </pivotArea>
    </chartFormat>
    <chartFormat chart="18" format="114">
      <pivotArea type="data" outline="0" fieldPosition="0">
        <references count="3">
          <reference field="4294967294" count="1" selected="0">
            <x v="0"/>
          </reference>
          <reference field="6" count="1" selected="0">
            <x v="7"/>
          </reference>
          <reference field="9" count="1" selected="0">
            <x v="0"/>
          </reference>
        </references>
      </pivotArea>
    </chartFormat>
    <chartFormat chart="18" format="115">
      <pivotArea type="data" outline="0" fieldPosition="0">
        <references count="3">
          <reference field="4294967294" count="1" selected="0">
            <x v="0"/>
          </reference>
          <reference field="6" count="1" selected="0">
            <x v="7"/>
          </reference>
          <reference field="9" count="1" selected="0">
            <x v="1"/>
          </reference>
        </references>
      </pivotArea>
    </chartFormat>
    <chartFormat chart="18" format="116">
      <pivotArea type="data" outline="0" fieldPosition="0">
        <references count="3">
          <reference field="4294967294" count="1" selected="0">
            <x v="0"/>
          </reference>
          <reference field="6" count="1" selected="0">
            <x v="7"/>
          </reference>
          <reference field="9" count="1" selected="0">
            <x v="2"/>
          </reference>
        </references>
      </pivotArea>
    </chartFormat>
    <chartFormat chart="18" format="117">
      <pivotArea type="data" outline="0" fieldPosition="0">
        <references count="3">
          <reference field="4294967294" count="1" selected="0">
            <x v="0"/>
          </reference>
          <reference field="6" count="1" selected="0">
            <x v="7"/>
          </reference>
          <reference field="9" count="1" selected="0">
            <x v="3"/>
          </reference>
        </references>
      </pivotArea>
    </chartFormat>
    <chartFormat chart="18" format="118">
      <pivotArea type="data" outline="0" fieldPosition="0">
        <references count="3">
          <reference field="4294967294" count="1" selected="0">
            <x v="0"/>
          </reference>
          <reference field="6" count="1" selected="0">
            <x v="7"/>
          </reference>
          <reference field="9" count="1" selected="0">
            <x v="4"/>
          </reference>
        </references>
      </pivotArea>
    </chartFormat>
    <chartFormat chart="18" format="119">
      <pivotArea type="data" outline="0" fieldPosition="0">
        <references count="3">
          <reference field="4294967294" count="1" selected="0">
            <x v="0"/>
          </reference>
          <reference field="6" count="1" selected="0">
            <x v="7"/>
          </reference>
          <reference field="9" count="1" selected="0">
            <x v="5"/>
          </reference>
        </references>
      </pivotArea>
    </chartFormat>
    <chartFormat chart="18" format="12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50BF8C-A36C-4C05-9B56-86E243DC4E3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4:B21" firstHeaderRow="1" firstDataRow="1" firstDataCol="1"/>
  <pivotFields count="13">
    <pivotField showAll="0"/>
    <pivotField numFmtId="14"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pivotField showAll="0"/>
    <pivotField numFmtId="164" showAll="0"/>
    <pivotField dataField="1" numFmtId="164" showAll="0"/>
    <pivotField showAll="0">
      <items count="9">
        <item x="2"/>
        <item x="3"/>
        <item x="7"/>
        <item x="4"/>
        <item x="5"/>
        <item x="6"/>
        <item x="1"/>
        <item x="0"/>
        <item t="default"/>
      </items>
    </pivotField>
    <pivotField numFmtId="1" showAll="0"/>
    <pivotField numFmtId="1" showAll="0"/>
    <pivotField axis="axisRow" showAll="0" sortType="ascending">
      <items count="7">
        <item x="1"/>
        <item x="4"/>
        <item x="0"/>
        <item x="5"/>
        <item x="2"/>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7">
    <i>
      <x v="3"/>
    </i>
    <i>
      <x v="5"/>
    </i>
    <i>
      <x v="1"/>
    </i>
    <i>
      <x v="4"/>
    </i>
    <i>
      <x/>
    </i>
    <i>
      <x v="2"/>
    </i>
    <i t="grand">
      <x/>
    </i>
  </rowItems>
  <colItems count="1">
    <i/>
  </colItems>
  <dataFields count="1">
    <dataField name="Average of Avg Spend/Visit" fld="5" subtotal="average" baseField="9" baseItem="3" numFmtId="164"/>
  </dataField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7993EC-16A0-4C88-B6BD-E9C85419417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5:J33" firstHeaderRow="1" firstDataRow="2" firstDataCol="1"/>
  <pivotFields count="13">
    <pivotField showAll="0"/>
    <pivotField numFmtId="14"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pivotField dataField="1" showAll="0"/>
    <pivotField numFmtId="164" showAll="0"/>
    <pivotField numFmtId="164" showAll="0"/>
    <pivotField axis="axisCol" showAll="0">
      <items count="9">
        <item x="2"/>
        <item x="3"/>
        <item x="7"/>
        <item x="4"/>
        <item x="5"/>
        <item x="6"/>
        <item x="1"/>
        <item x="0"/>
        <item t="default"/>
      </items>
    </pivotField>
    <pivotField numFmtId="1" showAll="0"/>
    <pivotField numFmtId="1" showAll="0"/>
    <pivotField axis="axisRow" showAll="0">
      <items count="7">
        <item x="1"/>
        <item x="4"/>
        <item x="0"/>
        <item x="5"/>
        <item x="2"/>
        <item x="3"/>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7">
    <i>
      <x/>
    </i>
    <i>
      <x v="1"/>
    </i>
    <i>
      <x v="2"/>
    </i>
    <i>
      <x v="3"/>
    </i>
    <i>
      <x v="4"/>
    </i>
    <i>
      <x v="5"/>
    </i>
    <i t="grand">
      <x/>
    </i>
  </rowItems>
  <colFields count="1">
    <field x="6"/>
  </colFields>
  <colItems count="9">
    <i>
      <x/>
    </i>
    <i>
      <x v="1"/>
    </i>
    <i>
      <x v="2"/>
    </i>
    <i>
      <x v="3"/>
    </i>
    <i>
      <x v="4"/>
    </i>
    <i>
      <x v="5"/>
    </i>
    <i>
      <x v="6"/>
    </i>
    <i>
      <x v="7"/>
    </i>
    <i t="grand">
      <x/>
    </i>
  </colItems>
  <dataFields count="1">
    <dataField name="Sum of Total Vis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D5CCEF-423C-43DD-B278-ACF9644EC55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6:B43" firstHeaderRow="1" firstDataRow="1" firstDataCol="1"/>
  <pivotFields count="13">
    <pivotField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pivotField dataField="1" showAll="0"/>
    <pivotField numFmtId="164" showAll="0"/>
    <pivotField numFmtId="164" showAll="0"/>
    <pivotField showAll="0">
      <items count="9">
        <item x="2"/>
        <item x="3"/>
        <item x="7"/>
        <item x="4"/>
        <item x="5"/>
        <item x="6"/>
        <item x="1"/>
        <item x="0"/>
        <item t="default"/>
      </items>
    </pivotField>
    <pivotField numFmtId="1" showAll="0"/>
    <pivotField numFmtId="1" showAll="0"/>
    <pivotField axis="axisRow" showAll="0" sortType="descending">
      <items count="7">
        <item x="1"/>
        <item x="4"/>
        <item x="0"/>
        <item x="5"/>
        <item x="2"/>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7">
    <i>
      <x/>
    </i>
    <i>
      <x v="2"/>
    </i>
    <i>
      <x v="4"/>
    </i>
    <i>
      <x v="5"/>
    </i>
    <i>
      <x v="1"/>
    </i>
    <i>
      <x v="3"/>
    </i>
    <i t="grand">
      <x/>
    </i>
  </rowItems>
  <colItems count="1">
    <i/>
  </colItems>
  <dataFields count="1">
    <dataField name="Sum of Total Visits" fld="3" baseField="0" baseItem="0"/>
  </dataFields>
  <chartFormats count="1">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45F1A-51C1-4957-8947-F577A93CBCCE}"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1:C9" firstHeaderRow="1" firstDataRow="1" firstDataCol="2"/>
  <pivotFields count="13">
    <pivotField compact="0" outline="0"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compact="0" numFmtId="14" outline="0"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compact="0" numFmtId="14" outline="0" showAll="0"/>
    <pivotField compact="0" outline="0" showAll="0"/>
    <pivotField dataField="1" compact="0" numFmtId="164" outline="0" showAll="0"/>
    <pivotField compact="0" numFmtId="164" outline="0" showAll="0"/>
    <pivotField axis="axisRow" compact="0" outline="0" showAll="0" sortType="ascending">
      <items count="9">
        <item sd="0" x="2"/>
        <item sd="0" x="3"/>
        <item sd="0" x="7"/>
        <item sd="0" x="4"/>
        <item sd="0" x="5"/>
        <item sd="0" x="6"/>
        <item sd="0" x="1"/>
        <item sd="0" x="0"/>
        <item t="default" sd="0"/>
      </items>
      <autoSortScope>
        <pivotArea dataOnly="0" outline="0" fieldPosition="0">
          <references count="1">
            <reference field="4294967294" count="1" selected="0">
              <x v="0"/>
            </reference>
          </references>
        </pivotArea>
      </autoSortScope>
    </pivotField>
    <pivotField compact="0" numFmtId="1" outline="0" showAll="0"/>
    <pivotField compact="0" numFmtId="1" outline="0" showAll="0"/>
    <pivotField axis="axisRow" compact="0" outline="0" showAll="0">
      <items count="7">
        <item x="1"/>
        <item x="4"/>
        <item x="0"/>
        <item x="5"/>
        <item x="2"/>
        <item x="3"/>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2">
    <field x="6"/>
    <field x="9"/>
  </rowFields>
  <rowItems count="8">
    <i>
      <x v="5"/>
    </i>
    <i>
      <x v="3"/>
    </i>
    <i>
      <x v="4"/>
    </i>
    <i>
      <x v="6"/>
    </i>
    <i>
      <x v="2"/>
    </i>
    <i>
      <x/>
    </i>
    <i>
      <x v="1"/>
    </i>
    <i>
      <x v="7"/>
    </i>
  </rowItems>
  <colItems count="1">
    <i/>
  </colItems>
  <dataFields count="1">
    <dataField name="Sum of Total Spent" fld="4"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6DECA3-2F6F-4E4B-A037-3CACF5FDE7C8}"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3:J21" firstHeaderRow="1" firstDataRow="2" firstDataCol="1"/>
  <pivotFields count="13">
    <pivotField dataField="1"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pivotField showAll="0"/>
    <pivotField numFmtId="164" showAll="0"/>
    <pivotField numFmtId="164" showAll="0"/>
    <pivotField axis="axisCol" showAll="0">
      <items count="9">
        <item x="2"/>
        <item x="3"/>
        <item x="7"/>
        <item x="4"/>
        <item x="5"/>
        <item x="6"/>
        <item x="1"/>
        <item x="0"/>
        <item t="default"/>
      </items>
    </pivotField>
    <pivotField numFmtId="1" showAll="0"/>
    <pivotField numFmtId="1" showAll="0"/>
    <pivotField axis="axisRow" showAll="0">
      <items count="7">
        <item x="1"/>
        <item x="4"/>
        <item x="0"/>
        <item x="5"/>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7">
    <i>
      <x/>
    </i>
    <i>
      <x v="1"/>
    </i>
    <i>
      <x v="2"/>
    </i>
    <i>
      <x v="3"/>
    </i>
    <i>
      <x v="4"/>
    </i>
    <i>
      <x v="5"/>
    </i>
    <i t="grand">
      <x/>
    </i>
  </rowItems>
  <colFields count="1">
    <field x="6"/>
  </colFields>
  <colItems count="9">
    <i>
      <x/>
    </i>
    <i>
      <x v="1"/>
    </i>
    <i>
      <x v="2"/>
    </i>
    <i>
      <x v="3"/>
    </i>
    <i>
      <x v="4"/>
    </i>
    <i>
      <x v="5"/>
    </i>
    <i>
      <x v="6"/>
    </i>
    <i>
      <x v="7"/>
    </i>
    <i t="grand">
      <x/>
    </i>
  </colItems>
  <dataFields count="1">
    <dataField name="Count of Customer ID" fld="0" subtotal="count" showDataAs="percentOfCol" baseField="9" baseItem="0" numFmtId="10"/>
  </dataFields>
  <chartFormats count="9">
    <chartFormat chart="6" format="24" series="1">
      <pivotArea type="data" outline="0" fieldPosition="0">
        <references count="2">
          <reference field="4294967294" count="1" selected="0">
            <x v="0"/>
          </reference>
          <reference field="6" count="1" selected="0">
            <x v="0"/>
          </reference>
        </references>
      </pivotArea>
    </chartFormat>
    <chartFormat chart="6" format="25" series="1">
      <pivotArea type="data" outline="0" fieldPosition="0">
        <references count="2">
          <reference field="4294967294" count="1" selected="0">
            <x v="0"/>
          </reference>
          <reference field="6" count="1" selected="0">
            <x v="1"/>
          </reference>
        </references>
      </pivotArea>
    </chartFormat>
    <chartFormat chart="6" format="26" series="1">
      <pivotArea type="data" outline="0" fieldPosition="0">
        <references count="2">
          <reference field="4294967294" count="1" selected="0">
            <x v="0"/>
          </reference>
          <reference field="6" count="1" selected="0">
            <x v="2"/>
          </reference>
        </references>
      </pivotArea>
    </chartFormat>
    <chartFormat chart="6" format="27" series="1">
      <pivotArea type="data" outline="0" fieldPosition="0">
        <references count="2">
          <reference field="4294967294" count="1" selected="0">
            <x v="0"/>
          </reference>
          <reference field="6" count="1" selected="0">
            <x v="3"/>
          </reference>
        </references>
      </pivotArea>
    </chartFormat>
    <chartFormat chart="6" format="28" series="1">
      <pivotArea type="data" outline="0" fieldPosition="0">
        <references count="2">
          <reference field="4294967294" count="1" selected="0">
            <x v="0"/>
          </reference>
          <reference field="6" count="1" selected="0">
            <x v="4"/>
          </reference>
        </references>
      </pivotArea>
    </chartFormat>
    <chartFormat chart="6" format="29" series="1">
      <pivotArea type="data" outline="0" fieldPosition="0">
        <references count="2">
          <reference field="4294967294" count="1" selected="0">
            <x v="0"/>
          </reference>
          <reference field="6" count="1" selected="0">
            <x v="5"/>
          </reference>
        </references>
      </pivotArea>
    </chartFormat>
    <chartFormat chart="6" format="30" series="1">
      <pivotArea type="data" outline="0" fieldPosition="0">
        <references count="2">
          <reference field="4294967294" count="1" selected="0">
            <x v="0"/>
          </reference>
          <reference field="6" count="1" selected="0">
            <x v="6"/>
          </reference>
        </references>
      </pivotArea>
    </chartFormat>
    <chartFormat chart="6" format="31" series="1">
      <pivotArea type="data" outline="0" fieldPosition="0">
        <references count="2">
          <reference field="4294967294" count="1" selected="0">
            <x v="0"/>
          </reference>
          <reference field="6" count="1" selected="0">
            <x v="7"/>
          </reference>
        </references>
      </pivotArea>
    </chartFormat>
    <chartFormat chart="6"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4D90CB-4CE1-43E6-A976-9F92442EBB2D}"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19" firstHeaderRow="0" firstDataRow="1" firstDataCol="1"/>
  <pivotFields count="13">
    <pivotField dataField="1" showAll="0"/>
    <pivotField numFmtId="14" showAll="0">
      <items count="1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t="default"/>
      </items>
    </pivotField>
    <pivotField numFmtId="14" showAll="0"/>
    <pivotField showAll="0"/>
    <pivotField dataField="1" numFmtId="164" showAll="0"/>
    <pivotField numFmtId="164" showAll="0"/>
    <pivotField showAll="0">
      <items count="9">
        <item x="2"/>
        <item x="3"/>
        <item x="7"/>
        <item x="4"/>
        <item x="5"/>
        <item x="6"/>
        <item x="1"/>
        <item x="0"/>
        <item t="default"/>
      </items>
    </pivotField>
    <pivotField numFmtId="1" showAll="0"/>
    <pivotField numFmtId="1" showAll="0"/>
    <pivotField showAll="0">
      <items count="7">
        <item x="1"/>
        <item x="4"/>
        <item x="0"/>
        <item x="5"/>
        <item x="2"/>
        <item x="3"/>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2"/>
    <field x="11"/>
  </rowFields>
  <rowItems count="16">
    <i>
      <x v="1"/>
    </i>
    <i r="1">
      <x v="3"/>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Count of Customer ID" fld="0" subtotal="count" baseField="0" baseItem="0"/>
    <dataField name="Sum of Total Spe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vorite_Product" xr10:uid="{C3161686-FC14-435C-AAFB-873AD5DC00E2}" sourceName="Favorite Product">
  <pivotTables>
    <pivotTable tabId="8" name="PivotTable5"/>
    <pivotTable tabId="8" name="PivotTable1"/>
    <pivotTable tabId="8" name="PivotTable3"/>
    <pivotTable tabId="8" name="PivotTable4"/>
    <pivotTable tabId="12" name="PivotTable13"/>
    <pivotTable tabId="9" name="PivotTable12"/>
    <pivotTable tabId="9" name="PivotTable6"/>
  </pivotTables>
  <data>
    <tabular pivotCacheId="991073559">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C72FFE1-109D-49C9-B9FA-92E7647EC255}" sourceName="Segment">
  <pivotTables>
    <pivotTable tabId="8" name="PivotTable5"/>
    <pivotTable tabId="8" name="PivotTable1"/>
    <pivotTable tabId="8" name="PivotTable3"/>
    <pivotTable tabId="8" name="PivotTable4"/>
    <pivotTable tabId="12" name="PivotTable13"/>
    <pivotTable tabId="9" name="PivotTable12"/>
    <pivotTable tabId="9" name="PivotTable6"/>
  </pivotTables>
  <data>
    <tabular pivotCacheId="991073559">
      <items count="6">
        <i x="1" s="1"/>
        <i x="4" s="1"/>
        <i x="0" s="1"/>
        <i x="5"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731B4BCB-198B-4D09-8EF3-0FD2DE1526E3}" sourceName="Priority">
  <pivotTables>
    <pivotTable tabId="8" name="PivotTable5"/>
    <pivotTable tabId="8" name="PivotTable1"/>
    <pivotTable tabId="8" name="PivotTable3"/>
    <pivotTable tabId="8" name="PivotTable4"/>
  </pivotTables>
  <data>
    <tabular pivotCacheId="99107355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vorite Product 1" xr10:uid="{200B9E9B-994B-4BA7-8AE0-29A20A37C507}" cache="Slicer_Favorite_Product" caption="Favorite Product" columnCount="4" rowHeight="241300"/>
  <slicer name="Segment" xr10:uid="{EFF73F23-8E15-4BBD-A0AA-62B6F2C00ED5}" cache="Slicer_Segment" caption="Segment" columnCount="3" rowHeight="241300"/>
  <slicer name="Priority" xr10:uid="{2F666C71-01CF-43B9-9127-392297E63756}" cache="Slicer_Priority" caption="Priorit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44242F-783A-4E6E-877F-9A500FD4B615}" name="Table1" displayName="Table1" ref="A1:K1317" totalsRowShown="0" headerRowDxfId="7">
  <autoFilter ref="A1:K1317" xr:uid="{4F44242F-783A-4E6E-877F-9A500FD4B615}"/>
  <tableColumns count="11">
    <tableColumn id="1" xr3:uid="{AE8ACDD9-83E7-42A0-A9A8-EABD4A5E9D20}" name="Customer ID"/>
    <tableColumn id="2" xr3:uid="{0F72CF95-9100-4B35-802C-57030F78AEC8}" name="First Purchase" dataDxfId="6">
      <calculatedColumnFormula>_xlfn.MINIFS('working sheet'!$B$2:$B$3548, 'working sheet'!$D$2:$D$3548, A2)</calculatedColumnFormula>
    </tableColumn>
    <tableColumn id="3" xr3:uid="{F2AD4126-09C2-4213-9640-43BD15829C72}" name="Last Purchase" dataDxfId="5">
      <calculatedColumnFormula>_xlfn.MAXIFS('working sheet'!$B$1:$B$3548,'working sheet'!$D$1:$D$3548,'Customer Portfolio'!A2)</calculatedColumnFormula>
    </tableColumn>
    <tableColumn id="4" xr3:uid="{5CE50D44-4D60-4E3A-A362-0A4EC61574FF}" name="Total Visits">
      <calculatedColumnFormula>COUNTIFS('working sheet'!$D$1:$D$3548,'Customer Portfolio'!A2)</calculatedColumnFormula>
    </tableColumn>
    <tableColumn id="5" xr3:uid="{4E08CE09-3190-4F1B-87FA-67917180EA27}" name="Total Spent" dataDxfId="4" dataCellStyle="Currency">
      <calculatedColumnFormula>SUMIFS('working sheet'!$E$2:$E$3548,'working sheet'!$D$2:$D$3548,'Customer Portfolio'!A2)</calculatedColumnFormula>
    </tableColumn>
    <tableColumn id="6" xr3:uid="{46B68B80-283A-4FF9-9872-FCF23DA77774}" name="Avg Spend/Visit" dataDxfId="3">
      <calculatedColumnFormula>E2/D2</calculatedColumnFormula>
    </tableColumn>
    <tableColumn id="7" xr3:uid="{B4868D23-FD10-4F14-96D0-B5D2CC8C1D82}" name="Favorite Product">
      <calculatedColumnFormula array="1">IFERROR(INDEX('working sheet'!$F$2:$F$3548, MODE(IF('working sheet'!$D$2:$D$3548=A2, MATCH('working sheet'!$F$2:$F$3548, 'working sheet'!$F$2:$F$3548, 0)))),
         INDEX('working sheet'!$F$2:$F$3548, MATCH(A2, 'working sheet'!$D$2:$D$3548, 0)))</calculatedColumnFormula>
    </tableColumn>
    <tableColumn id="8" xr3:uid="{63653230-01C2-4F1F-8573-D17E0B723667}" name="Days Active" dataDxfId="2">
      <calculatedColumnFormula>C2-B2+1</calculatedColumnFormula>
    </tableColumn>
    <tableColumn id="9" xr3:uid="{CF5FE165-CE55-47BA-9D4B-C04C9CAB39DF}" name="Recency (Days)" dataDxfId="1">
      <calculatedColumnFormula>MAX('working sheet'!$B$2:$B$3548)-C2</calculatedColumnFormula>
    </tableColumn>
    <tableColumn id="10" xr3:uid="{85E8186F-28E9-4246-8365-39697B76BE1E}" name="Segment" dataDxfId="0">
      <calculatedColumnFormula array="1">IF(AND(I2&lt;=30, D2&gt;=10, E2&gt;=200), "VIP",  IF(AND(I2&lt;=60, D2&gt;=5, E2&gt;=100), "Loyal", IF(AND(I2&lt;=90, D2&gt;=3), "Regular", IF(I2&lt;=30, "Recent", IF(D2&gt;=3, "Occasional", "At Risk")))))</calculatedColumnFormula>
    </tableColumn>
    <tableColumn id="11" xr3:uid="{6CB28C05-BBFD-4CF4-862C-8E05EADD1F99}" name="Priority">
      <calculatedColumnFormula array="1">IF(OR(J2="VIP", J2="Loyal"), "HIGH",IF(OR(J2="Regular", J2="Recent"), "MEDIUM","LOW"))</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2013 - 2022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irst_Purchase" xr10:uid="{F4F9FC0E-9DA4-4734-8359-9660ED4767DA}" sourceName="First Purchase">
  <pivotTables>
    <pivotTable tabId="12" name="PivotTable13"/>
    <pivotTable tabId="8" name="PivotTable1"/>
    <pivotTable tabId="8" name="PivotTable3"/>
    <pivotTable tabId="8" name="PivotTable4"/>
    <pivotTable tabId="8" name="PivotTable5"/>
    <pivotTable tabId="9" name="PivotTable12"/>
    <pivotTable tabId="9" name="PivotTable6"/>
  </pivotTables>
  <state minimalRefreshVersion="6" lastRefreshVersion="6" pivotCacheId="991073559" filterType="unknown">
    <bounds startDate="2024-01-01T10:15:51" endDate="2026-01-01T15:47:29"/>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rst Purchase 1" xr10:uid="{FB6E6C26-92D5-4BB8-B5F0-ACAB3E89AC3A}" cache="NativeTimeline_First_Purchase" caption="First Purchase" level="2" selectionLevel="2" scrollPosition="2024-04-1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rst Purchase" xr10:uid="{596AF4A3-E54B-419A-AB7E-DACF5C966314}" cache="NativeTimeline_First_Purchase" caption="First Purchase" level="2" selectionLevel="2" scrollPosition="2025-03-11T00:00:00"/>
</timeline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37"/>
  <sheetViews>
    <sheetView workbookViewId="0">
      <selection activeCell="D1" sqref="D1"/>
    </sheetView>
  </sheetViews>
  <sheetFormatPr defaultRowHeight="15"/>
  <cols>
    <col min="1" max="1" width="10.7109375" bestFit="1" customWidth="1"/>
    <col min="3" max="3" width="9.85546875" bestFit="1" customWidth="1"/>
    <col min="4" max="4" width="21" bestFit="1" customWidth="1"/>
  </cols>
  <sheetData>
    <row r="1" spans="1:6">
      <c r="A1" t="s">
        <v>0</v>
      </c>
      <c r="B1" t="s">
        <v>1</v>
      </c>
      <c r="C1" t="s">
        <v>2</v>
      </c>
      <c r="D1" t="s">
        <v>3</v>
      </c>
      <c r="E1" t="s">
        <v>4</v>
      </c>
      <c r="F1" t="s">
        <v>5</v>
      </c>
    </row>
    <row r="2" spans="1:6">
      <c r="A2" s="1">
        <v>45352</v>
      </c>
      <c r="B2" s="2">
        <v>45352.427668055556</v>
      </c>
      <c r="C2" t="s">
        <v>3</v>
      </c>
      <c r="D2" t="s">
        <v>6</v>
      </c>
      <c r="E2">
        <v>38.700000000000003</v>
      </c>
      <c r="F2" t="s">
        <v>7</v>
      </c>
    </row>
    <row r="3" spans="1:6">
      <c r="A3" s="1">
        <v>45355</v>
      </c>
      <c r="B3" s="2">
        <v>45355.41935178241</v>
      </c>
      <c r="C3" t="s">
        <v>3</v>
      </c>
      <c r="D3" t="s">
        <v>6</v>
      </c>
      <c r="E3">
        <v>38.700000000000003</v>
      </c>
      <c r="F3" t="s">
        <v>7</v>
      </c>
    </row>
    <row r="4" spans="1:6">
      <c r="A4" s="1">
        <v>45356</v>
      </c>
      <c r="B4" s="2">
        <v>45356.416581608799</v>
      </c>
      <c r="C4" t="s">
        <v>3</v>
      </c>
      <c r="D4" t="s">
        <v>6</v>
      </c>
      <c r="E4">
        <v>38.700000000000003</v>
      </c>
      <c r="F4" t="s">
        <v>7</v>
      </c>
    </row>
    <row r="5" spans="1:6">
      <c r="A5" s="1">
        <v>45384</v>
      </c>
      <c r="B5" s="2">
        <v>45384.417523402779</v>
      </c>
      <c r="C5" t="s">
        <v>3</v>
      </c>
      <c r="D5" t="s">
        <v>6</v>
      </c>
      <c r="E5">
        <v>38.700000000000003</v>
      </c>
      <c r="F5" t="s">
        <v>7</v>
      </c>
    </row>
    <row r="6" spans="1:6">
      <c r="A6" s="1">
        <v>45401</v>
      </c>
      <c r="B6" s="2">
        <v>45401.424030717593</v>
      </c>
      <c r="C6" t="s">
        <v>3</v>
      </c>
      <c r="D6" t="s">
        <v>6</v>
      </c>
      <c r="E6">
        <v>38.700000000000003</v>
      </c>
      <c r="F6" t="s">
        <v>7</v>
      </c>
    </row>
    <row r="7" spans="1:6">
      <c r="A7" s="1">
        <v>45403</v>
      </c>
      <c r="B7" s="2">
        <v>45403.469973460647</v>
      </c>
      <c r="C7" t="s">
        <v>3</v>
      </c>
      <c r="D7" t="s">
        <v>6</v>
      </c>
      <c r="E7">
        <v>37.72</v>
      </c>
      <c r="F7" t="s">
        <v>7</v>
      </c>
    </row>
    <row r="8" spans="1:6">
      <c r="A8" s="1">
        <v>45406</v>
      </c>
      <c r="B8" s="2">
        <v>45406.430304930553</v>
      </c>
      <c r="C8" t="s">
        <v>3</v>
      </c>
      <c r="D8" t="s">
        <v>6</v>
      </c>
      <c r="E8">
        <v>37.72</v>
      </c>
      <c r="F8" t="s">
        <v>7</v>
      </c>
    </row>
    <row r="9" spans="1:6">
      <c r="A9" s="1">
        <v>45408</v>
      </c>
      <c r="B9" s="2">
        <v>45408.425585856479</v>
      </c>
      <c r="C9" t="s">
        <v>3</v>
      </c>
      <c r="D9" t="s">
        <v>6</v>
      </c>
      <c r="E9">
        <v>37.72</v>
      </c>
      <c r="F9" t="s">
        <v>7</v>
      </c>
    </row>
    <row r="10" spans="1:6">
      <c r="A10" s="1">
        <v>45410</v>
      </c>
      <c r="B10" s="2">
        <v>45410.439496284722</v>
      </c>
      <c r="C10" t="s">
        <v>3</v>
      </c>
      <c r="D10" t="s">
        <v>6</v>
      </c>
      <c r="E10">
        <v>37.72</v>
      </c>
      <c r="F10" t="s">
        <v>7</v>
      </c>
    </row>
    <row r="11" spans="1:6">
      <c r="A11" s="1">
        <v>45420</v>
      </c>
      <c r="B11" s="2">
        <v>45420.421861840281</v>
      </c>
      <c r="C11" t="s">
        <v>3</v>
      </c>
      <c r="D11" t="s">
        <v>6</v>
      </c>
      <c r="E11">
        <v>37.72</v>
      </c>
      <c r="F11" t="s">
        <v>7</v>
      </c>
    </row>
    <row r="12" spans="1:6">
      <c r="A12" s="1">
        <v>45424</v>
      </c>
      <c r="B12" s="2">
        <v>45424.431047592596</v>
      </c>
      <c r="C12" t="s">
        <v>3</v>
      </c>
      <c r="D12" t="s">
        <v>6</v>
      </c>
      <c r="E12">
        <v>37.72</v>
      </c>
      <c r="F12" t="s">
        <v>7</v>
      </c>
    </row>
    <row r="13" spans="1:6">
      <c r="A13" s="1">
        <v>45432</v>
      </c>
      <c r="B13" s="2">
        <v>45432.457504386577</v>
      </c>
      <c r="C13" t="s">
        <v>3</v>
      </c>
      <c r="D13" t="s">
        <v>6</v>
      </c>
      <c r="E13">
        <v>37.72</v>
      </c>
      <c r="F13" t="s">
        <v>7</v>
      </c>
    </row>
    <row r="14" spans="1:6">
      <c r="A14" s="1">
        <v>45438</v>
      </c>
      <c r="B14" s="2">
        <v>45438.430581400462</v>
      </c>
      <c r="C14" t="s">
        <v>3</v>
      </c>
      <c r="D14" t="s">
        <v>6</v>
      </c>
      <c r="E14">
        <v>37.72</v>
      </c>
      <c r="F14" t="s">
        <v>7</v>
      </c>
    </row>
    <row r="15" spans="1:6">
      <c r="A15" s="1">
        <v>45442</v>
      </c>
      <c r="B15" s="2">
        <v>45442.408322824071</v>
      </c>
      <c r="C15" t="s">
        <v>3</v>
      </c>
      <c r="D15" t="s">
        <v>6</v>
      </c>
      <c r="E15">
        <v>37.72</v>
      </c>
      <c r="F15" t="s">
        <v>7</v>
      </c>
    </row>
    <row r="16" spans="1:6">
      <c r="A16" s="1">
        <v>45446</v>
      </c>
      <c r="B16" s="2">
        <v>45446.425047928242</v>
      </c>
      <c r="C16" t="s">
        <v>3</v>
      </c>
      <c r="D16" t="s">
        <v>6</v>
      </c>
      <c r="E16">
        <v>37.72</v>
      </c>
      <c r="F16" t="s">
        <v>7</v>
      </c>
    </row>
    <row r="17" spans="1:6">
      <c r="A17" s="1">
        <v>45448</v>
      </c>
      <c r="B17" s="2">
        <v>45448.436696990742</v>
      </c>
      <c r="C17" t="s">
        <v>3</v>
      </c>
      <c r="D17" t="s">
        <v>6</v>
      </c>
      <c r="E17">
        <v>37.72</v>
      </c>
      <c r="F17" t="s">
        <v>7</v>
      </c>
    </row>
    <row r="18" spans="1:6">
      <c r="A18" s="1">
        <v>45449</v>
      </c>
      <c r="B18" s="2">
        <v>45449.441778553242</v>
      </c>
      <c r="C18" t="s">
        <v>3</v>
      </c>
      <c r="D18" t="s">
        <v>6</v>
      </c>
      <c r="E18">
        <v>37.72</v>
      </c>
      <c r="F18" t="s">
        <v>7</v>
      </c>
    </row>
    <row r="19" spans="1:6">
      <c r="A19" s="1">
        <v>45352</v>
      </c>
      <c r="B19" s="2">
        <v>45352.513455312503</v>
      </c>
      <c r="C19" t="s">
        <v>3</v>
      </c>
      <c r="D19" t="s">
        <v>8</v>
      </c>
      <c r="E19">
        <v>38.700000000000003</v>
      </c>
      <c r="F19" t="s">
        <v>9</v>
      </c>
    </row>
    <row r="20" spans="1:6">
      <c r="A20" s="1">
        <v>45352</v>
      </c>
      <c r="B20" s="2">
        <v>45352.514098252315</v>
      </c>
      <c r="C20" t="s">
        <v>3</v>
      </c>
      <c r="D20" t="s">
        <v>8</v>
      </c>
      <c r="E20">
        <v>38.700000000000003</v>
      </c>
      <c r="F20" t="s">
        <v>9</v>
      </c>
    </row>
    <row r="21" spans="1:6">
      <c r="A21" s="1">
        <v>45352</v>
      </c>
      <c r="B21" s="2">
        <v>45352.573993124999</v>
      </c>
      <c r="C21" t="s">
        <v>3</v>
      </c>
      <c r="D21" t="s">
        <v>10</v>
      </c>
      <c r="E21">
        <v>28.9</v>
      </c>
      <c r="F21" t="s">
        <v>11</v>
      </c>
    </row>
    <row r="22" spans="1:6">
      <c r="A22" s="1">
        <v>45369</v>
      </c>
      <c r="B22" s="2">
        <v>45369.64698755787</v>
      </c>
      <c r="C22" t="s">
        <v>3</v>
      </c>
      <c r="D22" t="s">
        <v>10</v>
      </c>
      <c r="E22">
        <v>28.9</v>
      </c>
      <c r="F22" t="s">
        <v>11</v>
      </c>
    </row>
    <row r="23" spans="1:6">
      <c r="A23" s="1">
        <v>45369</v>
      </c>
      <c r="B23" s="2">
        <v>45369.64766480324</v>
      </c>
      <c r="C23" t="s">
        <v>3</v>
      </c>
      <c r="D23" t="s">
        <v>10</v>
      </c>
      <c r="E23">
        <v>28.9</v>
      </c>
      <c r="F23" t="s">
        <v>11</v>
      </c>
    </row>
    <row r="24" spans="1:6">
      <c r="A24" s="1">
        <v>45369</v>
      </c>
      <c r="B24" s="2">
        <v>45369.648341527776</v>
      </c>
      <c r="C24" t="s">
        <v>3</v>
      </c>
      <c r="D24" t="s">
        <v>10</v>
      </c>
      <c r="E24">
        <v>28.9</v>
      </c>
      <c r="F24" t="s">
        <v>11</v>
      </c>
    </row>
    <row r="25" spans="1:6">
      <c r="A25" s="1">
        <v>45377</v>
      </c>
      <c r="B25" s="2">
        <v>45377.566583020831</v>
      </c>
      <c r="C25" t="s">
        <v>3</v>
      </c>
      <c r="D25" t="s">
        <v>10</v>
      </c>
      <c r="E25">
        <v>28.9</v>
      </c>
      <c r="F25" t="s">
        <v>11</v>
      </c>
    </row>
    <row r="26" spans="1:6">
      <c r="A26" s="1">
        <v>45378</v>
      </c>
      <c r="B26" s="2">
        <v>45378.461703402776</v>
      </c>
      <c r="C26" t="s">
        <v>3</v>
      </c>
      <c r="D26" t="s">
        <v>10</v>
      </c>
      <c r="E26">
        <v>28.9</v>
      </c>
      <c r="F26" t="s">
        <v>28</v>
      </c>
    </row>
    <row r="27" spans="1:6">
      <c r="A27" s="1">
        <v>45378</v>
      </c>
      <c r="B27" s="2">
        <v>45378.462479583337</v>
      </c>
      <c r="C27" t="s">
        <v>3</v>
      </c>
      <c r="D27" t="s">
        <v>10</v>
      </c>
      <c r="E27">
        <v>33.799999999999997</v>
      </c>
      <c r="F27" t="s">
        <v>14</v>
      </c>
    </row>
    <row r="28" spans="1:6">
      <c r="A28" s="1">
        <v>45384</v>
      </c>
      <c r="B28" s="2">
        <v>45384.679562141202</v>
      </c>
      <c r="C28" t="s">
        <v>3</v>
      </c>
      <c r="D28" t="s">
        <v>10</v>
      </c>
      <c r="E28">
        <v>28.9</v>
      </c>
      <c r="F28" t="s">
        <v>11</v>
      </c>
    </row>
    <row r="29" spans="1:6">
      <c r="A29" s="1">
        <v>45384</v>
      </c>
      <c r="B29" s="2">
        <v>45384.680190509258</v>
      </c>
      <c r="C29" t="s">
        <v>3</v>
      </c>
      <c r="D29" t="s">
        <v>10</v>
      </c>
      <c r="E29">
        <v>28.9</v>
      </c>
      <c r="F29" t="s">
        <v>28</v>
      </c>
    </row>
    <row r="30" spans="1:6">
      <c r="A30" s="1">
        <v>45385</v>
      </c>
      <c r="B30" s="2">
        <v>45385.430019027779</v>
      </c>
      <c r="C30" t="s">
        <v>3</v>
      </c>
      <c r="D30" t="s">
        <v>10</v>
      </c>
      <c r="E30">
        <v>28.9</v>
      </c>
      <c r="F30" t="s">
        <v>28</v>
      </c>
    </row>
    <row r="31" spans="1:6">
      <c r="A31" s="1">
        <v>45385</v>
      </c>
      <c r="B31" s="2">
        <v>45385.430644155094</v>
      </c>
      <c r="C31" t="s">
        <v>3</v>
      </c>
      <c r="D31" t="s">
        <v>10</v>
      </c>
      <c r="E31">
        <v>28.9</v>
      </c>
      <c r="F31" t="s">
        <v>11</v>
      </c>
    </row>
    <row r="32" spans="1:6">
      <c r="A32" s="1">
        <v>45387</v>
      </c>
      <c r="B32" s="2">
        <v>45387.679439328705</v>
      </c>
      <c r="C32" t="s">
        <v>3</v>
      </c>
      <c r="D32" t="s">
        <v>10</v>
      </c>
      <c r="E32">
        <v>24</v>
      </c>
      <c r="F32" t="s">
        <v>35</v>
      </c>
    </row>
    <row r="33" spans="1:6">
      <c r="A33" s="1">
        <v>45397</v>
      </c>
      <c r="B33" s="2">
        <v>45397.709564340279</v>
      </c>
      <c r="C33" t="s">
        <v>3</v>
      </c>
      <c r="D33" t="s">
        <v>10</v>
      </c>
      <c r="E33">
        <v>28.9</v>
      </c>
      <c r="F33" t="s">
        <v>11</v>
      </c>
    </row>
    <row r="34" spans="1:6">
      <c r="A34" s="1">
        <v>45400</v>
      </c>
      <c r="B34" s="2">
        <v>45400.471547372683</v>
      </c>
      <c r="C34" t="s">
        <v>3</v>
      </c>
      <c r="D34" t="s">
        <v>10</v>
      </c>
      <c r="E34">
        <v>28.9</v>
      </c>
      <c r="F34" t="s">
        <v>11</v>
      </c>
    </row>
    <row r="35" spans="1:6">
      <c r="A35" s="1">
        <v>45400</v>
      </c>
      <c r="B35" s="2">
        <v>45400.47228814815</v>
      </c>
      <c r="C35" t="s">
        <v>3</v>
      </c>
      <c r="D35" t="s">
        <v>10</v>
      </c>
      <c r="E35">
        <v>28.9</v>
      </c>
      <c r="F35" t="s">
        <v>11</v>
      </c>
    </row>
    <row r="36" spans="1:6">
      <c r="A36" s="1">
        <v>45411</v>
      </c>
      <c r="B36" s="2">
        <v>45411.561075798614</v>
      </c>
      <c r="C36" t="s">
        <v>3</v>
      </c>
      <c r="D36" t="s">
        <v>10</v>
      </c>
      <c r="E36">
        <v>27.92</v>
      </c>
      <c r="F36" t="s">
        <v>11</v>
      </c>
    </row>
    <row r="37" spans="1:6">
      <c r="A37" s="1">
        <v>45411</v>
      </c>
      <c r="B37" s="2">
        <v>45411.56173494213</v>
      </c>
      <c r="C37" t="s">
        <v>3</v>
      </c>
      <c r="D37" t="s">
        <v>10</v>
      </c>
      <c r="E37">
        <v>27.92</v>
      </c>
      <c r="F37" t="s">
        <v>28</v>
      </c>
    </row>
    <row r="38" spans="1:6">
      <c r="A38" s="1">
        <v>45427</v>
      </c>
      <c r="B38" s="2">
        <v>45427.565684050925</v>
      </c>
      <c r="C38" t="s">
        <v>3</v>
      </c>
      <c r="D38" t="s">
        <v>10</v>
      </c>
      <c r="E38">
        <v>27.92</v>
      </c>
      <c r="F38" t="s">
        <v>11</v>
      </c>
    </row>
    <row r="39" spans="1:6">
      <c r="A39" s="1">
        <v>45427</v>
      </c>
      <c r="B39" s="2">
        <v>45427.566309849535</v>
      </c>
      <c r="C39" t="s">
        <v>3</v>
      </c>
      <c r="D39" t="s">
        <v>10</v>
      </c>
      <c r="E39">
        <v>27.92</v>
      </c>
      <c r="F39" t="s">
        <v>11</v>
      </c>
    </row>
    <row r="40" spans="1:6">
      <c r="A40" s="1">
        <v>45427</v>
      </c>
      <c r="B40" s="2">
        <v>45427.566983090277</v>
      </c>
      <c r="C40" t="s">
        <v>3</v>
      </c>
      <c r="D40" t="s">
        <v>10</v>
      </c>
      <c r="E40">
        <v>27.92</v>
      </c>
      <c r="F40" t="s">
        <v>11</v>
      </c>
    </row>
    <row r="41" spans="1:6">
      <c r="A41" s="1">
        <v>45432</v>
      </c>
      <c r="B41" s="2">
        <v>45432.56057199074</v>
      </c>
      <c r="C41" t="s">
        <v>3</v>
      </c>
      <c r="D41" t="s">
        <v>10</v>
      </c>
      <c r="E41">
        <v>27.92</v>
      </c>
      <c r="F41" t="s">
        <v>11</v>
      </c>
    </row>
    <row r="42" spans="1:6">
      <c r="A42" s="1">
        <v>45432</v>
      </c>
      <c r="B42" s="2">
        <v>45432.561231944448</v>
      </c>
      <c r="C42" t="s">
        <v>3</v>
      </c>
      <c r="D42" t="s">
        <v>10</v>
      </c>
      <c r="E42">
        <v>27.92</v>
      </c>
      <c r="F42" t="s">
        <v>11</v>
      </c>
    </row>
    <row r="43" spans="1:6">
      <c r="A43" s="1">
        <v>45502</v>
      </c>
      <c r="B43" s="2">
        <v>45502.388704652774</v>
      </c>
      <c r="C43" t="s">
        <v>3</v>
      </c>
      <c r="D43" t="s">
        <v>10</v>
      </c>
      <c r="E43">
        <v>23.02</v>
      </c>
      <c r="F43" t="s">
        <v>11</v>
      </c>
    </row>
    <row r="44" spans="1:6">
      <c r="A44" s="1">
        <v>45511</v>
      </c>
      <c r="B44" s="2">
        <v>45511.508643518522</v>
      </c>
      <c r="C44" t="s">
        <v>3</v>
      </c>
      <c r="D44" t="s">
        <v>10</v>
      </c>
      <c r="E44">
        <v>23.02</v>
      </c>
      <c r="F44" t="s">
        <v>11</v>
      </c>
    </row>
    <row r="45" spans="1:6">
      <c r="A45" s="1">
        <v>45511</v>
      </c>
      <c r="B45" s="2">
        <v>45511.509498425927</v>
      </c>
      <c r="C45" t="s">
        <v>3</v>
      </c>
      <c r="D45" t="s">
        <v>10</v>
      </c>
      <c r="E45">
        <v>23.02</v>
      </c>
      <c r="F45" t="s">
        <v>11</v>
      </c>
    </row>
    <row r="46" spans="1:6">
      <c r="A46" s="1">
        <v>45530</v>
      </c>
      <c r="B46" s="2">
        <v>45530.531402291665</v>
      </c>
      <c r="C46" t="s">
        <v>3</v>
      </c>
      <c r="D46" t="s">
        <v>10</v>
      </c>
      <c r="E46">
        <v>23.02</v>
      </c>
      <c r="F46" t="s">
        <v>11</v>
      </c>
    </row>
    <row r="47" spans="1:6">
      <c r="A47" s="1">
        <v>45530</v>
      </c>
      <c r="B47" s="2">
        <v>45530.532218101849</v>
      </c>
      <c r="C47" t="s">
        <v>3</v>
      </c>
      <c r="D47" t="s">
        <v>10</v>
      </c>
      <c r="E47">
        <v>23.02</v>
      </c>
      <c r="F47" t="s">
        <v>11</v>
      </c>
    </row>
    <row r="48" spans="1:6">
      <c r="A48" s="1">
        <v>45569</v>
      </c>
      <c r="B48" s="2">
        <v>45569.396841099537</v>
      </c>
      <c r="C48" t="s">
        <v>3</v>
      </c>
      <c r="D48" t="s">
        <v>10</v>
      </c>
      <c r="E48">
        <v>25.96</v>
      </c>
      <c r="F48" t="s">
        <v>11</v>
      </c>
    </row>
    <row r="49" spans="1:6">
      <c r="A49" s="1">
        <v>45575</v>
      </c>
      <c r="B49" s="2">
        <v>45575.366746527776</v>
      </c>
      <c r="C49" t="s">
        <v>3</v>
      </c>
      <c r="D49" t="s">
        <v>10</v>
      </c>
      <c r="E49">
        <v>25.96</v>
      </c>
      <c r="F49" t="s">
        <v>11</v>
      </c>
    </row>
    <row r="50" spans="1:6">
      <c r="A50" s="1">
        <v>45583</v>
      </c>
      <c r="B50" s="2">
        <v>45583.397702557872</v>
      </c>
      <c r="C50" t="s">
        <v>3</v>
      </c>
      <c r="D50" t="s">
        <v>10</v>
      </c>
      <c r="E50">
        <v>35.76</v>
      </c>
      <c r="F50" t="s">
        <v>18</v>
      </c>
    </row>
    <row r="51" spans="1:6">
      <c r="A51" s="1">
        <v>45583</v>
      </c>
      <c r="B51" s="2">
        <v>45583.398703946761</v>
      </c>
      <c r="C51" t="s">
        <v>3</v>
      </c>
      <c r="D51" t="s">
        <v>10</v>
      </c>
      <c r="E51">
        <v>35.76</v>
      </c>
      <c r="F51" t="s">
        <v>18</v>
      </c>
    </row>
    <row r="52" spans="1:6">
      <c r="A52" s="1">
        <v>45352</v>
      </c>
      <c r="B52" s="2">
        <v>45352.575169282405</v>
      </c>
      <c r="C52" t="s">
        <v>3</v>
      </c>
      <c r="D52" t="s">
        <v>12</v>
      </c>
      <c r="E52">
        <v>38.700000000000003</v>
      </c>
      <c r="F52" t="s">
        <v>7</v>
      </c>
    </row>
    <row r="53" spans="1:6">
      <c r="A53" s="1">
        <v>45353</v>
      </c>
      <c r="B53" s="2">
        <v>45353.732580659722</v>
      </c>
      <c r="C53" t="s">
        <v>3</v>
      </c>
      <c r="D53" t="s">
        <v>12</v>
      </c>
      <c r="E53">
        <v>28.9</v>
      </c>
      <c r="F53" t="s">
        <v>11</v>
      </c>
    </row>
    <row r="54" spans="1:6">
      <c r="A54" s="1">
        <v>45363</v>
      </c>
      <c r="B54" s="2">
        <v>45363.532213831022</v>
      </c>
      <c r="C54" t="s">
        <v>3</v>
      </c>
      <c r="D54" t="s">
        <v>12</v>
      </c>
      <c r="E54">
        <v>33.799999999999997</v>
      </c>
      <c r="F54" t="s">
        <v>14</v>
      </c>
    </row>
    <row r="55" spans="1:6">
      <c r="A55" s="1">
        <v>45363</v>
      </c>
      <c r="B55" s="2">
        <v>45363.532940127312</v>
      </c>
      <c r="C55" t="s">
        <v>3</v>
      </c>
      <c r="D55" t="s">
        <v>12</v>
      </c>
      <c r="E55">
        <v>28.9</v>
      </c>
      <c r="F55" t="s">
        <v>11</v>
      </c>
    </row>
    <row r="56" spans="1:6">
      <c r="A56" s="1">
        <v>45364</v>
      </c>
      <c r="B56" s="2">
        <v>45364.491860567126</v>
      </c>
      <c r="C56" t="s">
        <v>3</v>
      </c>
      <c r="D56" t="s">
        <v>12</v>
      </c>
      <c r="E56">
        <v>28.9</v>
      </c>
      <c r="F56" t="s">
        <v>11</v>
      </c>
    </row>
    <row r="57" spans="1:6">
      <c r="A57" s="1">
        <v>45383</v>
      </c>
      <c r="B57" s="2">
        <v>45383.436662048611</v>
      </c>
      <c r="C57" t="s">
        <v>3</v>
      </c>
      <c r="D57" t="s">
        <v>12</v>
      </c>
      <c r="E57">
        <v>28.9</v>
      </c>
      <c r="F57" t="s">
        <v>11</v>
      </c>
    </row>
    <row r="58" spans="1:6">
      <c r="A58" s="1">
        <v>45383</v>
      </c>
      <c r="B58" s="2">
        <v>45383.437295347219</v>
      </c>
      <c r="C58" t="s">
        <v>3</v>
      </c>
      <c r="D58" t="s">
        <v>12</v>
      </c>
      <c r="E58">
        <v>33.799999999999997</v>
      </c>
      <c r="F58" t="s">
        <v>14</v>
      </c>
    </row>
    <row r="59" spans="1:6">
      <c r="A59" s="1">
        <v>45383</v>
      </c>
      <c r="B59" s="2">
        <v>45383.438006192133</v>
      </c>
      <c r="C59" t="s">
        <v>3</v>
      </c>
      <c r="D59" t="s">
        <v>12</v>
      </c>
      <c r="E59">
        <v>33.799999999999997</v>
      </c>
      <c r="F59" t="s">
        <v>14</v>
      </c>
    </row>
    <row r="60" spans="1:6">
      <c r="A60" s="1">
        <v>45397</v>
      </c>
      <c r="B60" s="2">
        <v>45397.71029800926</v>
      </c>
      <c r="C60" t="s">
        <v>3</v>
      </c>
      <c r="D60" t="s">
        <v>12</v>
      </c>
      <c r="E60">
        <v>33.799999999999997</v>
      </c>
      <c r="F60" t="s">
        <v>14</v>
      </c>
    </row>
    <row r="61" spans="1:6">
      <c r="A61" s="1">
        <v>45554</v>
      </c>
      <c r="B61" s="2">
        <v>45554.54136127315</v>
      </c>
      <c r="C61" t="s">
        <v>3</v>
      </c>
      <c r="D61" t="s">
        <v>12</v>
      </c>
      <c r="E61">
        <v>23.02</v>
      </c>
      <c r="F61" t="s">
        <v>11</v>
      </c>
    </row>
    <row r="62" spans="1:6">
      <c r="A62" s="1">
        <v>45554</v>
      </c>
      <c r="B62" s="2">
        <v>45554.542055740741</v>
      </c>
      <c r="C62" t="s">
        <v>3</v>
      </c>
      <c r="D62" t="s">
        <v>12</v>
      </c>
      <c r="E62">
        <v>27.92</v>
      </c>
      <c r="F62" t="s">
        <v>14</v>
      </c>
    </row>
    <row r="63" spans="1:6">
      <c r="A63" s="1">
        <v>45569</v>
      </c>
      <c r="B63" s="2">
        <v>45569.396088402777</v>
      </c>
      <c r="C63" t="s">
        <v>3</v>
      </c>
      <c r="D63" t="s">
        <v>12</v>
      </c>
      <c r="E63">
        <v>30.86</v>
      </c>
      <c r="F63" t="s">
        <v>14</v>
      </c>
    </row>
    <row r="64" spans="1:6">
      <c r="A64" s="1">
        <v>45352</v>
      </c>
      <c r="B64" s="2">
        <v>45352.65263571759</v>
      </c>
      <c r="C64" t="s">
        <v>3</v>
      </c>
      <c r="D64" t="s">
        <v>13</v>
      </c>
      <c r="E64">
        <v>33.799999999999997</v>
      </c>
      <c r="F64" t="s">
        <v>14</v>
      </c>
    </row>
    <row r="65" spans="1:6">
      <c r="A65" s="1">
        <v>45352</v>
      </c>
      <c r="B65" s="2">
        <v>45352.679893009263</v>
      </c>
      <c r="C65" t="s">
        <v>3</v>
      </c>
      <c r="D65" t="s">
        <v>15</v>
      </c>
      <c r="E65">
        <v>38.700000000000003</v>
      </c>
      <c r="F65" t="s">
        <v>9</v>
      </c>
    </row>
    <row r="66" spans="1:6">
      <c r="A66" s="1">
        <v>45352</v>
      </c>
      <c r="B66" s="2">
        <v>45352.777124768516</v>
      </c>
      <c r="C66" t="s">
        <v>3</v>
      </c>
      <c r="D66" t="s">
        <v>16</v>
      </c>
      <c r="E66">
        <v>33.799999999999997</v>
      </c>
      <c r="F66" t="s">
        <v>14</v>
      </c>
    </row>
    <row r="67" spans="1:6">
      <c r="A67" s="1">
        <v>45352</v>
      </c>
      <c r="B67" s="2">
        <v>45352.806964837961</v>
      </c>
      <c r="C67" t="s">
        <v>3</v>
      </c>
      <c r="D67" t="s">
        <v>17</v>
      </c>
      <c r="E67">
        <v>38.700000000000003</v>
      </c>
      <c r="F67" t="s">
        <v>18</v>
      </c>
    </row>
    <row r="68" spans="1:6">
      <c r="A68" s="1">
        <v>45352</v>
      </c>
      <c r="B68" s="2">
        <v>45352.807822766204</v>
      </c>
      <c r="C68" t="s">
        <v>3</v>
      </c>
      <c r="D68" t="s">
        <v>17</v>
      </c>
      <c r="E68">
        <v>33.799999999999997</v>
      </c>
      <c r="F68" t="s">
        <v>14</v>
      </c>
    </row>
    <row r="69" spans="1:6">
      <c r="A69" s="1">
        <v>45352</v>
      </c>
      <c r="B69" s="2">
        <v>45352.812006840279</v>
      </c>
      <c r="C69" t="s">
        <v>3</v>
      </c>
      <c r="D69" t="s">
        <v>19</v>
      </c>
      <c r="E69">
        <v>33.799999999999997</v>
      </c>
      <c r="F69" t="s">
        <v>14</v>
      </c>
    </row>
    <row r="70" spans="1:6">
      <c r="A70" s="1">
        <v>45356</v>
      </c>
      <c r="B70" s="2">
        <v>45356.734830486108</v>
      </c>
      <c r="C70" t="s">
        <v>3</v>
      </c>
      <c r="D70" t="s">
        <v>19</v>
      </c>
      <c r="E70">
        <v>38.700000000000003</v>
      </c>
      <c r="F70" t="s">
        <v>9</v>
      </c>
    </row>
    <row r="71" spans="1:6">
      <c r="A71" s="1">
        <v>45360</v>
      </c>
      <c r="B71" s="2">
        <v>45360.588910057872</v>
      </c>
      <c r="C71" t="s">
        <v>3</v>
      </c>
      <c r="D71" t="s">
        <v>19</v>
      </c>
      <c r="E71">
        <v>33.799999999999997</v>
      </c>
      <c r="F71" t="s">
        <v>14</v>
      </c>
    </row>
    <row r="72" spans="1:6">
      <c r="A72" s="1">
        <v>45360</v>
      </c>
      <c r="B72" s="2">
        <v>45360.804138564818</v>
      </c>
      <c r="C72" t="s">
        <v>3</v>
      </c>
      <c r="D72" t="s">
        <v>19</v>
      </c>
      <c r="E72">
        <v>38.700000000000003</v>
      </c>
      <c r="F72" t="s">
        <v>43</v>
      </c>
    </row>
    <row r="73" spans="1:6">
      <c r="A73" s="1">
        <v>45360</v>
      </c>
      <c r="B73" s="2">
        <v>45360.804977824075</v>
      </c>
      <c r="C73" t="s">
        <v>3</v>
      </c>
      <c r="D73" t="s">
        <v>19</v>
      </c>
      <c r="E73">
        <v>38.700000000000003</v>
      </c>
      <c r="F73" t="s">
        <v>9</v>
      </c>
    </row>
    <row r="74" spans="1:6">
      <c r="A74" s="1">
        <v>45367</v>
      </c>
      <c r="B74" s="2">
        <v>45367.665491412037</v>
      </c>
      <c r="C74" t="s">
        <v>3</v>
      </c>
      <c r="D74" t="s">
        <v>19</v>
      </c>
      <c r="E74">
        <v>28.9</v>
      </c>
      <c r="F74" t="s">
        <v>28</v>
      </c>
    </row>
    <row r="75" spans="1:6">
      <c r="A75" s="1">
        <v>45367</v>
      </c>
      <c r="B75" s="2">
        <v>45367.66900159722</v>
      </c>
      <c r="C75" t="s">
        <v>3</v>
      </c>
      <c r="D75" t="s">
        <v>19</v>
      </c>
      <c r="E75">
        <v>28.9</v>
      </c>
      <c r="F75" t="s">
        <v>28</v>
      </c>
    </row>
    <row r="76" spans="1:6">
      <c r="A76" s="1">
        <v>45374</v>
      </c>
      <c r="B76" s="2">
        <v>45374.667342430555</v>
      </c>
      <c r="C76" t="s">
        <v>3</v>
      </c>
      <c r="D76" t="s">
        <v>19</v>
      </c>
      <c r="E76">
        <v>28.9</v>
      </c>
      <c r="F76" t="s">
        <v>28</v>
      </c>
    </row>
    <row r="77" spans="1:6">
      <c r="A77" s="1">
        <v>45376</v>
      </c>
      <c r="B77" s="2">
        <v>45376.438741319442</v>
      </c>
      <c r="C77" t="s">
        <v>3</v>
      </c>
      <c r="D77" t="s">
        <v>19</v>
      </c>
      <c r="E77">
        <v>38.700000000000003</v>
      </c>
      <c r="F77" t="s">
        <v>7</v>
      </c>
    </row>
    <row r="78" spans="1:6">
      <c r="A78" s="1">
        <v>45377</v>
      </c>
      <c r="B78" s="2">
        <v>45377.46652008102</v>
      </c>
      <c r="C78" t="s">
        <v>3</v>
      </c>
      <c r="D78" t="s">
        <v>19</v>
      </c>
      <c r="E78">
        <v>28.9</v>
      </c>
      <c r="F78" t="s">
        <v>28</v>
      </c>
    </row>
    <row r="79" spans="1:6">
      <c r="A79" s="1">
        <v>45377</v>
      </c>
      <c r="B79" s="2">
        <v>45377.774243611108</v>
      </c>
      <c r="C79" t="s">
        <v>3</v>
      </c>
      <c r="D79" t="s">
        <v>19</v>
      </c>
      <c r="E79">
        <v>38.700000000000003</v>
      </c>
      <c r="F79" t="s">
        <v>9</v>
      </c>
    </row>
    <row r="80" spans="1:6">
      <c r="A80" s="1">
        <v>45381</v>
      </c>
      <c r="B80" s="2">
        <v>45381.692135567129</v>
      </c>
      <c r="C80" t="s">
        <v>3</v>
      </c>
      <c r="D80" t="s">
        <v>19</v>
      </c>
      <c r="E80">
        <v>38.700000000000003</v>
      </c>
      <c r="F80" t="s">
        <v>7</v>
      </c>
    </row>
    <row r="81" spans="1:6">
      <c r="A81" s="1">
        <v>45381</v>
      </c>
      <c r="B81" s="2">
        <v>45381.6930272338</v>
      </c>
      <c r="C81" t="s">
        <v>3</v>
      </c>
      <c r="D81" t="s">
        <v>19</v>
      </c>
      <c r="E81">
        <v>33.799999999999997</v>
      </c>
      <c r="F81" t="s">
        <v>14</v>
      </c>
    </row>
    <row r="82" spans="1:6">
      <c r="A82" s="1">
        <v>45383</v>
      </c>
      <c r="B82" s="2">
        <v>45383.46925736111</v>
      </c>
      <c r="C82" t="s">
        <v>3</v>
      </c>
      <c r="D82" t="s">
        <v>19</v>
      </c>
      <c r="E82">
        <v>33.799999999999997</v>
      </c>
      <c r="F82" t="s">
        <v>14</v>
      </c>
    </row>
    <row r="83" spans="1:6">
      <c r="A83" s="1">
        <v>45388</v>
      </c>
      <c r="B83" s="2">
        <v>45388.617941932869</v>
      </c>
      <c r="C83" t="s">
        <v>3</v>
      </c>
      <c r="D83" t="s">
        <v>19</v>
      </c>
      <c r="E83">
        <v>38.700000000000003</v>
      </c>
      <c r="F83" t="s">
        <v>7</v>
      </c>
    </row>
    <row r="84" spans="1:6">
      <c r="A84" s="1">
        <v>45392</v>
      </c>
      <c r="B84" s="2">
        <v>45392.767352893519</v>
      </c>
      <c r="C84" t="s">
        <v>3</v>
      </c>
      <c r="D84" t="s">
        <v>19</v>
      </c>
      <c r="E84">
        <v>38.700000000000003</v>
      </c>
      <c r="F84" t="s">
        <v>43</v>
      </c>
    </row>
    <row r="85" spans="1:6">
      <c r="A85" s="1">
        <v>45394</v>
      </c>
      <c r="B85" s="2">
        <v>45394.818323946762</v>
      </c>
      <c r="C85" t="s">
        <v>3</v>
      </c>
      <c r="D85" t="s">
        <v>19</v>
      </c>
      <c r="E85">
        <v>28.9</v>
      </c>
      <c r="F85" t="s">
        <v>28</v>
      </c>
    </row>
    <row r="86" spans="1:6">
      <c r="A86" s="1">
        <v>45395</v>
      </c>
      <c r="B86" s="2">
        <v>45395.520368321762</v>
      </c>
      <c r="C86" t="s">
        <v>3</v>
      </c>
      <c r="D86" t="s">
        <v>19</v>
      </c>
      <c r="E86">
        <v>38.700000000000003</v>
      </c>
      <c r="F86" t="s">
        <v>7</v>
      </c>
    </row>
    <row r="87" spans="1:6">
      <c r="A87" s="1">
        <v>45397</v>
      </c>
      <c r="B87" s="2">
        <v>45397.814618472221</v>
      </c>
      <c r="C87" t="s">
        <v>3</v>
      </c>
      <c r="D87" t="s">
        <v>19</v>
      </c>
      <c r="E87">
        <v>33.799999999999997</v>
      </c>
      <c r="F87" t="s">
        <v>14</v>
      </c>
    </row>
    <row r="88" spans="1:6">
      <c r="A88" s="1">
        <v>45398</v>
      </c>
      <c r="B88" s="2">
        <v>45398.738460185188</v>
      </c>
      <c r="C88" t="s">
        <v>3</v>
      </c>
      <c r="D88" t="s">
        <v>19</v>
      </c>
      <c r="E88">
        <v>38.700000000000003</v>
      </c>
      <c r="F88" t="s">
        <v>43</v>
      </c>
    </row>
    <row r="89" spans="1:6">
      <c r="A89" s="1">
        <v>45400</v>
      </c>
      <c r="B89" s="2">
        <v>45400.820011041666</v>
      </c>
      <c r="C89" t="s">
        <v>3</v>
      </c>
      <c r="D89" t="s">
        <v>19</v>
      </c>
      <c r="E89">
        <v>38.700000000000003</v>
      </c>
      <c r="F89" t="s">
        <v>9</v>
      </c>
    </row>
    <row r="90" spans="1:6">
      <c r="A90" s="1">
        <v>45401</v>
      </c>
      <c r="B90" s="2">
        <v>45401.767748148151</v>
      </c>
      <c r="C90" t="s">
        <v>3</v>
      </c>
      <c r="D90" t="s">
        <v>19</v>
      </c>
      <c r="E90">
        <v>33.799999999999997</v>
      </c>
      <c r="F90" t="s">
        <v>14</v>
      </c>
    </row>
    <row r="91" spans="1:6">
      <c r="A91" s="1">
        <v>45402</v>
      </c>
      <c r="B91" s="2">
        <v>45402.632642708333</v>
      </c>
      <c r="C91" t="s">
        <v>3</v>
      </c>
      <c r="D91" t="s">
        <v>19</v>
      </c>
      <c r="E91">
        <v>33.799999999999997</v>
      </c>
      <c r="F91" t="s">
        <v>14</v>
      </c>
    </row>
    <row r="92" spans="1:6">
      <c r="A92" s="1">
        <v>45404</v>
      </c>
      <c r="B92" s="2">
        <v>45404.81880508102</v>
      </c>
      <c r="C92" t="s">
        <v>3</v>
      </c>
      <c r="D92" t="s">
        <v>19</v>
      </c>
      <c r="E92">
        <v>37.72</v>
      </c>
      <c r="F92" t="s">
        <v>7</v>
      </c>
    </row>
    <row r="93" spans="1:6">
      <c r="A93" s="1">
        <v>45405</v>
      </c>
      <c r="B93" s="2">
        <v>45405.600665682869</v>
      </c>
      <c r="C93" t="s">
        <v>3</v>
      </c>
      <c r="D93" t="s">
        <v>19</v>
      </c>
      <c r="E93">
        <v>37.72</v>
      </c>
      <c r="F93" t="s">
        <v>43</v>
      </c>
    </row>
    <row r="94" spans="1:6">
      <c r="A94" s="1">
        <v>45406</v>
      </c>
      <c r="B94" s="2">
        <v>45406.693835914353</v>
      </c>
      <c r="C94" t="s">
        <v>3</v>
      </c>
      <c r="D94" t="s">
        <v>19</v>
      </c>
      <c r="E94">
        <v>32.82</v>
      </c>
      <c r="F94" t="s">
        <v>14</v>
      </c>
    </row>
    <row r="95" spans="1:6">
      <c r="A95" s="1">
        <v>45407</v>
      </c>
      <c r="B95" s="2">
        <v>45407.63781216435</v>
      </c>
      <c r="C95" t="s">
        <v>3</v>
      </c>
      <c r="D95" t="s">
        <v>19</v>
      </c>
      <c r="E95">
        <v>37.72</v>
      </c>
      <c r="F95" t="s">
        <v>7</v>
      </c>
    </row>
    <row r="96" spans="1:6">
      <c r="A96" s="1">
        <v>45408</v>
      </c>
      <c r="B96" s="2">
        <v>45408.813971203701</v>
      </c>
      <c r="C96" t="s">
        <v>3</v>
      </c>
      <c r="D96" t="s">
        <v>19</v>
      </c>
      <c r="E96">
        <v>37.72</v>
      </c>
      <c r="F96" t="s">
        <v>9</v>
      </c>
    </row>
    <row r="97" spans="1:6">
      <c r="A97" s="1">
        <v>45408</v>
      </c>
      <c r="B97" s="2">
        <v>45408.81493310185</v>
      </c>
      <c r="C97" t="s">
        <v>3</v>
      </c>
      <c r="D97" t="s">
        <v>19</v>
      </c>
      <c r="E97">
        <v>37.72</v>
      </c>
      <c r="F97" t="s">
        <v>18</v>
      </c>
    </row>
    <row r="98" spans="1:6">
      <c r="A98" s="1">
        <v>45409</v>
      </c>
      <c r="B98" s="2">
        <v>45409.64375787037</v>
      </c>
      <c r="C98" t="s">
        <v>3</v>
      </c>
      <c r="D98" t="s">
        <v>19</v>
      </c>
      <c r="E98">
        <v>37.72</v>
      </c>
      <c r="F98" t="s">
        <v>43</v>
      </c>
    </row>
    <row r="99" spans="1:6">
      <c r="A99" s="1">
        <v>45423</v>
      </c>
      <c r="B99" s="2">
        <v>45423.722574050924</v>
      </c>
      <c r="C99" t="s">
        <v>3</v>
      </c>
      <c r="D99" t="s">
        <v>19</v>
      </c>
      <c r="E99">
        <v>32.82</v>
      </c>
      <c r="F99" t="s">
        <v>14</v>
      </c>
    </row>
    <row r="100" spans="1:6">
      <c r="A100" s="1">
        <v>45424</v>
      </c>
      <c r="B100" s="2">
        <v>45424.820492696759</v>
      </c>
      <c r="C100" t="s">
        <v>3</v>
      </c>
      <c r="D100" t="s">
        <v>19</v>
      </c>
      <c r="E100">
        <v>32.82</v>
      </c>
      <c r="F100" t="s">
        <v>14</v>
      </c>
    </row>
    <row r="101" spans="1:6">
      <c r="A101" s="1">
        <v>45426</v>
      </c>
      <c r="B101" s="2">
        <v>45426.587504374998</v>
      </c>
      <c r="C101" t="s">
        <v>3</v>
      </c>
      <c r="D101" t="s">
        <v>19</v>
      </c>
      <c r="E101">
        <v>32.82</v>
      </c>
      <c r="F101" t="s">
        <v>14</v>
      </c>
    </row>
    <row r="102" spans="1:6">
      <c r="A102" s="1">
        <v>45429</v>
      </c>
      <c r="B102" s="2">
        <v>45429.831096655093</v>
      </c>
      <c r="C102" t="s">
        <v>3</v>
      </c>
      <c r="D102" t="s">
        <v>19</v>
      </c>
      <c r="E102">
        <v>37.72</v>
      </c>
      <c r="F102" t="s">
        <v>43</v>
      </c>
    </row>
    <row r="103" spans="1:6">
      <c r="A103" s="1">
        <v>45430</v>
      </c>
      <c r="B103" s="2">
        <v>45430.849225821759</v>
      </c>
      <c r="C103" t="s">
        <v>3</v>
      </c>
      <c r="D103" t="s">
        <v>19</v>
      </c>
      <c r="E103">
        <v>37.72</v>
      </c>
      <c r="F103" t="s">
        <v>7</v>
      </c>
    </row>
    <row r="104" spans="1:6">
      <c r="A104" s="1">
        <v>45434</v>
      </c>
      <c r="B104" s="2">
        <v>45434.583570590279</v>
      </c>
      <c r="C104" t="s">
        <v>3</v>
      </c>
      <c r="D104" t="s">
        <v>19</v>
      </c>
      <c r="E104">
        <v>32.82</v>
      </c>
      <c r="F104" t="s">
        <v>14</v>
      </c>
    </row>
    <row r="105" spans="1:6">
      <c r="A105" s="1">
        <v>45440</v>
      </c>
      <c r="B105" s="2">
        <v>45440.850372743058</v>
      </c>
      <c r="C105" t="s">
        <v>3</v>
      </c>
      <c r="D105" t="s">
        <v>19</v>
      </c>
      <c r="E105">
        <v>32.82</v>
      </c>
      <c r="F105" t="s">
        <v>14</v>
      </c>
    </row>
    <row r="106" spans="1:6">
      <c r="A106" s="1">
        <v>45442</v>
      </c>
      <c r="B106" s="2">
        <v>45442.865437905093</v>
      </c>
      <c r="C106" t="s">
        <v>3</v>
      </c>
      <c r="D106" t="s">
        <v>19</v>
      </c>
      <c r="E106">
        <v>37.72</v>
      </c>
      <c r="F106" t="s">
        <v>9</v>
      </c>
    </row>
    <row r="107" spans="1:6">
      <c r="A107" s="1">
        <v>45442</v>
      </c>
      <c r="B107" s="2">
        <v>45442.866222060184</v>
      </c>
      <c r="C107" t="s">
        <v>3</v>
      </c>
      <c r="D107" t="s">
        <v>19</v>
      </c>
      <c r="E107">
        <v>32.82</v>
      </c>
      <c r="F107" t="s">
        <v>14</v>
      </c>
    </row>
    <row r="108" spans="1:6">
      <c r="A108" s="1">
        <v>45444</v>
      </c>
      <c r="B108" s="2">
        <v>45444.910474201388</v>
      </c>
      <c r="C108" t="s">
        <v>3</v>
      </c>
      <c r="D108" t="s">
        <v>19</v>
      </c>
      <c r="E108">
        <v>32.82</v>
      </c>
      <c r="F108" t="s">
        <v>14</v>
      </c>
    </row>
    <row r="109" spans="1:6">
      <c r="A109" s="1">
        <v>45445</v>
      </c>
      <c r="B109" s="2">
        <v>45445.835715266207</v>
      </c>
      <c r="C109" t="s">
        <v>3</v>
      </c>
      <c r="D109" t="s">
        <v>19</v>
      </c>
      <c r="E109">
        <v>37.72</v>
      </c>
      <c r="F109" t="s">
        <v>7</v>
      </c>
    </row>
    <row r="110" spans="1:6">
      <c r="A110" s="1">
        <v>45446</v>
      </c>
      <c r="B110" s="2">
        <v>45446.607024560188</v>
      </c>
      <c r="C110" t="s">
        <v>3</v>
      </c>
      <c r="D110" t="s">
        <v>19</v>
      </c>
      <c r="E110">
        <v>37.72</v>
      </c>
      <c r="F110" t="s">
        <v>7</v>
      </c>
    </row>
    <row r="111" spans="1:6">
      <c r="A111" s="1">
        <v>45456</v>
      </c>
      <c r="B111" s="2">
        <v>45456.866873865743</v>
      </c>
      <c r="C111" t="s">
        <v>3</v>
      </c>
      <c r="D111" t="s">
        <v>19</v>
      </c>
      <c r="E111">
        <v>32.82</v>
      </c>
      <c r="F111" t="s">
        <v>14</v>
      </c>
    </row>
    <row r="112" spans="1:6">
      <c r="A112" s="1">
        <v>45456</v>
      </c>
      <c r="B112" s="2">
        <v>45456.876717326391</v>
      </c>
      <c r="C112" t="s">
        <v>3</v>
      </c>
      <c r="D112" t="s">
        <v>19</v>
      </c>
      <c r="E112">
        <v>32.82</v>
      </c>
      <c r="F112" t="s">
        <v>14</v>
      </c>
    </row>
    <row r="113" spans="1:6">
      <c r="A113" s="1">
        <v>45460</v>
      </c>
      <c r="B113" s="2">
        <v>45460.88624403935</v>
      </c>
      <c r="C113" t="s">
        <v>3</v>
      </c>
      <c r="D113" t="s">
        <v>19</v>
      </c>
      <c r="E113">
        <v>32.82</v>
      </c>
      <c r="F113" t="s">
        <v>14</v>
      </c>
    </row>
    <row r="114" spans="1:6">
      <c r="A114" s="1">
        <v>45462</v>
      </c>
      <c r="B114" s="2">
        <v>45462.813556631947</v>
      </c>
      <c r="C114" t="s">
        <v>3</v>
      </c>
      <c r="D114" t="s">
        <v>19</v>
      </c>
      <c r="E114">
        <v>32.82</v>
      </c>
      <c r="F114" t="s">
        <v>14</v>
      </c>
    </row>
    <row r="115" spans="1:6">
      <c r="A115" s="1">
        <v>45463</v>
      </c>
      <c r="B115" s="2">
        <v>45463.915052708333</v>
      </c>
      <c r="C115" t="s">
        <v>3</v>
      </c>
      <c r="D115" t="s">
        <v>19</v>
      </c>
      <c r="E115">
        <v>37.72</v>
      </c>
      <c r="F115" t="s">
        <v>7</v>
      </c>
    </row>
    <row r="116" spans="1:6">
      <c r="A116" s="1">
        <v>45463</v>
      </c>
      <c r="B116" s="2">
        <v>45463.916175902777</v>
      </c>
      <c r="C116" t="s">
        <v>3</v>
      </c>
      <c r="D116" t="s">
        <v>19</v>
      </c>
      <c r="E116">
        <v>32.82</v>
      </c>
      <c r="F116" t="s">
        <v>14</v>
      </c>
    </row>
    <row r="117" spans="1:6">
      <c r="A117" s="1">
        <v>45464</v>
      </c>
      <c r="B117" s="2">
        <v>45464.812808460651</v>
      </c>
      <c r="C117" t="s">
        <v>3</v>
      </c>
      <c r="D117" t="s">
        <v>19</v>
      </c>
      <c r="E117">
        <v>37.72</v>
      </c>
      <c r="F117" t="s">
        <v>7</v>
      </c>
    </row>
    <row r="118" spans="1:6">
      <c r="A118" s="1">
        <v>45465</v>
      </c>
      <c r="B118" s="2">
        <v>45465.650927511575</v>
      </c>
      <c r="C118" t="s">
        <v>3</v>
      </c>
      <c r="D118" t="s">
        <v>19</v>
      </c>
      <c r="E118">
        <v>37.72</v>
      </c>
      <c r="F118" t="s">
        <v>7</v>
      </c>
    </row>
    <row r="119" spans="1:6">
      <c r="A119" s="1">
        <v>45469</v>
      </c>
      <c r="B119" s="2">
        <v>45469.890200185182</v>
      </c>
      <c r="C119" t="s">
        <v>3</v>
      </c>
      <c r="D119" t="s">
        <v>19</v>
      </c>
      <c r="E119">
        <v>37.72</v>
      </c>
      <c r="F119" t="s">
        <v>7</v>
      </c>
    </row>
    <row r="120" spans="1:6">
      <c r="A120" s="1">
        <v>45469</v>
      </c>
      <c r="B120" s="2">
        <v>45469.893759340281</v>
      </c>
      <c r="C120" t="s">
        <v>3</v>
      </c>
      <c r="D120" t="s">
        <v>19</v>
      </c>
      <c r="E120">
        <v>37.72</v>
      </c>
      <c r="F120" t="s">
        <v>43</v>
      </c>
    </row>
    <row r="121" spans="1:6">
      <c r="A121" s="1">
        <v>45472</v>
      </c>
      <c r="B121" s="2">
        <v>45472.894009826392</v>
      </c>
      <c r="C121" t="s">
        <v>3</v>
      </c>
      <c r="D121" t="s">
        <v>19</v>
      </c>
      <c r="E121">
        <v>37.72</v>
      </c>
      <c r="F121" t="s">
        <v>7</v>
      </c>
    </row>
    <row r="122" spans="1:6">
      <c r="A122" s="1">
        <v>45473</v>
      </c>
      <c r="B122" s="2">
        <v>45473.7046490625</v>
      </c>
      <c r="C122" t="s">
        <v>3</v>
      </c>
      <c r="D122" t="s">
        <v>19</v>
      </c>
      <c r="E122">
        <v>37.72</v>
      </c>
      <c r="F122" t="s">
        <v>9</v>
      </c>
    </row>
    <row r="123" spans="1:6">
      <c r="A123" s="1">
        <v>45476</v>
      </c>
      <c r="B123" s="2">
        <v>45476.795939074073</v>
      </c>
      <c r="C123" t="s">
        <v>3</v>
      </c>
      <c r="D123" t="s">
        <v>19</v>
      </c>
      <c r="E123">
        <v>37.72</v>
      </c>
      <c r="F123" t="s">
        <v>7</v>
      </c>
    </row>
    <row r="124" spans="1:6">
      <c r="A124" s="1">
        <v>45479</v>
      </c>
      <c r="B124" s="2">
        <v>45479.719282893515</v>
      </c>
      <c r="C124" t="s">
        <v>3</v>
      </c>
      <c r="D124" t="s">
        <v>19</v>
      </c>
      <c r="E124">
        <v>32.82</v>
      </c>
      <c r="F124" t="s">
        <v>7</v>
      </c>
    </row>
    <row r="125" spans="1:6">
      <c r="A125" s="1">
        <v>45479</v>
      </c>
      <c r="B125" s="2">
        <v>45479.720150995374</v>
      </c>
      <c r="C125" t="s">
        <v>3</v>
      </c>
      <c r="D125" t="s">
        <v>19</v>
      </c>
      <c r="E125">
        <v>32.82</v>
      </c>
      <c r="F125" t="s">
        <v>7</v>
      </c>
    </row>
    <row r="126" spans="1:6">
      <c r="A126" s="1">
        <v>45491</v>
      </c>
      <c r="B126" s="2">
        <v>45491.813085208334</v>
      </c>
      <c r="C126" t="s">
        <v>3</v>
      </c>
      <c r="D126" t="s">
        <v>19</v>
      </c>
      <c r="E126">
        <v>32.82</v>
      </c>
      <c r="F126" t="s">
        <v>7</v>
      </c>
    </row>
    <row r="127" spans="1:6">
      <c r="A127" s="1">
        <v>45496</v>
      </c>
      <c r="B127" s="2">
        <v>45496.876164490743</v>
      </c>
      <c r="C127" t="s">
        <v>3</v>
      </c>
      <c r="D127" t="s">
        <v>19</v>
      </c>
      <c r="E127">
        <v>32.82</v>
      </c>
      <c r="F127" t="s">
        <v>7</v>
      </c>
    </row>
    <row r="128" spans="1:6">
      <c r="A128" s="1">
        <v>45497</v>
      </c>
      <c r="B128" s="2">
        <v>45497.637853263892</v>
      </c>
      <c r="C128" t="s">
        <v>3</v>
      </c>
      <c r="D128" t="s">
        <v>19</v>
      </c>
      <c r="E128">
        <v>32.82</v>
      </c>
      <c r="F128" t="s">
        <v>7</v>
      </c>
    </row>
    <row r="129" spans="1:6">
      <c r="A129" s="1">
        <v>45499</v>
      </c>
      <c r="B129" s="2">
        <v>45499.885527916667</v>
      </c>
      <c r="C129" t="s">
        <v>3</v>
      </c>
      <c r="D129" t="s">
        <v>19</v>
      </c>
      <c r="E129">
        <v>32.82</v>
      </c>
      <c r="F129" t="s">
        <v>7</v>
      </c>
    </row>
    <row r="130" spans="1:6">
      <c r="A130" s="1">
        <v>45500</v>
      </c>
      <c r="B130" s="2">
        <v>45500.871761284725</v>
      </c>
      <c r="C130" t="s">
        <v>3</v>
      </c>
      <c r="D130" t="s">
        <v>19</v>
      </c>
      <c r="E130">
        <v>32.82</v>
      </c>
      <c r="F130" t="s">
        <v>7</v>
      </c>
    </row>
    <row r="131" spans="1:6">
      <c r="A131" s="1">
        <v>45504</v>
      </c>
      <c r="B131" s="2">
        <v>45504.811633576392</v>
      </c>
      <c r="C131" t="s">
        <v>3</v>
      </c>
      <c r="D131" t="s">
        <v>19</v>
      </c>
      <c r="E131">
        <v>32.82</v>
      </c>
      <c r="F131" t="s">
        <v>7</v>
      </c>
    </row>
    <row r="132" spans="1:6">
      <c r="A132" s="1">
        <v>45506</v>
      </c>
      <c r="B132" s="2">
        <v>45506.891022673612</v>
      </c>
      <c r="C132" t="s">
        <v>3</v>
      </c>
      <c r="D132" t="s">
        <v>19</v>
      </c>
      <c r="E132">
        <v>32.82</v>
      </c>
      <c r="F132" t="s">
        <v>7</v>
      </c>
    </row>
    <row r="133" spans="1:6">
      <c r="A133" s="1">
        <v>45509</v>
      </c>
      <c r="B133" s="2">
        <v>45509.815873657404</v>
      </c>
      <c r="C133" t="s">
        <v>3</v>
      </c>
      <c r="D133" t="s">
        <v>19</v>
      </c>
      <c r="E133">
        <v>32.82</v>
      </c>
      <c r="F133" t="s">
        <v>7</v>
      </c>
    </row>
    <row r="134" spans="1:6">
      <c r="A134" s="1">
        <v>45511</v>
      </c>
      <c r="B134" s="2">
        <v>45511.816929849534</v>
      </c>
      <c r="C134" t="s">
        <v>3</v>
      </c>
      <c r="D134" t="s">
        <v>19</v>
      </c>
      <c r="E134">
        <v>32.82</v>
      </c>
      <c r="F134" t="s">
        <v>7</v>
      </c>
    </row>
    <row r="135" spans="1:6">
      <c r="A135" s="1">
        <v>45514</v>
      </c>
      <c r="B135" s="2">
        <v>45514.670973206019</v>
      </c>
      <c r="C135" t="s">
        <v>3</v>
      </c>
      <c r="D135" t="s">
        <v>19</v>
      </c>
      <c r="E135">
        <v>32.82</v>
      </c>
      <c r="F135" t="s">
        <v>7</v>
      </c>
    </row>
    <row r="136" spans="1:6">
      <c r="A136" s="1">
        <v>45353</v>
      </c>
      <c r="B136" s="2">
        <v>45353.432024965281</v>
      </c>
      <c r="C136" t="s">
        <v>3</v>
      </c>
      <c r="D136" t="s">
        <v>20</v>
      </c>
      <c r="E136">
        <v>28.9</v>
      </c>
      <c r="F136" t="s">
        <v>11</v>
      </c>
    </row>
    <row r="137" spans="1:6">
      <c r="A137" s="1">
        <v>45353</v>
      </c>
      <c r="B137" s="2">
        <v>45353.445616307872</v>
      </c>
      <c r="C137" t="s">
        <v>3</v>
      </c>
      <c r="D137" t="s">
        <v>22</v>
      </c>
      <c r="E137">
        <v>33.799999999999997</v>
      </c>
      <c r="F137" t="s">
        <v>14</v>
      </c>
    </row>
    <row r="138" spans="1:6">
      <c r="A138" s="1">
        <v>45353</v>
      </c>
      <c r="B138" s="2">
        <v>45353.499831990739</v>
      </c>
      <c r="C138" t="s">
        <v>3</v>
      </c>
      <c r="D138" t="s">
        <v>23</v>
      </c>
      <c r="E138">
        <v>33.799999999999997</v>
      </c>
      <c r="F138" t="s">
        <v>14</v>
      </c>
    </row>
    <row r="139" spans="1:6">
      <c r="A139" s="1">
        <v>45354</v>
      </c>
      <c r="B139" s="2">
        <v>45354.518704837959</v>
      </c>
      <c r="C139" t="s">
        <v>3</v>
      </c>
      <c r="D139" t="s">
        <v>23</v>
      </c>
      <c r="E139">
        <v>28.9</v>
      </c>
      <c r="F139" t="s">
        <v>11</v>
      </c>
    </row>
    <row r="140" spans="1:6">
      <c r="A140" s="1">
        <v>45355</v>
      </c>
      <c r="B140" s="2">
        <v>45355.461992870369</v>
      </c>
      <c r="C140" t="s">
        <v>3</v>
      </c>
      <c r="D140" t="s">
        <v>23</v>
      </c>
      <c r="E140">
        <v>33.799999999999997</v>
      </c>
      <c r="F140" t="s">
        <v>14</v>
      </c>
    </row>
    <row r="141" spans="1:6">
      <c r="A141" s="1">
        <v>45357</v>
      </c>
      <c r="B141" s="2">
        <v>45357.558422071757</v>
      </c>
      <c r="C141" t="s">
        <v>3</v>
      </c>
      <c r="D141" t="s">
        <v>23</v>
      </c>
      <c r="E141">
        <v>28.9</v>
      </c>
      <c r="F141" t="s">
        <v>11</v>
      </c>
    </row>
    <row r="142" spans="1:6">
      <c r="A142" s="1">
        <v>45357</v>
      </c>
      <c r="B142" s="2">
        <v>45357.559193877314</v>
      </c>
      <c r="C142" t="s">
        <v>3</v>
      </c>
      <c r="D142" t="s">
        <v>23</v>
      </c>
      <c r="E142">
        <v>28.9</v>
      </c>
      <c r="F142" t="s">
        <v>28</v>
      </c>
    </row>
    <row r="143" spans="1:6">
      <c r="A143" s="1">
        <v>45359</v>
      </c>
      <c r="B143" s="2">
        <v>45359.44075559028</v>
      </c>
      <c r="C143" t="s">
        <v>3</v>
      </c>
      <c r="D143" t="s">
        <v>23</v>
      </c>
      <c r="E143">
        <v>28.9</v>
      </c>
      <c r="F143" t="s">
        <v>28</v>
      </c>
    </row>
    <row r="144" spans="1:6">
      <c r="A144" s="1">
        <v>45359</v>
      </c>
      <c r="B144" s="2">
        <v>45359.61403571759</v>
      </c>
      <c r="C144" t="s">
        <v>3</v>
      </c>
      <c r="D144" t="s">
        <v>23</v>
      </c>
      <c r="E144">
        <v>28.9</v>
      </c>
      <c r="F144" t="s">
        <v>11</v>
      </c>
    </row>
    <row r="145" spans="1:6">
      <c r="A145" s="1">
        <v>45359</v>
      </c>
      <c r="B145" s="2">
        <v>45359.615406886573</v>
      </c>
      <c r="C145" t="s">
        <v>3</v>
      </c>
      <c r="D145" t="s">
        <v>23</v>
      </c>
      <c r="E145">
        <v>33.799999999999997</v>
      </c>
      <c r="F145" t="s">
        <v>14</v>
      </c>
    </row>
    <row r="146" spans="1:6">
      <c r="A146" s="1">
        <v>45360</v>
      </c>
      <c r="B146" s="2">
        <v>45360.506802245371</v>
      </c>
      <c r="C146" t="s">
        <v>3</v>
      </c>
      <c r="D146" t="s">
        <v>23</v>
      </c>
      <c r="E146">
        <v>38.700000000000003</v>
      </c>
      <c r="F146" t="s">
        <v>43</v>
      </c>
    </row>
    <row r="147" spans="1:6">
      <c r="A147" s="1">
        <v>45365</v>
      </c>
      <c r="B147" s="2">
        <v>45365.560758518521</v>
      </c>
      <c r="C147" t="s">
        <v>3</v>
      </c>
      <c r="D147" t="s">
        <v>23</v>
      </c>
      <c r="E147">
        <v>28.9</v>
      </c>
      <c r="F147" t="s">
        <v>28</v>
      </c>
    </row>
    <row r="148" spans="1:6">
      <c r="A148" s="1">
        <v>45365</v>
      </c>
      <c r="B148" s="2">
        <v>45365.561394988428</v>
      </c>
      <c r="C148" t="s">
        <v>3</v>
      </c>
      <c r="D148" t="s">
        <v>23</v>
      </c>
      <c r="E148">
        <v>28.9</v>
      </c>
      <c r="F148" t="s">
        <v>11</v>
      </c>
    </row>
    <row r="149" spans="1:6">
      <c r="A149" s="1">
        <v>45365</v>
      </c>
      <c r="B149" s="2">
        <v>45365.791766932867</v>
      </c>
      <c r="C149" t="s">
        <v>3</v>
      </c>
      <c r="D149" t="s">
        <v>23</v>
      </c>
      <c r="E149">
        <v>28.9</v>
      </c>
      <c r="F149" t="s">
        <v>28</v>
      </c>
    </row>
    <row r="150" spans="1:6">
      <c r="A150" s="1">
        <v>45366</v>
      </c>
      <c r="B150" s="2">
        <v>45366.763517615742</v>
      </c>
      <c r="C150" t="s">
        <v>3</v>
      </c>
      <c r="D150" t="s">
        <v>23</v>
      </c>
      <c r="E150">
        <v>28.9</v>
      </c>
      <c r="F150" t="s">
        <v>11</v>
      </c>
    </row>
    <row r="151" spans="1:6">
      <c r="A151" s="1">
        <v>45367</v>
      </c>
      <c r="B151" s="2">
        <v>45367.669576898152</v>
      </c>
      <c r="C151" t="s">
        <v>3</v>
      </c>
      <c r="D151" t="s">
        <v>23</v>
      </c>
      <c r="E151">
        <v>28.9</v>
      </c>
      <c r="F151" t="s">
        <v>28</v>
      </c>
    </row>
    <row r="152" spans="1:6">
      <c r="A152" s="1">
        <v>45371</v>
      </c>
      <c r="B152" s="2">
        <v>45371.486995405096</v>
      </c>
      <c r="C152" t="s">
        <v>3</v>
      </c>
      <c r="D152" t="s">
        <v>23</v>
      </c>
      <c r="E152">
        <v>28.9</v>
      </c>
      <c r="F152" t="s">
        <v>28</v>
      </c>
    </row>
    <row r="153" spans="1:6">
      <c r="A153" s="1">
        <v>45372</v>
      </c>
      <c r="B153" s="2">
        <v>45372.517467523146</v>
      </c>
      <c r="C153" t="s">
        <v>3</v>
      </c>
      <c r="D153" t="s">
        <v>23</v>
      </c>
      <c r="E153">
        <v>28.9</v>
      </c>
      <c r="F153" t="s">
        <v>28</v>
      </c>
    </row>
    <row r="154" spans="1:6">
      <c r="A154" s="1">
        <v>45372</v>
      </c>
      <c r="B154" s="2">
        <v>45372.518257268515</v>
      </c>
      <c r="C154" t="s">
        <v>3</v>
      </c>
      <c r="D154" t="s">
        <v>23</v>
      </c>
      <c r="E154">
        <v>38.700000000000003</v>
      </c>
      <c r="F154" t="s">
        <v>43</v>
      </c>
    </row>
    <row r="155" spans="1:6">
      <c r="A155" s="1">
        <v>45372</v>
      </c>
      <c r="B155" s="2">
        <v>45372.723626770836</v>
      </c>
      <c r="C155" t="s">
        <v>3</v>
      </c>
      <c r="D155" t="s">
        <v>23</v>
      </c>
      <c r="E155">
        <v>28.9</v>
      </c>
      <c r="F155" t="s">
        <v>28</v>
      </c>
    </row>
    <row r="156" spans="1:6">
      <c r="A156" s="1">
        <v>45373</v>
      </c>
      <c r="B156" s="2">
        <v>45373.720181990742</v>
      </c>
      <c r="C156" t="s">
        <v>3</v>
      </c>
      <c r="D156" t="s">
        <v>23</v>
      </c>
      <c r="E156">
        <v>28.9</v>
      </c>
      <c r="F156" t="s">
        <v>11</v>
      </c>
    </row>
    <row r="157" spans="1:6">
      <c r="A157" s="1">
        <v>45373</v>
      </c>
      <c r="B157" s="2">
        <v>45373.720821655093</v>
      </c>
      <c r="C157" t="s">
        <v>3</v>
      </c>
      <c r="D157" t="s">
        <v>23</v>
      </c>
      <c r="E157">
        <v>24</v>
      </c>
      <c r="F157" t="s">
        <v>35</v>
      </c>
    </row>
    <row r="158" spans="1:6">
      <c r="A158" s="1">
        <v>45378</v>
      </c>
      <c r="B158" s="2">
        <v>45378.598977569447</v>
      </c>
      <c r="C158" t="s">
        <v>3</v>
      </c>
      <c r="D158" t="s">
        <v>23</v>
      </c>
      <c r="E158">
        <v>38.700000000000003</v>
      </c>
      <c r="F158" t="s">
        <v>43</v>
      </c>
    </row>
    <row r="159" spans="1:6">
      <c r="A159" s="1">
        <v>45378</v>
      </c>
      <c r="B159" s="2">
        <v>45378.599715046294</v>
      </c>
      <c r="C159" t="s">
        <v>3</v>
      </c>
      <c r="D159" t="s">
        <v>23</v>
      </c>
      <c r="E159">
        <v>28.9</v>
      </c>
      <c r="F159" t="s">
        <v>11</v>
      </c>
    </row>
    <row r="160" spans="1:6">
      <c r="A160" s="1">
        <v>45379</v>
      </c>
      <c r="B160" s="2">
        <v>45379.725535231482</v>
      </c>
      <c r="C160" t="s">
        <v>3</v>
      </c>
      <c r="D160" t="s">
        <v>23</v>
      </c>
      <c r="E160">
        <v>28.9</v>
      </c>
      <c r="F160" t="s">
        <v>28</v>
      </c>
    </row>
    <row r="161" spans="1:6">
      <c r="A161" s="1">
        <v>45379</v>
      </c>
      <c r="B161" s="2">
        <v>45379.727144722223</v>
      </c>
      <c r="C161" t="s">
        <v>3</v>
      </c>
      <c r="D161" t="s">
        <v>23</v>
      </c>
      <c r="E161">
        <v>28.9</v>
      </c>
      <c r="F161" t="s">
        <v>11</v>
      </c>
    </row>
    <row r="162" spans="1:6">
      <c r="A162" s="1">
        <v>45385</v>
      </c>
      <c r="B162" s="2">
        <v>45385.550062118054</v>
      </c>
      <c r="C162" t="s">
        <v>3</v>
      </c>
      <c r="D162" t="s">
        <v>23</v>
      </c>
      <c r="E162">
        <v>38.700000000000003</v>
      </c>
      <c r="F162" t="s">
        <v>43</v>
      </c>
    </row>
    <row r="163" spans="1:6">
      <c r="A163" s="1">
        <v>45387</v>
      </c>
      <c r="B163" s="2">
        <v>45387.445905138891</v>
      </c>
      <c r="C163" t="s">
        <v>3</v>
      </c>
      <c r="D163" t="s">
        <v>23</v>
      </c>
      <c r="E163">
        <v>28.9</v>
      </c>
      <c r="F163" t="s">
        <v>11</v>
      </c>
    </row>
    <row r="164" spans="1:6">
      <c r="A164" s="1">
        <v>45390</v>
      </c>
      <c r="B164" s="2">
        <v>45390.45926462963</v>
      </c>
      <c r="C164" t="s">
        <v>3</v>
      </c>
      <c r="D164" t="s">
        <v>23</v>
      </c>
      <c r="E164">
        <v>28.9</v>
      </c>
      <c r="F164" t="s">
        <v>11</v>
      </c>
    </row>
    <row r="165" spans="1:6">
      <c r="A165" s="1">
        <v>45395</v>
      </c>
      <c r="B165" s="2">
        <v>45395.529888761572</v>
      </c>
      <c r="C165" t="s">
        <v>3</v>
      </c>
      <c r="D165" t="s">
        <v>23</v>
      </c>
      <c r="E165">
        <v>28.9</v>
      </c>
      <c r="F165" t="s">
        <v>11</v>
      </c>
    </row>
    <row r="166" spans="1:6">
      <c r="A166" s="1">
        <v>45395</v>
      </c>
      <c r="B166" s="2">
        <v>45395.745361539353</v>
      </c>
      <c r="C166" t="s">
        <v>3</v>
      </c>
      <c r="D166" t="s">
        <v>23</v>
      </c>
      <c r="E166">
        <v>38.700000000000003</v>
      </c>
      <c r="F166" t="s">
        <v>43</v>
      </c>
    </row>
    <row r="167" spans="1:6">
      <c r="A167" s="1">
        <v>45396</v>
      </c>
      <c r="B167" s="2">
        <v>45396.599671655094</v>
      </c>
      <c r="C167" t="s">
        <v>3</v>
      </c>
      <c r="D167" t="s">
        <v>23</v>
      </c>
      <c r="E167">
        <v>28.9</v>
      </c>
      <c r="F167" t="s">
        <v>11</v>
      </c>
    </row>
    <row r="168" spans="1:6">
      <c r="A168" s="1">
        <v>45396</v>
      </c>
      <c r="B168" s="2">
        <v>45396.600311689814</v>
      </c>
      <c r="C168" t="s">
        <v>3</v>
      </c>
      <c r="D168" t="s">
        <v>23</v>
      </c>
      <c r="E168">
        <v>28.9</v>
      </c>
      <c r="F168" t="s">
        <v>11</v>
      </c>
    </row>
    <row r="169" spans="1:6">
      <c r="A169" s="1">
        <v>45396</v>
      </c>
      <c r="B169" s="2">
        <v>45396.600904189814</v>
      </c>
      <c r="C169" t="s">
        <v>3</v>
      </c>
      <c r="D169" t="s">
        <v>23</v>
      </c>
      <c r="E169">
        <v>28.9</v>
      </c>
      <c r="F169" t="s">
        <v>11</v>
      </c>
    </row>
    <row r="170" spans="1:6">
      <c r="A170" s="1">
        <v>45396</v>
      </c>
      <c r="B170" s="2">
        <v>45396.708273414355</v>
      </c>
      <c r="C170" t="s">
        <v>3</v>
      </c>
      <c r="D170" t="s">
        <v>23</v>
      </c>
      <c r="E170">
        <v>28.9</v>
      </c>
      <c r="F170" t="s">
        <v>28</v>
      </c>
    </row>
    <row r="171" spans="1:6">
      <c r="A171" s="1">
        <v>45399</v>
      </c>
      <c r="B171" s="2">
        <v>45399.564580925929</v>
      </c>
      <c r="C171" t="s">
        <v>3</v>
      </c>
      <c r="D171" t="s">
        <v>23</v>
      </c>
      <c r="E171">
        <v>28.9</v>
      </c>
      <c r="F171" t="s">
        <v>11</v>
      </c>
    </row>
    <row r="172" spans="1:6">
      <c r="A172" s="1">
        <v>45402</v>
      </c>
      <c r="B172" s="2">
        <v>45402.640749039354</v>
      </c>
      <c r="C172" t="s">
        <v>3</v>
      </c>
      <c r="D172" t="s">
        <v>23</v>
      </c>
      <c r="E172">
        <v>32.82</v>
      </c>
      <c r="F172" t="s">
        <v>14</v>
      </c>
    </row>
    <row r="173" spans="1:6">
      <c r="A173" s="1">
        <v>45404</v>
      </c>
      <c r="B173" s="2">
        <v>45404.464773287036</v>
      </c>
      <c r="C173" t="s">
        <v>3</v>
      </c>
      <c r="D173" t="s">
        <v>23</v>
      </c>
      <c r="E173">
        <v>27.92</v>
      </c>
      <c r="F173" t="s">
        <v>11</v>
      </c>
    </row>
    <row r="174" spans="1:6">
      <c r="A174" s="1">
        <v>45407</v>
      </c>
      <c r="B174" s="2">
        <v>45407.715087199074</v>
      </c>
      <c r="C174" t="s">
        <v>3</v>
      </c>
      <c r="D174" t="s">
        <v>23</v>
      </c>
      <c r="E174">
        <v>27.92</v>
      </c>
      <c r="F174" t="s">
        <v>11</v>
      </c>
    </row>
    <row r="175" spans="1:6">
      <c r="A175" s="1">
        <v>45407</v>
      </c>
      <c r="B175" s="2">
        <v>45407.715846678242</v>
      </c>
      <c r="C175" t="s">
        <v>3</v>
      </c>
      <c r="D175" t="s">
        <v>23</v>
      </c>
      <c r="E175">
        <v>27.92</v>
      </c>
      <c r="F175" t="s">
        <v>11</v>
      </c>
    </row>
    <row r="176" spans="1:6">
      <c r="A176" s="1">
        <v>45408</v>
      </c>
      <c r="B176" s="2">
        <v>45408.647631828702</v>
      </c>
      <c r="C176" t="s">
        <v>3</v>
      </c>
      <c r="D176" t="s">
        <v>23</v>
      </c>
      <c r="E176">
        <v>27.92</v>
      </c>
      <c r="F176" t="s">
        <v>11</v>
      </c>
    </row>
    <row r="177" spans="1:6">
      <c r="A177" s="1">
        <v>45408</v>
      </c>
      <c r="B177" s="2">
        <v>45408.648300138891</v>
      </c>
      <c r="C177" t="s">
        <v>3</v>
      </c>
      <c r="D177" t="s">
        <v>23</v>
      </c>
      <c r="E177">
        <v>27.92</v>
      </c>
      <c r="F177" t="s">
        <v>11</v>
      </c>
    </row>
    <row r="178" spans="1:6">
      <c r="A178" s="1">
        <v>45410</v>
      </c>
      <c r="B178" s="2">
        <v>45410.768845254628</v>
      </c>
      <c r="C178" t="s">
        <v>3</v>
      </c>
      <c r="D178" t="s">
        <v>23</v>
      </c>
      <c r="E178">
        <v>27.92</v>
      </c>
      <c r="F178" t="s">
        <v>11</v>
      </c>
    </row>
    <row r="179" spans="1:6">
      <c r="A179" s="1">
        <v>45410</v>
      </c>
      <c r="B179" s="2">
        <v>45410.769576516206</v>
      </c>
      <c r="C179" t="s">
        <v>3</v>
      </c>
      <c r="D179" t="s">
        <v>23</v>
      </c>
      <c r="E179">
        <v>27.92</v>
      </c>
      <c r="F179" t="s">
        <v>11</v>
      </c>
    </row>
    <row r="180" spans="1:6">
      <c r="A180" s="1">
        <v>45423</v>
      </c>
      <c r="B180" s="2">
        <v>45423.728404305555</v>
      </c>
      <c r="C180" t="s">
        <v>3</v>
      </c>
      <c r="D180" t="s">
        <v>23</v>
      </c>
      <c r="E180">
        <v>32.82</v>
      </c>
      <c r="F180" t="s">
        <v>14</v>
      </c>
    </row>
    <row r="181" spans="1:6">
      <c r="A181" s="1">
        <v>45424</v>
      </c>
      <c r="B181" s="2">
        <v>45424.66968903935</v>
      </c>
      <c r="C181" t="s">
        <v>3</v>
      </c>
      <c r="D181" t="s">
        <v>23</v>
      </c>
      <c r="E181">
        <v>32.82</v>
      </c>
      <c r="F181" t="s">
        <v>14</v>
      </c>
    </row>
    <row r="182" spans="1:6">
      <c r="A182" s="1">
        <v>45426</v>
      </c>
      <c r="B182" s="2">
        <v>45426.359890983797</v>
      </c>
      <c r="C182" t="s">
        <v>3</v>
      </c>
      <c r="D182" t="s">
        <v>23</v>
      </c>
      <c r="E182">
        <v>27.92</v>
      </c>
      <c r="F182" t="s">
        <v>11</v>
      </c>
    </row>
    <row r="183" spans="1:6">
      <c r="A183" s="1">
        <v>45426</v>
      </c>
      <c r="B183" s="2">
        <v>45426.360711284724</v>
      </c>
      <c r="C183" t="s">
        <v>3</v>
      </c>
      <c r="D183" t="s">
        <v>23</v>
      </c>
      <c r="E183">
        <v>27.92</v>
      </c>
      <c r="F183" t="s">
        <v>11</v>
      </c>
    </row>
    <row r="184" spans="1:6">
      <c r="A184" s="1">
        <v>45426</v>
      </c>
      <c r="B184" s="2">
        <v>45426.361313472225</v>
      </c>
      <c r="C184" t="s">
        <v>3</v>
      </c>
      <c r="D184" t="s">
        <v>23</v>
      </c>
      <c r="E184">
        <v>27.92</v>
      </c>
      <c r="F184" t="s">
        <v>11</v>
      </c>
    </row>
    <row r="185" spans="1:6">
      <c r="A185" s="1">
        <v>45426</v>
      </c>
      <c r="B185" s="2">
        <v>45426.430129328706</v>
      </c>
      <c r="C185" t="s">
        <v>3</v>
      </c>
      <c r="D185" t="s">
        <v>23</v>
      </c>
      <c r="E185">
        <v>37.72</v>
      </c>
      <c r="F185" t="s">
        <v>43</v>
      </c>
    </row>
    <row r="186" spans="1:6">
      <c r="A186" s="1">
        <v>45427</v>
      </c>
      <c r="B186" s="2">
        <v>45427.468279548608</v>
      </c>
      <c r="C186" t="s">
        <v>3</v>
      </c>
      <c r="D186" t="s">
        <v>23</v>
      </c>
      <c r="E186">
        <v>23.02</v>
      </c>
      <c r="F186" t="s">
        <v>35</v>
      </c>
    </row>
    <row r="187" spans="1:6">
      <c r="A187" s="1">
        <v>45427</v>
      </c>
      <c r="B187" s="2">
        <v>45427.47164408565</v>
      </c>
      <c r="C187" t="s">
        <v>3</v>
      </c>
      <c r="D187" t="s">
        <v>23</v>
      </c>
      <c r="E187">
        <v>27.92</v>
      </c>
      <c r="F187" t="s">
        <v>11</v>
      </c>
    </row>
    <row r="188" spans="1:6">
      <c r="A188" s="1">
        <v>45427</v>
      </c>
      <c r="B188" s="2">
        <v>45427.610930173614</v>
      </c>
      <c r="C188" t="s">
        <v>3</v>
      </c>
      <c r="D188" t="s">
        <v>23</v>
      </c>
      <c r="E188">
        <v>27.92</v>
      </c>
      <c r="F188" t="s">
        <v>28</v>
      </c>
    </row>
    <row r="189" spans="1:6">
      <c r="A189" s="1">
        <v>45429</v>
      </c>
      <c r="B189" s="2">
        <v>45429.830075625003</v>
      </c>
      <c r="C189" t="s">
        <v>3</v>
      </c>
      <c r="D189" t="s">
        <v>23</v>
      </c>
      <c r="E189">
        <v>32.82</v>
      </c>
      <c r="F189" t="s">
        <v>14</v>
      </c>
    </row>
    <row r="190" spans="1:6">
      <c r="A190" s="1">
        <v>45431</v>
      </c>
      <c r="B190" s="2">
        <v>45431.613657974536</v>
      </c>
      <c r="C190" t="s">
        <v>3</v>
      </c>
      <c r="D190" t="s">
        <v>23</v>
      </c>
      <c r="E190">
        <v>27.92</v>
      </c>
      <c r="F190" t="s">
        <v>11</v>
      </c>
    </row>
    <row r="191" spans="1:6">
      <c r="A191" s="1">
        <v>45432</v>
      </c>
      <c r="B191" s="2">
        <v>45432.900624837966</v>
      </c>
      <c r="C191" t="s">
        <v>3</v>
      </c>
      <c r="D191" t="s">
        <v>23</v>
      </c>
      <c r="E191">
        <v>32.82</v>
      </c>
      <c r="F191" t="s">
        <v>14</v>
      </c>
    </row>
    <row r="192" spans="1:6">
      <c r="A192" s="1">
        <v>45432</v>
      </c>
      <c r="B192" s="2">
        <v>45432.901363159719</v>
      </c>
      <c r="C192" t="s">
        <v>3</v>
      </c>
      <c r="D192" t="s">
        <v>23</v>
      </c>
      <c r="E192">
        <v>32.82</v>
      </c>
      <c r="F192" t="s">
        <v>14</v>
      </c>
    </row>
    <row r="193" spans="1:6">
      <c r="A193" s="1">
        <v>45433</v>
      </c>
      <c r="B193" s="2">
        <v>45433.759305532411</v>
      </c>
      <c r="C193" t="s">
        <v>3</v>
      </c>
      <c r="D193" t="s">
        <v>23</v>
      </c>
      <c r="E193">
        <v>23.02</v>
      </c>
      <c r="F193" t="s">
        <v>35</v>
      </c>
    </row>
    <row r="194" spans="1:6">
      <c r="A194" s="1">
        <v>45434</v>
      </c>
      <c r="B194" s="2">
        <v>45434.520727326388</v>
      </c>
      <c r="C194" t="s">
        <v>3</v>
      </c>
      <c r="D194" t="s">
        <v>23</v>
      </c>
      <c r="E194">
        <v>27.92</v>
      </c>
      <c r="F194" t="s">
        <v>11</v>
      </c>
    </row>
    <row r="195" spans="1:6">
      <c r="A195" s="1">
        <v>45434</v>
      </c>
      <c r="B195" s="2">
        <v>45434.521335034726</v>
      </c>
      <c r="C195" t="s">
        <v>3</v>
      </c>
      <c r="D195" t="s">
        <v>23</v>
      </c>
      <c r="E195">
        <v>27.92</v>
      </c>
      <c r="F195" t="s">
        <v>11</v>
      </c>
    </row>
    <row r="196" spans="1:6">
      <c r="A196" s="1">
        <v>45436</v>
      </c>
      <c r="B196" s="2">
        <v>45436.468846539348</v>
      </c>
      <c r="C196" t="s">
        <v>3</v>
      </c>
      <c r="D196" t="s">
        <v>23</v>
      </c>
      <c r="E196">
        <v>27.92</v>
      </c>
      <c r="F196" t="s">
        <v>11</v>
      </c>
    </row>
    <row r="197" spans="1:6">
      <c r="A197" s="1">
        <v>45436</v>
      </c>
      <c r="B197" s="2">
        <v>45436.469595092596</v>
      </c>
      <c r="C197" t="s">
        <v>3</v>
      </c>
      <c r="D197" t="s">
        <v>23</v>
      </c>
      <c r="E197">
        <v>27.92</v>
      </c>
      <c r="F197" t="s">
        <v>11</v>
      </c>
    </row>
    <row r="198" spans="1:6">
      <c r="A198" s="1">
        <v>45439</v>
      </c>
      <c r="B198" s="2">
        <v>45439.482583935183</v>
      </c>
      <c r="C198" t="s">
        <v>3</v>
      </c>
      <c r="D198" t="s">
        <v>23</v>
      </c>
      <c r="E198">
        <v>27.92</v>
      </c>
      <c r="F198" t="s">
        <v>11</v>
      </c>
    </row>
    <row r="199" spans="1:6">
      <c r="A199" s="1">
        <v>45440</v>
      </c>
      <c r="B199" s="2">
        <v>45440.359132268517</v>
      </c>
      <c r="C199" t="s">
        <v>3</v>
      </c>
      <c r="D199" t="s">
        <v>23</v>
      </c>
      <c r="E199">
        <v>32.82</v>
      </c>
      <c r="F199" t="s">
        <v>14</v>
      </c>
    </row>
    <row r="200" spans="1:6">
      <c r="A200" s="1">
        <v>45440</v>
      </c>
      <c r="B200" s="2">
        <v>45440.868280659721</v>
      </c>
      <c r="C200" t="s">
        <v>3</v>
      </c>
      <c r="D200" t="s">
        <v>23</v>
      </c>
      <c r="E200">
        <v>27.92</v>
      </c>
      <c r="F200" t="s">
        <v>11</v>
      </c>
    </row>
    <row r="201" spans="1:6">
      <c r="A201" s="1">
        <v>45442</v>
      </c>
      <c r="B201" s="2">
        <v>45442.637252962966</v>
      </c>
      <c r="C201" t="s">
        <v>3</v>
      </c>
      <c r="D201" t="s">
        <v>23</v>
      </c>
      <c r="E201">
        <v>23.02</v>
      </c>
      <c r="F201" t="s">
        <v>35</v>
      </c>
    </row>
    <row r="202" spans="1:6">
      <c r="A202" s="1">
        <v>45456</v>
      </c>
      <c r="B202" s="2">
        <v>45456.847821319447</v>
      </c>
      <c r="C202" t="s">
        <v>3</v>
      </c>
      <c r="D202" t="s">
        <v>23</v>
      </c>
      <c r="E202">
        <v>32.82</v>
      </c>
      <c r="F202" t="s">
        <v>14</v>
      </c>
    </row>
    <row r="203" spans="1:6">
      <c r="A203" s="1">
        <v>45456</v>
      </c>
      <c r="B203" s="2">
        <v>45456.863726747688</v>
      </c>
      <c r="C203" t="s">
        <v>3</v>
      </c>
      <c r="D203" t="s">
        <v>23</v>
      </c>
      <c r="E203">
        <v>23.02</v>
      </c>
      <c r="F203" t="s">
        <v>35</v>
      </c>
    </row>
    <row r="204" spans="1:6">
      <c r="A204" s="1">
        <v>45460</v>
      </c>
      <c r="B204" s="2">
        <v>45460.701544456017</v>
      </c>
      <c r="C204" t="s">
        <v>3</v>
      </c>
      <c r="D204" t="s">
        <v>23</v>
      </c>
      <c r="E204">
        <v>37.72</v>
      </c>
      <c r="F204" t="s">
        <v>43</v>
      </c>
    </row>
    <row r="205" spans="1:6">
      <c r="A205" s="1">
        <v>45460</v>
      </c>
      <c r="B205" s="2">
        <v>45460.702211087962</v>
      </c>
      <c r="C205" t="s">
        <v>3</v>
      </c>
      <c r="D205" t="s">
        <v>23</v>
      </c>
      <c r="E205">
        <v>37.72</v>
      </c>
      <c r="F205" t="s">
        <v>43</v>
      </c>
    </row>
    <row r="206" spans="1:6">
      <c r="A206" s="1">
        <v>45460</v>
      </c>
      <c r="B206" s="2">
        <v>45460.703198333336</v>
      </c>
      <c r="C206" t="s">
        <v>3</v>
      </c>
      <c r="D206" t="s">
        <v>23</v>
      </c>
      <c r="E206">
        <v>27.92</v>
      </c>
      <c r="F206" t="s">
        <v>11</v>
      </c>
    </row>
    <row r="207" spans="1:6">
      <c r="A207" s="1">
        <v>45461</v>
      </c>
      <c r="B207" s="2">
        <v>45461.889462106483</v>
      </c>
      <c r="C207" t="s">
        <v>3</v>
      </c>
      <c r="D207" t="s">
        <v>23</v>
      </c>
      <c r="E207">
        <v>32.82</v>
      </c>
      <c r="F207" t="s">
        <v>14</v>
      </c>
    </row>
    <row r="208" spans="1:6">
      <c r="A208" s="1">
        <v>45461</v>
      </c>
      <c r="B208" s="2">
        <v>45461.890492106482</v>
      </c>
      <c r="C208" t="s">
        <v>3</v>
      </c>
      <c r="D208" t="s">
        <v>23</v>
      </c>
      <c r="E208">
        <v>32.82</v>
      </c>
      <c r="F208" t="s">
        <v>14</v>
      </c>
    </row>
    <row r="209" spans="1:6">
      <c r="A209" s="1">
        <v>45464</v>
      </c>
      <c r="B209" s="2">
        <v>45464.55508583333</v>
      </c>
      <c r="C209" t="s">
        <v>3</v>
      </c>
      <c r="D209" t="s">
        <v>23</v>
      </c>
      <c r="E209">
        <v>32.82</v>
      </c>
      <c r="F209" t="s">
        <v>14</v>
      </c>
    </row>
    <row r="210" spans="1:6">
      <c r="A210" s="1">
        <v>45464</v>
      </c>
      <c r="B210" s="2">
        <v>45464.555920289349</v>
      </c>
      <c r="C210" t="s">
        <v>3</v>
      </c>
      <c r="D210" t="s">
        <v>23</v>
      </c>
      <c r="E210">
        <v>32.82</v>
      </c>
      <c r="F210" t="s">
        <v>14</v>
      </c>
    </row>
    <row r="211" spans="1:6">
      <c r="A211" s="1">
        <v>45466</v>
      </c>
      <c r="B211" s="2">
        <v>45466.758349606484</v>
      </c>
      <c r="C211" t="s">
        <v>3</v>
      </c>
      <c r="D211" t="s">
        <v>23</v>
      </c>
      <c r="E211">
        <v>32.82</v>
      </c>
      <c r="F211" t="s">
        <v>14</v>
      </c>
    </row>
    <row r="212" spans="1:6">
      <c r="A212" s="1">
        <v>45466</v>
      </c>
      <c r="B212" s="2">
        <v>45466.759613865739</v>
      </c>
      <c r="C212" t="s">
        <v>3</v>
      </c>
      <c r="D212" t="s">
        <v>23</v>
      </c>
      <c r="E212">
        <v>32.82</v>
      </c>
      <c r="F212" t="s">
        <v>14</v>
      </c>
    </row>
    <row r="213" spans="1:6">
      <c r="A213" s="1">
        <v>45468</v>
      </c>
      <c r="B213" s="2">
        <v>45468.436416759258</v>
      </c>
      <c r="C213" t="s">
        <v>3</v>
      </c>
      <c r="D213" t="s">
        <v>23</v>
      </c>
      <c r="E213">
        <v>32.82</v>
      </c>
      <c r="F213" t="s">
        <v>14</v>
      </c>
    </row>
    <row r="214" spans="1:6">
      <c r="A214" s="1">
        <v>45474</v>
      </c>
      <c r="B214" s="2">
        <v>45474.755170833334</v>
      </c>
      <c r="C214" t="s">
        <v>3</v>
      </c>
      <c r="D214" t="s">
        <v>23</v>
      </c>
      <c r="E214">
        <v>23.02</v>
      </c>
      <c r="F214" t="s">
        <v>35</v>
      </c>
    </row>
    <row r="215" spans="1:6">
      <c r="A215" s="1">
        <v>45476</v>
      </c>
      <c r="B215" s="2">
        <v>45476.577256192133</v>
      </c>
      <c r="C215" t="s">
        <v>3</v>
      </c>
      <c r="D215" t="s">
        <v>23</v>
      </c>
      <c r="E215">
        <v>32.82</v>
      </c>
      <c r="F215" t="s">
        <v>14</v>
      </c>
    </row>
    <row r="216" spans="1:6">
      <c r="A216" s="1">
        <v>45477</v>
      </c>
      <c r="B216" s="2">
        <v>45477.435766909723</v>
      </c>
      <c r="C216" t="s">
        <v>3</v>
      </c>
      <c r="D216" t="s">
        <v>23</v>
      </c>
      <c r="E216">
        <v>27.92</v>
      </c>
      <c r="F216" t="s">
        <v>11</v>
      </c>
    </row>
    <row r="217" spans="1:6">
      <c r="A217" s="1">
        <v>45479</v>
      </c>
      <c r="B217" s="2">
        <v>45479.798450312497</v>
      </c>
      <c r="C217" t="s">
        <v>3</v>
      </c>
      <c r="D217" t="s">
        <v>23</v>
      </c>
      <c r="E217">
        <v>32.82</v>
      </c>
      <c r="F217" t="s">
        <v>7</v>
      </c>
    </row>
    <row r="218" spans="1:6">
      <c r="A218" s="1">
        <v>45479</v>
      </c>
      <c r="B218" s="2">
        <v>45479.799069212961</v>
      </c>
      <c r="C218" t="s">
        <v>3</v>
      </c>
      <c r="D218" t="s">
        <v>23</v>
      </c>
      <c r="E218">
        <v>27.92</v>
      </c>
      <c r="F218" t="s">
        <v>14</v>
      </c>
    </row>
    <row r="219" spans="1:6">
      <c r="A219" s="1">
        <v>45496</v>
      </c>
      <c r="B219" s="2">
        <v>45496.891128483796</v>
      </c>
      <c r="C219" t="s">
        <v>3</v>
      </c>
      <c r="D219" t="s">
        <v>23</v>
      </c>
      <c r="E219">
        <v>23.02</v>
      </c>
      <c r="F219" t="s">
        <v>11</v>
      </c>
    </row>
    <row r="220" spans="1:6">
      <c r="A220" s="1">
        <v>45496</v>
      </c>
      <c r="B220" s="2">
        <v>45496.891928344907</v>
      </c>
      <c r="C220" t="s">
        <v>3</v>
      </c>
      <c r="D220" t="s">
        <v>23</v>
      </c>
      <c r="E220">
        <v>23.02</v>
      </c>
      <c r="F220" t="s">
        <v>11</v>
      </c>
    </row>
    <row r="221" spans="1:6">
      <c r="A221" s="1">
        <v>45497</v>
      </c>
      <c r="B221" s="2">
        <v>45497.615159328707</v>
      </c>
      <c r="C221" t="s">
        <v>3</v>
      </c>
      <c r="D221" t="s">
        <v>23</v>
      </c>
      <c r="E221">
        <v>18.12</v>
      </c>
      <c r="F221" t="s">
        <v>35</v>
      </c>
    </row>
    <row r="222" spans="1:6">
      <c r="A222" s="1">
        <v>45497</v>
      </c>
      <c r="B222" s="2">
        <v>45497.892563576388</v>
      </c>
      <c r="C222" t="s">
        <v>3</v>
      </c>
      <c r="D222" t="s">
        <v>23</v>
      </c>
      <c r="E222">
        <v>23.02</v>
      </c>
      <c r="F222" t="s">
        <v>11</v>
      </c>
    </row>
    <row r="223" spans="1:6">
      <c r="A223" s="1">
        <v>45498</v>
      </c>
      <c r="B223" s="2">
        <v>45498.329721469905</v>
      </c>
      <c r="C223" t="s">
        <v>3</v>
      </c>
      <c r="D223" t="s">
        <v>23</v>
      </c>
      <c r="E223">
        <v>23.02</v>
      </c>
      <c r="F223" t="s">
        <v>11</v>
      </c>
    </row>
    <row r="224" spans="1:6">
      <c r="A224" s="1">
        <v>45501</v>
      </c>
      <c r="B224" s="2">
        <v>45501.463494444448</v>
      </c>
      <c r="C224" t="s">
        <v>3</v>
      </c>
      <c r="D224" t="s">
        <v>23</v>
      </c>
      <c r="E224">
        <v>18.12</v>
      </c>
      <c r="F224" t="s">
        <v>35</v>
      </c>
    </row>
    <row r="225" spans="1:6">
      <c r="A225" s="1">
        <v>45502</v>
      </c>
      <c r="B225" s="2">
        <v>45502.378333009263</v>
      </c>
      <c r="C225" t="s">
        <v>3</v>
      </c>
      <c r="D225" t="s">
        <v>23</v>
      </c>
      <c r="E225">
        <v>23.02</v>
      </c>
      <c r="F225" t="s">
        <v>11</v>
      </c>
    </row>
    <row r="226" spans="1:6">
      <c r="A226" s="1">
        <v>45514</v>
      </c>
      <c r="B226" s="2">
        <v>45514.494836064812</v>
      </c>
      <c r="C226" t="s">
        <v>3</v>
      </c>
      <c r="D226" t="s">
        <v>23</v>
      </c>
      <c r="E226">
        <v>23.02</v>
      </c>
      <c r="F226" t="s">
        <v>28</v>
      </c>
    </row>
    <row r="227" spans="1:6">
      <c r="A227" s="1">
        <v>45514</v>
      </c>
      <c r="B227" s="2">
        <v>45514.49610571759</v>
      </c>
      <c r="C227" t="s">
        <v>3</v>
      </c>
      <c r="D227" t="s">
        <v>23</v>
      </c>
      <c r="E227">
        <v>23.02</v>
      </c>
      <c r="F227" t="s">
        <v>11</v>
      </c>
    </row>
    <row r="228" spans="1:6">
      <c r="A228" s="1">
        <v>45518</v>
      </c>
      <c r="B228" s="2">
        <v>45518.815876516201</v>
      </c>
      <c r="C228" t="s">
        <v>3</v>
      </c>
      <c r="D228" t="s">
        <v>23</v>
      </c>
      <c r="E228">
        <v>32.82</v>
      </c>
      <c r="F228" t="s">
        <v>7</v>
      </c>
    </row>
    <row r="229" spans="1:6">
      <c r="A229" s="1">
        <v>45518</v>
      </c>
      <c r="B229" s="2">
        <v>45518.81653408565</v>
      </c>
      <c r="C229" t="s">
        <v>3</v>
      </c>
      <c r="D229" t="s">
        <v>23</v>
      </c>
      <c r="E229">
        <v>23.02</v>
      </c>
      <c r="F229" t="s">
        <v>28</v>
      </c>
    </row>
    <row r="230" spans="1:6">
      <c r="A230" s="1">
        <v>45519</v>
      </c>
      <c r="B230" s="2">
        <v>45519.595696562501</v>
      </c>
      <c r="C230" t="s">
        <v>3</v>
      </c>
      <c r="D230" t="s">
        <v>23</v>
      </c>
      <c r="E230">
        <v>23.02</v>
      </c>
      <c r="F230" t="s">
        <v>11</v>
      </c>
    </row>
    <row r="231" spans="1:6">
      <c r="A231" s="1">
        <v>45519</v>
      </c>
      <c r="B231" s="2">
        <v>45519.596421030095</v>
      </c>
      <c r="C231" t="s">
        <v>3</v>
      </c>
      <c r="D231" t="s">
        <v>23</v>
      </c>
      <c r="E231">
        <v>18.12</v>
      </c>
      <c r="F231" t="s">
        <v>35</v>
      </c>
    </row>
    <row r="232" spans="1:6">
      <c r="A232" s="1">
        <v>45520</v>
      </c>
      <c r="B232" s="2">
        <v>45520.638098807867</v>
      </c>
      <c r="C232" t="s">
        <v>3</v>
      </c>
      <c r="D232" t="s">
        <v>23</v>
      </c>
      <c r="E232">
        <v>18.12</v>
      </c>
      <c r="F232" t="s">
        <v>35</v>
      </c>
    </row>
    <row r="233" spans="1:6">
      <c r="A233" s="1">
        <v>45520</v>
      </c>
      <c r="B233" s="2">
        <v>45520.638649004628</v>
      </c>
      <c r="C233" t="s">
        <v>3</v>
      </c>
      <c r="D233" t="s">
        <v>23</v>
      </c>
      <c r="E233">
        <v>18.12</v>
      </c>
      <c r="F233" t="s">
        <v>35</v>
      </c>
    </row>
    <row r="234" spans="1:6">
      <c r="A234" s="1">
        <v>45542</v>
      </c>
      <c r="B234" s="2">
        <v>45542.471490358796</v>
      </c>
      <c r="C234" t="s">
        <v>3</v>
      </c>
      <c r="D234" t="s">
        <v>23</v>
      </c>
      <c r="E234">
        <v>27.92</v>
      </c>
      <c r="F234" t="s">
        <v>14</v>
      </c>
    </row>
    <row r="235" spans="1:6">
      <c r="A235" s="1">
        <v>45542</v>
      </c>
      <c r="B235" s="2">
        <v>45542.472883113427</v>
      </c>
      <c r="C235" t="s">
        <v>3</v>
      </c>
      <c r="D235" t="s">
        <v>23</v>
      </c>
      <c r="E235">
        <v>18.12</v>
      </c>
      <c r="F235" t="s">
        <v>35</v>
      </c>
    </row>
    <row r="236" spans="1:6">
      <c r="A236" s="1">
        <v>45542</v>
      </c>
      <c r="B236" s="2">
        <v>45542.681242037041</v>
      </c>
      <c r="C236" t="s">
        <v>3</v>
      </c>
      <c r="D236" t="s">
        <v>23</v>
      </c>
      <c r="E236">
        <v>18.12</v>
      </c>
      <c r="F236" t="s">
        <v>35</v>
      </c>
    </row>
    <row r="237" spans="1:6">
      <c r="A237" s="1">
        <v>45545</v>
      </c>
      <c r="B237" s="2">
        <v>45545.895538842589</v>
      </c>
      <c r="C237" t="s">
        <v>3</v>
      </c>
      <c r="D237" t="s">
        <v>23</v>
      </c>
      <c r="E237">
        <v>27.92</v>
      </c>
      <c r="F237" t="s">
        <v>14</v>
      </c>
    </row>
    <row r="238" spans="1:6">
      <c r="A238" s="1">
        <v>45545</v>
      </c>
      <c r="B238" s="2">
        <v>45545.896146250001</v>
      </c>
      <c r="C238" t="s">
        <v>3</v>
      </c>
      <c r="D238" t="s">
        <v>23</v>
      </c>
      <c r="E238">
        <v>23.02</v>
      </c>
      <c r="F238" t="s">
        <v>11</v>
      </c>
    </row>
    <row r="239" spans="1:6">
      <c r="A239" s="1">
        <v>45570</v>
      </c>
      <c r="B239" s="2">
        <v>45570.839329374998</v>
      </c>
      <c r="C239" t="s">
        <v>3</v>
      </c>
      <c r="D239" t="s">
        <v>23</v>
      </c>
      <c r="E239">
        <v>25.96</v>
      </c>
      <c r="F239" t="s">
        <v>11</v>
      </c>
    </row>
    <row r="240" spans="1:6">
      <c r="A240" s="1">
        <v>45570</v>
      </c>
      <c r="B240" s="2">
        <v>45570.839972766204</v>
      </c>
      <c r="C240" t="s">
        <v>3</v>
      </c>
      <c r="D240" t="s">
        <v>23</v>
      </c>
      <c r="E240">
        <v>25.96</v>
      </c>
      <c r="F240" t="s">
        <v>11</v>
      </c>
    </row>
    <row r="241" spans="1:6">
      <c r="A241" s="1">
        <v>45576</v>
      </c>
      <c r="B241" s="2">
        <v>45576.561833993059</v>
      </c>
      <c r="C241" t="s">
        <v>3</v>
      </c>
      <c r="D241" t="s">
        <v>23</v>
      </c>
      <c r="E241">
        <v>25.96</v>
      </c>
      <c r="F241" t="s">
        <v>11</v>
      </c>
    </row>
    <row r="242" spans="1:6">
      <c r="A242" s="1">
        <v>45576</v>
      </c>
      <c r="B242" s="2">
        <v>45576.562604409723</v>
      </c>
      <c r="C242" t="s">
        <v>3</v>
      </c>
      <c r="D242" t="s">
        <v>23</v>
      </c>
      <c r="E242">
        <v>25.96</v>
      </c>
      <c r="F242" t="s">
        <v>11</v>
      </c>
    </row>
    <row r="243" spans="1:6">
      <c r="A243" s="1">
        <v>45583</v>
      </c>
      <c r="B243" s="2">
        <v>45583.362494085646</v>
      </c>
      <c r="C243" t="s">
        <v>3</v>
      </c>
      <c r="D243" t="s">
        <v>23</v>
      </c>
      <c r="E243">
        <v>35.76</v>
      </c>
      <c r="F243" t="s">
        <v>18</v>
      </c>
    </row>
    <row r="244" spans="1:6">
      <c r="A244" s="1">
        <v>45583</v>
      </c>
      <c r="B244" s="2">
        <v>45583.885187997686</v>
      </c>
      <c r="C244" t="s">
        <v>3</v>
      </c>
      <c r="D244" t="s">
        <v>23</v>
      </c>
      <c r="E244">
        <v>35.76</v>
      </c>
      <c r="F244" t="s">
        <v>18</v>
      </c>
    </row>
    <row r="245" spans="1:6">
      <c r="A245" s="1">
        <v>45583</v>
      </c>
      <c r="B245" s="2">
        <v>45583.885677233797</v>
      </c>
      <c r="C245" t="s">
        <v>3</v>
      </c>
      <c r="D245" t="s">
        <v>23</v>
      </c>
      <c r="E245">
        <v>35.76</v>
      </c>
      <c r="F245" t="s">
        <v>18</v>
      </c>
    </row>
    <row r="246" spans="1:6">
      <c r="A246" s="1">
        <v>45585</v>
      </c>
      <c r="B246" s="2">
        <v>45585.77380077546</v>
      </c>
      <c r="C246" t="s">
        <v>3</v>
      </c>
      <c r="D246" t="s">
        <v>23</v>
      </c>
      <c r="E246">
        <v>35.76</v>
      </c>
      <c r="F246" t="s">
        <v>18</v>
      </c>
    </row>
    <row r="247" spans="1:6">
      <c r="A247" s="1">
        <v>45585</v>
      </c>
      <c r="B247" s="2">
        <v>45585.774400023147</v>
      </c>
      <c r="C247" t="s">
        <v>3</v>
      </c>
      <c r="D247" t="s">
        <v>23</v>
      </c>
      <c r="E247">
        <v>35.76</v>
      </c>
      <c r="F247" t="s">
        <v>18</v>
      </c>
    </row>
    <row r="248" spans="1:6">
      <c r="A248" s="1">
        <v>45590</v>
      </c>
      <c r="B248" s="2">
        <v>45590.492857361111</v>
      </c>
      <c r="C248" t="s">
        <v>3</v>
      </c>
      <c r="D248" t="s">
        <v>23</v>
      </c>
      <c r="E248">
        <v>35.76</v>
      </c>
      <c r="F248" t="s">
        <v>18</v>
      </c>
    </row>
    <row r="249" spans="1:6">
      <c r="A249" s="1">
        <v>45590</v>
      </c>
      <c r="B249" s="2">
        <v>45590.49340738426</v>
      </c>
      <c r="C249" t="s">
        <v>3</v>
      </c>
      <c r="D249" t="s">
        <v>23</v>
      </c>
      <c r="E249">
        <v>35.76</v>
      </c>
      <c r="F249" t="s">
        <v>18</v>
      </c>
    </row>
    <row r="250" spans="1:6">
      <c r="A250" s="1">
        <v>45597</v>
      </c>
      <c r="B250" s="2">
        <v>45597.528779340275</v>
      </c>
      <c r="C250" t="s">
        <v>3</v>
      </c>
      <c r="D250" t="s">
        <v>23</v>
      </c>
      <c r="E250">
        <v>35.76</v>
      </c>
      <c r="F250" t="s">
        <v>18</v>
      </c>
    </row>
    <row r="251" spans="1:6">
      <c r="A251" s="1">
        <v>45597</v>
      </c>
      <c r="B251" s="2">
        <v>45597.529380069442</v>
      </c>
      <c r="C251" t="s">
        <v>3</v>
      </c>
      <c r="D251" t="s">
        <v>23</v>
      </c>
      <c r="E251">
        <v>35.76</v>
      </c>
      <c r="F251" t="s">
        <v>18</v>
      </c>
    </row>
    <row r="252" spans="1:6">
      <c r="A252" s="1">
        <v>45600</v>
      </c>
      <c r="B252" s="2">
        <v>45600.614329317126</v>
      </c>
      <c r="C252" t="s">
        <v>3</v>
      </c>
      <c r="D252" t="s">
        <v>23</v>
      </c>
      <c r="E252">
        <v>35.76</v>
      </c>
      <c r="F252" t="s">
        <v>18</v>
      </c>
    </row>
    <row r="253" spans="1:6">
      <c r="A253" s="1">
        <v>45600</v>
      </c>
      <c r="B253" s="2">
        <v>45600.614815104163</v>
      </c>
      <c r="C253" t="s">
        <v>3</v>
      </c>
      <c r="D253" t="s">
        <v>23</v>
      </c>
      <c r="E253">
        <v>35.76</v>
      </c>
      <c r="F253" t="s">
        <v>18</v>
      </c>
    </row>
    <row r="254" spans="1:6">
      <c r="A254" s="1">
        <v>45601</v>
      </c>
      <c r="B254" s="2">
        <v>45601.44565105324</v>
      </c>
      <c r="C254" t="s">
        <v>3</v>
      </c>
      <c r="D254" t="s">
        <v>23</v>
      </c>
      <c r="E254">
        <v>30.86</v>
      </c>
      <c r="F254" t="s">
        <v>14</v>
      </c>
    </row>
    <row r="255" spans="1:6">
      <c r="A255" s="1">
        <v>45615</v>
      </c>
      <c r="B255" s="2">
        <v>45615.682412974536</v>
      </c>
      <c r="C255" t="s">
        <v>3</v>
      </c>
      <c r="D255" t="s">
        <v>23</v>
      </c>
      <c r="E255">
        <v>35.76</v>
      </c>
      <c r="F255" t="s">
        <v>18</v>
      </c>
    </row>
    <row r="256" spans="1:6">
      <c r="A256" s="1">
        <v>45615</v>
      </c>
      <c r="B256" s="2">
        <v>45615.683326828701</v>
      </c>
      <c r="C256" t="s">
        <v>3</v>
      </c>
      <c r="D256" t="s">
        <v>23</v>
      </c>
      <c r="E256">
        <v>35.76</v>
      </c>
      <c r="F256" t="s">
        <v>18</v>
      </c>
    </row>
    <row r="257" spans="1:6">
      <c r="A257" s="1">
        <v>45624</v>
      </c>
      <c r="B257" s="2">
        <v>45624.85048645833</v>
      </c>
      <c r="C257" t="s">
        <v>3</v>
      </c>
      <c r="D257" t="s">
        <v>23</v>
      </c>
      <c r="E257">
        <v>30.86</v>
      </c>
      <c r="F257" t="s">
        <v>14</v>
      </c>
    </row>
    <row r="258" spans="1:6">
      <c r="A258" s="1">
        <v>45642</v>
      </c>
      <c r="B258" s="2">
        <v>45642.766053761574</v>
      </c>
      <c r="C258" t="s">
        <v>3</v>
      </c>
      <c r="D258" t="s">
        <v>23</v>
      </c>
      <c r="E258">
        <v>35.76</v>
      </c>
      <c r="F258" t="s">
        <v>7</v>
      </c>
    </row>
    <row r="259" spans="1:6">
      <c r="A259" s="1">
        <v>45642</v>
      </c>
      <c r="B259" s="2">
        <v>45642.766683032409</v>
      </c>
      <c r="C259" t="s">
        <v>3</v>
      </c>
      <c r="D259" t="s">
        <v>23</v>
      </c>
      <c r="E259">
        <v>30.86</v>
      </c>
      <c r="F259" t="s">
        <v>14</v>
      </c>
    </row>
    <row r="260" spans="1:6">
      <c r="A260" s="1">
        <v>45657</v>
      </c>
      <c r="B260" s="2">
        <v>45657.654329780089</v>
      </c>
      <c r="C260" t="s">
        <v>3</v>
      </c>
      <c r="D260" t="s">
        <v>23</v>
      </c>
      <c r="E260">
        <v>21.06</v>
      </c>
      <c r="F260" t="s">
        <v>35</v>
      </c>
    </row>
    <row r="261" spans="1:6">
      <c r="A261" s="1">
        <v>45657</v>
      </c>
      <c r="B261" s="2">
        <v>45657.655015046294</v>
      </c>
      <c r="C261" t="s">
        <v>3</v>
      </c>
      <c r="D261" t="s">
        <v>23</v>
      </c>
      <c r="E261">
        <v>25.96</v>
      </c>
      <c r="F261" t="s">
        <v>11</v>
      </c>
    </row>
    <row r="262" spans="1:6">
      <c r="A262" s="1">
        <v>45666</v>
      </c>
      <c r="B262" s="2">
        <v>45666.854503148148</v>
      </c>
      <c r="C262" t="s">
        <v>3</v>
      </c>
      <c r="D262" t="s">
        <v>23</v>
      </c>
      <c r="E262">
        <v>30.86</v>
      </c>
      <c r="F262" t="s">
        <v>14</v>
      </c>
    </row>
    <row r="263" spans="1:6">
      <c r="A263" s="1">
        <v>45669</v>
      </c>
      <c r="B263" s="2">
        <v>45669.492943344907</v>
      </c>
      <c r="C263" t="s">
        <v>3</v>
      </c>
      <c r="D263" t="s">
        <v>23</v>
      </c>
      <c r="E263">
        <v>30.86</v>
      </c>
      <c r="F263" t="s">
        <v>14</v>
      </c>
    </row>
    <row r="264" spans="1:6">
      <c r="A264" s="1">
        <v>45673</v>
      </c>
      <c r="B264" s="2">
        <v>45673.445612048614</v>
      </c>
      <c r="C264" t="s">
        <v>3</v>
      </c>
      <c r="D264" t="s">
        <v>23</v>
      </c>
      <c r="E264">
        <v>30.86</v>
      </c>
      <c r="F264" t="s">
        <v>14</v>
      </c>
    </row>
    <row r="265" spans="1:6">
      <c r="A265" s="1">
        <v>45674</v>
      </c>
      <c r="B265" s="2">
        <v>45674.394194652778</v>
      </c>
      <c r="C265" t="s">
        <v>3</v>
      </c>
      <c r="D265" t="s">
        <v>23</v>
      </c>
      <c r="E265">
        <v>30.86</v>
      </c>
      <c r="F265" t="s">
        <v>14</v>
      </c>
    </row>
    <row r="266" spans="1:6">
      <c r="A266" s="1">
        <v>45677</v>
      </c>
      <c r="B266" s="2">
        <v>45677.354027303241</v>
      </c>
      <c r="C266" t="s">
        <v>3</v>
      </c>
      <c r="D266" t="s">
        <v>23</v>
      </c>
      <c r="E266">
        <v>30.86</v>
      </c>
      <c r="F266" t="s">
        <v>14</v>
      </c>
    </row>
    <row r="267" spans="1:6">
      <c r="A267" s="1">
        <v>45353</v>
      </c>
      <c r="B267" s="2">
        <v>45353.610133506947</v>
      </c>
      <c r="C267" t="s">
        <v>3</v>
      </c>
      <c r="D267" t="s">
        <v>24</v>
      </c>
      <c r="E267">
        <v>28.9</v>
      </c>
      <c r="F267" t="s">
        <v>11</v>
      </c>
    </row>
    <row r="268" spans="1:6">
      <c r="A268" s="1">
        <v>45353</v>
      </c>
      <c r="B268" s="2">
        <v>45353.692644386574</v>
      </c>
      <c r="C268" t="s">
        <v>3</v>
      </c>
      <c r="D268" t="s">
        <v>25</v>
      </c>
      <c r="E268">
        <v>33.799999999999997</v>
      </c>
      <c r="F268" t="s">
        <v>14</v>
      </c>
    </row>
    <row r="269" spans="1:6">
      <c r="A269" s="1">
        <v>45354</v>
      </c>
      <c r="B269" s="2">
        <v>45354.435631493056</v>
      </c>
      <c r="C269" t="s">
        <v>3</v>
      </c>
      <c r="D269" t="s">
        <v>26</v>
      </c>
      <c r="E269">
        <v>38.700000000000003</v>
      </c>
      <c r="F269" t="s">
        <v>7</v>
      </c>
    </row>
    <row r="270" spans="1:6">
      <c r="A270" s="1">
        <v>45354</v>
      </c>
      <c r="B270" s="2">
        <v>45354.481899513892</v>
      </c>
      <c r="C270" t="s">
        <v>3</v>
      </c>
      <c r="D270" t="s">
        <v>27</v>
      </c>
      <c r="E270">
        <v>28.9</v>
      </c>
      <c r="F270" t="s">
        <v>28</v>
      </c>
    </row>
    <row r="271" spans="1:6">
      <c r="A271" s="1">
        <v>45354</v>
      </c>
      <c r="B271" s="2">
        <v>45354.548337048611</v>
      </c>
      <c r="C271" t="s">
        <v>3</v>
      </c>
      <c r="D271" t="s">
        <v>29</v>
      </c>
      <c r="E271">
        <v>38.700000000000003</v>
      </c>
      <c r="F271" t="s">
        <v>9</v>
      </c>
    </row>
    <row r="272" spans="1:6">
      <c r="A272" s="1">
        <v>45376</v>
      </c>
      <c r="B272" s="2">
        <v>45376.60376554398</v>
      </c>
      <c r="C272" t="s">
        <v>3</v>
      </c>
      <c r="D272" t="s">
        <v>29</v>
      </c>
      <c r="E272">
        <v>38.700000000000003</v>
      </c>
      <c r="F272" t="s">
        <v>7</v>
      </c>
    </row>
    <row r="273" spans="1:6">
      <c r="A273" s="1">
        <v>45381</v>
      </c>
      <c r="B273" s="2">
        <v>45381.67536789352</v>
      </c>
      <c r="C273" t="s">
        <v>3</v>
      </c>
      <c r="D273" t="s">
        <v>29</v>
      </c>
      <c r="E273">
        <v>38.700000000000003</v>
      </c>
      <c r="F273" t="s">
        <v>7</v>
      </c>
    </row>
    <row r="274" spans="1:6">
      <c r="A274" s="1">
        <v>45390</v>
      </c>
      <c r="B274" s="2">
        <v>45390.695576458333</v>
      </c>
      <c r="C274" t="s">
        <v>3</v>
      </c>
      <c r="D274" t="s">
        <v>29</v>
      </c>
      <c r="E274">
        <v>38.700000000000003</v>
      </c>
      <c r="F274" t="s">
        <v>7</v>
      </c>
    </row>
    <row r="275" spans="1:6">
      <c r="A275" s="1">
        <v>45393</v>
      </c>
      <c r="B275" s="2">
        <v>45393.691239224536</v>
      </c>
      <c r="C275" t="s">
        <v>3</v>
      </c>
      <c r="D275" t="s">
        <v>29</v>
      </c>
      <c r="E275">
        <v>38.700000000000003</v>
      </c>
      <c r="F275" t="s">
        <v>7</v>
      </c>
    </row>
    <row r="276" spans="1:6">
      <c r="A276" s="1">
        <v>45396</v>
      </c>
      <c r="B276" s="2">
        <v>45396.657265428243</v>
      </c>
      <c r="C276" t="s">
        <v>3</v>
      </c>
      <c r="D276" t="s">
        <v>29</v>
      </c>
      <c r="E276">
        <v>38.700000000000003</v>
      </c>
      <c r="F276" t="s">
        <v>43</v>
      </c>
    </row>
    <row r="277" spans="1:6">
      <c r="A277" s="1">
        <v>45354</v>
      </c>
      <c r="B277" s="2">
        <v>45354.712966099534</v>
      </c>
      <c r="C277" t="s">
        <v>3</v>
      </c>
      <c r="D277" t="s">
        <v>30</v>
      </c>
      <c r="E277">
        <v>38.700000000000003</v>
      </c>
      <c r="F277" t="s">
        <v>18</v>
      </c>
    </row>
    <row r="278" spans="1:6">
      <c r="A278" s="1">
        <v>45354</v>
      </c>
      <c r="B278" s="2">
        <v>45354.714420081022</v>
      </c>
      <c r="C278" t="s">
        <v>3</v>
      </c>
      <c r="D278" t="s">
        <v>31</v>
      </c>
      <c r="E278">
        <v>28.9</v>
      </c>
      <c r="F278" t="s">
        <v>28</v>
      </c>
    </row>
    <row r="279" spans="1:6">
      <c r="A279" s="1">
        <v>45365</v>
      </c>
      <c r="B279" s="2">
        <v>45365.790924236113</v>
      </c>
      <c r="C279" t="s">
        <v>3</v>
      </c>
      <c r="D279" t="s">
        <v>31</v>
      </c>
      <c r="E279">
        <v>38.700000000000003</v>
      </c>
      <c r="F279" t="s">
        <v>9</v>
      </c>
    </row>
    <row r="280" spans="1:6">
      <c r="A280" s="1">
        <v>45394</v>
      </c>
      <c r="B280" s="2">
        <v>45394.794252349537</v>
      </c>
      <c r="C280" t="s">
        <v>3</v>
      </c>
      <c r="D280" t="s">
        <v>31</v>
      </c>
      <c r="E280">
        <v>38.700000000000003</v>
      </c>
      <c r="F280" t="s">
        <v>9</v>
      </c>
    </row>
    <row r="281" spans="1:6">
      <c r="A281" s="1">
        <v>45396</v>
      </c>
      <c r="B281" s="2">
        <v>45396.708858645834</v>
      </c>
      <c r="C281" t="s">
        <v>3</v>
      </c>
      <c r="D281" t="s">
        <v>31</v>
      </c>
      <c r="E281">
        <v>38.700000000000003</v>
      </c>
      <c r="F281" t="s">
        <v>7</v>
      </c>
    </row>
    <row r="282" spans="1:6">
      <c r="A282" s="1">
        <v>45410</v>
      </c>
      <c r="B282" s="2">
        <v>45410.770166365743</v>
      </c>
      <c r="C282" t="s">
        <v>3</v>
      </c>
      <c r="D282" t="s">
        <v>31</v>
      </c>
      <c r="E282">
        <v>37.72</v>
      </c>
      <c r="F282" t="s">
        <v>7</v>
      </c>
    </row>
    <row r="283" spans="1:6">
      <c r="A283" s="1">
        <v>45475</v>
      </c>
      <c r="B283" s="2">
        <v>45475.53339329861</v>
      </c>
      <c r="C283" t="s">
        <v>3</v>
      </c>
      <c r="D283" t="s">
        <v>31</v>
      </c>
      <c r="E283">
        <v>37.72</v>
      </c>
      <c r="F283" t="s">
        <v>7</v>
      </c>
    </row>
    <row r="284" spans="1:6">
      <c r="A284" s="1">
        <v>45481</v>
      </c>
      <c r="B284" s="2">
        <v>45481.926923379629</v>
      </c>
      <c r="C284" t="s">
        <v>3</v>
      </c>
      <c r="D284" t="s">
        <v>31</v>
      </c>
      <c r="E284">
        <v>32.82</v>
      </c>
      <c r="F284" t="s">
        <v>7</v>
      </c>
    </row>
    <row r="285" spans="1:6">
      <c r="A285" s="1">
        <v>45509</v>
      </c>
      <c r="B285" s="2">
        <v>45509.805586539354</v>
      </c>
      <c r="C285" t="s">
        <v>3</v>
      </c>
      <c r="D285" t="s">
        <v>31</v>
      </c>
      <c r="E285">
        <v>32.82</v>
      </c>
      <c r="F285" t="s">
        <v>7</v>
      </c>
    </row>
    <row r="286" spans="1:6">
      <c r="A286" s="1">
        <v>45510</v>
      </c>
      <c r="B286" s="2">
        <v>45510.794497037037</v>
      </c>
      <c r="C286" t="s">
        <v>3</v>
      </c>
      <c r="D286" t="s">
        <v>31</v>
      </c>
      <c r="E286">
        <v>32.82</v>
      </c>
      <c r="F286" t="s">
        <v>7</v>
      </c>
    </row>
    <row r="287" spans="1:6">
      <c r="A287" s="1">
        <v>45539</v>
      </c>
      <c r="B287" s="2">
        <v>45539.491707673609</v>
      </c>
      <c r="C287" t="s">
        <v>3</v>
      </c>
      <c r="D287" t="s">
        <v>31</v>
      </c>
      <c r="E287">
        <v>23.02</v>
      </c>
      <c r="F287" t="s">
        <v>11</v>
      </c>
    </row>
    <row r="288" spans="1:6">
      <c r="A288" s="1">
        <v>45540</v>
      </c>
      <c r="B288" s="2">
        <v>45540.462854155092</v>
      </c>
      <c r="C288" t="s">
        <v>3</v>
      </c>
      <c r="D288" t="s">
        <v>31</v>
      </c>
      <c r="E288">
        <v>23.02</v>
      </c>
      <c r="F288" t="s">
        <v>11</v>
      </c>
    </row>
    <row r="289" spans="1:6">
      <c r="A289" s="1">
        <v>45542</v>
      </c>
      <c r="B289" s="2">
        <v>45542.472222476848</v>
      </c>
      <c r="C289" t="s">
        <v>3</v>
      </c>
      <c r="D289" t="s">
        <v>31</v>
      </c>
      <c r="E289">
        <v>23.02</v>
      </c>
      <c r="F289" t="s">
        <v>11</v>
      </c>
    </row>
    <row r="290" spans="1:6">
      <c r="A290" s="1">
        <v>45542</v>
      </c>
      <c r="B290" s="2">
        <v>45542.680567418982</v>
      </c>
      <c r="C290" t="s">
        <v>3</v>
      </c>
      <c r="D290" t="s">
        <v>31</v>
      </c>
      <c r="E290">
        <v>23.02</v>
      </c>
      <c r="F290" t="s">
        <v>11</v>
      </c>
    </row>
    <row r="291" spans="1:6">
      <c r="A291" s="1">
        <v>45584</v>
      </c>
      <c r="B291" s="2">
        <v>45584.557014907405</v>
      </c>
      <c r="C291" t="s">
        <v>3</v>
      </c>
      <c r="D291" t="s">
        <v>31</v>
      </c>
      <c r="E291">
        <v>35.76</v>
      </c>
      <c r="F291" t="s">
        <v>7</v>
      </c>
    </row>
    <row r="292" spans="1:6">
      <c r="A292" s="1">
        <v>45610</v>
      </c>
      <c r="B292" s="2">
        <v>45610.892032245371</v>
      </c>
      <c r="C292" t="s">
        <v>3</v>
      </c>
      <c r="D292" t="s">
        <v>31</v>
      </c>
      <c r="E292">
        <v>35.76</v>
      </c>
      <c r="F292" t="s">
        <v>7</v>
      </c>
    </row>
    <row r="293" spans="1:6">
      <c r="A293" s="1">
        <v>45624</v>
      </c>
      <c r="B293" s="2">
        <v>45624.851221331017</v>
      </c>
      <c r="C293" t="s">
        <v>3</v>
      </c>
      <c r="D293" t="s">
        <v>31</v>
      </c>
      <c r="E293">
        <v>35.76</v>
      </c>
      <c r="F293" t="s">
        <v>7</v>
      </c>
    </row>
    <row r="294" spans="1:6">
      <c r="A294" s="1">
        <v>45691</v>
      </c>
      <c r="B294" s="2">
        <v>45691.61599766204</v>
      </c>
      <c r="C294" t="s">
        <v>3</v>
      </c>
      <c r="D294" t="s">
        <v>31</v>
      </c>
      <c r="E294">
        <v>35.76</v>
      </c>
      <c r="F294" t="s">
        <v>7</v>
      </c>
    </row>
    <row r="295" spans="1:6">
      <c r="A295" s="1">
        <v>45713</v>
      </c>
      <c r="B295" s="2">
        <v>45713.701127256943</v>
      </c>
      <c r="C295" t="s">
        <v>3</v>
      </c>
      <c r="D295" t="s">
        <v>31</v>
      </c>
      <c r="E295">
        <v>25.96</v>
      </c>
      <c r="F295" t="s">
        <v>11</v>
      </c>
    </row>
    <row r="296" spans="1:6">
      <c r="A296" s="1">
        <v>45713</v>
      </c>
      <c r="B296" s="2">
        <v>45713.701803368058</v>
      </c>
      <c r="C296" t="s">
        <v>3</v>
      </c>
      <c r="D296" t="s">
        <v>31</v>
      </c>
      <c r="E296">
        <v>25.96</v>
      </c>
      <c r="F296" t="s">
        <v>11</v>
      </c>
    </row>
    <row r="297" spans="1:6">
      <c r="A297" s="1">
        <v>45735</v>
      </c>
      <c r="B297" s="2">
        <v>45735.335628425928</v>
      </c>
      <c r="C297" t="s">
        <v>3</v>
      </c>
      <c r="D297" t="s">
        <v>31</v>
      </c>
      <c r="E297">
        <v>25.96</v>
      </c>
      <c r="F297" t="s">
        <v>11</v>
      </c>
    </row>
    <row r="298" spans="1:6">
      <c r="A298" s="1">
        <v>45737</v>
      </c>
      <c r="B298" s="2">
        <v>45737.493837152775</v>
      </c>
      <c r="C298" t="s">
        <v>3</v>
      </c>
      <c r="D298" t="s">
        <v>31</v>
      </c>
      <c r="E298">
        <v>35.76</v>
      </c>
      <c r="F298" t="s">
        <v>7</v>
      </c>
    </row>
    <row r="299" spans="1:6">
      <c r="A299" s="1">
        <v>45354</v>
      </c>
      <c r="B299" s="2">
        <v>45354.752353807868</v>
      </c>
      <c r="C299" t="s">
        <v>3</v>
      </c>
      <c r="D299" t="s">
        <v>32</v>
      </c>
      <c r="E299">
        <v>33.799999999999997</v>
      </c>
      <c r="F299" t="s">
        <v>14</v>
      </c>
    </row>
    <row r="300" spans="1:6">
      <c r="A300" s="1">
        <v>45354</v>
      </c>
      <c r="B300" s="2">
        <v>45354.753101226852</v>
      </c>
      <c r="C300" t="s">
        <v>3</v>
      </c>
      <c r="D300" t="s">
        <v>32</v>
      </c>
      <c r="E300">
        <v>33.799999999999997</v>
      </c>
      <c r="F300" t="s">
        <v>14</v>
      </c>
    </row>
    <row r="301" spans="1:6">
      <c r="A301" s="1">
        <v>45354</v>
      </c>
      <c r="B301" s="2">
        <v>45354.755612951391</v>
      </c>
      <c r="C301" t="s">
        <v>3</v>
      </c>
      <c r="D301" t="s">
        <v>32</v>
      </c>
      <c r="E301">
        <v>38.700000000000003</v>
      </c>
      <c r="F301" t="s">
        <v>9</v>
      </c>
    </row>
    <row r="302" spans="1:6">
      <c r="A302" s="1">
        <v>45355</v>
      </c>
      <c r="B302" s="2">
        <v>45355.454756458334</v>
      </c>
      <c r="C302" t="s">
        <v>3</v>
      </c>
      <c r="D302" t="s">
        <v>33</v>
      </c>
      <c r="E302">
        <v>38.700000000000003</v>
      </c>
      <c r="F302" t="s">
        <v>7</v>
      </c>
    </row>
    <row r="303" spans="1:6">
      <c r="A303" s="1">
        <v>45355</v>
      </c>
      <c r="B303" s="2">
        <v>45355.586547847219</v>
      </c>
      <c r="C303" t="s">
        <v>3</v>
      </c>
      <c r="D303" t="s">
        <v>34</v>
      </c>
      <c r="E303">
        <v>24</v>
      </c>
      <c r="F303" t="s">
        <v>35</v>
      </c>
    </row>
    <row r="304" spans="1:6">
      <c r="A304" s="1">
        <v>45356</v>
      </c>
      <c r="B304" s="2">
        <v>45356.60759216435</v>
      </c>
      <c r="C304" t="s">
        <v>3</v>
      </c>
      <c r="D304" t="s">
        <v>36</v>
      </c>
      <c r="E304">
        <v>38.700000000000003</v>
      </c>
      <c r="F304" t="s">
        <v>7</v>
      </c>
    </row>
    <row r="305" spans="1:6">
      <c r="A305" s="1">
        <v>45356</v>
      </c>
      <c r="B305" s="2">
        <v>45356.732014386573</v>
      </c>
      <c r="C305" t="s">
        <v>3</v>
      </c>
      <c r="D305" t="s">
        <v>37</v>
      </c>
      <c r="E305">
        <v>38.700000000000003</v>
      </c>
      <c r="F305" t="s">
        <v>7</v>
      </c>
    </row>
    <row r="306" spans="1:6">
      <c r="A306" s="1">
        <v>45376</v>
      </c>
      <c r="B306" s="2">
        <v>45376.776049189815</v>
      </c>
      <c r="C306" t="s">
        <v>3</v>
      </c>
      <c r="D306" t="s">
        <v>37</v>
      </c>
      <c r="E306">
        <v>33.799999999999997</v>
      </c>
      <c r="F306" t="s">
        <v>14</v>
      </c>
    </row>
    <row r="307" spans="1:6">
      <c r="A307" s="1">
        <v>45377</v>
      </c>
      <c r="B307" s="2">
        <v>45377.773363055552</v>
      </c>
      <c r="C307" t="s">
        <v>3</v>
      </c>
      <c r="D307" t="s">
        <v>37</v>
      </c>
      <c r="E307">
        <v>38.700000000000003</v>
      </c>
      <c r="F307" t="s">
        <v>7</v>
      </c>
    </row>
    <row r="308" spans="1:6">
      <c r="A308" s="1">
        <v>45383</v>
      </c>
      <c r="B308" s="2">
        <v>45383.762990416668</v>
      </c>
      <c r="C308" t="s">
        <v>3</v>
      </c>
      <c r="D308" t="s">
        <v>37</v>
      </c>
      <c r="E308">
        <v>33.799999999999997</v>
      </c>
      <c r="F308" t="s">
        <v>14</v>
      </c>
    </row>
    <row r="309" spans="1:6">
      <c r="A309" s="1">
        <v>45390</v>
      </c>
      <c r="B309" s="2">
        <v>45390.807262465278</v>
      </c>
      <c r="C309" t="s">
        <v>3</v>
      </c>
      <c r="D309" t="s">
        <v>37</v>
      </c>
      <c r="E309">
        <v>33.799999999999997</v>
      </c>
      <c r="F309" t="s">
        <v>14</v>
      </c>
    </row>
    <row r="310" spans="1:6">
      <c r="A310" s="1">
        <v>45393</v>
      </c>
      <c r="B310" s="2">
        <v>45393.804590497683</v>
      </c>
      <c r="C310" t="s">
        <v>3</v>
      </c>
      <c r="D310" t="s">
        <v>37</v>
      </c>
      <c r="E310">
        <v>33.799999999999997</v>
      </c>
      <c r="F310" t="s">
        <v>14</v>
      </c>
    </row>
    <row r="311" spans="1:6">
      <c r="A311" s="1">
        <v>45398</v>
      </c>
      <c r="B311" s="2">
        <v>45398.737548703706</v>
      </c>
      <c r="C311" t="s">
        <v>3</v>
      </c>
      <c r="D311" t="s">
        <v>37</v>
      </c>
      <c r="E311">
        <v>33.799999999999997</v>
      </c>
      <c r="F311" t="s">
        <v>14</v>
      </c>
    </row>
    <row r="312" spans="1:6">
      <c r="A312" s="1">
        <v>45400</v>
      </c>
      <c r="B312" s="2">
        <v>45400.819342511575</v>
      </c>
      <c r="C312" t="s">
        <v>3</v>
      </c>
      <c r="D312" t="s">
        <v>37</v>
      </c>
      <c r="E312">
        <v>38.700000000000003</v>
      </c>
      <c r="F312" t="s">
        <v>9</v>
      </c>
    </row>
    <row r="313" spans="1:6">
      <c r="A313" s="1">
        <v>45401</v>
      </c>
      <c r="B313" s="2">
        <v>45401.766195729164</v>
      </c>
      <c r="C313" t="s">
        <v>3</v>
      </c>
      <c r="D313" t="s">
        <v>37</v>
      </c>
      <c r="E313">
        <v>38.700000000000003</v>
      </c>
      <c r="F313" t="s">
        <v>18</v>
      </c>
    </row>
    <row r="314" spans="1:6">
      <c r="A314" s="1">
        <v>45405</v>
      </c>
      <c r="B314" s="2">
        <v>45405.59992064815</v>
      </c>
      <c r="C314" t="s">
        <v>3</v>
      </c>
      <c r="D314" t="s">
        <v>37</v>
      </c>
      <c r="E314">
        <v>32.82</v>
      </c>
      <c r="F314" t="s">
        <v>14</v>
      </c>
    </row>
    <row r="315" spans="1:6">
      <c r="A315" s="1">
        <v>45414</v>
      </c>
      <c r="B315" s="2">
        <v>45414.77860208333</v>
      </c>
      <c r="C315" t="s">
        <v>3</v>
      </c>
      <c r="D315" t="s">
        <v>37</v>
      </c>
      <c r="E315">
        <v>32.82</v>
      </c>
      <c r="F315" t="s">
        <v>14</v>
      </c>
    </row>
    <row r="316" spans="1:6">
      <c r="A316" s="1">
        <v>45446</v>
      </c>
      <c r="B316" s="2">
        <v>45446.606261018518</v>
      </c>
      <c r="C316" t="s">
        <v>3</v>
      </c>
      <c r="D316" t="s">
        <v>37</v>
      </c>
      <c r="E316">
        <v>32.82</v>
      </c>
      <c r="F316" t="s">
        <v>14</v>
      </c>
    </row>
    <row r="317" spans="1:6">
      <c r="A317" s="1">
        <v>45356</v>
      </c>
      <c r="B317" s="2">
        <v>45356.732928483798</v>
      </c>
      <c r="C317" t="s">
        <v>3</v>
      </c>
      <c r="D317" t="s">
        <v>38</v>
      </c>
      <c r="E317">
        <v>38.700000000000003</v>
      </c>
      <c r="F317" t="s">
        <v>9</v>
      </c>
    </row>
    <row r="318" spans="1:6">
      <c r="A318" s="1">
        <v>45405</v>
      </c>
      <c r="B318" s="2">
        <v>45405.599027719909</v>
      </c>
      <c r="C318" t="s">
        <v>3</v>
      </c>
      <c r="D318" t="s">
        <v>38</v>
      </c>
      <c r="E318">
        <v>37.72</v>
      </c>
      <c r="F318" t="s">
        <v>43</v>
      </c>
    </row>
    <row r="319" spans="1:6">
      <c r="A319" s="1">
        <v>45426</v>
      </c>
      <c r="B319" s="2">
        <v>45426.586742824074</v>
      </c>
      <c r="C319" t="s">
        <v>3</v>
      </c>
      <c r="D319" t="s">
        <v>38</v>
      </c>
      <c r="E319">
        <v>37.72</v>
      </c>
      <c r="F319" t="s">
        <v>43</v>
      </c>
    </row>
    <row r="320" spans="1:6">
      <c r="A320" s="1">
        <v>45446</v>
      </c>
      <c r="B320" s="2">
        <v>45446.605351134262</v>
      </c>
      <c r="C320" t="s">
        <v>3</v>
      </c>
      <c r="D320" t="s">
        <v>38</v>
      </c>
      <c r="E320">
        <v>37.72</v>
      </c>
      <c r="F320" t="s">
        <v>43</v>
      </c>
    </row>
    <row r="321" spans="1:6">
      <c r="A321" s="1">
        <v>45356</v>
      </c>
      <c r="B321" s="2">
        <v>45356.733664016203</v>
      </c>
      <c r="C321" t="s">
        <v>3</v>
      </c>
      <c r="D321" t="s">
        <v>39</v>
      </c>
      <c r="E321">
        <v>38.700000000000003</v>
      </c>
      <c r="F321" t="s">
        <v>18</v>
      </c>
    </row>
    <row r="322" spans="1:6">
      <c r="A322" s="1">
        <v>45423</v>
      </c>
      <c r="B322" s="2">
        <v>45423.723566168985</v>
      </c>
      <c r="C322" t="s">
        <v>3</v>
      </c>
      <c r="D322" t="s">
        <v>39</v>
      </c>
      <c r="E322">
        <v>37.72</v>
      </c>
      <c r="F322" t="s">
        <v>18</v>
      </c>
    </row>
    <row r="323" spans="1:6">
      <c r="A323" s="1">
        <v>45356</v>
      </c>
      <c r="B323" s="2">
        <v>45356.734185868052</v>
      </c>
      <c r="C323" t="s">
        <v>3</v>
      </c>
      <c r="D323" t="s">
        <v>40</v>
      </c>
      <c r="E323">
        <v>38.700000000000003</v>
      </c>
      <c r="F323" t="s">
        <v>9</v>
      </c>
    </row>
    <row r="324" spans="1:6">
      <c r="A324" s="1">
        <v>45356</v>
      </c>
      <c r="B324" s="2">
        <v>45356.747404814814</v>
      </c>
      <c r="C324" t="s">
        <v>3</v>
      </c>
      <c r="D324" t="s">
        <v>41</v>
      </c>
      <c r="E324">
        <v>28.9</v>
      </c>
      <c r="F324" t="s">
        <v>28</v>
      </c>
    </row>
    <row r="325" spans="1:6">
      <c r="A325" s="1">
        <v>45356</v>
      </c>
      <c r="B325" s="2">
        <v>45356.751056041663</v>
      </c>
      <c r="C325" t="s">
        <v>3</v>
      </c>
      <c r="D325" t="s">
        <v>41</v>
      </c>
      <c r="E325">
        <v>38.700000000000003</v>
      </c>
      <c r="F325" t="s">
        <v>9</v>
      </c>
    </row>
    <row r="326" spans="1:6">
      <c r="A326" s="1">
        <v>45357</v>
      </c>
      <c r="B326" s="2">
        <v>45357.619464826392</v>
      </c>
      <c r="C326" t="s">
        <v>3</v>
      </c>
      <c r="D326" t="s">
        <v>42</v>
      </c>
      <c r="E326">
        <v>38.700000000000003</v>
      </c>
      <c r="F326" t="s">
        <v>43</v>
      </c>
    </row>
    <row r="327" spans="1:6">
      <c r="A327" s="1">
        <v>45357</v>
      </c>
      <c r="B327" s="2">
        <v>45357.620351203703</v>
      </c>
      <c r="C327" t="s">
        <v>3</v>
      </c>
      <c r="D327" t="s">
        <v>42</v>
      </c>
      <c r="E327">
        <v>38.700000000000003</v>
      </c>
      <c r="F327" t="s">
        <v>43</v>
      </c>
    </row>
    <row r="328" spans="1:6">
      <c r="A328" s="1">
        <v>45358</v>
      </c>
      <c r="B328" s="2">
        <v>45358.429635914355</v>
      </c>
      <c r="C328" t="s">
        <v>3</v>
      </c>
      <c r="D328" t="s">
        <v>44</v>
      </c>
      <c r="E328">
        <v>38.700000000000003</v>
      </c>
      <c r="F328" t="s">
        <v>9</v>
      </c>
    </row>
    <row r="329" spans="1:6">
      <c r="A329" s="1">
        <v>45358</v>
      </c>
      <c r="B329" s="2">
        <v>45358.461099259257</v>
      </c>
      <c r="C329" t="s">
        <v>3</v>
      </c>
      <c r="D329" t="s">
        <v>45</v>
      </c>
      <c r="E329">
        <v>38.700000000000003</v>
      </c>
      <c r="F329" t="s">
        <v>7</v>
      </c>
    </row>
    <row r="330" spans="1:6">
      <c r="A330" s="1">
        <v>45358</v>
      </c>
      <c r="B330" s="2">
        <v>45358.653039421297</v>
      </c>
      <c r="C330" t="s">
        <v>3</v>
      </c>
      <c r="D330" t="s">
        <v>46</v>
      </c>
      <c r="E330">
        <v>28.9</v>
      </c>
      <c r="F330" t="s">
        <v>11</v>
      </c>
    </row>
    <row r="331" spans="1:6">
      <c r="A331" s="1">
        <v>45377</v>
      </c>
      <c r="B331" s="2">
        <v>45377.567241249999</v>
      </c>
      <c r="C331" t="s">
        <v>3</v>
      </c>
      <c r="D331" t="s">
        <v>46</v>
      </c>
      <c r="E331">
        <v>28.9</v>
      </c>
      <c r="F331" t="s">
        <v>28</v>
      </c>
    </row>
    <row r="332" spans="1:6">
      <c r="A332" s="1">
        <v>45358</v>
      </c>
      <c r="B332" s="2">
        <v>45358.65380537037</v>
      </c>
      <c r="C332" t="s">
        <v>3</v>
      </c>
      <c r="D332" t="s">
        <v>47</v>
      </c>
      <c r="E332">
        <v>33.799999999999997</v>
      </c>
      <c r="F332" t="s">
        <v>14</v>
      </c>
    </row>
    <row r="333" spans="1:6">
      <c r="A333" s="1">
        <v>45359</v>
      </c>
      <c r="B333" s="2">
        <v>45359.614711203707</v>
      </c>
      <c r="C333" t="s">
        <v>3</v>
      </c>
      <c r="D333" t="s">
        <v>47</v>
      </c>
      <c r="E333">
        <v>28.9</v>
      </c>
      <c r="F333" t="s">
        <v>11</v>
      </c>
    </row>
    <row r="334" spans="1:6">
      <c r="A334" s="1">
        <v>45363</v>
      </c>
      <c r="B334" s="2">
        <v>45363.427483136576</v>
      </c>
      <c r="C334" t="s">
        <v>3</v>
      </c>
      <c r="D334" t="s">
        <v>47</v>
      </c>
      <c r="E334">
        <v>28.9</v>
      </c>
      <c r="F334" t="s">
        <v>11</v>
      </c>
    </row>
    <row r="335" spans="1:6">
      <c r="A335" s="1">
        <v>45363</v>
      </c>
      <c r="B335" s="2">
        <v>45363.428065810185</v>
      </c>
      <c r="C335" t="s">
        <v>3</v>
      </c>
      <c r="D335" t="s">
        <v>47</v>
      </c>
      <c r="E335">
        <v>28.9</v>
      </c>
      <c r="F335" t="s">
        <v>28</v>
      </c>
    </row>
    <row r="336" spans="1:6">
      <c r="A336" s="1">
        <v>45429</v>
      </c>
      <c r="B336" s="2">
        <v>45429.37556083333</v>
      </c>
      <c r="C336" t="s">
        <v>3</v>
      </c>
      <c r="D336" t="s">
        <v>47</v>
      </c>
      <c r="E336">
        <v>27.92</v>
      </c>
      <c r="F336" t="s">
        <v>11</v>
      </c>
    </row>
    <row r="337" spans="1:6">
      <c r="A337" s="1">
        <v>45359</v>
      </c>
      <c r="B337" s="2">
        <v>45359.515609409726</v>
      </c>
      <c r="C337" t="s">
        <v>3</v>
      </c>
      <c r="D337" t="s">
        <v>48</v>
      </c>
      <c r="E337">
        <v>38.700000000000003</v>
      </c>
      <c r="F337" t="s">
        <v>43</v>
      </c>
    </row>
    <row r="338" spans="1:6">
      <c r="A338" s="1">
        <v>45359</v>
      </c>
      <c r="B338" s="2">
        <v>45359.578495856484</v>
      </c>
      <c r="C338" t="s">
        <v>3</v>
      </c>
      <c r="D338" t="s">
        <v>49</v>
      </c>
      <c r="E338">
        <v>28.9</v>
      </c>
      <c r="F338" t="s">
        <v>11</v>
      </c>
    </row>
    <row r="339" spans="1:6">
      <c r="A339" s="1">
        <v>45362</v>
      </c>
      <c r="B339" s="2">
        <v>45362.481235891202</v>
      </c>
      <c r="C339" t="s">
        <v>3</v>
      </c>
      <c r="D339" t="s">
        <v>49</v>
      </c>
      <c r="E339">
        <v>38.700000000000003</v>
      </c>
      <c r="F339" t="s">
        <v>43</v>
      </c>
    </row>
    <row r="340" spans="1:6">
      <c r="A340" s="1">
        <v>45359</v>
      </c>
      <c r="B340" s="2">
        <v>45359.790178831019</v>
      </c>
      <c r="C340" t="s">
        <v>3</v>
      </c>
      <c r="D340" t="s">
        <v>50</v>
      </c>
      <c r="E340">
        <v>38.700000000000003</v>
      </c>
      <c r="F340" t="s">
        <v>7</v>
      </c>
    </row>
    <row r="341" spans="1:6">
      <c r="A341" s="1">
        <v>45359</v>
      </c>
      <c r="B341" s="2">
        <v>45359.791260891201</v>
      </c>
      <c r="C341" t="s">
        <v>3</v>
      </c>
      <c r="D341" t="s">
        <v>51</v>
      </c>
      <c r="E341">
        <v>38.700000000000003</v>
      </c>
      <c r="F341" t="s">
        <v>7</v>
      </c>
    </row>
    <row r="342" spans="1:6">
      <c r="A342" s="1">
        <v>45360</v>
      </c>
      <c r="B342" s="2">
        <v>45360.50365230324</v>
      </c>
      <c r="C342" t="s">
        <v>3</v>
      </c>
      <c r="D342" t="s">
        <v>52</v>
      </c>
      <c r="E342">
        <v>24</v>
      </c>
      <c r="F342" t="s">
        <v>35</v>
      </c>
    </row>
    <row r="343" spans="1:6">
      <c r="A343" s="1">
        <v>45360</v>
      </c>
      <c r="B343" s="2">
        <v>45360.505304108796</v>
      </c>
      <c r="C343" t="s">
        <v>3</v>
      </c>
      <c r="D343" t="s">
        <v>53</v>
      </c>
      <c r="E343">
        <v>28.9</v>
      </c>
      <c r="F343" t="s">
        <v>11</v>
      </c>
    </row>
    <row r="344" spans="1:6">
      <c r="A344" s="1">
        <v>45360</v>
      </c>
      <c r="B344" s="2">
        <v>45360.509068530089</v>
      </c>
      <c r="C344" t="s">
        <v>3</v>
      </c>
      <c r="D344" t="s">
        <v>54</v>
      </c>
      <c r="E344">
        <v>28.9</v>
      </c>
      <c r="F344" t="s">
        <v>11</v>
      </c>
    </row>
    <row r="345" spans="1:6">
      <c r="A345" s="1">
        <v>45360</v>
      </c>
      <c r="B345" s="2">
        <v>45360.510028449076</v>
      </c>
      <c r="C345" t="s">
        <v>3</v>
      </c>
      <c r="D345" t="s">
        <v>54</v>
      </c>
      <c r="E345">
        <v>28.9</v>
      </c>
      <c r="F345" t="s">
        <v>11</v>
      </c>
    </row>
    <row r="346" spans="1:6">
      <c r="A346" s="1">
        <v>45388</v>
      </c>
      <c r="B346" s="2">
        <v>45388.592577928241</v>
      </c>
      <c r="C346" t="s">
        <v>3</v>
      </c>
      <c r="D346" t="s">
        <v>54</v>
      </c>
      <c r="E346">
        <v>38.700000000000003</v>
      </c>
      <c r="F346" t="s">
        <v>43</v>
      </c>
    </row>
    <row r="347" spans="1:6">
      <c r="A347" s="1">
        <v>45388</v>
      </c>
      <c r="B347" s="2">
        <v>45388.593368391201</v>
      </c>
      <c r="C347" t="s">
        <v>3</v>
      </c>
      <c r="D347" t="s">
        <v>54</v>
      </c>
      <c r="E347">
        <v>28.9</v>
      </c>
      <c r="F347" t="s">
        <v>11</v>
      </c>
    </row>
    <row r="348" spans="1:6">
      <c r="A348" s="1">
        <v>45389</v>
      </c>
      <c r="B348" s="2">
        <v>45389.530925185187</v>
      </c>
      <c r="C348" t="s">
        <v>3</v>
      </c>
      <c r="D348" t="s">
        <v>54</v>
      </c>
      <c r="E348">
        <v>38.700000000000003</v>
      </c>
      <c r="F348" t="s">
        <v>43</v>
      </c>
    </row>
    <row r="349" spans="1:6">
      <c r="A349" s="1">
        <v>45389</v>
      </c>
      <c r="B349" s="2">
        <v>45389.532003680557</v>
      </c>
      <c r="C349" t="s">
        <v>3</v>
      </c>
      <c r="D349" t="s">
        <v>54</v>
      </c>
      <c r="E349">
        <v>38.700000000000003</v>
      </c>
      <c r="F349" t="s">
        <v>43</v>
      </c>
    </row>
    <row r="350" spans="1:6">
      <c r="A350" s="1">
        <v>45401</v>
      </c>
      <c r="B350" s="2">
        <v>45401.54985935185</v>
      </c>
      <c r="C350" t="s">
        <v>3</v>
      </c>
      <c r="D350" t="s">
        <v>54</v>
      </c>
      <c r="E350">
        <v>33.799999999999997</v>
      </c>
      <c r="F350" t="s">
        <v>14</v>
      </c>
    </row>
    <row r="351" spans="1:6">
      <c r="A351" s="1">
        <v>45401</v>
      </c>
      <c r="B351" s="2">
        <v>45401.550936064814</v>
      </c>
      <c r="C351" t="s">
        <v>3</v>
      </c>
      <c r="D351" t="s">
        <v>54</v>
      </c>
      <c r="E351">
        <v>38.700000000000003</v>
      </c>
      <c r="F351" t="s">
        <v>43</v>
      </c>
    </row>
    <row r="352" spans="1:6">
      <c r="A352" s="1">
        <v>45402</v>
      </c>
      <c r="B352" s="2">
        <v>45402.614098587961</v>
      </c>
      <c r="C352" t="s">
        <v>3</v>
      </c>
      <c r="D352" t="s">
        <v>54</v>
      </c>
      <c r="E352">
        <v>38.700000000000003</v>
      </c>
      <c r="F352" t="s">
        <v>43</v>
      </c>
    </row>
    <row r="353" spans="1:6">
      <c r="A353" s="1">
        <v>45423</v>
      </c>
      <c r="B353" s="2">
        <v>45423.724968761577</v>
      </c>
      <c r="C353" t="s">
        <v>3</v>
      </c>
      <c r="D353" t="s">
        <v>54</v>
      </c>
      <c r="E353">
        <v>37.72</v>
      </c>
      <c r="F353" t="s">
        <v>43</v>
      </c>
    </row>
    <row r="354" spans="1:6">
      <c r="A354" s="1">
        <v>45426</v>
      </c>
      <c r="B354" s="2">
        <v>45426.626328530096</v>
      </c>
      <c r="C354" t="s">
        <v>3</v>
      </c>
      <c r="D354" t="s">
        <v>54</v>
      </c>
      <c r="E354">
        <v>27.92</v>
      </c>
      <c r="F354" t="s">
        <v>11</v>
      </c>
    </row>
    <row r="355" spans="1:6">
      <c r="A355" s="1">
        <v>45430</v>
      </c>
      <c r="B355" s="2">
        <v>45430.83245613426</v>
      </c>
      <c r="C355" t="s">
        <v>3</v>
      </c>
      <c r="D355" t="s">
        <v>54</v>
      </c>
      <c r="E355">
        <v>32.82</v>
      </c>
      <c r="F355" t="s">
        <v>14</v>
      </c>
    </row>
    <row r="356" spans="1:6">
      <c r="A356" s="1">
        <v>45437</v>
      </c>
      <c r="B356" s="2">
        <v>45437.69941616898</v>
      </c>
      <c r="C356" t="s">
        <v>3</v>
      </c>
      <c r="D356" t="s">
        <v>54</v>
      </c>
      <c r="E356">
        <v>32.82</v>
      </c>
      <c r="F356" t="s">
        <v>14</v>
      </c>
    </row>
    <row r="357" spans="1:6">
      <c r="A357" s="1">
        <v>45437</v>
      </c>
      <c r="B357" s="2">
        <v>45437.700194837962</v>
      </c>
      <c r="C357" t="s">
        <v>3</v>
      </c>
      <c r="D357" t="s">
        <v>54</v>
      </c>
      <c r="E357">
        <v>27.92</v>
      </c>
      <c r="F357" t="s">
        <v>11</v>
      </c>
    </row>
    <row r="358" spans="1:6">
      <c r="A358" s="1">
        <v>45445</v>
      </c>
      <c r="B358" s="2">
        <v>45445.85002834491</v>
      </c>
      <c r="C358" t="s">
        <v>3</v>
      </c>
      <c r="D358" t="s">
        <v>54</v>
      </c>
      <c r="E358">
        <v>32.82</v>
      </c>
      <c r="F358" t="s">
        <v>14</v>
      </c>
    </row>
    <row r="359" spans="1:6">
      <c r="A359" s="1">
        <v>45445</v>
      </c>
      <c r="B359" s="2">
        <v>45445.850778217595</v>
      </c>
      <c r="C359" t="s">
        <v>3</v>
      </c>
      <c r="D359" t="s">
        <v>54</v>
      </c>
      <c r="E359">
        <v>37.72</v>
      </c>
      <c r="F359" t="s">
        <v>43</v>
      </c>
    </row>
    <row r="360" spans="1:6">
      <c r="A360" s="1">
        <v>45468</v>
      </c>
      <c r="B360" s="2">
        <v>45468.437296412034</v>
      </c>
      <c r="C360" t="s">
        <v>3</v>
      </c>
      <c r="D360" t="s">
        <v>54</v>
      </c>
      <c r="E360">
        <v>32.82</v>
      </c>
      <c r="F360" t="s">
        <v>14</v>
      </c>
    </row>
    <row r="361" spans="1:6">
      <c r="A361" s="1">
        <v>45478</v>
      </c>
      <c r="B361" s="2">
        <v>45478.572027013892</v>
      </c>
      <c r="C361" t="s">
        <v>3</v>
      </c>
      <c r="D361" t="s">
        <v>54</v>
      </c>
      <c r="E361">
        <v>32.82</v>
      </c>
      <c r="F361" t="s">
        <v>14</v>
      </c>
    </row>
    <row r="362" spans="1:6">
      <c r="A362" s="1">
        <v>45497</v>
      </c>
      <c r="B362" s="2">
        <v>45497.887231446759</v>
      </c>
      <c r="C362" t="s">
        <v>3</v>
      </c>
      <c r="D362" t="s">
        <v>54</v>
      </c>
      <c r="E362">
        <v>27.92</v>
      </c>
      <c r="F362" t="s">
        <v>14</v>
      </c>
    </row>
    <row r="363" spans="1:6">
      <c r="A363" s="1">
        <v>45497</v>
      </c>
      <c r="B363" s="2">
        <v>45497.887977939812</v>
      </c>
      <c r="C363" t="s">
        <v>3</v>
      </c>
      <c r="D363" t="s">
        <v>54</v>
      </c>
      <c r="E363">
        <v>23.02</v>
      </c>
      <c r="F363" t="s">
        <v>11</v>
      </c>
    </row>
    <row r="364" spans="1:6">
      <c r="A364" s="1">
        <v>45500</v>
      </c>
      <c r="B364" s="2">
        <v>45500.518207858797</v>
      </c>
      <c r="C364" t="s">
        <v>3</v>
      </c>
      <c r="D364" t="s">
        <v>54</v>
      </c>
      <c r="E364">
        <v>18.12</v>
      </c>
      <c r="F364" t="s">
        <v>35</v>
      </c>
    </row>
    <row r="365" spans="1:6">
      <c r="A365" s="1">
        <v>45504</v>
      </c>
      <c r="B365" s="2">
        <v>45504.874595057867</v>
      </c>
      <c r="C365" t="s">
        <v>3</v>
      </c>
      <c r="D365" t="s">
        <v>54</v>
      </c>
      <c r="E365">
        <v>27.92</v>
      </c>
      <c r="F365" t="s">
        <v>14</v>
      </c>
    </row>
    <row r="366" spans="1:6">
      <c r="A366" s="1">
        <v>45507</v>
      </c>
      <c r="B366" s="2">
        <v>45507.497646157404</v>
      </c>
      <c r="C366" t="s">
        <v>3</v>
      </c>
      <c r="D366" t="s">
        <v>54</v>
      </c>
      <c r="E366">
        <v>18.12</v>
      </c>
      <c r="F366" t="s">
        <v>35</v>
      </c>
    </row>
    <row r="367" spans="1:6">
      <c r="A367" s="1">
        <v>45507</v>
      </c>
      <c r="B367" s="2">
        <v>45507.498278622683</v>
      </c>
      <c r="C367" t="s">
        <v>3</v>
      </c>
      <c r="D367" t="s">
        <v>54</v>
      </c>
      <c r="E367">
        <v>27.92</v>
      </c>
      <c r="F367" t="s">
        <v>14</v>
      </c>
    </row>
    <row r="368" spans="1:6">
      <c r="A368" s="1">
        <v>45507</v>
      </c>
      <c r="B368" s="2">
        <v>45507.50249741898</v>
      </c>
      <c r="C368" t="s">
        <v>3</v>
      </c>
      <c r="D368" t="s">
        <v>54</v>
      </c>
      <c r="E368">
        <v>27.92</v>
      </c>
      <c r="F368" t="s">
        <v>14</v>
      </c>
    </row>
    <row r="369" spans="1:6">
      <c r="A369" s="1">
        <v>45508</v>
      </c>
      <c r="B369" s="2">
        <v>45508.442952581019</v>
      </c>
      <c r="C369" t="s">
        <v>3</v>
      </c>
      <c r="D369" t="s">
        <v>54</v>
      </c>
      <c r="E369">
        <v>27.92</v>
      </c>
      <c r="F369" t="s">
        <v>14</v>
      </c>
    </row>
    <row r="370" spans="1:6">
      <c r="A370" s="1">
        <v>45519</v>
      </c>
      <c r="B370" s="2">
        <v>45519.899537962963</v>
      </c>
      <c r="C370" t="s">
        <v>3</v>
      </c>
      <c r="D370" t="s">
        <v>54</v>
      </c>
      <c r="E370">
        <v>18.12</v>
      </c>
      <c r="F370" t="s">
        <v>35</v>
      </c>
    </row>
    <row r="371" spans="1:6">
      <c r="A371" s="1">
        <v>45519</v>
      </c>
      <c r="B371" s="2">
        <v>45519.900127696761</v>
      </c>
      <c r="C371" t="s">
        <v>3</v>
      </c>
      <c r="D371" t="s">
        <v>54</v>
      </c>
      <c r="E371">
        <v>27.92</v>
      </c>
      <c r="F371" t="s">
        <v>14</v>
      </c>
    </row>
    <row r="372" spans="1:6">
      <c r="A372" s="1">
        <v>45521</v>
      </c>
      <c r="B372" s="2">
        <v>45521.888157476853</v>
      </c>
      <c r="C372" t="s">
        <v>3</v>
      </c>
      <c r="D372" t="s">
        <v>54</v>
      </c>
      <c r="E372">
        <v>27.92</v>
      </c>
      <c r="F372" t="s">
        <v>14</v>
      </c>
    </row>
    <row r="373" spans="1:6">
      <c r="A373" s="1">
        <v>45522</v>
      </c>
      <c r="B373" s="2">
        <v>45522.604416724535</v>
      </c>
      <c r="C373" t="s">
        <v>3</v>
      </c>
      <c r="D373" t="s">
        <v>54</v>
      </c>
      <c r="E373">
        <v>27.92</v>
      </c>
      <c r="F373" t="s">
        <v>14</v>
      </c>
    </row>
    <row r="374" spans="1:6">
      <c r="A374" s="1">
        <v>45540</v>
      </c>
      <c r="B374" s="2">
        <v>45540.893389305558</v>
      </c>
      <c r="C374" t="s">
        <v>3</v>
      </c>
      <c r="D374" t="s">
        <v>54</v>
      </c>
      <c r="E374">
        <v>27.92</v>
      </c>
      <c r="F374" t="s">
        <v>14</v>
      </c>
    </row>
    <row r="375" spans="1:6">
      <c r="A375" s="1">
        <v>45540</v>
      </c>
      <c r="B375" s="2">
        <v>45540.894096863427</v>
      </c>
      <c r="C375" t="s">
        <v>3</v>
      </c>
      <c r="D375" t="s">
        <v>54</v>
      </c>
      <c r="E375">
        <v>27.92</v>
      </c>
      <c r="F375" t="s">
        <v>14</v>
      </c>
    </row>
    <row r="376" spans="1:6">
      <c r="A376" s="1">
        <v>45553</v>
      </c>
      <c r="B376" s="2">
        <v>45553.885865254633</v>
      </c>
      <c r="C376" t="s">
        <v>3</v>
      </c>
      <c r="D376" t="s">
        <v>54</v>
      </c>
      <c r="E376">
        <v>27.92</v>
      </c>
      <c r="F376" t="s">
        <v>14</v>
      </c>
    </row>
    <row r="377" spans="1:6">
      <c r="A377" s="1">
        <v>45553</v>
      </c>
      <c r="B377" s="2">
        <v>45553.887749467591</v>
      </c>
      <c r="C377" t="s">
        <v>3</v>
      </c>
      <c r="D377" t="s">
        <v>54</v>
      </c>
      <c r="E377">
        <v>27.92</v>
      </c>
      <c r="F377" t="s">
        <v>14</v>
      </c>
    </row>
    <row r="378" spans="1:6">
      <c r="A378" s="1">
        <v>45556</v>
      </c>
      <c r="B378" s="2">
        <v>45556.853969201387</v>
      </c>
      <c r="C378" t="s">
        <v>3</v>
      </c>
      <c r="D378" t="s">
        <v>54</v>
      </c>
      <c r="E378">
        <v>23.02</v>
      </c>
      <c r="F378" t="s">
        <v>11</v>
      </c>
    </row>
    <row r="379" spans="1:6">
      <c r="A379" s="1">
        <v>45556</v>
      </c>
      <c r="B379" s="2">
        <v>45556.854616689816</v>
      </c>
      <c r="C379" t="s">
        <v>3</v>
      </c>
      <c r="D379" t="s">
        <v>54</v>
      </c>
      <c r="E379">
        <v>23.02</v>
      </c>
      <c r="F379" t="s">
        <v>11</v>
      </c>
    </row>
    <row r="380" spans="1:6">
      <c r="A380" s="1">
        <v>45573</v>
      </c>
      <c r="B380" s="2">
        <v>45573.892037465281</v>
      </c>
      <c r="C380" t="s">
        <v>3</v>
      </c>
      <c r="D380" t="s">
        <v>54</v>
      </c>
      <c r="E380">
        <v>30.86</v>
      </c>
      <c r="F380" t="s">
        <v>14</v>
      </c>
    </row>
    <row r="381" spans="1:6">
      <c r="A381" s="1">
        <v>45573</v>
      </c>
      <c r="B381" s="2">
        <v>45573.892731481479</v>
      </c>
      <c r="C381" t="s">
        <v>3</v>
      </c>
      <c r="D381" t="s">
        <v>54</v>
      </c>
      <c r="E381">
        <v>30.86</v>
      </c>
      <c r="F381" t="s">
        <v>14</v>
      </c>
    </row>
    <row r="382" spans="1:6">
      <c r="A382" s="1">
        <v>45580</v>
      </c>
      <c r="B382" s="2">
        <v>45580.887597326386</v>
      </c>
      <c r="C382" t="s">
        <v>3</v>
      </c>
      <c r="D382" t="s">
        <v>54</v>
      </c>
      <c r="E382">
        <v>35.76</v>
      </c>
      <c r="F382" t="s">
        <v>9</v>
      </c>
    </row>
    <row r="383" spans="1:6">
      <c r="A383" s="1">
        <v>45580</v>
      </c>
      <c r="B383" s="2">
        <v>45580.899536377314</v>
      </c>
      <c r="C383" t="s">
        <v>3</v>
      </c>
      <c r="D383" t="s">
        <v>54</v>
      </c>
      <c r="E383">
        <v>35.76</v>
      </c>
      <c r="F383" t="s">
        <v>9</v>
      </c>
    </row>
    <row r="384" spans="1:6">
      <c r="A384" s="1">
        <v>45588</v>
      </c>
      <c r="B384" s="2">
        <v>45588.790954988428</v>
      </c>
      <c r="C384" t="s">
        <v>3</v>
      </c>
      <c r="D384" t="s">
        <v>54</v>
      </c>
      <c r="E384">
        <v>35.76</v>
      </c>
      <c r="F384" t="s">
        <v>18</v>
      </c>
    </row>
    <row r="385" spans="1:6">
      <c r="A385" s="1">
        <v>45588</v>
      </c>
      <c r="B385" s="2">
        <v>45588.792164687497</v>
      </c>
      <c r="C385" t="s">
        <v>3</v>
      </c>
      <c r="D385" t="s">
        <v>54</v>
      </c>
      <c r="E385">
        <v>35.76</v>
      </c>
      <c r="F385" t="s">
        <v>43</v>
      </c>
    </row>
    <row r="386" spans="1:6">
      <c r="A386" s="1">
        <v>45591</v>
      </c>
      <c r="B386" s="2">
        <v>45591.512608124998</v>
      </c>
      <c r="C386" t="s">
        <v>3</v>
      </c>
      <c r="D386" t="s">
        <v>54</v>
      </c>
      <c r="E386">
        <v>35.76</v>
      </c>
      <c r="F386" t="s">
        <v>18</v>
      </c>
    </row>
    <row r="387" spans="1:6">
      <c r="A387" s="1">
        <v>45599</v>
      </c>
      <c r="B387" s="2">
        <v>45599.407708622683</v>
      </c>
      <c r="C387" t="s">
        <v>3</v>
      </c>
      <c r="D387" t="s">
        <v>54</v>
      </c>
      <c r="E387">
        <v>30.86</v>
      </c>
      <c r="F387" t="s">
        <v>14</v>
      </c>
    </row>
    <row r="388" spans="1:6">
      <c r="A388" s="1">
        <v>45599</v>
      </c>
      <c r="B388" s="2">
        <v>45599.408472418982</v>
      </c>
      <c r="C388" t="s">
        <v>3</v>
      </c>
      <c r="D388" t="s">
        <v>54</v>
      </c>
      <c r="E388">
        <v>30.86</v>
      </c>
      <c r="F388" t="s">
        <v>14</v>
      </c>
    </row>
    <row r="389" spans="1:6">
      <c r="A389" s="1">
        <v>45627</v>
      </c>
      <c r="B389" s="2">
        <v>45627.427450196759</v>
      </c>
      <c r="C389" t="s">
        <v>3</v>
      </c>
      <c r="D389" t="s">
        <v>54</v>
      </c>
      <c r="E389">
        <v>30.86</v>
      </c>
      <c r="F389" t="s">
        <v>14</v>
      </c>
    </row>
    <row r="390" spans="1:6">
      <c r="A390" s="1">
        <v>45627</v>
      </c>
      <c r="B390" s="2">
        <v>45627.428147268518</v>
      </c>
      <c r="C390" t="s">
        <v>3</v>
      </c>
      <c r="D390" t="s">
        <v>54</v>
      </c>
      <c r="E390">
        <v>30.86</v>
      </c>
      <c r="F390" t="s">
        <v>14</v>
      </c>
    </row>
    <row r="391" spans="1:6">
      <c r="A391" s="1">
        <v>45640</v>
      </c>
      <c r="B391" s="2">
        <v>45640.687487673611</v>
      </c>
      <c r="C391" t="s">
        <v>3</v>
      </c>
      <c r="D391" t="s">
        <v>54</v>
      </c>
      <c r="E391">
        <v>25.96</v>
      </c>
      <c r="F391" t="s">
        <v>11</v>
      </c>
    </row>
    <row r="392" spans="1:6">
      <c r="A392" s="1">
        <v>45640</v>
      </c>
      <c r="B392" s="2">
        <v>45640.688076157407</v>
      </c>
      <c r="C392" t="s">
        <v>3</v>
      </c>
      <c r="D392" t="s">
        <v>54</v>
      </c>
      <c r="E392">
        <v>25.96</v>
      </c>
      <c r="F392" t="s">
        <v>11</v>
      </c>
    </row>
    <row r="393" spans="1:6">
      <c r="A393" s="1">
        <v>45645</v>
      </c>
      <c r="B393" s="2">
        <v>45645.799080567129</v>
      </c>
      <c r="C393" t="s">
        <v>3</v>
      </c>
      <c r="D393" t="s">
        <v>54</v>
      </c>
      <c r="E393">
        <v>35.76</v>
      </c>
      <c r="F393" t="s">
        <v>43</v>
      </c>
    </row>
    <row r="394" spans="1:6">
      <c r="A394" s="1">
        <v>45360</v>
      </c>
      <c r="B394" s="2">
        <v>45360.548173946758</v>
      </c>
      <c r="C394" t="s">
        <v>3</v>
      </c>
      <c r="D394" t="s">
        <v>55</v>
      </c>
      <c r="E394">
        <v>38.700000000000003</v>
      </c>
      <c r="F394" t="s">
        <v>7</v>
      </c>
    </row>
    <row r="395" spans="1:6">
      <c r="A395" s="1">
        <v>45360</v>
      </c>
      <c r="B395" s="2">
        <v>45360.570210266204</v>
      </c>
      <c r="C395" t="s">
        <v>3</v>
      </c>
      <c r="D395" t="s">
        <v>56</v>
      </c>
      <c r="E395">
        <v>33.799999999999997</v>
      </c>
      <c r="F395" t="s">
        <v>14</v>
      </c>
    </row>
    <row r="396" spans="1:6">
      <c r="A396" s="1">
        <v>45460</v>
      </c>
      <c r="B396" s="2">
        <v>45460.455458425924</v>
      </c>
      <c r="C396" t="s">
        <v>3</v>
      </c>
      <c r="D396" t="s">
        <v>56</v>
      </c>
      <c r="E396">
        <v>37.72</v>
      </c>
      <c r="F396" t="s">
        <v>43</v>
      </c>
    </row>
    <row r="397" spans="1:6">
      <c r="A397" s="1">
        <v>45649</v>
      </c>
      <c r="B397" s="2">
        <v>45649.445872870368</v>
      </c>
      <c r="C397" t="s">
        <v>3</v>
      </c>
      <c r="D397" t="s">
        <v>56</v>
      </c>
      <c r="E397">
        <v>30.86</v>
      </c>
      <c r="F397" t="s">
        <v>14</v>
      </c>
    </row>
    <row r="398" spans="1:6">
      <c r="A398" s="1">
        <v>45360</v>
      </c>
      <c r="B398" s="2">
        <v>45360.578592685182</v>
      </c>
      <c r="C398" t="s">
        <v>3</v>
      </c>
      <c r="D398" t="s">
        <v>57</v>
      </c>
      <c r="E398">
        <v>28.9</v>
      </c>
      <c r="F398" t="s">
        <v>28</v>
      </c>
    </row>
    <row r="399" spans="1:6">
      <c r="A399" s="1">
        <v>45360</v>
      </c>
      <c r="B399" s="2">
        <v>45360.579592916663</v>
      </c>
      <c r="C399" t="s">
        <v>3</v>
      </c>
      <c r="D399" t="s">
        <v>57</v>
      </c>
      <c r="E399">
        <v>38.700000000000003</v>
      </c>
      <c r="F399" t="s">
        <v>43</v>
      </c>
    </row>
    <row r="400" spans="1:6">
      <c r="A400" s="1">
        <v>45360</v>
      </c>
      <c r="B400" s="2">
        <v>45360.602000844905</v>
      </c>
      <c r="C400" t="s">
        <v>3</v>
      </c>
      <c r="D400" t="s">
        <v>58</v>
      </c>
      <c r="E400">
        <v>38.700000000000003</v>
      </c>
      <c r="F400" t="s">
        <v>9</v>
      </c>
    </row>
    <row r="401" spans="1:6">
      <c r="A401" s="1">
        <v>45361</v>
      </c>
      <c r="B401" s="2">
        <v>45361.471768101852</v>
      </c>
      <c r="C401" t="s">
        <v>3</v>
      </c>
      <c r="D401" t="s">
        <v>59</v>
      </c>
      <c r="E401">
        <v>24</v>
      </c>
      <c r="F401" t="s">
        <v>35</v>
      </c>
    </row>
    <row r="402" spans="1:6">
      <c r="A402" s="1">
        <v>45361</v>
      </c>
      <c r="B402" s="2">
        <v>45361.815283310185</v>
      </c>
      <c r="C402" t="s">
        <v>3</v>
      </c>
      <c r="D402" t="s">
        <v>60</v>
      </c>
      <c r="E402">
        <v>38.700000000000003</v>
      </c>
      <c r="F402" t="s">
        <v>7</v>
      </c>
    </row>
    <row r="403" spans="1:6">
      <c r="A403" s="1">
        <v>45361</v>
      </c>
      <c r="B403" s="2">
        <v>45361.816605462962</v>
      </c>
      <c r="C403" t="s">
        <v>3</v>
      </c>
      <c r="D403" t="s">
        <v>60</v>
      </c>
      <c r="E403">
        <v>28.9</v>
      </c>
      <c r="F403" t="s">
        <v>28</v>
      </c>
    </row>
    <row r="404" spans="1:6">
      <c r="A404" s="1">
        <v>45701</v>
      </c>
      <c r="B404" s="2">
        <v>45701.760515624999</v>
      </c>
      <c r="C404" t="s">
        <v>3</v>
      </c>
      <c r="D404" t="s">
        <v>60</v>
      </c>
      <c r="E404">
        <v>35.76</v>
      </c>
      <c r="F404" t="s">
        <v>43</v>
      </c>
    </row>
    <row r="405" spans="1:6">
      <c r="A405" s="1">
        <v>45715</v>
      </c>
      <c r="B405" s="2">
        <v>45715.834805636572</v>
      </c>
      <c r="C405" t="s">
        <v>3</v>
      </c>
      <c r="D405" t="s">
        <v>60</v>
      </c>
      <c r="E405">
        <v>35.76</v>
      </c>
      <c r="F405" t="s">
        <v>43</v>
      </c>
    </row>
    <row r="406" spans="1:6">
      <c r="A406" s="1">
        <v>45731</v>
      </c>
      <c r="B406" s="2">
        <v>45731.71554863426</v>
      </c>
      <c r="C406" t="s">
        <v>3</v>
      </c>
      <c r="D406" t="s">
        <v>60</v>
      </c>
      <c r="E406">
        <v>35.76</v>
      </c>
      <c r="F406" t="s">
        <v>43</v>
      </c>
    </row>
    <row r="407" spans="1:6">
      <c r="A407" s="1">
        <v>45362</v>
      </c>
      <c r="B407" s="2">
        <v>45362.68363890046</v>
      </c>
      <c r="C407" t="s">
        <v>3</v>
      </c>
      <c r="D407" t="s">
        <v>61</v>
      </c>
      <c r="E407">
        <v>28.9</v>
      </c>
      <c r="F407" t="s">
        <v>11</v>
      </c>
    </row>
    <row r="408" spans="1:6">
      <c r="A408" s="1">
        <v>45362</v>
      </c>
      <c r="B408" s="2">
        <v>45362.684556296299</v>
      </c>
      <c r="C408" t="s">
        <v>3</v>
      </c>
      <c r="D408" t="s">
        <v>61</v>
      </c>
      <c r="E408">
        <v>38.700000000000003</v>
      </c>
      <c r="F408" t="s">
        <v>7</v>
      </c>
    </row>
    <row r="409" spans="1:6">
      <c r="A409" s="1">
        <v>45362</v>
      </c>
      <c r="B409" s="2">
        <v>45362.701963055559</v>
      </c>
      <c r="C409" t="s">
        <v>3</v>
      </c>
      <c r="D409" t="s">
        <v>62</v>
      </c>
      <c r="E409">
        <v>28.9</v>
      </c>
      <c r="F409" t="s">
        <v>28</v>
      </c>
    </row>
    <row r="410" spans="1:6">
      <c r="A410" s="1">
        <v>45364</v>
      </c>
      <c r="B410" s="2">
        <v>45364.462998124996</v>
      </c>
      <c r="C410" t="s">
        <v>3</v>
      </c>
      <c r="D410" t="s">
        <v>62</v>
      </c>
      <c r="E410">
        <v>38.700000000000003</v>
      </c>
      <c r="F410" t="s">
        <v>9</v>
      </c>
    </row>
    <row r="411" spans="1:6">
      <c r="A411" s="1">
        <v>45363</v>
      </c>
      <c r="B411" s="2">
        <v>45363.472750370369</v>
      </c>
      <c r="C411" t="s">
        <v>3</v>
      </c>
      <c r="D411" t="s">
        <v>63</v>
      </c>
      <c r="E411">
        <v>38.700000000000003</v>
      </c>
      <c r="F411" t="s">
        <v>9</v>
      </c>
    </row>
    <row r="412" spans="1:6">
      <c r="A412" s="1">
        <v>45370</v>
      </c>
      <c r="B412" s="2">
        <v>45370.628198020837</v>
      </c>
      <c r="C412" t="s">
        <v>3</v>
      </c>
      <c r="D412" t="s">
        <v>63</v>
      </c>
      <c r="E412">
        <v>38.700000000000003</v>
      </c>
      <c r="F412" t="s">
        <v>9</v>
      </c>
    </row>
    <row r="413" spans="1:6">
      <c r="A413" s="1">
        <v>45371</v>
      </c>
      <c r="B413" s="2">
        <v>45371.521400092592</v>
      </c>
      <c r="C413" t="s">
        <v>3</v>
      </c>
      <c r="D413" t="s">
        <v>63</v>
      </c>
      <c r="E413">
        <v>28.9</v>
      </c>
      <c r="F413" t="s">
        <v>28</v>
      </c>
    </row>
    <row r="414" spans="1:6">
      <c r="A414" s="1">
        <v>45391</v>
      </c>
      <c r="B414" s="2">
        <v>45391.725971481479</v>
      </c>
      <c r="C414" t="s">
        <v>3</v>
      </c>
      <c r="D414" t="s">
        <v>63</v>
      </c>
      <c r="E414">
        <v>38.700000000000003</v>
      </c>
      <c r="F414" t="s">
        <v>9</v>
      </c>
    </row>
    <row r="415" spans="1:6">
      <c r="A415" s="1">
        <v>45363</v>
      </c>
      <c r="B415" s="2">
        <v>45363.677584780089</v>
      </c>
      <c r="C415" t="s">
        <v>3</v>
      </c>
      <c r="D415" t="s">
        <v>64</v>
      </c>
      <c r="E415">
        <v>28.9</v>
      </c>
      <c r="F415" t="s">
        <v>11</v>
      </c>
    </row>
    <row r="416" spans="1:6">
      <c r="A416" s="1">
        <v>45365</v>
      </c>
      <c r="B416" s="2">
        <v>45365.704608819447</v>
      </c>
      <c r="C416" t="s">
        <v>3</v>
      </c>
      <c r="D416" t="s">
        <v>64</v>
      </c>
      <c r="E416">
        <v>24</v>
      </c>
      <c r="F416" t="s">
        <v>35</v>
      </c>
    </row>
    <row r="417" spans="1:6">
      <c r="A417" s="1">
        <v>45371</v>
      </c>
      <c r="B417" s="2">
        <v>45371.696274502312</v>
      </c>
      <c r="C417" t="s">
        <v>3</v>
      </c>
      <c r="D417" t="s">
        <v>64</v>
      </c>
      <c r="E417">
        <v>38.700000000000003</v>
      </c>
      <c r="F417" t="s">
        <v>18</v>
      </c>
    </row>
    <row r="418" spans="1:6">
      <c r="A418" s="1">
        <v>45373</v>
      </c>
      <c r="B418" s="2">
        <v>45373.722795023146</v>
      </c>
      <c r="C418" t="s">
        <v>3</v>
      </c>
      <c r="D418" t="s">
        <v>64</v>
      </c>
      <c r="E418">
        <v>28.9</v>
      </c>
      <c r="F418" t="s">
        <v>11</v>
      </c>
    </row>
    <row r="419" spans="1:6">
      <c r="A419" s="1">
        <v>45377</v>
      </c>
      <c r="B419" s="2">
        <v>45377.581871261573</v>
      </c>
      <c r="C419" t="s">
        <v>3</v>
      </c>
      <c r="D419" t="s">
        <v>64</v>
      </c>
      <c r="E419">
        <v>28.9</v>
      </c>
      <c r="F419" t="s">
        <v>11</v>
      </c>
    </row>
    <row r="420" spans="1:6">
      <c r="A420" s="1">
        <v>45398</v>
      </c>
      <c r="B420" s="2">
        <v>45398.756311030091</v>
      </c>
      <c r="C420" t="s">
        <v>3</v>
      </c>
      <c r="D420" t="s">
        <v>64</v>
      </c>
      <c r="E420">
        <v>38.700000000000003</v>
      </c>
      <c r="F420" t="s">
        <v>18</v>
      </c>
    </row>
    <row r="421" spans="1:6">
      <c r="A421" s="1">
        <v>45573</v>
      </c>
      <c r="B421" s="2">
        <v>45573.638797488427</v>
      </c>
      <c r="C421" t="s">
        <v>3</v>
      </c>
      <c r="D421" t="s">
        <v>64</v>
      </c>
      <c r="E421">
        <v>25.96</v>
      </c>
      <c r="F421" t="s">
        <v>11</v>
      </c>
    </row>
    <row r="422" spans="1:6">
      <c r="A422" s="1">
        <v>45670</v>
      </c>
      <c r="B422" s="2">
        <v>45670.8689615162</v>
      </c>
      <c r="C422" t="s">
        <v>3</v>
      </c>
      <c r="D422" t="s">
        <v>64</v>
      </c>
      <c r="E422">
        <v>21.06</v>
      </c>
      <c r="F422" t="s">
        <v>35</v>
      </c>
    </row>
    <row r="423" spans="1:6">
      <c r="A423" s="1">
        <v>45364</v>
      </c>
      <c r="B423" s="2">
        <v>45364.512573333333</v>
      </c>
      <c r="C423" t="s">
        <v>3</v>
      </c>
      <c r="D423" t="s">
        <v>65</v>
      </c>
      <c r="E423">
        <v>28.9</v>
      </c>
      <c r="F423" t="s">
        <v>11</v>
      </c>
    </row>
    <row r="424" spans="1:6">
      <c r="A424" s="1">
        <v>45364</v>
      </c>
      <c r="B424" s="2">
        <v>45364.513253796293</v>
      </c>
      <c r="C424" t="s">
        <v>3</v>
      </c>
      <c r="D424" t="s">
        <v>65</v>
      </c>
      <c r="E424">
        <v>28.9</v>
      </c>
      <c r="F424" t="s">
        <v>11</v>
      </c>
    </row>
    <row r="425" spans="1:6">
      <c r="A425" s="1">
        <v>45364</v>
      </c>
      <c r="B425" s="2">
        <v>45364.601861979165</v>
      </c>
      <c r="C425" t="s">
        <v>3</v>
      </c>
      <c r="D425" t="s">
        <v>66</v>
      </c>
      <c r="E425">
        <v>33.799999999999997</v>
      </c>
      <c r="F425" t="s">
        <v>14</v>
      </c>
    </row>
    <row r="426" spans="1:6">
      <c r="A426" s="1">
        <v>45364</v>
      </c>
      <c r="B426" s="2">
        <v>45364.653035428244</v>
      </c>
      <c r="C426" t="s">
        <v>3</v>
      </c>
      <c r="D426" t="s">
        <v>67</v>
      </c>
      <c r="E426">
        <v>24</v>
      </c>
      <c r="F426" t="s">
        <v>35</v>
      </c>
    </row>
    <row r="427" spans="1:6">
      <c r="A427" s="1">
        <v>45364</v>
      </c>
      <c r="B427" s="2">
        <v>45364.653708611113</v>
      </c>
      <c r="C427" t="s">
        <v>3</v>
      </c>
      <c r="D427" t="s">
        <v>67</v>
      </c>
      <c r="E427">
        <v>24</v>
      </c>
      <c r="F427" t="s">
        <v>35</v>
      </c>
    </row>
    <row r="428" spans="1:6">
      <c r="A428" s="1">
        <v>45364</v>
      </c>
      <c r="B428" s="2">
        <v>45364.699414039351</v>
      </c>
      <c r="C428" t="s">
        <v>3</v>
      </c>
      <c r="D428" t="s">
        <v>68</v>
      </c>
      <c r="E428">
        <v>24</v>
      </c>
      <c r="F428" t="s">
        <v>35</v>
      </c>
    </row>
    <row r="429" spans="1:6">
      <c r="A429" s="1">
        <v>45583</v>
      </c>
      <c r="B429" s="2">
        <v>45583.363184907408</v>
      </c>
      <c r="C429" t="s">
        <v>3</v>
      </c>
      <c r="D429" t="s">
        <v>68</v>
      </c>
      <c r="E429">
        <v>35.76</v>
      </c>
      <c r="F429" t="s">
        <v>18</v>
      </c>
    </row>
    <row r="430" spans="1:6">
      <c r="A430" s="1">
        <v>45365</v>
      </c>
      <c r="B430" s="2">
        <v>45365.436493252317</v>
      </c>
      <c r="C430" t="s">
        <v>3</v>
      </c>
      <c r="D430" t="s">
        <v>69</v>
      </c>
      <c r="E430">
        <v>38.700000000000003</v>
      </c>
      <c r="F430" t="s">
        <v>7</v>
      </c>
    </row>
    <row r="431" spans="1:6">
      <c r="A431" s="1">
        <v>45365</v>
      </c>
      <c r="B431" s="2">
        <v>45365.437202349538</v>
      </c>
      <c r="C431" t="s">
        <v>3</v>
      </c>
      <c r="D431" t="s">
        <v>69</v>
      </c>
      <c r="E431">
        <v>38.700000000000003</v>
      </c>
      <c r="F431" t="s">
        <v>9</v>
      </c>
    </row>
    <row r="432" spans="1:6">
      <c r="A432" s="1">
        <v>45377</v>
      </c>
      <c r="B432" s="2">
        <v>45377.441547210648</v>
      </c>
      <c r="C432" t="s">
        <v>3</v>
      </c>
      <c r="D432" t="s">
        <v>69</v>
      </c>
      <c r="E432">
        <v>38.700000000000003</v>
      </c>
      <c r="F432" t="s">
        <v>18</v>
      </c>
    </row>
    <row r="433" spans="1:6">
      <c r="A433" s="1">
        <v>45377</v>
      </c>
      <c r="B433" s="2">
        <v>45377.44208508102</v>
      </c>
      <c r="C433" t="s">
        <v>3</v>
      </c>
      <c r="D433" t="s">
        <v>69</v>
      </c>
      <c r="E433">
        <v>38.700000000000003</v>
      </c>
      <c r="F433" t="s">
        <v>7</v>
      </c>
    </row>
    <row r="434" spans="1:6">
      <c r="A434" s="1">
        <v>45365</v>
      </c>
      <c r="B434" s="2">
        <v>45365.577776678241</v>
      </c>
      <c r="C434" t="s">
        <v>3</v>
      </c>
      <c r="D434" t="s">
        <v>70</v>
      </c>
      <c r="E434">
        <v>33.799999999999997</v>
      </c>
      <c r="F434" t="s">
        <v>14</v>
      </c>
    </row>
    <row r="435" spans="1:6">
      <c r="A435" s="1">
        <v>45365</v>
      </c>
      <c r="B435" s="2">
        <v>45365.578428796296</v>
      </c>
      <c r="C435" t="s">
        <v>3</v>
      </c>
      <c r="D435" t="s">
        <v>71</v>
      </c>
      <c r="E435">
        <v>24</v>
      </c>
      <c r="F435" t="s">
        <v>35</v>
      </c>
    </row>
    <row r="436" spans="1:6">
      <c r="A436" s="1">
        <v>45365</v>
      </c>
      <c r="B436" s="2">
        <v>45365.639332951388</v>
      </c>
      <c r="C436" t="s">
        <v>3</v>
      </c>
      <c r="D436" t="s">
        <v>72</v>
      </c>
      <c r="E436">
        <v>38.700000000000003</v>
      </c>
      <c r="F436" t="s">
        <v>7</v>
      </c>
    </row>
    <row r="437" spans="1:6">
      <c r="A437" s="1">
        <v>45478</v>
      </c>
      <c r="B437" s="2">
        <v>45478.514220717596</v>
      </c>
      <c r="C437" t="s">
        <v>3</v>
      </c>
      <c r="D437" t="s">
        <v>72</v>
      </c>
      <c r="E437">
        <v>37.72</v>
      </c>
      <c r="F437" t="s">
        <v>18</v>
      </c>
    </row>
    <row r="438" spans="1:6">
      <c r="A438" s="1">
        <v>45365</v>
      </c>
      <c r="B438" s="2">
        <v>45365.669554467589</v>
      </c>
      <c r="C438" t="s">
        <v>3</v>
      </c>
      <c r="D438" t="s">
        <v>73</v>
      </c>
      <c r="E438">
        <v>33.799999999999997</v>
      </c>
      <c r="F438" t="s">
        <v>14</v>
      </c>
    </row>
    <row r="439" spans="1:6">
      <c r="A439" s="1">
        <v>45377</v>
      </c>
      <c r="B439" s="2">
        <v>45377.568052349539</v>
      </c>
      <c r="C439" t="s">
        <v>3</v>
      </c>
      <c r="D439" t="s">
        <v>73</v>
      </c>
      <c r="E439">
        <v>28.9</v>
      </c>
      <c r="F439" t="s">
        <v>28</v>
      </c>
    </row>
    <row r="440" spans="1:6">
      <c r="A440" s="1">
        <v>45406</v>
      </c>
      <c r="B440" s="2">
        <v>45406.527190949077</v>
      </c>
      <c r="C440" t="s">
        <v>3</v>
      </c>
      <c r="D440" t="s">
        <v>73</v>
      </c>
      <c r="E440">
        <v>32.82</v>
      </c>
      <c r="F440" t="s">
        <v>14</v>
      </c>
    </row>
    <row r="441" spans="1:6">
      <c r="A441" s="1">
        <v>45459</v>
      </c>
      <c r="B441" s="2">
        <v>45459.447123333332</v>
      </c>
      <c r="C441" t="s">
        <v>3</v>
      </c>
      <c r="D441" t="s">
        <v>73</v>
      </c>
      <c r="E441">
        <v>32.82</v>
      </c>
      <c r="F441" t="s">
        <v>14</v>
      </c>
    </row>
    <row r="442" spans="1:6">
      <c r="A442" s="1">
        <v>45459</v>
      </c>
      <c r="B442" s="2">
        <v>45459.739783182871</v>
      </c>
      <c r="C442" t="s">
        <v>3</v>
      </c>
      <c r="D442" t="s">
        <v>73</v>
      </c>
      <c r="E442">
        <v>32.82</v>
      </c>
      <c r="F442" t="s">
        <v>14</v>
      </c>
    </row>
    <row r="443" spans="1:6">
      <c r="A443" s="1">
        <v>45459</v>
      </c>
      <c r="B443" s="2">
        <v>45459.740469375</v>
      </c>
      <c r="C443" t="s">
        <v>3</v>
      </c>
      <c r="D443" t="s">
        <v>73</v>
      </c>
      <c r="E443">
        <v>32.82</v>
      </c>
      <c r="F443" t="s">
        <v>14</v>
      </c>
    </row>
    <row r="444" spans="1:6">
      <c r="A444" s="1">
        <v>45491</v>
      </c>
      <c r="B444" s="2">
        <v>45491.481245648145</v>
      </c>
      <c r="C444" t="s">
        <v>3</v>
      </c>
      <c r="D444" t="s">
        <v>73</v>
      </c>
      <c r="E444">
        <v>23.02</v>
      </c>
      <c r="F444" t="s">
        <v>11</v>
      </c>
    </row>
    <row r="445" spans="1:6">
      <c r="A445" s="1">
        <v>45491</v>
      </c>
      <c r="B445" s="2">
        <v>45491.482505057873</v>
      </c>
      <c r="C445" t="s">
        <v>3</v>
      </c>
      <c r="D445" t="s">
        <v>73</v>
      </c>
      <c r="E445">
        <v>23.02</v>
      </c>
      <c r="F445" t="s">
        <v>11</v>
      </c>
    </row>
    <row r="446" spans="1:6">
      <c r="A446" s="1">
        <v>45491</v>
      </c>
      <c r="B446" s="2">
        <v>45491.483235011576</v>
      </c>
      <c r="C446" t="s">
        <v>3</v>
      </c>
      <c r="D446" t="s">
        <v>73</v>
      </c>
      <c r="E446">
        <v>23.02</v>
      </c>
      <c r="F446" t="s">
        <v>28</v>
      </c>
    </row>
    <row r="447" spans="1:6">
      <c r="A447" s="1">
        <v>45499</v>
      </c>
      <c r="B447" s="2">
        <v>45499.38928638889</v>
      </c>
      <c r="C447" t="s">
        <v>3</v>
      </c>
      <c r="D447" t="s">
        <v>73</v>
      </c>
      <c r="E447">
        <v>18.12</v>
      </c>
      <c r="F447" t="s">
        <v>35</v>
      </c>
    </row>
    <row r="448" spans="1:6">
      <c r="A448" s="1">
        <v>45500</v>
      </c>
      <c r="B448" s="2">
        <v>45500.517478182868</v>
      </c>
      <c r="C448" t="s">
        <v>3</v>
      </c>
      <c r="D448" t="s">
        <v>73</v>
      </c>
      <c r="E448">
        <v>27.92</v>
      </c>
      <c r="F448" t="s">
        <v>14</v>
      </c>
    </row>
    <row r="449" spans="1:6">
      <c r="A449" s="1">
        <v>45500</v>
      </c>
      <c r="B449" s="2">
        <v>45500.523183680554</v>
      </c>
      <c r="C449" t="s">
        <v>3</v>
      </c>
      <c r="D449" t="s">
        <v>73</v>
      </c>
      <c r="E449">
        <v>27.92</v>
      </c>
      <c r="F449" t="s">
        <v>14</v>
      </c>
    </row>
    <row r="450" spans="1:6">
      <c r="A450" s="1">
        <v>45366</v>
      </c>
      <c r="B450" s="2">
        <v>45366.453497453702</v>
      </c>
      <c r="C450" t="s">
        <v>3</v>
      </c>
      <c r="D450" t="s">
        <v>74</v>
      </c>
      <c r="E450">
        <v>38.700000000000003</v>
      </c>
      <c r="F450" t="s">
        <v>9</v>
      </c>
    </row>
    <row r="451" spans="1:6">
      <c r="A451" s="1">
        <v>45367</v>
      </c>
      <c r="B451" s="2">
        <v>45367.504805659722</v>
      </c>
      <c r="C451" t="s">
        <v>3</v>
      </c>
      <c r="D451" t="s">
        <v>75</v>
      </c>
      <c r="E451">
        <v>33.799999999999997</v>
      </c>
      <c r="F451" t="s">
        <v>14</v>
      </c>
    </row>
    <row r="452" spans="1:6">
      <c r="A452" s="1">
        <v>45367</v>
      </c>
      <c r="B452" s="2">
        <v>45367.505485127316</v>
      </c>
      <c r="C452" t="s">
        <v>3</v>
      </c>
      <c r="D452" t="s">
        <v>75</v>
      </c>
      <c r="E452">
        <v>28.9</v>
      </c>
      <c r="F452" t="s">
        <v>11</v>
      </c>
    </row>
    <row r="453" spans="1:6">
      <c r="A453" s="1">
        <v>45367</v>
      </c>
      <c r="B453" s="2">
        <v>45367.748694918984</v>
      </c>
      <c r="C453" t="s">
        <v>3</v>
      </c>
      <c r="D453" t="s">
        <v>76</v>
      </c>
      <c r="E453">
        <v>33.799999999999997</v>
      </c>
      <c r="F453" t="s">
        <v>14</v>
      </c>
    </row>
    <row r="454" spans="1:6">
      <c r="A454" s="1">
        <v>45368</v>
      </c>
      <c r="B454" s="2">
        <v>45368.538496122688</v>
      </c>
      <c r="C454" t="s">
        <v>3</v>
      </c>
      <c r="D454" t="s">
        <v>77</v>
      </c>
      <c r="E454">
        <v>28.9</v>
      </c>
      <c r="F454" t="s">
        <v>28</v>
      </c>
    </row>
    <row r="455" spans="1:6">
      <c r="A455" s="1">
        <v>45369</v>
      </c>
      <c r="B455" s="2">
        <v>45369.47082952546</v>
      </c>
      <c r="C455" t="s">
        <v>3</v>
      </c>
      <c r="D455" t="s">
        <v>78</v>
      </c>
      <c r="E455">
        <v>28.9</v>
      </c>
      <c r="F455" t="s">
        <v>28</v>
      </c>
    </row>
    <row r="456" spans="1:6">
      <c r="A456" s="1">
        <v>45397</v>
      </c>
      <c r="B456" s="2">
        <v>45397.489868275465</v>
      </c>
      <c r="C456" t="s">
        <v>3</v>
      </c>
      <c r="D456" t="s">
        <v>78</v>
      </c>
      <c r="E456">
        <v>28.9</v>
      </c>
      <c r="F456" t="s">
        <v>11</v>
      </c>
    </row>
    <row r="457" spans="1:6">
      <c r="A457" s="1">
        <v>45398</v>
      </c>
      <c r="B457" s="2">
        <v>45398.536200810187</v>
      </c>
      <c r="C457" t="s">
        <v>3</v>
      </c>
      <c r="D457" t="s">
        <v>78</v>
      </c>
      <c r="E457">
        <v>28.9</v>
      </c>
      <c r="F457" t="s">
        <v>28</v>
      </c>
    </row>
    <row r="458" spans="1:6">
      <c r="A458" s="1">
        <v>45370</v>
      </c>
      <c r="B458" s="2">
        <v>45370.584971481483</v>
      </c>
      <c r="C458" t="s">
        <v>3</v>
      </c>
      <c r="D458" t="s">
        <v>79</v>
      </c>
      <c r="E458">
        <v>38.700000000000003</v>
      </c>
      <c r="F458" t="s">
        <v>7</v>
      </c>
    </row>
    <row r="459" spans="1:6">
      <c r="A459" s="1">
        <v>45370</v>
      </c>
      <c r="B459" s="2">
        <v>45370.58564542824</v>
      </c>
      <c r="C459" t="s">
        <v>3</v>
      </c>
      <c r="D459" t="s">
        <v>79</v>
      </c>
      <c r="E459">
        <v>38.700000000000003</v>
      </c>
      <c r="F459" t="s">
        <v>7</v>
      </c>
    </row>
    <row r="460" spans="1:6">
      <c r="A460" s="1">
        <v>45370</v>
      </c>
      <c r="B460" s="2">
        <v>45370.704035949071</v>
      </c>
      <c r="C460" t="s">
        <v>3</v>
      </c>
      <c r="D460" t="s">
        <v>80</v>
      </c>
      <c r="E460">
        <v>33.799999999999997</v>
      </c>
      <c r="F460" t="s">
        <v>14</v>
      </c>
    </row>
    <row r="461" spans="1:6">
      <c r="A461" s="1">
        <v>45371</v>
      </c>
      <c r="B461" s="2">
        <v>45371.553326319445</v>
      </c>
      <c r="C461" t="s">
        <v>3</v>
      </c>
      <c r="D461" t="s">
        <v>81</v>
      </c>
      <c r="E461">
        <v>38.700000000000003</v>
      </c>
      <c r="F461" t="s">
        <v>43</v>
      </c>
    </row>
    <row r="462" spans="1:6">
      <c r="A462" s="1">
        <v>45371</v>
      </c>
      <c r="B462" s="2">
        <v>45371.743388668983</v>
      </c>
      <c r="C462" t="s">
        <v>3</v>
      </c>
      <c r="D462" t="s">
        <v>82</v>
      </c>
      <c r="E462">
        <v>38.700000000000003</v>
      </c>
      <c r="F462" t="s">
        <v>7</v>
      </c>
    </row>
    <row r="463" spans="1:6">
      <c r="A463" s="1">
        <v>45372</v>
      </c>
      <c r="B463" s="2">
        <v>45372.805978101853</v>
      </c>
      <c r="C463" t="s">
        <v>3</v>
      </c>
      <c r="D463" t="s">
        <v>83</v>
      </c>
      <c r="E463">
        <v>38.700000000000003</v>
      </c>
      <c r="F463" t="s">
        <v>7</v>
      </c>
    </row>
    <row r="464" spans="1:6">
      <c r="A464" s="1">
        <v>45381</v>
      </c>
      <c r="B464" s="2">
        <v>45381.499535347219</v>
      </c>
      <c r="C464" t="s">
        <v>3</v>
      </c>
      <c r="D464" t="s">
        <v>83</v>
      </c>
      <c r="E464">
        <v>38.700000000000003</v>
      </c>
      <c r="F464" t="s">
        <v>7</v>
      </c>
    </row>
    <row r="465" spans="1:6">
      <c r="A465" s="1">
        <v>45400</v>
      </c>
      <c r="B465" s="2">
        <v>45400.739071655094</v>
      </c>
      <c r="C465" t="s">
        <v>3</v>
      </c>
      <c r="D465" t="s">
        <v>83</v>
      </c>
      <c r="E465">
        <v>38.700000000000003</v>
      </c>
      <c r="F465" t="s">
        <v>7</v>
      </c>
    </row>
    <row r="466" spans="1:6">
      <c r="A466" s="1">
        <v>45423</v>
      </c>
      <c r="B466" s="2">
        <v>45423.486028680556</v>
      </c>
      <c r="C466" t="s">
        <v>3</v>
      </c>
      <c r="D466" t="s">
        <v>83</v>
      </c>
      <c r="E466">
        <v>37.72</v>
      </c>
      <c r="F466" t="s">
        <v>7</v>
      </c>
    </row>
    <row r="467" spans="1:6">
      <c r="A467" s="1">
        <v>45428</v>
      </c>
      <c r="B467" s="2">
        <v>45428.73925402778</v>
      </c>
      <c r="C467" t="s">
        <v>3</v>
      </c>
      <c r="D467" t="s">
        <v>83</v>
      </c>
      <c r="E467">
        <v>37.72</v>
      </c>
      <c r="F467" t="s">
        <v>7</v>
      </c>
    </row>
    <row r="468" spans="1:6">
      <c r="A468" s="1">
        <v>45373</v>
      </c>
      <c r="B468" s="2">
        <v>45373.441592812502</v>
      </c>
      <c r="C468" t="s">
        <v>3</v>
      </c>
      <c r="D468" t="s">
        <v>84</v>
      </c>
      <c r="E468">
        <v>33.799999999999997</v>
      </c>
      <c r="F468" t="s">
        <v>14</v>
      </c>
    </row>
    <row r="469" spans="1:6">
      <c r="A469" s="1">
        <v>45373</v>
      </c>
      <c r="B469" s="2">
        <v>45373.562041006946</v>
      </c>
      <c r="C469" t="s">
        <v>3</v>
      </c>
      <c r="D469" t="s">
        <v>85</v>
      </c>
      <c r="E469">
        <v>33.799999999999997</v>
      </c>
      <c r="F469" t="s">
        <v>14</v>
      </c>
    </row>
    <row r="470" spans="1:6">
      <c r="A470" s="1">
        <v>45374</v>
      </c>
      <c r="B470" s="2">
        <v>45374.447217118053</v>
      </c>
      <c r="C470" t="s">
        <v>3</v>
      </c>
      <c r="D470" t="s">
        <v>86</v>
      </c>
      <c r="E470">
        <v>38.700000000000003</v>
      </c>
      <c r="F470" t="s">
        <v>7</v>
      </c>
    </row>
    <row r="471" spans="1:6">
      <c r="A471" s="1">
        <v>45374</v>
      </c>
      <c r="B471" s="2">
        <v>45374.447999502314</v>
      </c>
      <c r="C471" t="s">
        <v>3</v>
      </c>
      <c r="D471" t="s">
        <v>87</v>
      </c>
      <c r="E471">
        <v>33.799999999999997</v>
      </c>
      <c r="F471" t="s">
        <v>14</v>
      </c>
    </row>
    <row r="472" spans="1:6">
      <c r="A472" s="1">
        <v>45374</v>
      </c>
      <c r="B472" s="2">
        <v>45374.548699780091</v>
      </c>
      <c r="C472" t="s">
        <v>3</v>
      </c>
      <c r="D472" t="s">
        <v>88</v>
      </c>
      <c r="E472">
        <v>38.700000000000003</v>
      </c>
      <c r="F472" t="s">
        <v>43</v>
      </c>
    </row>
    <row r="473" spans="1:6">
      <c r="A473" s="1">
        <v>45374</v>
      </c>
      <c r="B473" s="2">
        <v>45374.549447106481</v>
      </c>
      <c r="C473" t="s">
        <v>3</v>
      </c>
      <c r="D473" t="s">
        <v>88</v>
      </c>
      <c r="E473">
        <v>38.700000000000003</v>
      </c>
      <c r="F473" t="s">
        <v>18</v>
      </c>
    </row>
    <row r="474" spans="1:6">
      <c r="A474" s="1">
        <v>45374</v>
      </c>
      <c r="B474" s="2">
        <v>45374.614366620372</v>
      </c>
      <c r="C474" t="s">
        <v>3</v>
      </c>
      <c r="D474" t="s">
        <v>89</v>
      </c>
      <c r="E474">
        <v>33.799999999999997</v>
      </c>
      <c r="F474" t="s">
        <v>14</v>
      </c>
    </row>
    <row r="475" spans="1:6">
      <c r="A475" s="1">
        <v>45374</v>
      </c>
      <c r="B475" s="2">
        <v>45374.657859513885</v>
      </c>
      <c r="C475" t="s">
        <v>3</v>
      </c>
      <c r="D475" t="s">
        <v>90</v>
      </c>
      <c r="E475">
        <v>38.700000000000003</v>
      </c>
      <c r="F475" t="s">
        <v>7</v>
      </c>
    </row>
    <row r="476" spans="1:6">
      <c r="A476" s="1">
        <v>45374</v>
      </c>
      <c r="B476" s="2">
        <v>45374.659419131945</v>
      </c>
      <c r="C476" t="s">
        <v>3</v>
      </c>
      <c r="D476" t="s">
        <v>90</v>
      </c>
      <c r="E476">
        <v>33.799999999999997</v>
      </c>
      <c r="F476" t="s">
        <v>14</v>
      </c>
    </row>
    <row r="477" spans="1:6">
      <c r="A477" s="1">
        <v>45375</v>
      </c>
      <c r="B477" s="2">
        <v>45375.781347187498</v>
      </c>
      <c r="C477" t="s">
        <v>3</v>
      </c>
      <c r="D477" t="s">
        <v>91</v>
      </c>
      <c r="E477">
        <v>38.700000000000003</v>
      </c>
      <c r="F477" t="s">
        <v>7</v>
      </c>
    </row>
    <row r="478" spans="1:6">
      <c r="A478" s="1">
        <v>45419</v>
      </c>
      <c r="B478" s="2">
        <v>45419.558043321762</v>
      </c>
      <c r="C478" t="s">
        <v>3</v>
      </c>
      <c r="D478" t="s">
        <v>91</v>
      </c>
      <c r="E478">
        <v>27.92</v>
      </c>
      <c r="F478" t="s">
        <v>28</v>
      </c>
    </row>
    <row r="479" spans="1:6">
      <c r="A479" s="1">
        <v>45424</v>
      </c>
      <c r="B479" s="2">
        <v>45424.63634045139</v>
      </c>
      <c r="C479" t="s">
        <v>3</v>
      </c>
      <c r="D479" t="s">
        <v>91</v>
      </c>
      <c r="E479">
        <v>37.72</v>
      </c>
      <c r="F479" t="s">
        <v>7</v>
      </c>
    </row>
    <row r="480" spans="1:6">
      <c r="A480" s="1">
        <v>45435</v>
      </c>
      <c r="B480" s="2">
        <v>45435.695139386575</v>
      </c>
      <c r="C480" t="s">
        <v>3</v>
      </c>
      <c r="D480" t="s">
        <v>91</v>
      </c>
      <c r="E480">
        <v>37.72</v>
      </c>
      <c r="F480" t="s">
        <v>7</v>
      </c>
    </row>
    <row r="481" spans="1:6">
      <c r="A481" s="1">
        <v>45500</v>
      </c>
      <c r="B481" s="2">
        <v>45500.619365694445</v>
      </c>
      <c r="C481" t="s">
        <v>3</v>
      </c>
      <c r="D481" t="s">
        <v>91</v>
      </c>
      <c r="E481">
        <v>32.82</v>
      </c>
      <c r="F481" t="s">
        <v>7</v>
      </c>
    </row>
    <row r="482" spans="1:6">
      <c r="A482" s="1">
        <v>45529</v>
      </c>
      <c r="B482" s="2">
        <v>45529.620170127317</v>
      </c>
      <c r="C482" t="s">
        <v>3</v>
      </c>
      <c r="D482" t="s">
        <v>91</v>
      </c>
      <c r="E482">
        <v>32.82</v>
      </c>
      <c r="F482" t="s">
        <v>7</v>
      </c>
    </row>
    <row r="483" spans="1:6">
      <c r="A483" s="1">
        <v>45376</v>
      </c>
      <c r="B483" s="2">
        <v>45376.602189386576</v>
      </c>
      <c r="C483" t="s">
        <v>3</v>
      </c>
      <c r="D483" t="s">
        <v>92</v>
      </c>
      <c r="E483">
        <v>38.700000000000003</v>
      </c>
      <c r="F483" t="s">
        <v>7</v>
      </c>
    </row>
    <row r="484" spans="1:6">
      <c r="A484" s="1">
        <v>45376</v>
      </c>
      <c r="B484" s="2">
        <v>45376.815561828706</v>
      </c>
      <c r="C484" t="s">
        <v>3</v>
      </c>
      <c r="D484" t="s">
        <v>93</v>
      </c>
      <c r="E484">
        <v>38.700000000000003</v>
      </c>
      <c r="F484" t="s">
        <v>43</v>
      </c>
    </row>
    <row r="485" spans="1:6">
      <c r="A485" s="1">
        <v>45377</v>
      </c>
      <c r="B485" s="2">
        <v>45377.446182523148</v>
      </c>
      <c r="C485" t="s">
        <v>3</v>
      </c>
      <c r="D485" t="s">
        <v>94</v>
      </c>
      <c r="E485">
        <v>38.700000000000003</v>
      </c>
      <c r="F485" t="s">
        <v>7</v>
      </c>
    </row>
    <row r="486" spans="1:6">
      <c r="A486" s="1">
        <v>45377</v>
      </c>
      <c r="B486" s="2">
        <v>45377.658359606481</v>
      </c>
      <c r="C486" t="s">
        <v>3</v>
      </c>
      <c r="D486" t="s">
        <v>95</v>
      </c>
      <c r="E486">
        <v>38.700000000000003</v>
      </c>
      <c r="F486" t="s">
        <v>7</v>
      </c>
    </row>
    <row r="487" spans="1:6">
      <c r="A487" s="1">
        <v>45436</v>
      </c>
      <c r="B487" s="2">
        <v>45436.671757129632</v>
      </c>
      <c r="C487" t="s">
        <v>3</v>
      </c>
      <c r="D487" t="s">
        <v>95</v>
      </c>
      <c r="E487">
        <v>37.72</v>
      </c>
      <c r="F487" t="s">
        <v>9</v>
      </c>
    </row>
    <row r="488" spans="1:6">
      <c r="A488" s="1">
        <v>45378</v>
      </c>
      <c r="B488" s="2">
        <v>45378.539588680556</v>
      </c>
      <c r="C488" t="s">
        <v>3</v>
      </c>
      <c r="D488" t="s">
        <v>96</v>
      </c>
      <c r="E488">
        <v>33.799999999999997</v>
      </c>
      <c r="F488" t="s">
        <v>14</v>
      </c>
    </row>
    <row r="489" spans="1:6">
      <c r="A489" s="1">
        <v>45378</v>
      </c>
      <c r="B489" s="2">
        <v>45378.56620415509</v>
      </c>
      <c r="C489" t="s">
        <v>3</v>
      </c>
      <c r="D489" t="s">
        <v>97</v>
      </c>
      <c r="E489">
        <v>38.700000000000003</v>
      </c>
      <c r="F489" t="s">
        <v>9</v>
      </c>
    </row>
    <row r="490" spans="1:6">
      <c r="A490" s="1">
        <v>45378</v>
      </c>
      <c r="B490" s="2">
        <v>45378.770970289355</v>
      </c>
      <c r="C490" t="s">
        <v>3</v>
      </c>
      <c r="D490" t="s">
        <v>98</v>
      </c>
      <c r="E490">
        <v>28.9</v>
      </c>
      <c r="F490" t="s">
        <v>28</v>
      </c>
    </row>
    <row r="491" spans="1:6">
      <c r="A491" s="1">
        <v>45590</v>
      </c>
      <c r="B491" s="2">
        <v>45590.346409490739</v>
      </c>
      <c r="C491" t="s">
        <v>3</v>
      </c>
      <c r="D491" t="s">
        <v>98</v>
      </c>
      <c r="E491">
        <v>35.76</v>
      </c>
      <c r="F491" t="s">
        <v>18</v>
      </c>
    </row>
    <row r="492" spans="1:6">
      <c r="A492" s="1">
        <v>45379</v>
      </c>
      <c r="B492" s="2">
        <v>45379.600545046298</v>
      </c>
      <c r="C492" t="s">
        <v>3</v>
      </c>
      <c r="D492" t="s">
        <v>99</v>
      </c>
      <c r="E492">
        <v>28.9</v>
      </c>
      <c r="F492" t="s">
        <v>28</v>
      </c>
    </row>
    <row r="493" spans="1:6">
      <c r="A493" s="1">
        <v>45400</v>
      </c>
      <c r="B493" s="2">
        <v>45400.764652141203</v>
      </c>
      <c r="C493" t="s">
        <v>3</v>
      </c>
      <c r="D493" t="s">
        <v>99</v>
      </c>
      <c r="E493">
        <v>38.700000000000003</v>
      </c>
      <c r="F493" t="s">
        <v>43</v>
      </c>
    </row>
    <row r="494" spans="1:6">
      <c r="A494" s="1">
        <v>45379</v>
      </c>
      <c r="B494" s="2">
        <v>45379.731072361108</v>
      </c>
      <c r="C494" t="s">
        <v>3</v>
      </c>
      <c r="D494" t="s">
        <v>100</v>
      </c>
      <c r="E494">
        <v>38.700000000000003</v>
      </c>
      <c r="F494" t="s">
        <v>7</v>
      </c>
    </row>
    <row r="495" spans="1:6">
      <c r="A495" s="1">
        <v>45380</v>
      </c>
      <c r="B495" s="2">
        <v>45380.455781192133</v>
      </c>
      <c r="C495" t="s">
        <v>3</v>
      </c>
      <c r="D495" t="s">
        <v>101</v>
      </c>
      <c r="E495">
        <v>38.700000000000003</v>
      </c>
      <c r="F495" t="s">
        <v>7</v>
      </c>
    </row>
    <row r="496" spans="1:6">
      <c r="A496" s="1">
        <v>45380</v>
      </c>
      <c r="B496" s="2">
        <v>45380.52381230324</v>
      </c>
      <c r="C496" t="s">
        <v>3</v>
      </c>
      <c r="D496" t="s">
        <v>102</v>
      </c>
      <c r="E496">
        <v>38.700000000000003</v>
      </c>
      <c r="F496" t="s">
        <v>43</v>
      </c>
    </row>
    <row r="497" spans="1:6">
      <c r="A497" s="1">
        <v>45380</v>
      </c>
      <c r="B497" s="2">
        <v>45380.528844039349</v>
      </c>
      <c r="C497" t="s">
        <v>3</v>
      </c>
      <c r="D497" t="s">
        <v>102</v>
      </c>
      <c r="E497">
        <v>38.700000000000003</v>
      </c>
      <c r="F497" t="s">
        <v>43</v>
      </c>
    </row>
    <row r="498" spans="1:6">
      <c r="A498" s="1">
        <v>45382</v>
      </c>
      <c r="B498" s="2">
        <v>45382.444496793978</v>
      </c>
      <c r="C498" t="s">
        <v>3</v>
      </c>
      <c r="D498" t="s">
        <v>103</v>
      </c>
      <c r="E498">
        <v>38.700000000000003</v>
      </c>
      <c r="F498" t="s">
        <v>43</v>
      </c>
    </row>
    <row r="499" spans="1:6">
      <c r="A499" s="1">
        <v>45383</v>
      </c>
      <c r="B499" s="2">
        <v>45383.781567546299</v>
      </c>
      <c r="C499" t="s">
        <v>3</v>
      </c>
      <c r="D499" t="s">
        <v>104</v>
      </c>
      <c r="E499">
        <v>38.700000000000003</v>
      </c>
      <c r="F499" t="s">
        <v>9</v>
      </c>
    </row>
    <row r="500" spans="1:6">
      <c r="A500" s="1">
        <v>45386</v>
      </c>
      <c r="B500" s="2">
        <v>45386.447870231481</v>
      </c>
      <c r="C500" t="s">
        <v>3</v>
      </c>
      <c r="D500" t="s">
        <v>105</v>
      </c>
      <c r="E500">
        <v>38.700000000000003</v>
      </c>
      <c r="F500" t="s">
        <v>7</v>
      </c>
    </row>
    <row r="501" spans="1:6">
      <c r="A501" s="1">
        <v>45389</v>
      </c>
      <c r="B501" s="2">
        <v>45389.42561578704</v>
      </c>
      <c r="C501" t="s">
        <v>3</v>
      </c>
      <c r="D501" t="s">
        <v>105</v>
      </c>
      <c r="E501">
        <v>38.700000000000003</v>
      </c>
      <c r="F501" t="s">
        <v>7</v>
      </c>
    </row>
    <row r="502" spans="1:6">
      <c r="A502" s="1">
        <v>45391</v>
      </c>
      <c r="B502" s="2">
        <v>45391.487829490739</v>
      </c>
      <c r="C502" t="s">
        <v>3</v>
      </c>
      <c r="D502" t="s">
        <v>105</v>
      </c>
      <c r="E502">
        <v>38.700000000000003</v>
      </c>
      <c r="F502" t="s">
        <v>7</v>
      </c>
    </row>
    <row r="503" spans="1:6">
      <c r="A503" s="1">
        <v>45386</v>
      </c>
      <c r="B503" s="2">
        <v>45386.476829687497</v>
      </c>
      <c r="C503" t="s">
        <v>3</v>
      </c>
      <c r="D503" t="s">
        <v>106</v>
      </c>
      <c r="E503">
        <v>38.700000000000003</v>
      </c>
      <c r="F503" t="s">
        <v>7</v>
      </c>
    </row>
    <row r="504" spans="1:6">
      <c r="A504" s="1">
        <v>45386</v>
      </c>
      <c r="B504" s="2">
        <v>45386.477643645834</v>
      </c>
      <c r="C504" t="s">
        <v>3</v>
      </c>
      <c r="D504" t="s">
        <v>107</v>
      </c>
      <c r="E504">
        <v>38.700000000000003</v>
      </c>
      <c r="F504" t="s">
        <v>43</v>
      </c>
    </row>
    <row r="505" spans="1:6">
      <c r="A505" s="1">
        <v>45386</v>
      </c>
      <c r="B505" s="2">
        <v>45386.515997870367</v>
      </c>
      <c r="C505" t="s">
        <v>3</v>
      </c>
      <c r="D505" t="s">
        <v>108</v>
      </c>
      <c r="E505">
        <v>28.9</v>
      </c>
      <c r="F505" t="s">
        <v>28</v>
      </c>
    </row>
    <row r="506" spans="1:6">
      <c r="A506" s="1">
        <v>45387</v>
      </c>
      <c r="B506" s="2">
        <v>45387.444938981484</v>
      </c>
      <c r="C506" t="s">
        <v>3</v>
      </c>
      <c r="D506" t="s">
        <v>109</v>
      </c>
      <c r="E506">
        <v>28.9</v>
      </c>
      <c r="F506" t="s">
        <v>11</v>
      </c>
    </row>
    <row r="507" spans="1:6">
      <c r="A507" s="1">
        <v>45518</v>
      </c>
      <c r="B507" s="2">
        <v>45518.485507893522</v>
      </c>
      <c r="C507" t="s">
        <v>3</v>
      </c>
      <c r="D507" t="s">
        <v>109</v>
      </c>
      <c r="E507">
        <v>18.12</v>
      </c>
      <c r="F507" t="s">
        <v>35</v>
      </c>
    </row>
    <row r="508" spans="1:6">
      <c r="A508" s="1">
        <v>45541</v>
      </c>
      <c r="B508" s="2">
        <v>45541.474599421294</v>
      </c>
      <c r="C508" t="s">
        <v>3</v>
      </c>
      <c r="D508" t="s">
        <v>109</v>
      </c>
      <c r="E508">
        <v>18.12</v>
      </c>
      <c r="F508" t="s">
        <v>35</v>
      </c>
    </row>
    <row r="509" spans="1:6">
      <c r="A509" s="1">
        <v>45710</v>
      </c>
      <c r="B509" s="2">
        <v>45710.541456631945</v>
      </c>
      <c r="C509" t="s">
        <v>3</v>
      </c>
      <c r="D509" t="s">
        <v>109</v>
      </c>
      <c r="E509">
        <v>21.06</v>
      </c>
      <c r="F509" t="s">
        <v>35</v>
      </c>
    </row>
    <row r="510" spans="1:6">
      <c r="A510" s="1">
        <v>45387</v>
      </c>
      <c r="B510" s="2">
        <v>45387.462669479166</v>
      </c>
      <c r="C510" t="s">
        <v>3</v>
      </c>
      <c r="D510" t="s">
        <v>110</v>
      </c>
      <c r="E510">
        <v>28.9</v>
      </c>
      <c r="F510" t="s">
        <v>28</v>
      </c>
    </row>
    <row r="511" spans="1:6">
      <c r="A511" s="1">
        <v>45387</v>
      </c>
      <c r="B511" s="2">
        <v>45387.510046006944</v>
      </c>
      <c r="C511" t="s">
        <v>3</v>
      </c>
      <c r="D511" t="s">
        <v>111</v>
      </c>
      <c r="E511">
        <v>33.799999999999997</v>
      </c>
      <c r="F511" t="s">
        <v>14</v>
      </c>
    </row>
    <row r="512" spans="1:6">
      <c r="A512" s="1">
        <v>45428</v>
      </c>
      <c r="B512" s="2">
        <v>45428.443546967595</v>
      </c>
      <c r="C512" t="s">
        <v>3</v>
      </c>
      <c r="D512" t="s">
        <v>111</v>
      </c>
      <c r="E512">
        <v>32.82</v>
      </c>
      <c r="F512" t="s">
        <v>14</v>
      </c>
    </row>
    <row r="513" spans="1:6">
      <c r="A513" s="1">
        <v>45430</v>
      </c>
      <c r="B513" s="2">
        <v>45430.701008460645</v>
      </c>
      <c r="C513" t="s">
        <v>3</v>
      </c>
      <c r="D513" t="s">
        <v>111</v>
      </c>
      <c r="E513">
        <v>32.82</v>
      </c>
      <c r="F513" t="s">
        <v>14</v>
      </c>
    </row>
    <row r="514" spans="1:6">
      <c r="A514" s="1">
        <v>45434</v>
      </c>
      <c r="B514" s="2">
        <v>45434.482580648146</v>
      </c>
      <c r="C514" t="s">
        <v>3</v>
      </c>
      <c r="D514" t="s">
        <v>111</v>
      </c>
      <c r="E514">
        <v>32.82</v>
      </c>
      <c r="F514" t="s">
        <v>14</v>
      </c>
    </row>
    <row r="515" spans="1:6">
      <c r="A515" s="1">
        <v>45440</v>
      </c>
      <c r="B515" s="2">
        <v>45440.389013148146</v>
      </c>
      <c r="C515" t="s">
        <v>3</v>
      </c>
      <c r="D515" t="s">
        <v>111</v>
      </c>
      <c r="E515">
        <v>32.82</v>
      </c>
      <c r="F515" t="s">
        <v>14</v>
      </c>
    </row>
    <row r="516" spans="1:6">
      <c r="A516" s="1">
        <v>45442</v>
      </c>
      <c r="B516" s="2">
        <v>45442.622401307868</v>
      </c>
      <c r="C516" t="s">
        <v>3</v>
      </c>
      <c r="D516" t="s">
        <v>111</v>
      </c>
      <c r="E516">
        <v>32.82</v>
      </c>
      <c r="F516" t="s">
        <v>14</v>
      </c>
    </row>
    <row r="517" spans="1:6">
      <c r="A517" s="1">
        <v>45444</v>
      </c>
      <c r="B517" s="2">
        <v>45444.603399756947</v>
      </c>
      <c r="C517" t="s">
        <v>3</v>
      </c>
      <c r="D517" t="s">
        <v>111</v>
      </c>
      <c r="E517">
        <v>32.82</v>
      </c>
      <c r="F517" t="s">
        <v>14</v>
      </c>
    </row>
    <row r="518" spans="1:6">
      <c r="A518" s="1">
        <v>45445</v>
      </c>
      <c r="B518" s="2">
        <v>45445.880098738424</v>
      </c>
      <c r="C518" t="s">
        <v>3</v>
      </c>
      <c r="D518" t="s">
        <v>111</v>
      </c>
      <c r="E518">
        <v>32.82</v>
      </c>
      <c r="F518" t="s">
        <v>14</v>
      </c>
    </row>
    <row r="519" spans="1:6">
      <c r="A519" s="1">
        <v>45447</v>
      </c>
      <c r="B519" s="2">
        <v>45447.435578414355</v>
      </c>
      <c r="C519" t="s">
        <v>3</v>
      </c>
      <c r="D519" t="s">
        <v>111</v>
      </c>
      <c r="E519">
        <v>32.82</v>
      </c>
      <c r="F519" t="s">
        <v>14</v>
      </c>
    </row>
    <row r="520" spans="1:6">
      <c r="A520" s="1">
        <v>45448</v>
      </c>
      <c r="B520" s="2">
        <v>45448.445060046295</v>
      </c>
      <c r="C520" t="s">
        <v>3</v>
      </c>
      <c r="D520" t="s">
        <v>111</v>
      </c>
      <c r="E520">
        <v>32.82</v>
      </c>
      <c r="F520" t="s">
        <v>14</v>
      </c>
    </row>
    <row r="521" spans="1:6">
      <c r="A521" s="1">
        <v>45449</v>
      </c>
      <c r="B521" s="2">
        <v>45449.37009665509</v>
      </c>
      <c r="C521" t="s">
        <v>3</v>
      </c>
      <c r="D521" t="s">
        <v>111</v>
      </c>
      <c r="E521">
        <v>32.82</v>
      </c>
      <c r="F521" t="s">
        <v>14</v>
      </c>
    </row>
    <row r="522" spans="1:6">
      <c r="A522" s="1">
        <v>45449</v>
      </c>
      <c r="B522" s="2">
        <v>45449.370931192127</v>
      </c>
      <c r="C522" t="s">
        <v>3</v>
      </c>
      <c r="D522" t="s">
        <v>111</v>
      </c>
      <c r="E522">
        <v>32.82</v>
      </c>
      <c r="F522" t="s">
        <v>14</v>
      </c>
    </row>
    <row r="523" spans="1:6">
      <c r="A523" s="1">
        <v>45451</v>
      </c>
      <c r="B523" s="2">
        <v>45451.393184722219</v>
      </c>
      <c r="C523" t="s">
        <v>3</v>
      </c>
      <c r="D523" t="s">
        <v>111</v>
      </c>
      <c r="E523">
        <v>32.82</v>
      </c>
      <c r="F523" t="s">
        <v>14</v>
      </c>
    </row>
    <row r="524" spans="1:6">
      <c r="A524" s="1">
        <v>45452</v>
      </c>
      <c r="B524" s="2">
        <v>45452.344360648145</v>
      </c>
      <c r="C524" t="s">
        <v>3</v>
      </c>
      <c r="D524" t="s">
        <v>111</v>
      </c>
      <c r="E524">
        <v>37.72</v>
      </c>
      <c r="F524" t="s">
        <v>7</v>
      </c>
    </row>
    <row r="525" spans="1:6">
      <c r="A525" s="1">
        <v>45453</v>
      </c>
      <c r="B525" s="2">
        <v>45453.539447546296</v>
      </c>
      <c r="C525" t="s">
        <v>3</v>
      </c>
      <c r="D525" t="s">
        <v>111</v>
      </c>
      <c r="E525">
        <v>37.72</v>
      </c>
      <c r="F525" t="s">
        <v>7</v>
      </c>
    </row>
    <row r="526" spans="1:6">
      <c r="A526" s="1">
        <v>45456</v>
      </c>
      <c r="B526" s="2">
        <v>45456.37321287037</v>
      </c>
      <c r="C526" t="s">
        <v>3</v>
      </c>
      <c r="D526" t="s">
        <v>111</v>
      </c>
      <c r="E526">
        <v>37.72</v>
      </c>
      <c r="F526" t="s">
        <v>7</v>
      </c>
    </row>
    <row r="527" spans="1:6">
      <c r="A527" s="1">
        <v>45457</v>
      </c>
      <c r="B527" s="2">
        <v>45457.510204814818</v>
      </c>
      <c r="C527" t="s">
        <v>3</v>
      </c>
      <c r="D527" t="s">
        <v>111</v>
      </c>
      <c r="E527">
        <v>37.72</v>
      </c>
      <c r="F527" t="s">
        <v>7</v>
      </c>
    </row>
    <row r="528" spans="1:6">
      <c r="A528" s="1">
        <v>45463</v>
      </c>
      <c r="B528" s="2">
        <v>45463.451463576392</v>
      </c>
      <c r="C528" t="s">
        <v>3</v>
      </c>
      <c r="D528" t="s">
        <v>111</v>
      </c>
      <c r="E528">
        <v>37.72</v>
      </c>
      <c r="F528" t="s">
        <v>7</v>
      </c>
    </row>
    <row r="529" spans="1:6">
      <c r="A529" s="1">
        <v>45472</v>
      </c>
      <c r="B529" s="2">
        <v>45472.407758148147</v>
      </c>
      <c r="C529" t="s">
        <v>3</v>
      </c>
      <c r="D529" t="s">
        <v>111</v>
      </c>
      <c r="E529">
        <v>32.82</v>
      </c>
      <c r="F529" t="s">
        <v>14</v>
      </c>
    </row>
    <row r="530" spans="1:6">
      <c r="A530" s="1">
        <v>45473</v>
      </c>
      <c r="B530" s="2">
        <v>45473.877890578704</v>
      </c>
      <c r="C530" t="s">
        <v>3</v>
      </c>
      <c r="D530" t="s">
        <v>111</v>
      </c>
      <c r="E530">
        <v>32.82</v>
      </c>
      <c r="F530" t="s">
        <v>14</v>
      </c>
    </row>
    <row r="531" spans="1:6">
      <c r="A531" s="1">
        <v>45497</v>
      </c>
      <c r="B531" s="2">
        <v>45497.386224699076</v>
      </c>
      <c r="C531" t="s">
        <v>3</v>
      </c>
      <c r="D531" t="s">
        <v>111</v>
      </c>
      <c r="E531">
        <v>27.92</v>
      </c>
      <c r="F531" t="s">
        <v>14</v>
      </c>
    </row>
    <row r="532" spans="1:6">
      <c r="A532" s="1">
        <v>45499</v>
      </c>
      <c r="B532" s="2">
        <v>45499.388627037035</v>
      </c>
      <c r="C532" t="s">
        <v>3</v>
      </c>
      <c r="D532" t="s">
        <v>111</v>
      </c>
      <c r="E532">
        <v>27.92</v>
      </c>
      <c r="F532" t="s">
        <v>14</v>
      </c>
    </row>
    <row r="533" spans="1:6">
      <c r="A533" s="1">
        <v>45500</v>
      </c>
      <c r="B533" s="2">
        <v>45500.381440474535</v>
      </c>
      <c r="C533" t="s">
        <v>3</v>
      </c>
      <c r="D533" t="s">
        <v>111</v>
      </c>
      <c r="E533">
        <v>32.82</v>
      </c>
      <c r="F533" t="s">
        <v>43</v>
      </c>
    </row>
    <row r="534" spans="1:6">
      <c r="A534" s="1">
        <v>45502</v>
      </c>
      <c r="B534" s="2">
        <v>45502.385950868054</v>
      </c>
      <c r="C534" t="s">
        <v>3</v>
      </c>
      <c r="D534" t="s">
        <v>111</v>
      </c>
      <c r="E534">
        <v>27.92</v>
      </c>
      <c r="F534" t="s">
        <v>14</v>
      </c>
    </row>
    <row r="535" spans="1:6">
      <c r="A535" s="1">
        <v>45503</v>
      </c>
      <c r="B535" s="2">
        <v>45503.384527974536</v>
      </c>
      <c r="C535" t="s">
        <v>3</v>
      </c>
      <c r="D535" t="s">
        <v>111</v>
      </c>
      <c r="E535">
        <v>27.92</v>
      </c>
      <c r="F535" t="s">
        <v>14</v>
      </c>
    </row>
    <row r="536" spans="1:6">
      <c r="A536" s="1">
        <v>45503</v>
      </c>
      <c r="B536" s="2">
        <v>45503.870739189813</v>
      </c>
      <c r="C536" t="s">
        <v>3</v>
      </c>
      <c r="D536" t="s">
        <v>111</v>
      </c>
      <c r="E536">
        <v>27.92</v>
      </c>
      <c r="F536" t="s">
        <v>14</v>
      </c>
    </row>
    <row r="537" spans="1:6">
      <c r="A537" s="1">
        <v>45503</v>
      </c>
      <c r="B537" s="2">
        <v>45503.871369398148</v>
      </c>
      <c r="C537" t="s">
        <v>3</v>
      </c>
      <c r="D537" t="s">
        <v>111</v>
      </c>
      <c r="E537">
        <v>27.92</v>
      </c>
      <c r="F537" t="s">
        <v>14</v>
      </c>
    </row>
    <row r="538" spans="1:6">
      <c r="A538" s="1">
        <v>45505</v>
      </c>
      <c r="B538" s="2">
        <v>45505.461273923611</v>
      </c>
      <c r="C538" t="s">
        <v>3</v>
      </c>
      <c r="D538" t="s">
        <v>111</v>
      </c>
      <c r="E538">
        <v>27.92</v>
      </c>
      <c r="F538" t="s">
        <v>14</v>
      </c>
    </row>
    <row r="539" spans="1:6">
      <c r="A539" s="1">
        <v>45506</v>
      </c>
      <c r="B539" s="2">
        <v>45506.399339108793</v>
      </c>
      <c r="C539" t="s">
        <v>3</v>
      </c>
      <c r="D539" t="s">
        <v>111</v>
      </c>
      <c r="E539">
        <v>27.92</v>
      </c>
      <c r="F539" t="s">
        <v>14</v>
      </c>
    </row>
    <row r="540" spans="1:6">
      <c r="A540" s="1">
        <v>45507</v>
      </c>
      <c r="B540" s="2">
        <v>45507.370678831016</v>
      </c>
      <c r="C540" t="s">
        <v>3</v>
      </c>
      <c r="D540" t="s">
        <v>111</v>
      </c>
      <c r="E540">
        <v>27.92</v>
      </c>
      <c r="F540" t="s">
        <v>14</v>
      </c>
    </row>
    <row r="541" spans="1:6">
      <c r="A541" s="1">
        <v>45509</v>
      </c>
      <c r="B541" s="2">
        <v>45509.388416388887</v>
      </c>
      <c r="C541" t="s">
        <v>3</v>
      </c>
      <c r="D541" t="s">
        <v>111</v>
      </c>
      <c r="E541">
        <v>27.92</v>
      </c>
      <c r="F541" t="s">
        <v>14</v>
      </c>
    </row>
    <row r="542" spans="1:6">
      <c r="A542" s="1">
        <v>45516</v>
      </c>
      <c r="B542" s="2">
        <v>45516.753528125002</v>
      </c>
      <c r="C542" t="s">
        <v>3</v>
      </c>
      <c r="D542" t="s">
        <v>111</v>
      </c>
      <c r="E542">
        <v>27.92</v>
      </c>
      <c r="F542" t="s">
        <v>14</v>
      </c>
    </row>
    <row r="543" spans="1:6">
      <c r="A543" s="1">
        <v>45516</v>
      </c>
      <c r="B543" s="2">
        <v>45516.892932303243</v>
      </c>
      <c r="C543" t="s">
        <v>3</v>
      </c>
      <c r="D543" t="s">
        <v>111</v>
      </c>
      <c r="E543">
        <v>27.92</v>
      </c>
      <c r="F543" t="s">
        <v>14</v>
      </c>
    </row>
    <row r="544" spans="1:6">
      <c r="A544" s="1">
        <v>45517</v>
      </c>
      <c r="B544" s="2">
        <v>45517.384972199077</v>
      </c>
      <c r="C544" t="s">
        <v>3</v>
      </c>
      <c r="D544" t="s">
        <v>111</v>
      </c>
      <c r="E544">
        <v>27.92</v>
      </c>
      <c r="F544" t="s">
        <v>14</v>
      </c>
    </row>
    <row r="545" spans="1:6">
      <c r="A545" s="1">
        <v>45517</v>
      </c>
      <c r="B545" s="2">
        <v>45517.663536793982</v>
      </c>
      <c r="C545" t="s">
        <v>3</v>
      </c>
      <c r="D545" t="s">
        <v>111</v>
      </c>
      <c r="E545">
        <v>27.92</v>
      </c>
      <c r="F545" t="s">
        <v>14</v>
      </c>
    </row>
    <row r="546" spans="1:6">
      <c r="A546" s="1">
        <v>45521</v>
      </c>
      <c r="B546" s="2">
        <v>45521.386730219907</v>
      </c>
      <c r="C546" t="s">
        <v>3</v>
      </c>
      <c r="D546" t="s">
        <v>111</v>
      </c>
      <c r="E546">
        <v>27.92</v>
      </c>
      <c r="F546" t="s">
        <v>14</v>
      </c>
    </row>
    <row r="547" spans="1:6">
      <c r="A547" s="1">
        <v>45524</v>
      </c>
      <c r="B547" s="2">
        <v>45524.385357465275</v>
      </c>
      <c r="C547" t="s">
        <v>3</v>
      </c>
      <c r="D547" t="s">
        <v>111</v>
      </c>
      <c r="E547">
        <v>27.92</v>
      </c>
      <c r="F547" t="s">
        <v>14</v>
      </c>
    </row>
    <row r="548" spans="1:6">
      <c r="A548" s="1">
        <v>45530</v>
      </c>
      <c r="B548" s="2">
        <v>45530.390008171293</v>
      </c>
      <c r="C548" t="s">
        <v>3</v>
      </c>
      <c r="D548" t="s">
        <v>111</v>
      </c>
      <c r="E548">
        <v>27.92</v>
      </c>
      <c r="F548" t="s">
        <v>14</v>
      </c>
    </row>
    <row r="549" spans="1:6">
      <c r="A549" s="1">
        <v>45539</v>
      </c>
      <c r="B549" s="2">
        <v>45539.820624560183</v>
      </c>
      <c r="C549" t="s">
        <v>3</v>
      </c>
      <c r="D549" t="s">
        <v>111</v>
      </c>
      <c r="E549">
        <v>27.92</v>
      </c>
      <c r="F549" t="s">
        <v>14</v>
      </c>
    </row>
    <row r="550" spans="1:6">
      <c r="A550" s="1">
        <v>45546</v>
      </c>
      <c r="B550" s="2">
        <v>45546.394985613428</v>
      </c>
      <c r="C550" t="s">
        <v>3</v>
      </c>
      <c r="D550" t="s">
        <v>111</v>
      </c>
      <c r="E550">
        <v>27.92</v>
      </c>
      <c r="F550" t="s">
        <v>14</v>
      </c>
    </row>
    <row r="551" spans="1:6">
      <c r="A551" s="1">
        <v>45551</v>
      </c>
      <c r="B551" s="2">
        <v>45551.901952152781</v>
      </c>
      <c r="C551" t="s">
        <v>3</v>
      </c>
      <c r="D551" t="s">
        <v>111</v>
      </c>
      <c r="E551">
        <v>27.92</v>
      </c>
      <c r="F551" t="s">
        <v>14</v>
      </c>
    </row>
    <row r="552" spans="1:6">
      <c r="A552" s="1">
        <v>45586</v>
      </c>
      <c r="B552" s="2">
        <v>45586.347180358796</v>
      </c>
      <c r="C552" t="s">
        <v>3</v>
      </c>
      <c r="D552" t="s">
        <v>111</v>
      </c>
      <c r="E552">
        <v>35.76</v>
      </c>
      <c r="F552" t="s">
        <v>7</v>
      </c>
    </row>
    <row r="553" spans="1:6">
      <c r="A553" s="1">
        <v>45598</v>
      </c>
      <c r="B553" s="2">
        <v>45598.439694004628</v>
      </c>
      <c r="C553" t="s">
        <v>3</v>
      </c>
      <c r="D553" t="s">
        <v>111</v>
      </c>
      <c r="E553">
        <v>30.86</v>
      </c>
      <c r="F553" t="s">
        <v>14</v>
      </c>
    </row>
    <row r="554" spans="1:6">
      <c r="A554" s="1">
        <v>45626</v>
      </c>
      <c r="B554" s="2">
        <v>45626.648429351852</v>
      </c>
      <c r="C554" t="s">
        <v>3</v>
      </c>
      <c r="D554" t="s">
        <v>111</v>
      </c>
      <c r="E554">
        <v>30.86</v>
      </c>
      <c r="F554" t="s">
        <v>14</v>
      </c>
    </row>
    <row r="555" spans="1:6">
      <c r="A555" s="1">
        <v>45634</v>
      </c>
      <c r="B555" s="2">
        <v>45634.866191377318</v>
      </c>
      <c r="C555" t="s">
        <v>3</v>
      </c>
      <c r="D555" t="s">
        <v>111</v>
      </c>
      <c r="E555">
        <v>35.76</v>
      </c>
      <c r="F555" t="s">
        <v>43</v>
      </c>
    </row>
    <row r="556" spans="1:6">
      <c r="A556" s="1">
        <v>45650</v>
      </c>
      <c r="B556" s="2">
        <v>45650.816693657405</v>
      </c>
      <c r="C556" t="s">
        <v>3</v>
      </c>
      <c r="D556" t="s">
        <v>111</v>
      </c>
      <c r="E556">
        <v>35.76</v>
      </c>
      <c r="F556" t="s">
        <v>43</v>
      </c>
    </row>
    <row r="557" spans="1:6">
      <c r="A557" s="1">
        <v>45651</v>
      </c>
      <c r="B557" s="2">
        <v>45651.835189016201</v>
      </c>
      <c r="C557" t="s">
        <v>3</v>
      </c>
      <c r="D557" t="s">
        <v>111</v>
      </c>
      <c r="E557">
        <v>35.76</v>
      </c>
      <c r="F557" t="s">
        <v>43</v>
      </c>
    </row>
    <row r="558" spans="1:6">
      <c r="A558" s="1">
        <v>45387</v>
      </c>
      <c r="B558" s="2">
        <v>45387.599772997688</v>
      </c>
      <c r="C558" t="s">
        <v>3</v>
      </c>
      <c r="D558" t="s">
        <v>112</v>
      </c>
      <c r="E558">
        <v>38.700000000000003</v>
      </c>
      <c r="F558" t="s">
        <v>7</v>
      </c>
    </row>
    <row r="559" spans="1:6">
      <c r="A559" s="1">
        <v>45387</v>
      </c>
      <c r="B559" s="2">
        <v>45387.600583530089</v>
      </c>
      <c r="C559" t="s">
        <v>3</v>
      </c>
      <c r="D559" t="s">
        <v>112</v>
      </c>
      <c r="E559">
        <v>28.9</v>
      </c>
      <c r="F559" t="s">
        <v>28</v>
      </c>
    </row>
    <row r="560" spans="1:6">
      <c r="A560" s="1">
        <v>45388</v>
      </c>
      <c r="B560" s="2">
        <v>45388.522585625004</v>
      </c>
      <c r="C560" t="s">
        <v>3</v>
      </c>
      <c r="D560" t="s">
        <v>113</v>
      </c>
      <c r="E560">
        <v>33.799999999999997</v>
      </c>
      <c r="F560" t="s">
        <v>14</v>
      </c>
    </row>
    <row r="561" spans="1:6">
      <c r="A561" s="1">
        <v>45403</v>
      </c>
      <c r="B561" s="2">
        <v>45403.594184502312</v>
      </c>
      <c r="C561" t="s">
        <v>3</v>
      </c>
      <c r="D561" t="s">
        <v>113</v>
      </c>
      <c r="E561">
        <v>27.92</v>
      </c>
      <c r="F561" t="s">
        <v>11</v>
      </c>
    </row>
    <row r="562" spans="1:6">
      <c r="A562" s="1">
        <v>45478</v>
      </c>
      <c r="B562" s="2">
        <v>45478.829951527776</v>
      </c>
      <c r="C562" t="s">
        <v>3</v>
      </c>
      <c r="D562" t="s">
        <v>113</v>
      </c>
      <c r="E562">
        <v>27.92</v>
      </c>
      <c r="F562" t="s">
        <v>11</v>
      </c>
    </row>
    <row r="563" spans="1:6">
      <c r="A563" s="1">
        <v>45502</v>
      </c>
      <c r="B563" s="2">
        <v>45502.812688877311</v>
      </c>
      <c r="C563" t="s">
        <v>3</v>
      </c>
      <c r="D563" t="s">
        <v>113</v>
      </c>
      <c r="E563">
        <v>23.02</v>
      </c>
      <c r="F563" t="s">
        <v>11</v>
      </c>
    </row>
    <row r="564" spans="1:6">
      <c r="A564" s="1">
        <v>45557</v>
      </c>
      <c r="B564" s="2">
        <v>45557.49667734954</v>
      </c>
      <c r="C564" t="s">
        <v>3</v>
      </c>
      <c r="D564" t="s">
        <v>113</v>
      </c>
      <c r="E564">
        <v>23.02</v>
      </c>
      <c r="F564" t="s">
        <v>11</v>
      </c>
    </row>
    <row r="565" spans="1:6">
      <c r="A565" s="1">
        <v>45389</v>
      </c>
      <c r="B565" s="2">
        <v>45389.594733206017</v>
      </c>
      <c r="C565" t="s">
        <v>3</v>
      </c>
      <c r="D565" t="s">
        <v>114</v>
      </c>
      <c r="E565">
        <v>28.9</v>
      </c>
      <c r="F565" t="s">
        <v>28</v>
      </c>
    </row>
    <row r="566" spans="1:6">
      <c r="A566" s="1">
        <v>45389</v>
      </c>
      <c r="B566" s="2">
        <v>45389.595493379631</v>
      </c>
      <c r="C566" t="s">
        <v>3</v>
      </c>
      <c r="D566" t="s">
        <v>114</v>
      </c>
      <c r="E566">
        <v>24</v>
      </c>
      <c r="F566" t="s">
        <v>35</v>
      </c>
    </row>
    <row r="567" spans="1:6">
      <c r="A567" s="1">
        <v>45389</v>
      </c>
      <c r="B567" s="2">
        <v>45389.750886666669</v>
      </c>
      <c r="C567" t="s">
        <v>3</v>
      </c>
      <c r="D567" t="s">
        <v>115</v>
      </c>
      <c r="E567">
        <v>38.700000000000003</v>
      </c>
      <c r="F567" t="s">
        <v>9</v>
      </c>
    </row>
    <row r="568" spans="1:6">
      <c r="A568" s="1">
        <v>45389</v>
      </c>
      <c r="B568" s="2">
        <v>45389.751433773148</v>
      </c>
      <c r="C568" t="s">
        <v>3</v>
      </c>
      <c r="D568" t="s">
        <v>115</v>
      </c>
      <c r="E568">
        <v>33.799999999999997</v>
      </c>
      <c r="F568" t="s">
        <v>14</v>
      </c>
    </row>
    <row r="569" spans="1:6">
      <c r="A569" s="1">
        <v>45390</v>
      </c>
      <c r="B569" s="2">
        <v>45390.457188726854</v>
      </c>
      <c r="C569" t="s">
        <v>3</v>
      </c>
      <c r="D569" t="s">
        <v>116</v>
      </c>
      <c r="E569">
        <v>33.799999999999997</v>
      </c>
      <c r="F569" t="s">
        <v>14</v>
      </c>
    </row>
    <row r="570" spans="1:6">
      <c r="A570" s="1">
        <v>45390</v>
      </c>
      <c r="B570" s="2">
        <v>45390.457957847226</v>
      </c>
      <c r="C570" t="s">
        <v>3</v>
      </c>
      <c r="D570" t="s">
        <v>117</v>
      </c>
      <c r="E570">
        <v>38.700000000000003</v>
      </c>
      <c r="F570" t="s">
        <v>43</v>
      </c>
    </row>
    <row r="571" spans="1:6">
      <c r="A571" s="1">
        <v>45390</v>
      </c>
      <c r="B571" s="2">
        <v>45390.461655439816</v>
      </c>
      <c r="C571" t="s">
        <v>3</v>
      </c>
      <c r="D571" t="s">
        <v>118</v>
      </c>
      <c r="E571">
        <v>38.700000000000003</v>
      </c>
      <c r="F571" t="s">
        <v>43</v>
      </c>
    </row>
    <row r="572" spans="1:6">
      <c r="A572" s="1">
        <v>45390</v>
      </c>
      <c r="B572" s="2">
        <v>45390.762612418985</v>
      </c>
      <c r="C572" t="s">
        <v>3</v>
      </c>
      <c r="D572" t="s">
        <v>119</v>
      </c>
      <c r="E572">
        <v>28.9</v>
      </c>
      <c r="F572" t="s">
        <v>11</v>
      </c>
    </row>
    <row r="573" spans="1:6">
      <c r="A573" s="1">
        <v>45390</v>
      </c>
      <c r="B573" s="2">
        <v>45390.808324861115</v>
      </c>
      <c r="C573" t="s">
        <v>3</v>
      </c>
      <c r="D573" t="s">
        <v>120</v>
      </c>
      <c r="E573">
        <v>38.700000000000003</v>
      </c>
      <c r="F573" t="s">
        <v>43</v>
      </c>
    </row>
    <row r="574" spans="1:6">
      <c r="A574" s="1">
        <v>45393</v>
      </c>
      <c r="B574" s="2">
        <v>45393.803432731482</v>
      </c>
      <c r="C574" t="s">
        <v>3</v>
      </c>
      <c r="D574" t="s">
        <v>120</v>
      </c>
      <c r="E574">
        <v>38.700000000000003</v>
      </c>
      <c r="F574" t="s">
        <v>43</v>
      </c>
    </row>
    <row r="575" spans="1:6">
      <c r="A575" s="1">
        <v>45391</v>
      </c>
      <c r="B575" s="2">
        <v>45391.633202777775</v>
      </c>
      <c r="C575" t="s">
        <v>3</v>
      </c>
      <c r="D575" t="s">
        <v>121</v>
      </c>
      <c r="E575">
        <v>38.700000000000003</v>
      </c>
      <c r="F575" t="s">
        <v>9</v>
      </c>
    </row>
    <row r="576" spans="1:6">
      <c r="A576" s="1">
        <v>45392</v>
      </c>
      <c r="B576" s="2">
        <v>45392.74688939815</v>
      </c>
      <c r="C576" t="s">
        <v>3</v>
      </c>
      <c r="D576" t="s">
        <v>122</v>
      </c>
      <c r="E576">
        <v>24</v>
      </c>
      <c r="F576" t="s">
        <v>35</v>
      </c>
    </row>
    <row r="577" spans="1:6">
      <c r="A577" s="1">
        <v>45392</v>
      </c>
      <c r="B577" s="2">
        <v>45392.836173449075</v>
      </c>
      <c r="C577" t="s">
        <v>3</v>
      </c>
      <c r="D577" t="s">
        <v>123</v>
      </c>
      <c r="E577">
        <v>38.700000000000003</v>
      </c>
      <c r="F577" t="s">
        <v>7</v>
      </c>
    </row>
    <row r="578" spans="1:6">
      <c r="A578" s="1">
        <v>45393</v>
      </c>
      <c r="B578" s="2">
        <v>45393.445406886574</v>
      </c>
      <c r="C578" t="s">
        <v>3</v>
      </c>
      <c r="D578" t="s">
        <v>124</v>
      </c>
      <c r="E578">
        <v>28.9</v>
      </c>
      <c r="F578" t="s">
        <v>11</v>
      </c>
    </row>
    <row r="579" spans="1:6">
      <c r="A579" s="1">
        <v>45393</v>
      </c>
      <c r="B579" s="2">
        <v>45393.446520428239</v>
      </c>
      <c r="C579" t="s">
        <v>3</v>
      </c>
      <c r="D579" t="s">
        <v>124</v>
      </c>
      <c r="E579">
        <v>28.9</v>
      </c>
      <c r="F579" t="s">
        <v>11</v>
      </c>
    </row>
    <row r="580" spans="1:6">
      <c r="A580" s="1">
        <v>45395</v>
      </c>
      <c r="B580" s="2">
        <v>45395.67921224537</v>
      </c>
      <c r="C580" t="s">
        <v>3</v>
      </c>
      <c r="D580" t="s">
        <v>125</v>
      </c>
      <c r="E580">
        <v>38.700000000000003</v>
      </c>
      <c r="F580" t="s">
        <v>43</v>
      </c>
    </row>
    <row r="581" spans="1:6">
      <c r="A581" s="1">
        <v>45395</v>
      </c>
      <c r="B581" s="2">
        <v>45395.680321747685</v>
      </c>
      <c r="C581" t="s">
        <v>3</v>
      </c>
      <c r="D581" t="s">
        <v>125</v>
      </c>
      <c r="E581">
        <v>38.700000000000003</v>
      </c>
      <c r="F581" t="s">
        <v>7</v>
      </c>
    </row>
    <row r="582" spans="1:6">
      <c r="A582" s="1">
        <v>45395</v>
      </c>
      <c r="B582" s="2">
        <v>45395.744051226851</v>
      </c>
      <c r="C582" t="s">
        <v>3</v>
      </c>
      <c r="D582" t="s">
        <v>126</v>
      </c>
      <c r="E582">
        <v>38.700000000000003</v>
      </c>
      <c r="F582" t="s">
        <v>43</v>
      </c>
    </row>
    <row r="583" spans="1:6">
      <c r="A583" s="1">
        <v>45396</v>
      </c>
      <c r="B583" s="2">
        <v>45396.517118379626</v>
      </c>
      <c r="C583" t="s">
        <v>3</v>
      </c>
      <c r="D583" t="s">
        <v>127</v>
      </c>
      <c r="E583">
        <v>38.700000000000003</v>
      </c>
      <c r="F583" t="s">
        <v>43</v>
      </c>
    </row>
    <row r="584" spans="1:6">
      <c r="A584" s="1">
        <v>45396</v>
      </c>
      <c r="B584" s="2">
        <v>45396.556826481479</v>
      </c>
      <c r="C584" t="s">
        <v>3</v>
      </c>
      <c r="D584" t="s">
        <v>128</v>
      </c>
      <c r="E584">
        <v>28.9</v>
      </c>
      <c r="F584" t="s">
        <v>28</v>
      </c>
    </row>
    <row r="585" spans="1:6">
      <c r="A585" s="1">
        <v>45396</v>
      </c>
      <c r="B585" s="2">
        <v>45396.77661630787</v>
      </c>
      <c r="C585" t="s">
        <v>3</v>
      </c>
      <c r="D585" t="s">
        <v>129</v>
      </c>
      <c r="E585">
        <v>38.700000000000003</v>
      </c>
      <c r="F585" t="s">
        <v>43</v>
      </c>
    </row>
    <row r="586" spans="1:6">
      <c r="A586" s="1">
        <v>45423</v>
      </c>
      <c r="B586" s="2">
        <v>45423.774771493052</v>
      </c>
      <c r="C586" t="s">
        <v>3</v>
      </c>
      <c r="D586" t="s">
        <v>129</v>
      </c>
      <c r="E586">
        <v>37.72</v>
      </c>
      <c r="F586" t="s">
        <v>43</v>
      </c>
    </row>
    <row r="587" spans="1:6">
      <c r="A587" s="1">
        <v>45398</v>
      </c>
      <c r="B587" s="2">
        <v>45398.448908634258</v>
      </c>
      <c r="C587" t="s">
        <v>3</v>
      </c>
      <c r="D587" t="s">
        <v>130</v>
      </c>
      <c r="E587">
        <v>33.799999999999997</v>
      </c>
      <c r="F587" t="s">
        <v>14</v>
      </c>
    </row>
    <row r="588" spans="1:6">
      <c r="A588" s="1">
        <v>45398</v>
      </c>
      <c r="B588" s="2">
        <v>45398.52832957176</v>
      </c>
      <c r="C588" t="s">
        <v>3</v>
      </c>
      <c r="D588" t="s">
        <v>131</v>
      </c>
      <c r="E588">
        <v>38.700000000000003</v>
      </c>
      <c r="F588" t="s">
        <v>18</v>
      </c>
    </row>
    <row r="589" spans="1:6">
      <c r="A589" s="1">
        <v>45398</v>
      </c>
      <c r="B589" s="2">
        <v>45398.627278807871</v>
      </c>
      <c r="C589" t="s">
        <v>3</v>
      </c>
      <c r="D589" t="s">
        <v>132</v>
      </c>
      <c r="E589">
        <v>28.9</v>
      </c>
      <c r="F589" t="s">
        <v>11</v>
      </c>
    </row>
    <row r="590" spans="1:6">
      <c r="A590" s="1">
        <v>45402</v>
      </c>
      <c r="B590" s="2">
        <v>45402.547654837967</v>
      </c>
      <c r="C590" t="s">
        <v>3</v>
      </c>
      <c r="D590" t="s">
        <v>132</v>
      </c>
      <c r="E590">
        <v>28.9</v>
      </c>
      <c r="F590" t="s">
        <v>11</v>
      </c>
    </row>
    <row r="591" spans="1:6">
      <c r="A591" s="1">
        <v>45402</v>
      </c>
      <c r="B591" s="2">
        <v>45402.548471122682</v>
      </c>
      <c r="C591" t="s">
        <v>3</v>
      </c>
      <c r="D591" t="s">
        <v>132</v>
      </c>
      <c r="E591">
        <v>33.799999999999997</v>
      </c>
      <c r="F591" t="s">
        <v>14</v>
      </c>
    </row>
    <row r="592" spans="1:6">
      <c r="A592" s="1">
        <v>45402</v>
      </c>
      <c r="B592" s="2">
        <v>45402.549249432872</v>
      </c>
      <c r="C592" t="s">
        <v>3</v>
      </c>
      <c r="D592" t="s">
        <v>132</v>
      </c>
      <c r="E592">
        <v>38.700000000000003</v>
      </c>
      <c r="F592" t="s">
        <v>9</v>
      </c>
    </row>
    <row r="593" spans="1:6">
      <c r="A593" s="1">
        <v>45421</v>
      </c>
      <c r="B593" s="2">
        <v>45421.705030104167</v>
      </c>
      <c r="C593" t="s">
        <v>3</v>
      </c>
      <c r="D593" t="s">
        <v>132</v>
      </c>
      <c r="E593">
        <v>27.92</v>
      </c>
      <c r="F593" t="s">
        <v>11</v>
      </c>
    </row>
    <row r="594" spans="1:6">
      <c r="A594" s="1">
        <v>45421</v>
      </c>
      <c r="B594" s="2">
        <v>45421.70572903935</v>
      </c>
      <c r="C594" t="s">
        <v>3</v>
      </c>
      <c r="D594" t="s">
        <v>132</v>
      </c>
      <c r="E594">
        <v>27.92</v>
      </c>
      <c r="F594" t="s">
        <v>11</v>
      </c>
    </row>
    <row r="595" spans="1:6">
      <c r="A595" s="1">
        <v>45399</v>
      </c>
      <c r="B595" s="2">
        <v>45399.572224317133</v>
      </c>
      <c r="C595" t="s">
        <v>3</v>
      </c>
      <c r="D595" t="s">
        <v>133</v>
      </c>
      <c r="E595">
        <v>24</v>
      </c>
      <c r="F595" t="s">
        <v>35</v>
      </c>
    </row>
    <row r="596" spans="1:6">
      <c r="A596" s="1">
        <v>45399</v>
      </c>
      <c r="B596" s="2">
        <v>45399.709434594908</v>
      </c>
      <c r="C596" t="s">
        <v>3</v>
      </c>
      <c r="D596" t="s">
        <v>134</v>
      </c>
      <c r="E596">
        <v>38.700000000000003</v>
      </c>
      <c r="F596" t="s">
        <v>43</v>
      </c>
    </row>
    <row r="597" spans="1:6">
      <c r="A597" s="1">
        <v>45399</v>
      </c>
      <c r="B597" s="2">
        <v>45399.710193136576</v>
      </c>
      <c r="C597" t="s">
        <v>3</v>
      </c>
      <c r="D597" t="s">
        <v>134</v>
      </c>
      <c r="E597">
        <v>38.700000000000003</v>
      </c>
      <c r="F597" t="s">
        <v>43</v>
      </c>
    </row>
    <row r="598" spans="1:6">
      <c r="A598" s="1">
        <v>45432</v>
      </c>
      <c r="B598" s="2">
        <v>45432.717258344906</v>
      </c>
      <c r="C598" t="s">
        <v>3</v>
      </c>
      <c r="D598" t="s">
        <v>134</v>
      </c>
      <c r="E598">
        <v>37.72</v>
      </c>
      <c r="F598" t="s">
        <v>7</v>
      </c>
    </row>
    <row r="599" spans="1:6">
      <c r="A599" s="1">
        <v>45399</v>
      </c>
      <c r="B599" s="2">
        <v>45399.759759594905</v>
      </c>
      <c r="C599" t="s">
        <v>3</v>
      </c>
      <c r="D599" t="s">
        <v>135</v>
      </c>
      <c r="E599">
        <v>28.9</v>
      </c>
      <c r="F599" t="s">
        <v>28</v>
      </c>
    </row>
    <row r="600" spans="1:6">
      <c r="A600" s="1">
        <v>45400</v>
      </c>
      <c r="B600" s="2">
        <v>45400.575841666665</v>
      </c>
      <c r="C600" t="s">
        <v>3</v>
      </c>
      <c r="D600" t="s">
        <v>136</v>
      </c>
      <c r="E600">
        <v>33.799999999999997</v>
      </c>
      <c r="F600" t="s">
        <v>14</v>
      </c>
    </row>
    <row r="601" spans="1:6">
      <c r="A601" s="1">
        <v>45400</v>
      </c>
      <c r="B601" s="2">
        <v>45400.576588946758</v>
      </c>
      <c r="C601" t="s">
        <v>3</v>
      </c>
      <c r="D601" t="s">
        <v>136</v>
      </c>
      <c r="E601">
        <v>28.9</v>
      </c>
      <c r="F601" t="s">
        <v>28</v>
      </c>
    </row>
    <row r="602" spans="1:6">
      <c r="A602" s="1">
        <v>45400</v>
      </c>
      <c r="B602" s="2">
        <v>45400.607173819444</v>
      </c>
      <c r="C602" t="s">
        <v>3</v>
      </c>
      <c r="D602" t="s">
        <v>137</v>
      </c>
      <c r="E602">
        <v>38.700000000000003</v>
      </c>
      <c r="F602" t="s">
        <v>43</v>
      </c>
    </row>
    <row r="603" spans="1:6">
      <c r="A603" s="1">
        <v>45400</v>
      </c>
      <c r="B603" s="2">
        <v>45400.608210115737</v>
      </c>
      <c r="C603" t="s">
        <v>3</v>
      </c>
      <c r="D603" t="s">
        <v>137</v>
      </c>
      <c r="E603">
        <v>38.700000000000003</v>
      </c>
      <c r="F603" t="s">
        <v>7</v>
      </c>
    </row>
    <row r="604" spans="1:6">
      <c r="A604" s="1">
        <v>45401</v>
      </c>
      <c r="B604" s="2">
        <v>45401.582570185186</v>
      </c>
      <c r="C604" t="s">
        <v>3</v>
      </c>
      <c r="D604" t="s">
        <v>138</v>
      </c>
      <c r="E604">
        <v>38.700000000000003</v>
      </c>
      <c r="F604" t="s">
        <v>9</v>
      </c>
    </row>
    <row r="605" spans="1:6">
      <c r="A605" s="1">
        <v>45401</v>
      </c>
      <c r="B605" s="2">
        <v>45401.583214004633</v>
      </c>
      <c r="C605" t="s">
        <v>3</v>
      </c>
      <c r="D605" t="s">
        <v>138</v>
      </c>
      <c r="E605">
        <v>38.700000000000003</v>
      </c>
      <c r="F605" t="s">
        <v>43</v>
      </c>
    </row>
    <row r="606" spans="1:6">
      <c r="A606" s="1">
        <v>45402</v>
      </c>
      <c r="B606" s="2">
        <v>45402.505968761572</v>
      </c>
      <c r="C606" t="s">
        <v>3</v>
      </c>
      <c r="D606" t="s">
        <v>139</v>
      </c>
      <c r="E606">
        <v>33.799999999999997</v>
      </c>
      <c r="F606" t="s">
        <v>14</v>
      </c>
    </row>
    <row r="607" spans="1:6">
      <c r="A607" s="1">
        <v>45402</v>
      </c>
      <c r="B607" s="2">
        <v>45402.506743796293</v>
      </c>
      <c r="C607" t="s">
        <v>3</v>
      </c>
      <c r="D607" t="s">
        <v>139</v>
      </c>
      <c r="E607">
        <v>33.799999999999997</v>
      </c>
      <c r="F607" t="s">
        <v>14</v>
      </c>
    </row>
    <row r="608" spans="1:6">
      <c r="A608" s="1">
        <v>45402</v>
      </c>
      <c r="B608" s="2">
        <v>45402.65931884259</v>
      </c>
      <c r="C608" t="s">
        <v>3</v>
      </c>
      <c r="D608" t="s">
        <v>140</v>
      </c>
      <c r="E608">
        <v>32.82</v>
      </c>
      <c r="F608" t="s">
        <v>14</v>
      </c>
    </row>
    <row r="609" spans="1:6">
      <c r="A609" s="1">
        <v>45402</v>
      </c>
      <c r="B609" s="2">
        <v>45402.76923027778</v>
      </c>
      <c r="C609" t="s">
        <v>3</v>
      </c>
      <c r="D609" t="s">
        <v>141</v>
      </c>
      <c r="E609">
        <v>37.72</v>
      </c>
      <c r="F609" t="s">
        <v>43</v>
      </c>
    </row>
    <row r="610" spans="1:6">
      <c r="A610" s="1">
        <v>45402</v>
      </c>
      <c r="B610" s="2">
        <v>45402.769987268519</v>
      </c>
      <c r="C610" t="s">
        <v>3</v>
      </c>
      <c r="D610" t="s">
        <v>141</v>
      </c>
      <c r="E610">
        <v>37.72</v>
      </c>
      <c r="F610" t="s">
        <v>43</v>
      </c>
    </row>
    <row r="611" spans="1:6">
      <c r="A611" s="1">
        <v>45402</v>
      </c>
      <c r="B611" s="2">
        <v>45402.813140243059</v>
      </c>
      <c r="C611" t="s">
        <v>3</v>
      </c>
      <c r="D611" t="s">
        <v>142</v>
      </c>
      <c r="E611">
        <v>37.72</v>
      </c>
      <c r="F611" t="s">
        <v>7</v>
      </c>
    </row>
    <row r="612" spans="1:6">
      <c r="A612" s="1">
        <v>45404</v>
      </c>
      <c r="B612" s="2">
        <v>45404.478785868057</v>
      </c>
      <c r="C612" t="s">
        <v>3</v>
      </c>
      <c r="D612" t="s">
        <v>143</v>
      </c>
      <c r="E612">
        <v>32.82</v>
      </c>
      <c r="F612" t="s">
        <v>14</v>
      </c>
    </row>
    <row r="613" spans="1:6">
      <c r="A613" s="1">
        <v>45405</v>
      </c>
      <c r="B613" s="2">
        <v>45405.821154687503</v>
      </c>
      <c r="C613" t="s">
        <v>3</v>
      </c>
      <c r="D613" t="s">
        <v>144</v>
      </c>
      <c r="E613">
        <v>32.82</v>
      </c>
      <c r="F613" t="s">
        <v>14</v>
      </c>
    </row>
    <row r="614" spans="1:6">
      <c r="A614" s="1">
        <v>45405</v>
      </c>
      <c r="B614" s="2">
        <v>45405.821831412039</v>
      </c>
      <c r="C614" t="s">
        <v>3</v>
      </c>
      <c r="D614" t="s">
        <v>144</v>
      </c>
      <c r="E614">
        <v>32.82</v>
      </c>
      <c r="F614" t="s">
        <v>14</v>
      </c>
    </row>
    <row r="615" spans="1:6">
      <c r="A615" s="1">
        <v>45406</v>
      </c>
      <c r="B615" s="2">
        <v>45406.43156582176</v>
      </c>
      <c r="C615" t="s">
        <v>3</v>
      </c>
      <c r="D615" t="s">
        <v>145</v>
      </c>
      <c r="E615">
        <v>32.82</v>
      </c>
      <c r="F615" t="s">
        <v>14</v>
      </c>
    </row>
    <row r="616" spans="1:6">
      <c r="A616" s="1">
        <v>45406</v>
      </c>
      <c r="B616" s="2">
        <v>45406.474839143521</v>
      </c>
      <c r="C616" t="s">
        <v>3</v>
      </c>
      <c r="D616" t="s">
        <v>146</v>
      </c>
      <c r="E616">
        <v>32.82</v>
      </c>
      <c r="F616" t="s">
        <v>14</v>
      </c>
    </row>
    <row r="617" spans="1:6">
      <c r="A617" s="1">
        <v>45406</v>
      </c>
      <c r="B617" s="2">
        <v>45406.481554942133</v>
      </c>
      <c r="C617" t="s">
        <v>3</v>
      </c>
      <c r="D617" t="s">
        <v>147</v>
      </c>
      <c r="E617">
        <v>32.82</v>
      </c>
      <c r="F617" t="s">
        <v>14</v>
      </c>
    </row>
    <row r="618" spans="1:6">
      <c r="A618" s="1">
        <v>45414</v>
      </c>
      <c r="B618" s="2">
        <v>45414.576156226853</v>
      </c>
      <c r="C618" t="s">
        <v>3</v>
      </c>
      <c r="D618" t="s">
        <v>147</v>
      </c>
      <c r="E618">
        <v>32.82</v>
      </c>
      <c r="F618" t="s">
        <v>14</v>
      </c>
    </row>
    <row r="619" spans="1:6">
      <c r="A619" s="1">
        <v>45406</v>
      </c>
      <c r="B619" s="2">
        <v>45406.819328506943</v>
      </c>
      <c r="C619" t="s">
        <v>3</v>
      </c>
      <c r="D619" t="s">
        <v>148</v>
      </c>
      <c r="E619">
        <v>32.82</v>
      </c>
      <c r="F619" t="s">
        <v>14</v>
      </c>
    </row>
    <row r="620" spans="1:6">
      <c r="A620" s="1">
        <v>45406</v>
      </c>
      <c r="B620" s="2">
        <v>45406.820069803238</v>
      </c>
      <c r="C620" t="s">
        <v>3</v>
      </c>
      <c r="D620" t="s">
        <v>148</v>
      </c>
      <c r="E620">
        <v>37.72</v>
      </c>
      <c r="F620" t="s">
        <v>43</v>
      </c>
    </row>
    <row r="621" spans="1:6">
      <c r="A621" s="1">
        <v>45411</v>
      </c>
      <c r="B621" s="2">
        <v>45411.800384189817</v>
      </c>
      <c r="C621" t="s">
        <v>3</v>
      </c>
      <c r="D621" t="s">
        <v>148</v>
      </c>
      <c r="E621">
        <v>37.72</v>
      </c>
      <c r="F621" t="s">
        <v>43</v>
      </c>
    </row>
    <row r="622" spans="1:6">
      <c r="A622" s="1">
        <v>45411</v>
      </c>
      <c r="B622" s="2">
        <v>45411.80113284722</v>
      </c>
      <c r="C622" t="s">
        <v>3</v>
      </c>
      <c r="D622" t="s">
        <v>148</v>
      </c>
      <c r="E622">
        <v>37.72</v>
      </c>
      <c r="F622" t="s">
        <v>43</v>
      </c>
    </row>
    <row r="623" spans="1:6">
      <c r="A623" s="1">
        <v>45434</v>
      </c>
      <c r="B623" s="2">
        <v>45434.809005763891</v>
      </c>
      <c r="C623" t="s">
        <v>3</v>
      </c>
      <c r="D623" t="s">
        <v>148</v>
      </c>
      <c r="E623">
        <v>37.72</v>
      </c>
      <c r="F623" t="s">
        <v>43</v>
      </c>
    </row>
    <row r="624" spans="1:6">
      <c r="A624" s="1">
        <v>45434</v>
      </c>
      <c r="B624" s="2">
        <v>45434.809705717591</v>
      </c>
      <c r="C624" t="s">
        <v>3</v>
      </c>
      <c r="D624" t="s">
        <v>148</v>
      </c>
      <c r="E624">
        <v>37.72</v>
      </c>
      <c r="F624" t="s">
        <v>43</v>
      </c>
    </row>
    <row r="625" spans="1:6">
      <c r="A625" s="1">
        <v>45435</v>
      </c>
      <c r="B625" s="2">
        <v>45435.803801284725</v>
      </c>
      <c r="C625" t="s">
        <v>3</v>
      </c>
      <c r="D625" t="s">
        <v>148</v>
      </c>
      <c r="E625">
        <v>37.72</v>
      </c>
      <c r="F625" t="s">
        <v>43</v>
      </c>
    </row>
    <row r="626" spans="1:6">
      <c r="A626" s="1">
        <v>45443</v>
      </c>
      <c r="B626" s="2">
        <v>45443.856324108798</v>
      </c>
      <c r="C626" t="s">
        <v>3</v>
      </c>
      <c r="D626" t="s">
        <v>148</v>
      </c>
      <c r="E626">
        <v>32.82</v>
      </c>
      <c r="F626" t="s">
        <v>14</v>
      </c>
    </row>
    <row r="627" spans="1:6">
      <c r="A627" s="1">
        <v>45443</v>
      </c>
      <c r="B627" s="2">
        <v>45443.857325266203</v>
      </c>
      <c r="C627" t="s">
        <v>3</v>
      </c>
      <c r="D627" t="s">
        <v>148</v>
      </c>
      <c r="E627">
        <v>37.72</v>
      </c>
      <c r="F627" t="s">
        <v>7</v>
      </c>
    </row>
    <row r="628" spans="1:6">
      <c r="A628" s="1">
        <v>45451</v>
      </c>
      <c r="B628" s="2">
        <v>45451.850628703702</v>
      </c>
      <c r="C628" t="s">
        <v>3</v>
      </c>
      <c r="D628" t="s">
        <v>148</v>
      </c>
      <c r="E628">
        <v>37.72</v>
      </c>
      <c r="F628" t="s">
        <v>43</v>
      </c>
    </row>
    <row r="629" spans="1:6">
      <c r="A629" s="1">
        <v>45451</v>
      </c>
      <c r="B629" s="2">
        <v>45451.851346249998</v>
      </c>
      <c r="C629" t="s">
        <v>3</v>
      </c>
      <c r="D629" t="s">
        <v>148</v>
      </c>
      <c r="E629">
        <v>37.72</v>
      </c>
      <c r="F629" t="s">
        <v>43</v>
      </c>
    </row>
    <row r="630" spans="1:6">
      <c r="A630" s="1">
        <v>45516</v>
      </c>
      <c r="B630" s="2">
        <v>45516.957176759257</v>
      </c>
      <c r="C630" t="s">
        <v>3</v>
      </c>
      <c r="D630" t="s">
        <v>148</v>
      </c>
      <c r="E630">
        <v>32.82</v>
      </c>
      <c r="F630" t="s">
        <v>43</v>
      </c>
    </row>
    <row r="631" spans="1:6">
      <c r="A631" s="1">
        <v>45516</v>
      </c>
      <c r="B631" s="2">
        <v>45516.957853518521</v>
      </c>
      <c r="C631" t="s">
        <v>3</v>
      </c>
      <c r="D631" t="s">
        <v>148</v>
      </c>
      <c r="E631">
        <v>32.82</v>
      </c>
      <c r="F631" t="s">
        <v>43</v>
      </c>
    </row>
    <row r="632" spans="1:6">
      <c r="A632" s="1">
        <v>45407</v>
      </c>
      <c r="B632" s="2">
        <v>45407.448704363429</v>
      </c>
      <c r="C632" t="s">
        <v>3</v>
      </c>
      <c r="D632" t="s">
        <v>149</v>
      </c>
      <c r="E632">
        <v>27.92</v>
      </c>
      <c r="F632" t="s">
        <v>11</v>
      </c>
    </row>
    <row r="633" spans="1:6">
      <c r="A633" s="1">
        <v>45408</v>
      </c>
      <c r="B633" s="2">
        <v>45408.501048379629</v>
      </c>
      <c r="C633" t="s">
        <v>3</v>
      </c>
      <c r="D633" t="s">
        <v>150</v>
      </c>
      <c r="E633">
        <v>37.72</v>
      </c>
      <c r="F633" t="s">
        <v>7</v>
      </c>
    </row>
    <row r="634" spans="1:6">
      <c r="A634" s="1">
        <v>45408</v>
      </c>
      <c r="B634" s="2">
        <v>45408.563521956021</v>
      </c>
      <c r="C634" t="s">
        <v>3</v>
      </c>
      <c r="D634" t="s">
        <v>151</v>
      </c>
      <c r="E634">
        <v>37.72</v>
      </c>
      <c r="F634" t="s">
        <v>43</v>
      </c>
    </row>
    <row r="635" spans="1:6">
      <c r="A635" s="1">
        <v>45590</v>
      </c>
      <c r="B635" s="2">
        <v>45590.599497314812</v>
      </c>
      <c r="C635" t="s">
        <v>3</v>
      </c>
      <c r="D635" t="s">
        <v>151</v>
      </c>
      <c r="E635">
        <v>35.76</v>
      </c>
      <c r="F635" t="s">
        <v>43</v>
      </c>
    </row>
    <row r="636" spans="1:6">
      <c r="A636" s="1">
        <v>45408</v>
      </c>
      <c r="B636" s="2">
        <v>45408.682945763889</v>
      </c>
      <c r="C636" t="s">
        <v>3</v>
      </c>
      <c r="D636" t="s">
        <v>152</v>
      </c>
      <c r="E636">
        <v>27.92</v>
      </c>
      <c r="F636" t="s">
        <v>28</v>
      </c>
    </row>
    <row r="637" spans="1:6">
      <c r="A637" s="1">
        <v>45408</v>
      </c>
      <c r="B637" s="2">
        <v>45408.683724537033</v>
      </c>
      <c r="C637" t="s">
        <v>3</v>
      </c>
      <c r="D637" t="s">
        <v>153</v>
      </c>
      <c r="E637">
        <v>27.92</v>
      </c>
      <c r="F637" t="s">
        <v>11</v>
      </c>
    </row>
    <row r="638" spans="1:6">
      <c r="A638" s="1">
        <v>45410</v>
      </c>
      <c r="B638" s="2">
        <v>45410.520946168981</v>
      </c>
      <c r="C638" t="s">
        <v>3</v>
      </c>
      <c r="D638" t="s">
        <v>154</v>
      </c>
      <c r="E638">
        <v>37.72</v>
      </c>
      <c r="F638" t="s">
        <v>43</v>
      </c>
    </row>
    <row r="639" spans="1:6">
      <c r="A639" s="1">
        <v>45411</v>
      </c>
      <c r="B639" s="2">
        <v>45411.776254699071</v>
      </c>
      <c r="C639" t="s">
        <v>3</v>
      </c>
      <c r="D639" t="s">
        <v>154</v>
      </c>
      <c r="E639">
        <v>37.72</v>
      </c>
      <c r="F639" t="s">
        <v>43</v>
      </c>
    </row>
    <row r="640" spans="1:6">
      <c r="A640" s="1">
        <v>45411</v>
      </c>
      <c r="B640" s="2">
        <v>45411.476757766206</v>
      </c>
      <c r="C640" t="s">
        <v>3</v>
      </c>
      <c r="D640" t="s">
        <v>155</v>
      </c>
      <c r="E640">
        <v>27.92</v>
      </c>
      <c r="F640" t="s">
        <v>28</v>
      </c>
    </row>
    <row r="641" spans="1:6">
      <c r="A641" s="1">
        <v>45411</v>
      </c>
      <c r="B641" s="2">
        <v>45411.578885763891</v>
      </c>
      <c r="C641" t="s">
        <v>3</v>
      </c>
      <c r="D641" t="s">
        <v>155</v>
      </c>
      <c r="E641">
        <v>27.92</v>
      </c>
      <c r="F641" t="s">
        <v>28</v>
      </c>
    </row>
    <row r="642" spans="1:6">
      <c r="A642" s="1">
        <v>45411</v>
      </c>
      <c r="B642" s="2">
        <v>45411.579448576391</v>
      </c>
      <c r="C642" t="s">
        <v>3</v>
      </c>
      <c r="D642" t="s">
        <v>155</v>
      </c>
      <c r="E642">
        <v>32.82</v>
      </c>
      <c r="F642" t="s">
        <v>14</v>
      </c>
    </row>
    <row r="643" spans="1:6">
      <c r="A643" s="1">
        <v>45418</v>
      </c>
      <c r="B643" s="2">
        <v>45418.443896307872</v>
      </c>
      <c r="C643" t="s">
        <v>3</v>
      </c>
      <c r="D643" t="s">
        <v>155</v>
      </c>
      <c r="E643">
        <v>27.92</v>
      </c>
      <c r="F643" t="s">
        <v>28</v>
      </c>
    </row>
    <row r="644" spans="1:6">
      <c r="A644" s="1">
        <v>45419</v>
      </c>
      <c r="B644" s="2">
        <v>45419.473593668983</v>
      </c>
      <c r="C644" t="s">
        <v>3</v>
      </c>
      <c r="D644" t="s">
        <v>155</v>
      </c>
      <c r="E644">
        <v>27.92</v>
      </c>
      <c r="F644" t="s">
        <v>28</v>
      </c>
    </row>
    <row r="645" spans="1:6">
      <c r="A645" s="1">
        <v>45434</v>
      </c>
      <c r="B645" s="2">
        <v>45434.4709984375</v>
      </c>
      <c r="C645" t="s">
        <v>3</v>
      </c>
      <c r="D645" t="s">
        <v>155</v>
      </c>
      <c r="E645">
        <v>27.92</v>
      </c>
      <c r="F645" t="s">
        <v>28</v>
      </c>
    </row>
    <row r="646" spans="1:6">
      <c r="A646" s="1">
        <v>45436</v>
      </c>
      <c r="B646" s="2">
        <v>45436.466657199075</v>
      </c>
      <c r="C646" t="s">
        <v>3</v>
      </c>
      <c r="D646" t="s">
        <v>155</v>
      </c>
      <c r="E646">
        <v>27.92</v>
      </c>
      <c r="F646" t="s">
        <v>28</v>
      </c>
    </row>
    <row r="647" spans="1:6">
      <c r="A647" s="1">
        <v>45440</v>
      </c>
      <c r="B647" s="2">
        <v>45440.684482986115</v>
      </c>
      <c r="C647" t="s">
        <v>3</v>
      </c>
      <c r="D647" t="s">
        <v>155</v>
      </c>
      <c r="E647">
        <v>27.92</v>
      </c>
      <c r="F647" t="s">
        <v>28</v>
      </c>
    </row>
    <row r="648" spans="1:6">
      <c r="A648" s="1">
        <v>45444</v>
      </c>
      <c r="B648" s="2">
        <v>45444.352103530095</v>
      </c>
      <c r="C648" t="s">
        <v>3</v>
      </c>
      <c r="D648" t="s">
        <v>155</v>
      </c>
      <c r="E648">
        <v>27.92</v>
      </c>
      <c r="F648" t="s">
        <v>28</v>
      </c>
    </row>
    <row r="649" spans="1:6">
      <c r="A649" s="1">
        <v>45447</v>
      </c>
      <c r="B649" s="2">
        <v>45447.391468726855</v>
      </c>
      <c r="C649" t="s">
        <v>3</v>
      </c>
      <c r="D649" t="s">
        <v>155</v>
      </c>
      <c r="E649">
        <v>27.92</v>
      </c>
      <c r="F649" t="s">
        <v>28</v>
      </c>
    </row>
    <row r="650" spans="1:6">
      <c r="A650" s="1">
        <v>45452</v>
      </c>
      <c r="B650" s="2">
        <v>45452.461589189814</v>
      </c>
      <c r="C650" t="s">
        <v>3</v>
      </c>
      <c r="D650" t="s">
        <v>155</v>
      </c>
      <c r="E650">
        <v>27.92</v>
      </c>
      <c r="F650" t="s">
        <v>28</v>
      </c>
    </row>
    <row r="651" spans="1:6">
      <c r="A651" s="1">
        <v>45456</v>
      </c>
      <c r="B651" s="2">
        <v>45456.414716643521</v>
      </c>
      <c r="C651" t="s">
        <v>3</v>
      </c>
      <c r="D651" t="s">
        <v>155</v>
      </c>
      <c r="E651">
        <v>27.92</v>
      </c>
      <c r="F651" t="s">
        <v>28</v>
      </c>
    </row>
    <row r="652" spans="1:6">
      <c r="A652" s="1">
        <v>45457</v>
      </c>
      <c r="B652" s="2">
        <v>45457.323764328707</v>
      </c>
      <c r="C652" t="s">
        <v>3</v>
      </c>
      <c r="D652" t="s">
        <v>155</v>
      </c>
      <c r="E652">
        <v>27.92</v>
      </c>
      <c r="F652" t="s">
        <v>28</v>
      </c>
    </row>
    <row r="653" spans="1:6">
      <c r="A653" s="1">
        <v>45462</v>
      </c>
      <c r="B653" s="2">
        <v>45462.345769768515</v>
      </c>
      <c r="C653" t="s">
        <v>3</v>
      </c>
      <c r="D653" t="s">
        <v>155</v>
      </c>
      <c r="E653">
        <v>27.92</v>
      </c>
      <c r="F653" t="s">
        <v>28</v>
      </c>
    </row>
    <row r="654" spans="1:6">
      <c r="A654" s="1">
        <v>45465</v>
      </c>
      <c r="B654" s="2">
        <v>45465.360998530094</v>
      </c>
      <c r="C654" t="s">
        <v>3</v>
      </c>
      <c r="D654" t="s">
        <v>155</v>
      </c>
      <c r="E654">
        <v>27.92</v>
      </c>
      <c r="F654" t="s">
        <v>28</v>
      </c>
    </row>
    <row r="655" spans="1:6">
      <c r="A655" s="1">
        <v>45471</v>
      </c>
      <c r="B655" s="2">
        <v>45471.339294490739</v>
      </c>
      <c r="C655" t="s">
        <v>3</v>
      </c>
      <c r="D655" t="s">
        <v>155</v>
      </c>
      <c r="E655">
        <v>27.92</v>
      </c>
      <c r="F655" t="s">
        <v>28</v>
      </c>
    </row>
    <row r="656" spans="1:6">
      <c r="A656" s="1">
        <v>45503</v>
      </c>
      <c r="B656" s="2">
        <v>45503.428601238425</v>
      </c>
      <c r="C656" t="s">
        <v>3</v>
      </c>
      <c r="D656" t="s">
        <v>155</v>
      </c>
      <c r="E656">
        <v>23.02</v>
      </c>
      <c r="F656" t="s">
        <v>28</v>
      </c>
    </row>
    <row r="657" spans="1:6">
      <c r="A657" s="1">
        <v>45506</v>
      </c>
      <c r="B657" s="2">
        <v>45506.464808622688</v>
      </c>
      <c r="C657" t="s">
        <v>3</v>
      </c>
      <c r="D657" t="s">
        <v>155</v>
      </c>
      <c r="E657">
        <v>23.02</v>
      </c>
      <c r="F657" t="s">
        <v>28</v>
      </c>
    </row>
    <row r="658" spans="1:6">
      <c r="A658" s="1">
        <v>45512</v>
      </c>
      <c r="B658" s="2">
        <v>45512.365696805558</v>
      </c>
      <c r="C658" t="s">
        <v>3</v>
      </c>
      <c r="D658" t="s">
        <v>155</v>
      </c>
      <c r="E658">
        <v>18.12</v>
      </c>
      <c r="F658" t="s">
        <v>35</v>
      </c>
    </row>
    <row r="659" spans="1:6">
      <c r="A659" s="1">
        <v>45512</v>
      </c>
      <c r="B659" s="2">
        <v>45512.366304236108</v>
      </c>
      <c r="C659" t="s">
        <v>3</v>
      </c>
      <c r="D659" t="s">
        <v>155</v>
      </c>
      <c r="E659">
        <v>23.02</v>
      </c>
      <c r="F659" t="s">
        <v>28</v>
      </c>
    </row>
    <row r="660" spans="1:6">
      <c r="A660" s="1">
        <v>45512</v>
      </c>
      <c r="B660" s="2">
        <v>45512.530087476851</v>
      </c>
      <c r="C660" t="s">
        <v>3</v>
      </c>
      <c r="D660" t="s">
        <v>155</v>
      </c>
      <c r="E660">
        <v>23.02</v>
      </c>
      <c r="F660" t="s">
        <v>28</v>
      </c>
    </row>
    <row r="661" spans="1:6">
      <c r="A661" s="1">
        <v>45512</v>
      </c>
      <c r="B661" s="2">
        <v>45512.530728622682</v>
      </c>
      <c r="C661" t="s">
        <v>3</v>
      </c>
      <c r="D661" t="s">
        <v>155</v>
      </c>
      <c r="E661">
        <v>23.02</v>
      </c>
      <c r="F661" t="s">
        <v>28</v>
      </c>
    </row>
    <row r="662" spans="1:6">
      <c r="A662" s="1">
        <v>45513</v>
      </c>
      <c r="B662" s="2">
        <v>45513.425781678241</v>
      </c>
      <c r="C662" t="s">
        <v>3</v>
      </c>
      <c r="D662" t="s">
        <v>155</v>
      </c>
      <c r="E662">
        <v>23.02</v>
      </c>
      <c r="F662" t="s">
        <v>28</v>
      </c>
    </row>
    <row r="663" spans="1:6">
      <c r="A663" s="1">
        <v>45514</v>
      </c>
      <c r="B663" s="2">
        <v>45514.364687719906</v>
      </c>
      <c r="C663" t="s">
        <v>3</v>
      </c>
      <c r="D663" t="s">
        <v>155</v>
      </c>
      <c r="E663">
        <v>23.02</v>
      </c>
      <c r="F663" t="s">
        <v>28</v>
      </c>
    </row>
    <row r="664" spans="1:6">
      <c r="A664" s="1">
        <v>45515</v>
      </c>
      <c r="B664" s="2">
        <v>45515.514115393518</v>
      </c>
      <c r="C664" t="s">
        <v>3</v>
      </c>
      <c r="D664" t="s">
        <v>155</v>
      </c>
      <c r="E664">
        <v>23.02</v>
      </c>
      <c r="F664" t="s">
        <v>28</v>
      </c>
    </row>
    <row r="665" spans="1:6">
      <c r="A665" s="1">
        <v>45517</v>
      </c>
      <c r="B665" s="2">
        <v>45517.445934872689</v>
      </c>
      <c r="C665" t="s">
        <v>3</v>
      </c>
      <c r="D665" t="s">
        <v>155</v>
      </c>
      <c r="E665">
        <v>23.02</v>
      </c>
      <c r="F665" t="s">
        <v>28</v>
      </c>
    </row>
    <row r="666" spans="1:6">
      <c r="A666" s="1">
        <v>45518</v>
      </c>
      <c r="B666" s="2">
        <v>45518.423253761575</v>
      </c>
      <c r="C666" t="s">
        <v>3</v>
      </c>
      <c r="D666" t="s">
        <v>155</v>
      </c>
      <c r="E666">
        <v>23.02</v>
      </c>
      <c r="F666" t="s">
        <v>28</v>
      </c>
    </row>
    <row r="667" spans="1:6">
      <c r="A667" s="1">
        <v>45519</v>
      </c>
      <c r="B667" s="2">
        <v>45519.400129085647</v>
      </c>
      <c r="C667" t="s">
        <v>3</v>
      </c>
      <c r="D667" t="s">
        <v>155</v>
      </c>
      <c r="E667">
        <v>23.02</v>
      </c>
      <c r="F667" t="s">
        <v>28</v>
      </c>
    </row>
    <row r="668" spans="1:6">
      <c r="A668" s="1">
        <v>45521</v>
      </c>
      <c r="B668" s="2">
        <v>45521.49909315972</v>
      </c>
      <c r="C668" t="s">
        <v>3</v>
      </c>
      <c r="D668" t="s">
        <v>155</v>
      </c>
      <c r="E668">
        <v>23.02</v>
      </c>
      <c r="F668" t="s">
        <v>28</v>
      </c>
    </row>
    <row r="669" spans="1:6">
      <c r="A669" s="1">
        <v>45521</v>
      </c>
      <c r="B669" s="2">
        <v>45521.499633078703</v>
      </c>
      <c r="C669" t="s">
        <v>3</v>
      </c>
      <c r="D669" t="s">
        <v>155</v>
      </c>
      <c r="E669">
        <v>23.02</v>
      </c>
      <c r="F669" t="s">
        <v>28</v>
      </c>
    </row>
    <row r="670" spans="1:6">
      <c r="A670" s="1">
        <v>45522</v>
      </c>
      <c r="B670" s="2">
        <v>45522.361877881944</v>
      </c>
      <c r="C670" t="s">
        <v>3</v>
      </c>
      <c r="D670" t="s">
        <v>155</v>
      </c>
      <c r="E670">
        <v>23.02</v>
      </c>
      <c r="F670" t="s">
        <v>28</v>
      </c>
    </row>
    <row r="671" spans="1:6">
      <c r="A671" s="1">
        <v>45524</v>
      </c>
      <c r="B671" s="2">
        <v>45524.352273240744</v>
      </c>
      <c r="C671" t="s">
        <v>3</v>
      </c>
      <c r="D671" t="s">
        <v>155</v>
      </c>
      <c r="E671">
        <v>23.02</v>
      </c>
      <c r="F671" t="s">
        <v>28</v>
      </c>
    </row>
    <row r="672" spans="1:6">
      <c r="A672" s="1">
        <v>45524</v>
      </c>
      <c r="B672" s="2">
        <v>45524.48773148148</v>
      </c>
      <c r="C672" t="s">
        <v>3</v>
      </c>
      <c r="D672" t="s">
        <v>155</v>
      </c>
      <c r="E672">
        <v>32.82</v>
      </c>
      <c r="F672" t="s">
        <v>7</v>
      </c>
    </row>
    <row r="673" spans="1:6">
      <c r="A673" s="1">
        <v>45525</v>
      </c>
      <c r="B673" s="2">
        <v>45525.361428159726</v>
      </c>
      <c r="C673" t="s">
        <v>3</v>
      </c>
      <c r="D673" t="s">
        <v>155</v>
      </c>
      <c r="E673">
        <v>23.02</v>
      </c>
      <c r="F673" t="s">
        <v>28</v>
      </c>
    </row>
    <row r="674" spans="1:6">
      <c r="A674" s="1">
        <v>45525</v>
      </c>
      <c r="B674" s="2">
        <v>45525.494229618052</v>
      </c>
      <c r="C674" t="s">
        <v>3</v>
      </c>
      <c r="D674" t="s">
        <v>155</v>
      </c>
      <c r="E674">
        <v>23.02</v>
      </c>
      <c r="F674" t="s">
        <v>28</v>
      </c>
    </row>
    <row r="675" spans="1:6">
      <c r="A675" s="1">
        <v>45526</v>
      </c>
      <c r="B675" s="2">
        <v>45526.390582141205</v>
      </c>
      <c r="C675" t="s">
        <v>3</v>
      </c>
      <c r="D675" t="s">
        <v>155</v>
      </c>
      <c r="E675">
        <v>23.02</v>
      </c>
      <c r="F675" t="s">
        <v>28</v>
      </c>
    </row>
    <row r="676" spans="1:6">
      <c r="A676" s="1">
        <v>45527</v>
      </c>
      <c r="B676" s="2">
        <v>45527.348472847225</v>
      </c>
      <c r="C676" t="s">
        <v>3</v>
      </c>
      <c r="D676" t="s">
        <v>155</v>
      </c>
      <c r="E676">
        <v>23.02</v>
      </c>
      <c r="F676" t="s">
        <v>28</v>
      </c>
    </row>
    <row r="677" spans="1:6">
      <c r="A677" s="1">
        <v>45527</v>
      </c>
      <c r="B677" s="2">
        <v>45527.443892118055</v>
      </c>
      <c r="C677" t="s">
        <v>3</v>
      </c>
      <c r="D677" t="s">
        <v>155</v>
      </c>
      <c r="E677">
        <v>23.02</v>
      </c>
      <c r="F677" t="s">
        <v>28</v>
      </c>
    </row>
    <row r="678" spans="1:6">
      <c r="A678" s="1">
        <v>45528</v>
      </c>
      <c r="B678" s="2">
        <v>45528.342850347224</v>
      </c>
      <c r="C678" t="s">
        <v>3</v>
      </c>
      <c r="D678" t="s">
        <v>155</v>
      </c>
      <c r="E678">
        <v>23.02</v>
      </c>
      <c r="F678" t="s">
        <v>28</v>
      </c>
    </row>
    <row r="679" spans="1:6">
      <c r="A679" s="1">
        <v>45528</v>
      </c>
      <c r="B679" s="2">
        <v>45528.343606909722</v>
      </c>
      <c r="C679" t="s">
        <v>3</v>
      </c>
      <c r="D679" t="s">
        <v>155</v>
      </c>
      <c r="E679">
        <v>23.02</v>
      </c>
      <c r="F679" t="s">
        <v>28</v>
      </c>
    </row>
    <row r="680" spans="1:6">
      <c r="A680" s="1">
        <v>45529</v>
      </c>
      <c r="B680" s="2">
        <v>45529.343488217593</v>
      </c>
      <c r="C680" t="s">
        <v>3</v>
      </c>
      <c r="D680" t="s">
        <v>155</v>
      </c>
      <c r="E680">
        <v>23.02</v>
      </c>
      <c r="F680" t="s">
        <v>28</v>
      </c>
    </row>
    <row r="681" spans="1:6">
      <c r="A681" s="1">
        <v>45530</v>
      </c>
      <c r="B681" s="2">
        <v>45530.341519618058</v>
      </c>
      <c r="C681" t="s">
        <v>3</v>
      </c>
      <c r="D681" t="s">
        <v>155</v>
      </c>
      <c r="E681">
        <v>23.02</v>
      </c>
      <c r="F681" t="s">
        <v>28</v>
      </c>
    </row>
    <row r="682" spans="1:6">
      <c r="A682" s="1">
        <v>45535</v>
      </c>
      <c r="B682" s="2">
        <v>45535.481711990738</v>
      </c>
      <c r="C682" t="s">
        <v>3</v>
      </c>
      <c r="D682" t="s">
        <v>155</v>
      </c>
      <c r="E682">
        <v>23.02</v>
      </c>
      <c r="F682" t="s">
        <v>28</v>
      </c>
    </row>
    <row r="683" spans="1:6">
      <c r="A683" s="1">
        <v>45535</v>
      </c>
      <c r="B683" s="2">
        <v>45535.482325625002</v>
      </c>
      <c r="C683" t="s">
        <v>3</v>
      </c>
      <c r="D683" t="s">
        <v>155</v>
      </c>
      <c r="E683">
        <v>23.02</v>
      </c>
      <c r="F683" t="s">
        <v>28</v>
      </c>
    </row>
    <row r="684" spans="1:6">
      <c r="A684" s="1">
        <v>45536</v>
      </c>
      <c r="B684" s="2">
        <v>45536.398787372687</v>
      </c>
      <c r="C684" t="s">
        <v>3</v>
      </c>
      <c r="D684" t="s">
        <v>155</v>
      </c>
      <c r="E684">
        <v>23.02</v>
      </c>
      <c r="F684" t="s">
        <v>28</v>
      </c>
    </row>
    <row r="685" spans="1:6">
      <c r="A685" s="1">
        <v>45542</v>
      </c>
      <c r="B685" s="2">
        <v>45542.416894479167</v>
      </c>
      <c r="C685" t="s">
        <v>3</v>
      </c>
      <c r="D685" t="s">
        <v>155</v>
      </c>
      <c r="E685">
        <v>23.02</v>
      </c>
      <c r="F685" t="s">
        <v>28</v>
      </c>
    </row>
    <row r="686" spans="1:6">
      <c r="A686" s="1">
        <v>45543</v>
      </c>
      <c r="B686" s="2">
        <v>45543.344222280095</v>
      </c>
      <c r="C686" t="s">
        <v>3</v>
      </c>
      <c r="D686" t="s">
        <v>155</v>
      </c>
      <c r="E686">
        <v>23.02</v>
      </c>
      <c r="F686" t="s">
        <v>28</v>
      </c>
    </row>
    <row r="687" spans="1:6">
      <c r="A687" s="1">
        <v>45547</v>
      </c>
      <c r="B687" s="2">
        <v>45547.525930821757</v>
      </c>
      <c r="C687" t="s">
        <v>3</v>
      </c>
      <c r="D687" t="s">
        <v>155</v>
      </c>
      <c r="E687">
        <v>23.02</v>
      </c>
      <c r="F687" t="s">
        <v>28</v>
      </c>
    </row>
    <row r="688" spans="1:6">
      <c r="A688" s="1">
        <v>45547</v>
      </c>
      <c r="B688" s="2">
        <v>45547.526501562497</v>
      </c>
      <c r="C688" t="s">
        <v>3</v>
      </c>
      <c r="D688" t="s">
        <v>155</v>
      </c>
      <c r="E688">
        <v>23.02</v>
      </c>
      <c r="F688" t="s">
        <v>28</v>
      </c>
    </row>
    <row r="689" spans="1:6">
      <c r="A689" s="1">
        <v>45550</v>
      </c>
      <c r="B689" s="2">
        <v>45550.608556562504</v>
      </c>
      <c r="C689" t="s">
        <v>3</v>
      </c>
      <c r="D689" t="s">
        <v>155</v>
      </c>
      <c r="E689">
        <v>23.02</v>
      </c>
      <c r="F689" t="s">
        <v>28</v>
      </c>
    </row>
    <row r="690" spans="1:6">
      <c r="A690" s="1">
        <v>45550</v>
      </c>
      <c r="B690" s="2">
        <v>45550.609266168984</v>
      </c>
      <c r="C690" t="s">
        <v>3</v>
      </c>
      <c r="D690" t="s">
        <v>155</v>
      </c>
      <c r="E690">
        <v>23.02</v>
      </c>
      <c r="F690" t="s">
        <v>28</v>
      </c>
    </row>
    <row r="691" spans="1:6">
      <c r="A691" s="1">
        <v>45552</v>
      </c>
      <c r="B691" s="2">
        <v>45552.362864282404</v>
      </c>
      <c r="C691" t="s">
        <v>3</v>
      </c>
      <c r="D691" t="s">
        <v>155</v>
      </c>
      <c r="E691">
        <v>23.02</v>
      </c>
      <c r="F691" t="s">
        <v>28</v>
      </c>
    </row>
    <row r="692" spans="1:6">
      <c r="A692" s="1">
        <v>45558</v>
      </c>
      <c r="B692" s="2">
        <v>45558.419644305555</v>
      </c>
      <c r="C692" t="s">
        <v>3</v>
      </c>
      <c r="D692" t="s">
        <v>155</v>
      </c>
      <c r="E692">
        <v>23.02</v>
      </c>
      <c r="F692" t="s">
        <v>28</v>
      </c>
    </row>
    <row r="693" spans="1:6">
      <c r="A693" s="1">
        <v>45560</v>
      </c>
      <c r="B693" s="2">
        <v>45560.483015428239</v>
      </c>
      <c r="C693" t="s">
        <v>3</v>
      </c>
      <c r="D693" t="s">
        <v>155</v>
      </c>
      <c r="E693">
        <v>23.02</v>
      </c>
      <c r="F693" t="s">
        <v>28</v>
      </c>
    </row>
    <row r="694" spans="1:6">
      <c r="A694" s="1">
        <v>45562</v>
      </c>
      <c r="B694" s="2">
        <v>45562.398425659725</v>
      </c>
      <c r="C694" t="s">
        <v>3</v>
      </c>
      <c r="D694" t="s">
        <v>155</v>
      </c>
      <c r="E694">
        <v>23.02</v>
      </c>
      <c r="F694" t="s">
        <v>28</v>
      </c>
    </row>
    <row r="695" spans="1:6">
      <c r="A695" s="1">
        <v>45564</v>
      </c>
      <c r="B695" s="2">
        <v>45564.535398657405</v>
      </c>
      <c r="C695" t="s">
        <v>3</v>
      </c>
      <c r="D695" t="s">
        <v>155</v>
      </c>
      <c r="E695">
        <v>25.96</v>
      </c>
      <c r="F695" t="s">
        <v>28</v>
      </c>
    </row>
    <row r="696" spans="1:6">
      <c r="A696" s="1">
        <v>45565</v>
      </c>
      <c r="B696" s="2">
        <v>45565.339438842595</v>
      </c>
      <c r="C696" t="s">
        <v>3</v>
      </c>
      <c r="D696" t="s">
        <v>155</v>
      </c>
      <c r="E696">
        <v>25.96</v>
      </c>
      <c r="F696" t="s">
        <v>28</v>
      </c>
    </row>
    <row r="697" spans="1:6">
      <c r="A697" s="1">
        <v>45565</v>
      </c>
      <c r="B697" s="2">
        <v>45565.420351284723</v>
      </c>
      <c r="C697" t="s">
        <v>3</v>
      </c>
      <c r="D697" t="s">
        <v>155</v>
      </c>
      <c r="E697">
        <v>25.96</v>
      </c>
      <c r="F697" t="s">
        <v>28</v>
      </c>
    </row>
    <row r="698" spans="1:6">
      <c r="A698" s="1">
        <v>45567</v>
      </c>
      <c r="B698" s="2">
        <v>45567.363016689815</v>
      </c>
      <c r="C698" t="s">
        <v>3</v>
      </c>
      <c r="D698" t="s">
        <v>155</v>
      </c>
      <c r="E698">
        <v>25.96</v>
      </c>
      <c r="F698" t="s">
        <v>28</v>
      </c>
    </row>
    <row r="699" spans="1:6">
      <c r="A699" s="1">
        <v>45570</v>
      </c>
      <c r="B699" s="2">
        <v>45570.375542372683</v>
      </c>
      <c r="C699" t="s">
        <v>3</v>
      </c>
      <c r="D699" t="s">
        <v>155</v>
      </c>
      <c r="E699">
        <v>25.96</v>
      </c>
      <c r="F699" t="s">
        <v>28</v>
      </c>
    </row>
    <row r="700" spans="1:6">
      <c r="A700" s="1">
        <v>45570</v>
      </c>
      <c r="B700" s="2">
        <v>45570.376188298615</v>
      </c>
      <c r="C700" t="s">
        <v>3</v>
      </c>
      <c r="D700" t="s">
        <v>155</v>
      </c>
      <c r="E700">
        <v>25.96</v>
      </c>
      <c r="F700" t="s">
        <v>28</v>
      </c>
    </row>
    <row r="701" spans="1:6">
      <c r="A701" s="1">
        <v>45571</v>
      </c>
      <c r="B701" s="2">
        <v>45571.349267604164</v>
      </c>
      <c r="C701" t="s">
        <v>3</v>
      </c>
      <c r="D701" t="s">
        <v>155</v>
      </c>
      <c r="E701">
        <v>25.96</v>
      </c>
      <c r="F701" t="s">
        <v>28</v>
      </c>
    </row>
    <row r="702" spans="1:6">
      <c r="A702" s="1">
        <v>45575</v>
      </c>
      <c r="B702" s="2">
        <v>45575.446331539351</v>
      </c>
      <c r="C702" t="s">
        <v>3</v>
      </c>
      <c r="D702" t="s">
        <v>155</v>
      </c>
      <c r="E702">
        <v>25.96</v>
      </c>
      <c r="F702" t="s">
        <v>28</v>
      </c>
    </row>
    <row r="703" spans="1:6">
      <c r="A703" s="1">
        <v>45575</v>
      </c>
      <c r="B703" s="2">
        <v>45575.446875300928</v>
      </c>
      <c r="C703" t="s">
        <v>3</v>
      </c>
      <c r="D703" t="s">
        <v>155</v>
      </c>
      <c r="E703">
        <v>25.96</v>
      </c>
      <c r="F703" t="s">
        <v>28</v>
      </c>
    </row>
    <row r="704" spans="1:6">
      <c r="A704" s="1">
        <v>45576</v>
      </c>
      <c r="B704" s="2">
        <v>45576.341901087966</v>
      </c>
      <c r="C704" t="s">
        <v>3</v>
      </c>
      <c r="D704" t="s">
        <v>155</v>
      </c>
      <c r="E704">
        <v>25.96</v>
      </c>
      <c r="F704" t="s">
        <v>28</v>
      </c>
    </row>
    <row r="705" spans="1:6">
      <c r="A705" s="1">
        <v>45577</v>
      </c>
      <c r="B705" s="2">
        <v>45577.352957384261</v>
      </c>
      <c r="C705" t="s">
        <v>3</v>
      </c>
      <c r="D705" t="s">
        <v>155</v>
      </c>
      <c r="E705">
        <v>25.96</v>
      </c>
      <c r="F705" t="s">
        <v>28</v>
      </c>
    </row>
    <row r="706" spans="1:6">
      <c r="A706" s="1">
        <v>45578</v>
      </c>
      <c r="B706" s="2">
        <v>45578.413138738426</v>
      </c>
      <c r="C706" t="s">
        <v>3</v>
      </c>
      <c r="D706" t="s">
        <v>155</v>
      </c>
      <c r="E706">
        <v>25.96</v>
      </c>
      <c r="F706" t="s">
        <v>28</v>
      </c>
    </row>
    <row r="707" spans="1:6">
      <c r="A707" s="1">
        <v>45579</v>
      </c>
      <c r="B707" s="2">
        <v>45579.436008171295</v>
      </c>
      <c r="C707" t="s">
        <v>3</v>
      </c>
      <c r="D707" t="s">
        <v>155</v>
      </c>
      <c r="E707">
        <v>25.96</v>
      </c>
      <c r="F707" t="s">
        <v>28</v>
      </c>
    </row>
    <row r="708" spans="1:6">
      <c r="A708" s="1">
        <v>45580</v>
      </c>
      <c r="B708" s="2">
        <v>45580.343387349538</v>
      </c>
      <c r="C708" t="s">
        <v>3</v>
      </c>
      <c r="D708" t="s">
        <v>155</v>
      </c>
      <c r="E708">
        <v>25.96</v>
      </c>
      <c r="F708" t="s">
        <v>28</v>
      </c>
    </row>
    <row r="709" spans="1:6">
      <c r="A709" s="1">
        <v>45586</v>
      </c>
      <c r="B709" s="2">
        <v>45586.445656539348</v>
      </c>
      <c r="C709" t="s">
        <v>3</v>
      </c>
      <c r="D709" t="s">
        <v>155</v>
      </c>
      <c r="E709">
        <v>25.96</v>
      </c>
      <c r="F709" t="s">
        <v>28</v>
      </c>
    </row>
    <row r="710" spans="1:6">
      <c r="A710" s="1">
        <v>45586</v>
      </c>
      <c r="B710" s="2">
        <v>45586.44624484954</v>
      </c>
      <c r="C710" t="s">
        <v>3</v>
      </c>
      <c r="D710" t="s">
        <v>155</v>
      </c>
      <c r="E710">
        <v>25.96</v>
      </c>
      <c r="F710" t="s">
        <v>28</v>
      </c>
    </row>
    <row r="711" spans="1:6">
      <c r="A711" s="1">
        <v>45588</v>
      </c>
      <c r="B711" s="2">
        <v>45588.434002187503</v>
      </c>
      <c r="C711" t="s">
        <v>3</v>
      </c>
      <c r="D711" t="s">
        <v>155</v>
      </c>
      <c r="E711">
        <v>25.96</v>
      </c>
      <c r="F711" t="s">
        <v>28</v>
      </c>
    </row>
    <row r="712" spans="1:6">
      <c r="A712" s="1">
        <v>45590</v>
      </c>
      <c r="B712" s="2">
        <v>45590.504747407409</v>
      </c>
      <c r="C712" t="s">
        <v>3</v>
      </c>
      <c r="D712" t="s">
        <v>155</v>
      </c>
      <c r="E712">
        <v>25.96</v>
      </c>
      <c r="F712" t="s">
        <v>28</v>
      </c>
    </row>
    <row r="713" spans="1:6">
      <c r="A713" s="1">
        <v>45591</v>
      </c>
      <c r="B713" s="2">
        <v>45591.362320624998</v>
      </c>
      <c r="C713" t="s">
        <v>3</v>
      </c>
      <c r="D713" t="s">
        <v>155</v>
      </c>
      <c r="E713">
        <v>25.96</v>
      </c>
      <c r="F713" t="s">
        <v>28</v>
      </c>
    </row>
    <row r="714" spans="1:6">
      <c r="A714" s="1">
        <v>45591</v>
      </c>
      <c r="B714" s="2">
        <v>45591.628727685187</v>
      </c>
      <c r="C714" t="s">
        <v>3</v>
      </c>
      <c r="D714" t="s">
        <v>155</v>
      </c>
      <c r="E714">
        <v>25.96</v>
      </c>
      <c r="F714" t="s">
        <v>28</v>
      </c>
    </row>
    <row r="715" spans="1:6">
      <c r="A715" s="1">
        <v>45591</v>
      </c>
      <c r="B715" s="2">
        <v>45591.629387430556</v>
      </c>
      <c r="C715" t="s">
        <v>3</v>
      </c>
      <c r="D715" t="s">
        <v>155</v>
      </c>
      <c r="E715">
        <v>25.96</v>
      </c>
      <c r="F715" t="s">
        <v>28</v>
      </c>
    </row>
    <row r="716" spans="1:6">
      <c r="A716" s="1">
        <v>45598</v>
      </c>
      <c r="B716" s="2">
        <v>45598.347040787034</v>
      </c>
      <c r="C716" t="s">
        <v>3</v>
      </c>
      <c r="D716" t="s">
        <v>155</v>
      </c>
      <c r="E716">
        <v>25.96</v>
      </c>
      <c r="F716" t="s">
        <v>28</v>
      </c>
    </row>
    <row r="717" spans="1:6">
      <c r="A717" s="1">
        <v>45599</v>
      </c>
      <c r="B717" s="2">
        <v>45599.349309745368</v>
      </c>
      <c r="C717" t="s">
        <v>3</v>
      </c>
      <c r="D717" t="s">
        <v>155</v>
      </c>
      <c r="E717">
        <v>25.96</v>
      </c>
      <c r="F717" t="s">
        <v>28</v>
      </c>
    </row>
    <row r="718" spans="1:6">
      <c r="A718" s="1">
        <v>45605</v>
      </c>
      <c r="B718" s="2">
        <v>45605.45981482639</v>
      </c>
      <c r="C718" t="s">
        <v>3</v>
      </c>
      <c r="D718" t="s">
        <v>155</v>
      </c>
      <c r="E718">
        <v>25.96</v>
      </c>
      <c r="F718" t="s">
        <v>28</v>
      </c>
    </row>
    <row r="719" spans="1:6">
      <c r="A719" s="1">
        <v>45605</v>
      </c>
      <c r="B719" s="2">
        <v>45605.460423425924</v>
      </c>
      <c r="C719" t="s">
        <v>3</v>
      </c>
      <c r="D719" t="s">
        <v>155</v>
      </c>
      <c r="E719">
        <v>25.96</v>
      </c>
      <c r="F719" t="s">
        <v>28</v>
      </c>
    </row>
    <row r="720" spans="1:6">
      <c r="A720" s="1">
        <v>45607</v>
      </c>
      <c r="B720" s="2">
        <v>45607.429971064812</v>
      </c>
      <c r="C720" t="s">
        <v>3</v>
      </c>
      <c r="D720" t="s">
        <v>155</v>
      </c>
      <c r="E720">
        <v>25.96</v>
      </c>
      <c r="F720" t="s">
        <v>28</v>
      </c>
    </row>
    <row r="721" spans="1:6">
      <c r="A721" s="1">
        <v>45612</v>
      </c>
      <c r="B721" s="2">
        <v>45612.431653587963</v>
      </c>
      <c r="C721" t="s">
        <v>3</v>
      </c>
      <c r="D721" t="s">
        <v>155</v>
      </c>
      <c r="E721">
        <v>25.96</v>
      </c>
      <c r="F721" t="s">
        <v>28</v>
      </c>
    </row>
    <row r="722" spans="1:6">
      <c r="A722" s="1">
        <v>45617</v>
      </c>
      <c r="B722" s="2">
        <v>45617.462627638888</v>
      </c>
      <c r="C722" t="s">
        <v>3</v>
      </c>
      <c r="D722" t="s">
        <v>155</v>
      </c>
      <c r="E722">
        <v>25.96</v>
      </c>
      <c r="F722" t="s">
        <v>28</v>
      </c>
    </row>
    <row r="723" spans="1:6">
      <c r="A723" s="1">
        <v>45621</v>
      </c>
      <c r="B723" s="2">
        <v>45621.443148622682</v>
      </c>
      <c r="C723" t="s">
        <v>3</v>
      </c>
      <c r="D723" t="s">
        <v>155</v>
      </c>
      <c r="E723">
        <v>25.96</v>
      </c>
      <c r="F723" t="s">
        <v>28</v>
      </c>
    </row>
    <row r="724" spans="1:6">
      <c r="A724" s="1">
        <v>45628</v>
      </c>
      <c r="B724" s="2">
        <v>45628.461402743058</v>
      </c>
      <c r="C724" t="s">
        <v>3</v>
      </c>
      <c r="D724" t="s">
        <v>155</v>
      </c>
      <c r="E724">
        <v>25.96</v>
      </c>
      <c r="F724" t="s">
        <v>28</v>
      </c>
    </row>
    <row r="725" spans="1:6">
      <c r="A725" s="1">
        <v>45630</v>
      </c>
      <c r="B725" s="2">
        <v>45630.356110185188</v>
      </c>
      <c r="C725" t="s">
        <v>3</v>
      </c>
      <c r="D725" t="s">
        <v>155</v>
      </c>
      <c r="E725">
        <v>25.96</v>
      </c>
      <c r="F725" t="s">
        <v>28</v>
      </c>
    </row>
    <row r="726" spans="1:6">
      <c r="A726" s="1">
        <v>45631</v>
      </c>
      <c r="B726" s="2">
        <v>45631.389222627316</v>
      </c>
      <c r="C726" t="s">
        <v>3</v>
      </c>
      <c r="D726" t="s">
        <v>155</v>
      </c>
      <c r="E726">
        <v>25.96</v>
      </c>
      <c r="F726" t="s">
        <v>28</v>
      </c>
    </row>
    <row r="727" spans="1:6">
      <c r="A727" s="1">
        <v>45634</v>
      </c>
      <c r="B727" s="2">
        <v>45634.353764733794</v>
      </c>
      <c r="C727" t="s">
        <v>3</v>
      </c>
      <c r="D727" t="s">
        <v>155</v>
      </c>
      <c r="E727">
        <v>25.96</v>
      </c>
      <c r="F727" t="s">
        <v>28</v>
      </c>
    </row>
    <row r="728" spans="1:6">
      <c r="A728" s="1">
        <v>45636</v>
      </c>
      <c r="B728" s="2">
        <v>45636.517936979166</v>
      </c>
      <c r="C728" t="s">
        <v>3</v>
      </c>
      <c r="D728" t="s">
        <v>155</v>
      </c>
      <c r="E728">
        <v>25.96</v>
      </c>
      <c r="F728" t="s">
        <v>28</v>
      </c>
    </row>
    <row r="729" spans="1:6">
      <c r="A729" s="1">
        <v>45637</v>
      </c>
      <c r="B729" s="2">
        <v>45637.448471284719</v>
      </c>
      <c r="C729" t="s">
        <v>3</v>
      </c>
      <c r="D729" t="s">
        <v>155</v>
      </c>
      <c r="E729">
        <v>25.96</v>
      </c>
      <c r="F729" t="s">
        <v>28</v>
      </c>
    </row>
    <row r="730" spans="1:6">
      <c r="A730" s="1">
        <v>45646</v>
      </c>
      <c r="B730" s="2">
        <v>45646.343656886573</v>
      </c>
      <c r="C730" t="s">
        <v>3</v>
      </c>
      <c r="D730" t="s">
        <v>155</v>
      </c>
      <c r="E730">
        <v>25.96</v>
      </c>
      <c r="F730" t="s">
        <v>28</v>
      </c>
    </row>
    <row r="731" spans="1:6">
      <c r="A731" s="1">
        <v>45646</v>
      </c>
      <c r="B731" s="2">
        <v>45646.455198229167</v>
      </c>
      <c r="C731" t="s">
        <v>3</v>
      </c>
      <c r="D731" t="s">
        <v>155</v>
      </c>
      <c r="E731">
        <v>25.96</v>
      </c>
      <c r="F731" t="s">
        <v>28</v>
      </c>
    </row>
    <row r="732" spans="1:6">
      <c r="A732" s="1">
        <v>45653</v>
      </c>
      <c r="B732" s="2">
        <v>45653.381889189812</v>
      </c>
      <c r="C732" t="s">
        <v>3</v>
      </c>
      <c r="D732" t="s">
        <v>155</v>
      </c>
      <c r="E732">
        <v>25.96</v>
      </c>
      <c r="F732" t="s">
        <v>28</v>
      </c>
    </row>
    <row r="733" spans="1:6">
      <c r="A733" s="1">
        <v>45654</v>
      </c>
      <c r="B733" s="2">
        <v>45654.410161446758</v>
      </c>
      <c r="C733" t="s">
        <v>3</v>
      </c>
      <c r="D733" t="s">
        <v>155</v>
      </c>
      <c r="E733">
        <v>25.96</v>
      </c>
      <c r="F733" t="s">
        <v>28</v>
      </c>
    </row>
    <row r="734" spans="1:6">
      <c r="A734" s="1">
        <v>45666</v>
      </c>
      <c r="B734" s="2">
        <v>45666.658449212962</v>
      </c>
      <c r="C734" t="s">
        <v>3</v>
      </c>
      <c r="D734" t="s">
        <v>155</v>
      </c>
      <c r="E734">
        <v>30.86</v>
      </c>
      <c r="F734" t="s">
        <v>14</v>
      </c>
    </row>
    <row r="735" spans="1:6">
      <c r="A735" s="1">
        <v>45666</v>
      </c>
      <c r="B735" s="2">
        <v>45666.659164305558</v>
      </c>
      <c r="C735" t="s">
        <v>3</v>
      </c>
      <c r="D735" t="s">
        <v>155</v>
      </c>
      <c r="E735">
        <v>25.96</v>
      </c>
      <c r="F735" t="s">
        <v>28</v>
      </c>
    </row>
    <row r="736" spans="1:6">
      <c r="A736" s="1">
        <v>45673</v>
      </c>
      <c r="B736" s="2">
        <v>45673.508522511576</v>
      </c>
      <c r="C736" t="s">
        <v>3</v>
      </c>
      <c r="D736" t="s">
        <v>155</v>
      </c>
      <c r="E736">
        <v>25.96</v>
      </c>
      <c r="F736" t="s">
        <v>28</v>
      </c>
    </row>
    <row r="737" spans="1:6">
      <c r="A737" s="1">
        <v>45677</v>
      </c>
      <c r="B737" s="2">
        <v>45677.486389247686</v>
      </c>
      <c r="C737" t="s">
        <v>3</v>
      </c>
      <c r="D737" t="s">
        <v>155</v>
      </c>
      <c r="E737">
        <v>25.96</v>
      </c>
      <c r="F737" t="s">
        <v>28</v>
      </c>
    </row>
    <row r="738" spans="1:6">
      <c r="A738" s="1">
        <v>45678</v>
      </c>
      <c r="B738" s="2">
        <v>45678.346056608796</v>
      </c>
      <c r="C738" t="s">
        <v>3</v>
      </c>
      <c r="D738" t="s">
        <v>155</v>
      </c>
      <c r="E738">
        <v>25.96</v>
      </c>
      <c r="F738" t="s">
        <v>28</v>
      </c>
    </row>
    <row r="739" spans="1:6">
      <c r="A739" s="1">
        <v>45684</v>
      </c>
      <c r="B739" s="2">
        <v>45684.338685254632</v>
      </c>
      <c r="C739" t="s">
        <v>3</v>
      </c>
      <c r="D739" t="s">
        <v>155</v>
      </c>
      <c r="E739">
        <v>25.96</v>
      </c>
      <c r="F739" t="s">
        <v>28</v>
      </c>
    </row>
    <row r="740" spans="1:6">
      <c r="A740" s="1">
        <v>45684</v>
      </c>
      <c r="B740" s="2">
        <v>45684.356059606478</v>
      </c>
      <c r="C740" t="s">
        <v>3</v>
      </c>
      <c r="D740" t="s">
        <v>155</v>
      </c>
      <c r="E740">
        <v>25.96</v>
      </c>
      <c r="F740" t="s">
        <v>11</v>
      </c>
    </row>
    <row r="741" spans="1:6">
      <c r="A741" s="1">
        <v>45684</v>
      </c>
      <c r="B741" s="2">
        <v>45684.644376284719</v>
      </c>
      <c r="C741" t="s">
        <v>3</v>
      </c>
      <c r="D741" t="s">
        <v>155</v>
      </c>
      <c r="E741">
        <v>30.86</v>
      </c>
      <c r="F741" t="s">
        <v>14</v>
      </c>
    </row>
    <row r="742" spans="1:6">
      <c r="A742" s="1">
        <v>45684</v>
      </c>
      <c r="B742" s="2">
        <v>45684.645148877316</v>
      </c>
      <c r="C742" t="s">
        <v>3</v>
      </c>
      <c r="D742" t="s">
        <v>155</v>
      </c>
      <c r="E742">
        <v>25.96</v>
      </c>
      <c r="F742" t="s">
        <v>28</v>
      </c>
    </row>
    <row r="743" spans="1:6">
      <c r="A743" s="1">
        <v>45684</v>
      </c>
      <c r="B743" s="2">
        <v>45684.645979953704</v>
      </c>
      <c r="C743" t="s">
        <v>3</v>
      </c>
      <c r="D743" t="s">
        <v>155</v>
      </c>
      <c r="E743">
        <v>30.86</v>
      </c>
      <c r="F743" t="s">
        <v>14</v>
      </c>
    </row>
    <row r="744" spans="1:6">
      <c r="A744" s="1">
        <v>45688</v>
      </c>
      <c r="B744" s="2">
        <v>45688.361706585645</v>
      </c>
      <c r="C744" t="s">
        <v>3</v>
      </c>
      <c r="D744" t="s">
        <v>155</v>
      </c>
      <c r="E744">
        <v>25.96</v>
      </c>
      <c r="F744" t="s">
        <v>11</v>
      </c>
    </row>
    <row r="745" spans="1:6">
      <c r="A745" s="1">
        <v>45688</v>
      </c>
      <c r="B745" s="2">
        <v>45688.362323263886</v>
      </c>
      <c r="C745" t="s">
        <v>3</v>
      </c>
      <c r="D745" t="s">
        <v>155</v>
      </c>
      <c r="E745">
        <v>30.86</v>
      </c>
      <c r="F745" t="s">
        <v>14</v>
      </c>
    </row>
    <row r="746" spans="1:6">
      <c r="A746" s="1">
        <v>45689</v>
      </c>
      <c r="B746" s="2">
        <v>45689.551928692126</v>
      </c>
      <c r="C746" t="s">
        <v>3</v>
      </c>
      <c r="D746" t="s">
        <v>155</v>
      </c>
      <c r="E746">
        <v>25.96</v>
      </c>
      <c r="F746" t="s">
        <v>28</v>
      </c>
    </row>
    <row r="747" spans="1:6">
      <c r="A747" s="1">
        <v>45689</v>
      </c>
      <c r="B747" s="2">
        <v>45689.552421793982</v>
      </c>
      <c r="C747" t="s">
        <v>3</v>
      </c>
      <c r="D747" t="s">
        <v>155</v>
      </c>
      <c r="E747">
        <v>25.96</v>
      </c>
      <c r="F747" t="s">
        <v>28</v>
      </c>
    </row>
    <row r="748" spans="1:6">
      <c r="A748" s="1">
        <v>45412</v>
      </c>
      <c r="B748" s="2">
        <v>45412.428258020831</v>
      </c>
      <c r="C748" t="s">
        <v>3</v>
      </c>
      <c r="D748" t="s">
        <v>156</v>
      </c>
      <c r="E748">
        <v>37.72</v>
      </c>
      <c r="F748" t="s">
        <v>7</v>
      </c>
    </row>
    <row r="749" spans="1:6">
      <c r="A749" s="1">
        <v>45412</v>
      </c>
      <c r="B749" s="2">
        <v>45412.440882523151</v>
      </c>
      <c r="C749" t="s">
        <v>3</v>
      </c>
      <c r="D749" t="s">
        <v>156</v>
      </c>
      <c r="E749">
        <v>32.82</v>
      </c>
      <c r="F749" t="s">
        <v>14</v>
      </c>
    </row>
    <row r="750" spans="1:6">
      <c r="A750" s="1">
        <v>45412</v>
      </c>
      <c r="B750" s="2">
        <v>45412.441523344911</v>
      </c>
      <c r="C750" t="s">
        <v>3</v>
      </c>
      <c r="D750" t="s">
        <v>156</v>
      </c>
      <c r="E750">
        <v>32.82</v>
      </c>
      <c r="F750" t="s">
        <v>14</v>
      </c>
    </row>
    <row r="751" spans="1:6">
      <c r="A751" s="1">
        <v>45412</v>
      </c>
      <c r="B751" s="2">
        <v>45412.570744502314</v>
      </c>
      <c r="C751" t="s">
        <v>3</v>
      </c>
      <c r="D751" t="s">
        <v>156</v>
      </c>
      <c r="E751">
        <v>27.92</v>
      </c>
      <c r="F751" t="s">
        <v>11</v>
      </c>
    </row>
    <row r="752" spans="1:6">
      <c r="A752" s="1">
        <v>45412</v>
      </c>
      <c r="B752" s="2">
        <v>45412.571527511573</v>
      </c>
      <c r="C752" t="s">
        <v>3</v>
      </c>
      <c r="D752" t="s">
        <v>156</v>
      </c>
      <c r="E752">
        <v>32.82</v>
      </c>
      <c r="F752" t="s">
        <v>14</v>
      </c>
    </row>
    <row r="753" spans="1:6">
      <c r="A753" s="1">
        <v>45412</v>
      </c>
      <c r="B753" s="2">
        <v>45412.805071053241</v>
      </c>
      <c r="C753" t="s">
        <v>3</v>
      </c>
      <c r="D753" t="s">
        <v>156</v>
      </c>
      <c r="E753">
        <v>37.72</v>
      </c>
      <c r="F753" t="s">
        <v>43</v>
      </c>
    </row>
    <row r="754" spans="1:6">
      <c r="A754" s="1">
        <v>45412</v>
      </c>
      <c r="B754" s="2">
        <v>45412.812546331021</v>
      </c>
      <c r="C754" t="s">
        <v>3</v>
      </c>
      <c r="D754" t="s">
        <v>156</v>
      </c>
      <c r="E754">
        <v>32.82</v>
      </c>
      <c r="F754" t="s">
        <v>14</v>
      </c>
    </row>
    <row r="755" spans="1:6">
      <c r="A755" s="1">
        <v>45412</v>
      </c>
      <c r="B755" s="2">
        <v>45412.813436944445</v>
      </c>
      <c r="C755" t="s">
        <v>3</v>
      </c>
      <c r="D755" t="s">
        <v>156</v>
      </c>
      <c r="E755">
        <v>37.72</v>
      </c>
      <c r="F755" t="s">
        <v>7</v>
      </c>
    </row>
    <row r="756" spans="1:6">
      <c r="A756" s="1">
        <v>45414</v>
      </c>
      <c r="B756" s="2">
        <v>45414.440228541665</v>
      </c>
      <c r="C756" t="s">
        <v>3</v>
      </c>
      <c r="D756" t="s">
        <v>157</v>
      </c>
      <c r="E756">
        <v>27.92</v>
      </c>
      <c r="F756" t="s">
        <v>11</v>
      </c>
    </row>
    <row r="757" spans="1:6">
      <c r="A757" s="1">
        <v>45421</v>
      </c>
      <c r="B757" s="2">
        <v>45421.759678541668</v>
      </c>
      <c r="C757" t="s">
        <v>3</v>
      </c>
      <c r="D757" t="s">
        <v>157</v>
      </c>
      <c r="E757">
        <v>32.82</v>
      </c>
      <c r="F757" t="s">
        <v>14</v>
      </c>
    </row>
    <row r="758" spans="1:6">
      <c r="A758" s="1">
        <v>45432</v>
      </c>
      <c r="B758" s="2">
        <v>45432.468939386577</v>
      </c>
      <c r="C758" t="s">
        <v>3</v>
      </c>
      <c r="D758" t="s">
        <v>157</v>
      </c>
      <c r="E758">
        <v>27.92</v>
      </c>
      <c r="F758" t="s">
        <v>11</v>
      </c>
    </row>
    <row r="759" spans="1:6">
      <c r="A759" s="1">
        <v>45432</v>
      </c>
      <c r="B759" s="2">
        <v>45432.469671724539</v>
      </c>
      <c r="C759" t="s">
        <v>3</v>
      </c>
      <c r="D759" t="s">
        <v>157</v>
      </c>
      <c r="E759">
        <v>27.92</v>
      </c>
      <c r="F759" t="s">
        <v>11</v>
      </c>
    </row>
    <row r="760" spans="1:6">
      <c r="A760" s="1">
        <v>45477</v>
      </c>
      <c r="B760" s="2">
        <v>45477.43499681713</v>
      </c>
      <c r="C760" t="s">
        <v>3</v>
      </c>
      <c r="D760" t="s">
        <v>157</v>
      </c>
      <c r="E760">
        <v>32.82</v>
      </c>
      <c r="F760" t="s">
        <v>14</v>
      </c>
    </row>
    <row r="761" spans="1:6">
      <c r="A761" s="1">
        <v>45414</v>
      </c>
      <c r="B761" s="2">
        <v>45414.775256226851</v>
      </c>
      <c r="C761" t="s">
        <v>3</v>
      </c>
      <c r="D761" t="s">
        <v>158</v>
      </c>
      <c r="E761">
        <v>37.72</v>
      </c>
      <c r="F761" t="s">
        <v>43</v>
      </c>
    </row>
    <row r="762" spans="1:6">
      <c r="A762" s="1">
        <v>45414</v>
      </c>
      <c r="B762" s="2">
        <v>45414.804549583336</v>
      </c>
      <c r="C762" t="s">
        <v>3</v>
      </c>
      <c r="D762" t="s">
        <v>159</v>
      </c>
      <c r="E762">
        <v>37.72</v>
      </c>
      <c r="F762" t="s">
        <v>7</v>
      </c>
    </row>
    <row r="763" spans="1:6">
      <c r="A763" s="1">
        <v>45414</v>
      </c>
      <c r="B763" s="2">
        <v>45414.805513414351</v>
      </c>
      <c r="C763" t="s">
        <v>3</v>
      </c>
      <c r="D763" t="s">
        <v>159</v>
      </c>
      <c r="E763">
        <v>37.72</v>
      </c>
      <c r="F763" t="s">
        <v>43</v>
      </c>
    </row>
    <row r="764" spans="1:6">
      <c r="A764" s="1">
        <v>45415</v>
      </c>
      <c r="B764" s="2">
        <v>45415.604177349538</v>
      </c>
      <c r="C764" t="s">
        <v>3</v>
      </c>
      <c r="D764" t="s">
        <v>160</v>
      </c>
      <c r="E764">
        <v>37.72</v>
      </c>
      <c r="F764" t="s">
        <v>7</v>
      </c>
    </row>
    <row r="765" spans="1:6">
      <c r="A765" s="1">
        <v>45415</v>
      </c>
      <c r="B765" s="2">
        <v>45415.71070491898</v>
      </c>
      <c r="C765" t="s">
        <v>3</v>
      </c>
      <c r="D765" t="s">
        <v>161</v>
      </c>
      <c r="E765">
        <v>37.72</v>
      </c>
      <c r="F765" t="s">
        <v>7</v>
      </c>
    </row>
    <row r="766" spans="1:6">
      <c r="A766" s="1">
        <v>45418</v>
      </c>
      <c r="B766" s="2">
        <v>45418.420346296298</v>
      </c>
      <c r="C766" t="s">
        <v>3</v>
      </c>
      <c r="D766" t="s">
        <v>162</v>
      </c>
      <c r="E766">
        <v>27.92</v>
      </c>
      <c r="F766" t="s">
        <v>11</v>
      </c>
    </row>
    <row r="767" spans="1:6">
      <c r="A767" s="1">
        <v>45418</v>
      </c>
      <c r="B767" s="2">
        <v>45418.554293865738</v>
      </c>
      <c r="C767" t="s">
        <v>3</v>
      </c>
      <c r="D767" t="s">
        <v>162</v>
      </c>
      <c r="E767">
        <v>27.92</v>
      </c>
      <c r="F767" t="s">
        <v>28</v>
      </c>
    </row>
    <row r="768" spans="1:6">
      <c r="A768" s="1">
        <v>45418</v>
      </c>
      <c r="B768" s="2">
        <v>45418.554870497683</v>
      </c>
      <c r="C768" t="s">
        <v>3</v>
      </c>
      <c r="D768" t="s">
        <v>162</v>
      </c>
      <c r="E768">
        <v>27.92</v>
      </c>
      <c r="F768" t="s">
        <v>11</v>
      </c>
    </row>
    <row r="769" spans="1:6">
      <c r="A769" s="1">
        <v>45419</v>
      </c>
      <c r="B769" s="2">
        <v>45419.447865532406</v>
      </c>
      <c r="C769" t="s">
        <v>3</v>
      </c>
      <c r="D769" t="s">
        <v>162</v>
      </c>
      <c r="E769">
        <v>37.72</v>
      </c>
      <c r="F769" t="s">
        <v>18</v>
      </c>
    </row>
    <row r="770" spans="1:6">
      <c r="A770" s="1">
        <v>45419</v>
      </c>
      <c r="B770" s="2">
        <v>45419.695924768515</v>
      </c>
      <c r="C770" t="s">
        <v>3</v>
      </c>
      <c r="D770" t="s">
        <v>162</v>
      </c>
      <c r="E770">
        <v>37.72</v>
      </c>
      <c r="F770" t="s">
        <v>18</v>
      </c>
    </row>
    <row r="771" spans="1:6">
      <c r="A771" s="1">
        <v>45418</v>
      </c>
      <c r="B771" s="2">
        <v>45418.421430844908</v>
      </c>
      <c r="C771" t="s">
        <v>3</v>
      </c>
      <c r="D771" t="s">
        <v>163</v>
      </c>
      <c r="E771">
        <v>37.72</v>
      </c>
      <c r="F771" t="s">
        <v>43</v>
      </c>
    </row>
    <row r="772" spans="1:6">
      <c r="A772" s="1">
        <v>45418</v>
      </c>
      <c r="B772" s="2">
        <v>45418.42229008102</v>
      </c>
      <c r="C772" t="s">
        <v>3</v>
      </c>
      <c r="D772" t="s">
        <v>163</v>
      </c>
      <c r="E772">
        <v>32.82</v>
      </c>
      <c r="F772" t="s">
        <v>14</v>
      </c>
    </row>
    <row r="773" spans="1:6">
      <c r="A773" s="1">
        <v>45418</v>
      </c>
      <c r="B773" s="2">
        <v>45418.423008993057</v>
      </c>
      <c r="C773" t="s">
        <v>3</v>
      </c>
      <c r="D773" t="s">
        <v>164</v>
      </c>
      <c r="E773">
        <v>27.92</v>
      </c>
      <c r="F773" t="s">
        <v>11</v>
      </c>
    </row>
    <row r="774" spans="1:6">
      <c r="A774" s="1">
        <v>45418</v>
      </c>
      <c r="B774" s="2">
        <v>45418.804317002316</v>
      </c>
      <c r="C774" t="s">
        <v>3</v>
      </c>
      <c r="D774" t="s">
        <v>165</v>
      </c>
      <c r="E774">
        <v>37.72</v>
      </c>
      <c r="F774" t="s">
        <v>43</v>
      </c>
    </row>
    <row r="775" spans="1:6">
      <c r="A775" s="1">
        <v>45418</v>
      </c>
      <c r="B775" s="2">
        <v>45418.80543458333</v>
      </c>
      <c r="C775" t="s">
        <v>3</v>
      </c>
      <c r="D775" t="s">
        <v>165</v>
      </c>
      <c r="E775">
        <v>37.72</v>
      </c>
      <c r="F775" t="s">
        <v>43</v>
      </c>
    </row>
    <row r="776" spans="1:6">
      <c r="A776" s="1">
        <v>45419</v>
      </c>
      <c r="B776" s="2">
        <v>45419.705310243058</v>
      </c>
      <c r="C776" t="s">
        <v>3</v>
      </c>
      <c r="D776" t="s">
        <v>166</v>
      </c>
      <c r="E776">
        <v>27.92</v>
      </c>
      <c r="F776" t="s">
        <v>11</v>
      </c>
    </row>
    <row r="777" spans="1:6">
      <c r="A777" s="1">
        <v>45419</v>
      </c>
      <c r="B777" s="2">
        <v>45419.734564953702</v>
      </c>
      <c r="C777" t="s">
        <v>3</v>
      </c>
      <c r="D777" t="s">
        <v>167</v>
      </c>
      <c r="E777">
        <v>37.72</v>
      </c>
      <c r="F777" t="s">
        <v>43</v>
      </c>
    </row>
    <row r="778" spans="1:6">
      <c r="A778" s="1">
        <v>45419</v>
      </c>
      <c r="B778" s="2">
        <v>45419.735280034722</v>
      </c>
      <c r="C778" t="s">
        <v>3</v>
      </c>
      <c r="D778" t="s">
        <v>167</v>
      </c>
      <c r="E778">
        <v>37.72</v>
      </c>
      <c r="F778" t="s">
        <v>7</v>
      </c>
    </row>
    <row r="779" spans="1:6">
      <c r="A779" s="1">
        <v>45435</v>
      </c>
      <c r="B779" s="2">
        <v>45435.718440243058</v>
      </c>
      <c r="C779" t="s">
        <v>3</v>
      </c>
      <c r="D779" t="s">
        <v>167</v>
      </c>
      <c r="E779">
        <v>37.72</v>
      </c>
      <c r="F779" t="s">
        <v>43</v>
      </c>
    </row>
    <row r="780" spans="1:6">
      <c r="A780" s="1">
        <v>45435</v>
      </c>
      <c r="B780" s="2">
        <v>45435.719269224537</v>
      </c>
      <c r="C780" t="s">
        <v>3</v>
      </c>
      <c r="D780" t="s">
        <v>167</v>
      </c>
      <c r="E780">
        <v>37.72</v>
      </c>
      <c r="F780" t="s">
        <v>7</v>
      </c>
    </row>
    <row r="781" spans="1:6">
      <c r="A781" s="1">
        <v>45462</v>
      </c>
      <c r="B781" s="2">
        <v>45462.769947187502</v>
      </c>
      <c r="C781" t="s">
        <v>3</v>
      </c>
      <c r="D781" t="s">
        <v>167</v>
      </c>
      <c r="E781">
        <v>37.72</v>
      </c>
      <c r="F781" t="s">
        <v>43</v>
      </c>
    </row>
    <row r="782" spans="1:6">
      <c r="A782" s="1">
        <v>45462</v>
      </c>
      <c r="B782" s="2">
        <v>45462.770821307873</v>
      </c>
      <c r="C782" t="s">
        <v>3</v>
      </c>
      <c r="D782" t="s">
        <v>167</v>
      </c>
      <c r="E782">
        <v>37.72</v>
      </c>
      <c r="F782" t="s">
        <v>7</v>
      </c>
    </row>
    <row r="783" spans="1:6">
      <c r="A783" s="1">
        <v>45504</v>
      </c>
      <c r="B783" s="2">
        <v>45504.869615763891</v>
      </c>
      <c r="C783" t="s">
        <v>3</v>
      </c>
      <c r="D783" t="s">
        <v>167</v>
      </c>
      <c r="E783">
        <v>32.82</v>
      </c>
      <c r="F783" t="s">
        <v>43</v>
      </c>
    </row>
    <row r="784" spans="1:6">
      <c r="A784" s="1">
        <v>45419</v>
      </c>
      <c r="B784" s="2">
        <v>45419.800144953704</v>
      </c>
      <c r="C784" t="s">
        <v>3</v>
      </c>
      <c r="D784" t="s">
        <v>168</v>
      </c>
      <c r="E784">
        <v>37.72</v>
      </c>
      <c r="F784" t="s">
        <v>43</v>
      </c>
    </row>
    <row r="785" spans="1:6">
      <c r="A785" s="1">
        <v>45419</v>
      </c>
      <c r="B785" s="2">
        <v>45419.800835590278</v>
      </c>
      <c r="C785" t="s">
        <v>3</v>
      </c>
      <c r="D785" t="s">
        <v>168</v>
      </c>
      <c r="E785">
        <v>37.72</v>
      </c>
      <c r="F785" t="s">
        <v>43</v>
      </c>
    </row>
    <row r="786" spans="1:6">
      <c r="A786" s="1">
        <v>45444</v>
      </c>
      <c r="B786" s="2">
        <v>45444.868176944445</v>
      </c>
      <c r="C786" t="s">
        <v>3</v>
      </c>
      <c r="D786" t="s">
        <v>168</v>
      </c>
      <c r="E786">
        <v>37.72</v>
      </c>
      <c r="F786" t="s">
        <v>43</v>
      </c>
    </row>
    <row r="787" spans="1:6">
      <c r="A787" s="1">
        <v>45444</v>
      </c>
      <c r="B787" s="2">
        <v>45444.868907002317</v>
      </c>
      <c r="C787" t="s">
        <v>3</v>
      </c>
      <c r="D787" t="s">
        <v>168</v>
      </c>
      <c r="E787">
        <v>37.72</v>
      </c>
      <c r="F787" t="s">
        <v>43</v>
      </c>
    </row>
    <row r="788" spans="1:6">
      <c r="A788" s="1">
        <v>45461</v>
      </c>
      <c r="B788" s="2">
        <v>45461.806025127313</v>
      </c>
      <c r="C788" t="s">
        <v>3</v>
      </c>
      <c r="D788" t="s">
        <v>168</v>
      </c>
      <c r="E788">
        <v>37.72</v>
      </c>
      <c r="F788" t="s">
        <v>43</v>
      </c>
    </row>
    <row r="789" spans="1:6">
      <c r="A789" s="1">
        <v>45461</v>
      </c>
      <c r="B789" s="2">
        <v>45461.806700138892</v>
      </c>
      <c r="C789" t="s">
        <v>3</v>
      </c>
      <c r="D789" t="s">
        <v>168</v>
      </c>
      <c r="E789">
        <v>37.72</v>
      </c>
      <c r="F789" t="s">
        <v>43</v>
      </c>
    </row>
    <row r="790" spans="1:6">
      <c r="A790" s="1">
        <v>45464</v>
      </c>
      <c r="B790" s="2">
        <v>45464.824377326389</v>
      </c>
      <c r="C790" t="s">
        <v>3</v>
      </c>
      <c r="D790" t="s">
        <v>168</v>
      </c>
      <c r="E790">
        <v>37.72</v>
      </c>
      <c r="F790" t="s">
        <v>43</v>
      </c>
    </row>
    <row r="791" spans="1:6">
      <c r="A791" s="1">
        <v>45464</v>
      </c>
      <c r="B791" s="2">
        <v>45464.825077696762</v>
      </c>
      <c r="C791" t="s">
        <v>3</v>
      </c>
      <c r="D791" t="s">
        <v>168</v>
      </c>
      <c r="E791">
        <v>37.72</v>
      </c>
      <c r="F791" t="s">
        <v>43</v>
      </c>
    </row>
    <row r="792" spans="1:6">
      <c r="A792" s="1">
        <v>45651</v>
      </c>
      <c r="B792" s="2">
        <v>45651.952116909721</v>
      </c>
      <c r="C792" t="s">
        <v>3</v>
      </c>
      <c r="D792" t="s">
        <v>168</v>
      </c>
      <c r="E792">
        <v>35.76</v>
      </c>
      <c r="F792" t="s">
        <v>43</v>
      </c>
    </row>
    <row r="793" spans="1:6">
      <c r="A793" s="1">
        <v>45651</v>
      </c>
      <c r="B793" s="2">
        <v>45651.953546597222</v>
      </c>
      <c r="C793" t="s">
        <v>3</v>
      </c>
      <c r="D793" t="s">
        <v>168</v>
      </c>
      <c r="E793">
        <v>30.86</v>
      </c>
      <c r="F793" t="s">
        <v>14</v>
      </c>
    </row>
    <row r="794" spans="1:6">
      <c r="A794" s="1">
        <v>45421</v>
      </c>
      <c r="B794" s="2">
        <v>45421.537752453703</v>
      </c>
      <c r="C794" t="s">
        <v>3</v>
      </c>
      <c r="D794" t="s">
        <v>169</v>
      </c>
      <c r="E794">
        <v>37.72</v>
      </c>
      <c r="F794" t="s">
        <v>43</v>
      </c>
    </row>
    <row r="795" spans="1:6">
      <c r="A795" s="1">
        <v>45421</v>
      </c>
      <c r="B795" s="2">
        <v>45421.544427731482</v>
      </c>
      <c r="C795" t="s">
        <v>3</v>
      </c>
      <c r="D795" t="s">
        <v>170</v>
      </c>
      <c r="E795">
        <v>27.92</v>
      </c>
      <c r="F795" t="s">
        <v>11</v>
      </c>
    </row>
    <row r="796" spans="1:6">
      <c r="A796" s="1">
        <v>45421</v>
      </c>
      <c r="B796" s="2">
        <v>45421.54511165509</v>
      </c>
      <c r="C796" t="s">
        <v>3</v>
      </c>
      <c r="D796" t="s">
        <v>170</v>
      </c>
      <c r="E796">
        <v>37.72</v>
      </c>
      <c r="F796" t="s">
        <v>7</v>
      </c>
    </row>
    <row r="797" spans="1:6">
      <c r="A797" s="1">
        <v>45421</v>
      </c>
      <c r="B797" s="2">
        <v>45421.545963668985</v>
      </c>
      <c r="C797" t="s">
        <v>3</v>
      </c>
      <c r="D797" t="s">
        <v>170</v>
      </c>
      <c r="E797">
        <v>37.72</v>
      </c>
      <c r="F797" t="s">
        <v>7</v>
      </c>
    </row>
    <row r="798" spans="1:6">
      <c r="A798" s="1">
        <v>45421</v>
      </c>
      <c r="B798" s="2">
        <v>45421.546717696758</v>
      </c>
      <c r="C798" t="s">
        <v>3</v>
      </c>
      <c r="D798" t="s">
        <v>170</v>
      </c>
      <c r="E798">
        <v>37.72</v>
      </c>
      <c r="F798" t="s">
        <v>7</v>
      </c>
    </row>
    <row r="799" spans="1:6">
      <c r="A799" s="1">
        <v>45421</v>
      </c>
      <c r="B799" s="2">
        <v>45421.751040451389</v>
      </c>
      <c r="C799" t="s">
        <v>3</v>
      </c>
      <c r="D799" t="s">
        <v>171</v>
      </c>
      <c r="E799">
        <v>27.92</v>
      </c>
      <c r="F799" t="s">
        <v>11</v>
      </c>
    </row>
    <row r="800" spans="1:6">
      <c r="A800" s="1">
        <v>45422</v>
      </c>
      <c r="B800" s="2">
        <v>45422.65719341435</v>
      </c>
      <c r="C800" t="s">
        <v>3</v>
      </c>
      <c r="D800" t="s">
        <v>172</v>
      </c>
      <c r="E800">
        <v>37.72</v>
      </c>
      <c r="F800" t="s">
        <v>7</v>
      </c>
    </row>
    <row r="801" spans="1:6">
      <c r="A801" s="1">
        <v>45422</v>
      </c>
      <c r="B801" s="2">
        <v>45422.658015138892</v>
      </c>
      <c r="C801" t="s">
        <v>3</v>
      </c>
      <c r="D801" t="s">
        <v>172</v>
      </c>
      <c r="E801">
        <v>37.72</v>
      </c>
      <c r="F801" t="s">
        <v>7</v>
      </c>
    </row>
    <row r="802" spans="1:6">
      <c r="A802" s="1">
        <v>45423</v>
      </c>
      <c r="B802" s="2">
        <v>45423.818241851855</v>
      </c>
      <c r="C802" t="s">
        <v>3</v>
      </c>
      <c r="D802" t="s">
        <v>173</v>
      </c>
      <c r="E802">
        <v>37.72</v>
      </c>
      <c r="F802" t="s">
        <v>7</v>
      </c>
    </row>
    <row r="803" spans="1:6">
      <c r="A803" s="1">
        <v>45593</v>
      </c>
      <c r="B803" s="2">
        <v>45593.667598460648</v>
      </c>
      <c r="C803" t="s">
        <v>3</v>
      </c>
      <c r="D803" t="s">
        <v>173</v>
      </c>
      <c r="E803">
        <v>35.76</v>
      </c>
      <c r="F803" t="s">
        <v>7</v>
      </c>
    </row>
    <row r="804" spans="1:6">
      <c r="A804" s="1">
        <v>45424</v>
      </c>
      <c r="B804" s="2">
        <v>45424.558373437503</v>
      </c>
      <c r="C804" t="s">
        <v>3</v>
      </c>
      <c r="D804" t="s">
        <v>174</v>
      </c>
      <c r="E804">
        <v>37.72</v>
      </c>
      <c r="F804" t="s">
        <v>7</v>
      </c>
    </row>
    <row r="805" spans="1:6">
      <c r="A805" s="1">
        <v>45424</v>
      </c>
      <c r="B805" s="2">
        <v>45424.560868553242</v>
      </c>
      <c r="C805" t="s">
        <v>3</v>
      </c>
      <c r="D805" t="s">
        <v>175</v>
      </c>
      <c r="E805">
        <v>27.92</v>
      </c>
      <c r="F805" t="s">
        <v>11</v>
      </c>
    </row>
    <row r="806" spans="1:6">
      <c r="A806" s="1">
        <v>45424</v>
      </c>
      <c r="B806" s="2">
        <v>45424.651416921297</v>
      </c>
      <c r="C806" t="s">
        <v>3</v>
      </c>
      <c r="D806" t="s">
        <v>176</v>
      </c>
      <c r="E806">
        <v>32.82</v>
      </c>
      <c r="F806" t="s">
        <v>14</v>
      </c>
    </row>
    <row r="807" spans="1:6">
      <c r="A807" s="1">
        <v>45424</v>
      </c>
      <c r="B807" s="2">
        <v>45424.661283229165</v>
      </c>
      <c r="C807" t="s">
        <v>3</v>
      </c>
      <c r="D807" t="s">
        <v>177</v>
      </c>
      <c r="E807">
        <v>32.82</v>
      </c>
      <c r="F807" t="s">
        <v>14</v>
      </c>
    </row>
    <row r="808" spans="1:6">
      <c r="A808" s="1">
        <v>45425</v>
      </c>
      <c r="B808" s="2">
        <v>45425.461034120373</v>
      </c>
      <c r="C808" t="s">
        <v>3</v>
      </c>
      <c r="D808" t="s">
        <v>178</v>
      </c>
      <c r="E808">
        <v>32.82</v>
      </c>
      <c r="F808" t="s">
        <v>14</v>
      </c>
    </row>
    <row r="809" spans="1:6">
      <c r="A809" s="1">
        <v>45427</v>
      </c>
      <c r="B809" s="2">
        <v>45427.580196747687</v>
      </c>
      <c r="C809" t="s">
        <v>3</v>
      </c>
      <c r="D809" t="s">
        <v>178</v>
      </c>
      <c r="E809">
        <v>32.82</v>
      </c>
      <c r="F809" t="s">
        <v>14</v>
      </c>
    </row>
    <row r="810" spans="1:6">
      <c r="A810" s="1">
        <v>45429</v>
      </c>
      <c r="B810" s="2">
        <v>45429.479485567128</v>
      </c>
      <c r="C810" t="s">
        <v>3</v>
      </c>
      <c r="D810" t="s">
        <v>178</v>
      </c>
      <c r="E810">
        <v>32.82</v>
      </c>
      <c r="F810" t="s">
        <v>14</v>
      </c>
    </row>
    <row r="811" spans="1:6">
      <c r="A811" s="1">
        <v>45450</v>
      </c>
      <c r="B811" s="2">
        <v>45450.565489548608</v>
      </c>
      <c r="C811" t="s">
        <v>3</v>
      </c>
      <c r="D811" t="s">
        <v>178</v>
      </c>
      <c r="E811">
        <v>32.82</v>
      </c>
      <c r="F811" t="s">
        <v>14</v>
      </c>
    </row>
    <row r="812" spans="1:6">
      <c r="A812" s="1">
        <v>45460</v>
      </c>
      <c r="B812" s="2">
        <v>45460.619159502312</v>
      </c>
      <c r="C812" t="s">
        <v>3</v>
      </c>
      <c r="D812" t="s">
        <v>178</v>
      </c>
      <c r="E812">
        <v>37.72</v>
      </c>
      <c r="F812" t="s">
        <v>43</v>
      </c>
    </row>
    <row r="813" spans="1:6">
      <c r="A813" s="1">
        <v>45462</v>
      </c>
      <c r="B813" s="2">
        <v>45462.598336319446</v>
      </c>
      <c r="C813" t="s">
        <v>3</v>
      </c>
      <c r="D813" t="s">
        <v>178</v>
      </c>
      <c r="E813">
        <v>32.82</v>
      </c>
      <c r="F813" t="s">
        <v>14</v>
      </c>
    </row>
    <row r="814" spans="1:6">
      <c r="A814" s="1">
        <v>45467</v>
      </c>
      <c r="B814" s="2">
        <v>45467.489351145836</v>
      </c>
      <c r="C814" t="s">
        <v>3</v>
      </c>
      <c r="D814" t="s">
        <v>178</v>
      </c>
      <c r="E814">
        <v>32.82</v>
      </c>
      <c r="F814" t="s">
        <v>14</v>
      </c>
    </row>
    <row r="815" spans="1:6">
      <c r="A815" s="1">
        <v>45426</v>
      </c>
      <c r="B815" s="2">
        <v>45426.480895509259</v>
      </c>
      <c r="C815" t="s">
        <v>3</v>
      </c>
      <c r="D815" t="s">
        <v>179</v>
      </c>
      <c r="E815">
        <v>37.72</v>
      </c>
      <c r="F815" t="s">
        <v>7</v>
      </c>
    </row>
    <row r="816" spans="1:6">
      <c r="A816" s="1">
        <v>45426</v>
      </c>
      <c r="B816" s="2">
        <v>45426.482093182873</v>
      </c>
      <c r="C816" t="s">
        <v>3</v>
      </c>
      <c r="D816" t="s">
        <v>179</v>
      </c>
      <c r="E816">
        <v>37.72</v>
      </c>
      <c r="F816" t="s">
        <v>43</v>
      </c>
    </row>
    <row r="817" spans="1:6">
      <c r="A817" s="1">
        <v>45426</v>
      </c>
      <c r="B817" s="2">
        <v>45426.706912314818</v>
      </c>
      <c r="C817" t="s">
        <v>3</v>
      </c>
      <c r="D817" t="s">
        <v>180</v>
      </c>
      <c r="E817">
        <v>32.82</v>
      </c>
      <c r="F817" t="s">
        <v>14</v>
      </c>
    </row>
    <row r="818" spans="1:6">
      <c r="A818" s="1">
        <v>45426</v>
      </c>
      <c r="B818" s="2">
        <v>45426.707756875003</v>
      </c>
      <c r="C818" t="s">
        <v>3</v>
      </c>
      <c r="D818" t="s">
        <v>180</v>
      </c>
      <c r="E818">
        <v>37.72</v>
      </c>
      <c r="F818" t="s">
        <v>43</v>
      </c>
    </row>
    <row r="819" spans="1:6">
      <c r="A819" s="1">
        <v>45426</v>
      </c>
      <c r="B819" s="2">
        <v>45426.952375312503</v>
      </c>
      <c r="C819" t="s">
        <v>3</v>
      </c>
      <c r="D819" t="s">
        <v>181</v>
      </c>
      <c r="E819">
        <v>37.72</v>
      </c>
      <c r="F819" t="s">
        <v>9</v>
      </c>
    </row>
    <row r="820" spans="1:6">
      <c r="A820" s="1">
        <v>45427</v>
      </c>
      <c r="B820" s="2">
        <v>45427.361176631945</v>
      </c>
      <c r="C820" t="s">
        <v>3</v>
      </c>
      <c r="D820" t="s">
        <v>182</v>
      </c>
      <c r="E820">
        <v>37.72</v>
      </c>
      <c r="F820" t="s">
        <v>7</v>
      </c>
    </row>
    <row r="821" spans="1:6">
      <c r="A821" s="1">
        <v>45538</v>
      </c>
      <c r="B821" s="2">
        <v>45538.35292164352</v>
      </c>
      <c r="C821" t="s">
        <v>3</v>
      </c>
      <c r="D821" t="s">
        <v>182</v>
      </c>
      <c r="E821">
        <v>32.82</v>
      </c>
      <c r="F821" t="s">
        <v>43</v>
      </c>
    </row>
    <row r="822" spans="1:6">
      <c r="A822" s="1">
        <v>45427</v>
      </c>
      <c r="B822" s="2">
        <v>45427.610328090275</v>
      </c>
      <c r="C822" t="s">
        <v>3</v>
      </c>
      <c r="D822" t="s">
        <v>183</v>
      </c>
      <c r="E822">
        <v>27.92</v>
      </c>
      <c r="F822" t="s">
        <v>28</v>
      </c>
    </row>
    <row r="823" spans="1:6">
      <c r="A823" s="1">
        <v>45427</v>
      </c>
      <c r="B823" s="2">
        <v>45427.728456249999</v>
      </c>
      <c r="C823" t="s">
        <v>3</v>
      </c>
      <c r="D823" t="s">
        <v>184</v>
      </c>
      <c r="E823">
        <v>23.02</v>
      </c>
      <c r="F823" t="s">
        <v>35</v>
      </c>
    </row>
    <row r="824" spans="1:6">
      <c r="A824" s="1">
        <v>45427</v>
      </c>
      <c r="B824" s="2">
        <v>45427.847624641203</v>
      </c>
      <c r="C824" t="s">
        <v>3</v>
      </c>
      <c r="D824" t="s">
        <v>185</v>
      </c>
      <c r="E824">
        <v>37.72</v>
      </c>
      <c r="F824" t="s">
        <v>43</v>
      </c>
    </row>
    <row r="825" spans="1:6">
      <c r="A825" s="1">
        <v>45428</v>
      </c>
      <c r="B825" s="2">
        <v>45428.444322118055</v>
      </c>
      <c r="C825" t="s">
        <v>3</v>
      </c>
      <c r="D825" t="s">
        <v>186</v>
      </c>
      <c r="E825">
        <v>32.82</v>
      </c>
      <c r="F825" t="s">
        <v>14</v>
      </c>
    </row>
    <row r="826" spans="1:6">
      <c r="A826" s="1">
        <v>45430</v>
      </c>
      <c r="B826" s="2">
        <v>45430.700339976851</v>
      </c>
      <c r="C826" t="s">
        <v>3</v>
      </c>
      <c r="D826" t="s">
        <v>186</v>
      </c>
      <c r="E826">
        <v>32.82</v>
      </c>
      <c r="F826" t="s">
        <v>14</v>
      </c>
    </row>
    <row r="827" spans="1:6">
      <c r="A827" s="1">
        <v>45564</v>
      </c>
      <c r="B827" s="2">
        <v>45564.451449745371</v>
      </c>
      <c r="C827" t="s">
        <v>3</v>
      </c>
      <c r="D827" t="s">
        <v>186</v>
      </c>
      <c r="E827">
        <v>35.76</v>
      </c>
      <c r="F827" t="s">
        <v>43</v>
      </c>
    </row>
    <row r="828" spans="1:6">
      <c r="A828" s="1">
        <v>45564</v>
      </c>
      <c r="B828" s="2">
        <v>45564.452120983799</v>
      </c>
      <c r="C828" t="s">
        <v>3</v>
      </c>
      <c r="D828" t="s">
        <v>186</v>
      </c>
      <c r="E828">
        <v>35.76</v>
      </c>
      <c r="F828" t="s">
        <v>43</v>
      </c>
    </row>
    <row r="829" spans="1:6">
      <c r="A829" s="1">
        <v>45564</v>
      </c>
      <c r="B829" s="2">
        <v>45564.453044224538</v>
      </c>
      <c r="C829" t="s">
        <v>3</v>
      </c>
      <c r="D829" t="s">
        <v>186</v>
      </c>
      <c r="E829">
        <v>35.76</v>
      </c>
      <c r="F829" t="s">
        <v>43</v>
      </c>
    </row>
    <row r="830" spans="1:6">
      <c r="A830" s="1">
        <v>45619</v>
      </c>
      <c r="B830" s="2">
        <v>45619.460412523149</v>
      </c>
      <c r="C830" t="s">
        <v>3</v>
      </c>
      <c r="D830" t="s">
        <v>186</v>
      </c>
      <c r="E830">
        <v>35.76</v>
      </c>
      <c r="F830" t="s">
        <v>43</v>
      </c>
    </row>
    <row r="831" spans="1:6">
      <c r="A831" s="1">
        <v>45428</v>
      </c>
      <c r="B831" s="2">
        <v>45428.509723344905</v>
      </c>
      <c r="C831" t="s">
        <v>3</v>
      </c>
      <c r="D831" t="s">
        <v>187</v>
      </c>
      <c r="E831">
        <v>32.82</v>
      </c>
      <c r="F831" t="s">
        <v>14</v>
      </c>
    </row>
    <row r="832" spans="1:6">
      <c r="A832" s="1">
        <v>45428</v>
      </c>
      <c r="B832" s="2">
        <v>45428.635605497686</v>
      </c>
      <c r="C832" t="s">
        <v>3</v>
      </c>
      <c r="D832" t="s">
        <v>188</v>
      </c>
      <c r="E832">
        <v>37.72</v>
      </c>
      <c r="F832" t="s">
        <v>9</v>
      </c>
    </row>
    <row r="833" spans="1:6">
      <c r="A833" s="1">
        <v>45428</v>
      </c>
      <c r="B833" s="2">
        <v>45428.758992291667</v>
      </c>
      <c r="C833" t="s">
        <v>3</v>
      </c>
      <c r="D833" t="s">
        <v>189</v>
      </c>
      <c r="E833">
        <v>37.72</v>
      </c>
      <c r="F833" t="s">
        <v>9</v>
      </c>
    </row>
    <row r="834" spans="1:6">
      <c r="A834" s="1">
        <v>45428</v>
      </c>
      <c r="B834" s="2">
        <v>45428.759701284725</v>
      </c>
      <c r="C834" t="s">
        <v>3</v>
      </c>
      <c r="D834" t="s">
        <v>189</v>
      </c>
      <c r="E834">
        <v>37.72</v>
      </c>
      <c r="F834" t="s">
        <v>7</v>
      </c>
    </row>
    <row r="835" spans="1:6">
      <c r="A835" s="1">
        <v>45429</v>
      </c>
      <c r="B835" s="2">
        <v>45429.859640393515</v>
      </c>
      <c r="C835" t="s">
        <v>3</v>
      </c>
      <c r="D835" t="s">
        <v>190</v>
      </c>
      <c r="E835">
        <v>37.72</v>
      </c>
      <c r="F835" t="s">
        <v>43</v>
      </c>
    </row>
    <row r="836" spans="1:6">
      <c r="A836" s="1">
        <v>45429</v>
      </c>
      <c r="B836" s="2">
        <v>45429.940865706019</v>
      </c>
      <c r="C836" t="s">
        <v>3</v>
      </c>
      <c r="D836" t="s">
        <v>191</v>
      </c>
      <c r="E836">
        <v>27.92</v>
      </c>
      <c r="F836" t="s">
        <v>11</v>
      </c>
    </row>
    <row r="837" spans="1:6">
      <c r="A837" s="1">
        <v>45485</v>
      </c>
      <c r="B837" s="2">
        <v>45485.940443368054</v>
      </c>
      <c r="C837" t="s">
        <v>3</v>
      </c>
      <c r="D837" t="s">
        <v>191</v>
      </c>
      <c r="E837">
        <v>32.82</v>
      </c>
      <c r="F837" t="s">
        <v>9</v>
      </c>
    </row>
    <row r="838" spans="1:6">
      <c r="A838" s="1">
        <v>45429</v>
      </c>
      <c r="B838" s="2">
        <v>45429.942052743056</v>
      </c>
      <c r="C838" t="s">
        <v>3</v>
      </c>
      <c r="D838" t="s">
        <v>192</v>
      </c>
      <c r="E838">
        <v>37.72</v>
      </c>
      <c r="F838" t="s">
        <v>7</v>
      </c>
    </row>
    <row r="839" spans="1:6">
      <c r="A839" s="1">
        <v>45485</v>
      </c>
      <c r="B839" s="2">
        <v>45485.939879502315</v>
      </c>
      <c r="C839" t="s">
        <v>3</v>
      </c>
      <c r="D839" t="s">
        <v>192</v>
      </c>
      <c r="E839">
        <v>32.82</v>
      </c>
      <c r="F839" t="s">
        <v>9</v>
      </c>
    </row>
    <row r="840" spans="1:6">
      <c r="A840" s="1">
        <v>45429</v>
      </c>
      <c r="B840" s="2">
        <v>45429.942856724534</v>
      </c>
      <c r="C840" t="s">
        <v>3</v>
      </c>
      <c r="D840" t="s">
        <v>193</v>
      </c>
      <c r="E840">
        <v>37.72</v>
      </c>
      <c r="F840" t="s">
        <v>7</v>
      </c>
    </row>
    <row r="841" spans="1:6">
      <c r="A841" s="1">
        <v>45485</v>
      </c>
      <c r="B841" s="2">
        <v>45485.94131386574</v>
      </c>
      <c r="C841" t="s">
        <v>3</v>
      </c>
      <c r="D841" t="s">
        <v>193</v>
      </c>
      <c r="E841">
        <v>32.82</v>
      </c>
      <c r="F841" t="s">
        <v>9</v>
      </c>
    </row>
    <row r="842" spans="1:6">
      <c r="A842" s="1">
        <v>45537</v>
      </c>
      <c r="B842" s="2">
        <v>45537.841179814815</v>
      </c>
      <c r="C842" t="s">
        <v>3</v>
      </c>
      <c r="D842" t="s">
        <v>193</v>
      </c>
      <c r="E842">
        <v>32.82</v>
      </c>
      <c r="F842" t="s">
        <v>18</v>
      </c>
    </row>
    <row r="843" spans="1:6">
      <c r="A843" s="1">
        <v>45430</v>
      </c>
      <c r="B843" s="2">
        <v>45430.334466412038</v>
      </c>
      <c r="C843" t="s">
        <v>3</v>
      </c>
      <c r="D843" t="s">
        <v>194</v>
      </c>
      <c r="E843">
        <v>37.72</v>
      </c>
      <c r="F843" t="s">
        <v>43</v>
      </c>
    </row>
    <row r="844" spans="1:6">
      <c r="A844" s="1">
        <v>45430</v>
      </c>
      <c r="B844" s="2">
        <v>45430.335184710646</v>
      </c>
      <c r="C844" t="s">
        <v>3</v>
      </c>
      <c r="D844" t="s">
        <v>194</v>
      </c>
      <c r="E844">
        <v>37.72</v>
      </c>
      <c r="F844" t="s">
        <v>43</v>
      </c>
    </row>
    <row r="845" spans="1:6">
      <c r="A845" s="1">
        <v>45434</v>
      </c>
      <c r="B845" s="2">
        <v>45434.891585648147</v>
      </c>
      <c r="C845" t="s">
        <v>3</v>
      </c>
      <c r="D845" t="s">
        <v>194</v>
      </c>
      <c r="E845">
        <v>37.72</v>
      </c>
      <c r="F845" t="s">
        <v>9</v>
      </c>
    </row>
    <row r="846" spans="1:6">
      <c r="A846" s="1">
        <v>45434</v>
      </c>
      <c r="B846" s="2">
        <v>45434.892240555557</v>
      </c>
      <c r="C846" t="s">
        <v>3</v>
      </c>
      <c r="D846" t="s">
        <v>194</v>
      </c>
      <c r="E846">
        <v>37.72</v>
      </c>
      <c r="F846" t="s">
        <v>43</v>
      </c>
    </row>
    <row r="847" spans="1:6">
      <c r="A847" s="1">
        <v>45435</v>
      </c>
      <c r="B847" s="2">
        <v>45435.663386898152</v>
      </c>
      <c r="C847" t="s">
        <v>3</v>
      </c>
      <c r="D847" t="s">
        <v>194</v>
      </c>
      <c r="E847">
        <v>37.72</v>
      </c>
      <c r="F847" t="s">
        <v>43</v>
      </c>
    </row>
    <row r="848" spans="1:6">
      <c r="A848" s="1">
        <v>45435</v>
      </c>
      <c r="B848" s="2">
        <v>45435.679329317129</v>
      </c>
      <c r="C848" t="s">
        <v>3</v>
      </c>
      <c r="D848" t="s">
        <v>194</v>
      </c>
      <c r="E848">
        <v>37.72</v>
      </c>
      <c r="F848" t="s">
        <v>43</v>
      </c>
    </row>
    <row r="849" spans="1:6">
      <c r="A849" s="1">
        <v>45443</v>
      </c>
      <c r="B849" s="2">
        <v>45443.837953310183</v>
      </c>
      <c r="C849" t="s">
        <v>3</v>
      </c>
      <c r="D849" t="s">
        <v>194</v>
      </c>
      <c r="E849">
        <v>37.72</v>
      </c>
      <c r="F849" t="s">
        <v>43</v>
      </c>
    </row>
    <row r="850" spans="1:6">
      <c r="A850" s="1">
        <v>45464</v>
      </c>
      <c r="B850" s="2">
        <v>45464.826325289352</v>
      </c>
      <c r="C850" t="s">
        <v>3</v>
      </c>
      <c r="D850" t="s">
        <v>194</v>
      </c>
      <c r="E850">
        <v>37.72</v>
      </c>
      <c r="F850" t="s">
        <v>43</v>
      </c>
    </row>
    <row r="851" spans="1:6">
      <c r="A851" s="1">
        <v>45464</v>
      </c>
      <c r="B851" s="2">
        <v>45464.827085775461</v>
      </c>
      <c r="C851" t="s">
        <v>3</v>
      </c>
      <c r="D851" t="s">
        <v>194</v>
      </c>
      <c r="E851">
        <v>37.72</v>
      </c>
      <c r="F851" t="s">
        <v>43</v>
      </c>
    </row>
    <row r="852" spans="1:6">
      <c r="A852" s="1">
        <v>45464</v>
      </c>
      <c r="B852" s="2">
        <v>45464.827995081017</v>
      </c>
      <c r="C852" t="s">
        <v>3</v>
      </c>
      <c r="D852" t="s">
        <v>194</v>
      </c>
      <c r="E852">
        <v>27.92</v>
      </c>
      <c r="F852" t="s">
        <v>11</v>
      </c>
    </row>
    <row r="853" spans="1:6">
      <c r="A853" s="1">
        <v>45467</v>
      </c>
      <c r="B853" s="2">
        <v>45467.492778287036</v>
      </c>
      <c r="C853" t="s">
        <v>3</v>
      </c>
      <c r="D853" t="s">
        <v>194</v>
      </c>
      <c r="E853">
        <v>37.72</v>
      </c>
      <c r="F853" t="s">
        <v>43</v>
      </c>
    </row>
    <row r="854" spans="1:6">
      <c r="A854" s="1">
        <v>45467</v>
      </c>
      <c r="B854" s="2">
        <v>45467.49356574074</v>
      </c>
      <c r="C854" t="s">
        <v>3</v>
      </c>
      <c r="D854" t="s">
        <v>194</v>
      </c>
      <c r="E854">
        <v>37.72</v>
      </c>
      <c r="F854" t="s">
        <v>43</v>
      </c>
    </row>
    <row r="855" spans="1:6">
      <c r="A855" s="1">
        <v>45430</v>
      </c>
      <c r="B855" s="2">
        <v>45430.469399178241</v>
      </c>
      <c r="C855" t="s">
        <v>3</v>
      </c>
      <c r="D855" t="s">
        <v>195</v>
      </c>
      <c r="E855">
        <v>32.82</v>
      </c>
      <c r="F855" t="s">
        <v>14</v>
      </c>
    </row>
    <row r="856" spans="1:6">
      <c r="A856" s="1">
        <v>45536</v>
      </c>
      <c r="B856" s="2">
        <v>45536.520933101849</v>
      </c>
      <c r="C856" t="s">
        <v>3</v>
      </c>
      <c r="D856" t="s">
        <v>195</v>
      </c>
      <c r="E856">
        <v>27.92</v>
      </c>
      <c r="F856" t="s">
        <v>14</v>
      </c>
    </row>
    <row r="857" spans="1:6">
      <c r="A857" s="1">
        <v>45536</v>
      </c>
      <c r="B857" s="2">
        <v>45536.522476932871</v>
      </c>
      <c r="C857" t="s">
        <v>3</v>
      </c>
      <c r="D857" t="s">
        <v>195</v>
      </c>
      <c r="E857">
        <v>23.02</v>
      </c>
      <c r="F857" t="s">
        <v>11</v>
      </c>
    </row>
    <row r="858" spans="1:6">
      <c r="A858" s="1">
        <v>45431</v>
      </c>
      <c r="B858" s="2">
        <v>45431.332387870367</v>
      </c>
      <c r="C858" t="s">
        <v>3</v>
      </c>
      <c r="D858" t="s">
        <v>196</v>
      </c>
      <c r="E858">
        <v>27.92</v>
      </c>
      <c r="F858" t="s">
        <v>11</v>
      </c>
    </row>
    <row r="859" spans="1:6">
      <c r="A859" s="1">
        <v>45431</v>
      </c>
      <c r="B859" s="2">
        <v>45431.333027187502</v>
      </c>
      <c r="C859" t="s">
        <v>3</v>
      </c>
      <c r="D859" t="s">
        <v>196</v>
      </c>
      <c r="E859">
        <v>27.92</v>
      </c>
      <c r="F859" t="s">
        <v>11</v>
      </c>
    </row>
    <row r="860" spans="1:6">
      <c r="A860" s="1">
        <v>45431</v>
      </c>
      <c r="B860" s="2">
        <v>45431.333739131944</v>
      </c>
      <c r="C860" t="s">
        <v>3</v>
      </c>
      <c r="D860" t="s">
        <v>197</v>
      </c>
      <c r="E860">
        <v>37.72</v>
      </c>
      <c r="F860" t="s">
        <v>43</v>
      </c>
    </row>
    <row r="861" spans="1:6">
      <c r="A861" s="1">
        <v>45431</v>
      </c>
      <c r="B861" s="2">
        <v>45431.510030972226</v>
      </c>
      <c r="C861" t="s">
        <v>3</v>
      </c>
      <c r="D861" t="s">
        <v>198</v>
      </c>
      <c r="E861">
        <v>32.82</v>
      </c>
      <c r="F861" t="s">
        <v>14</v>
      </c>
    </row>
    <row r="862" spans="1:6">
      <c r="A862" s="1">
        <v>45431</v>
      </c>
      <c r="B862" s="2">
        <v>45431.665951296294</v>
      </c>
      <c r="C862" t="s">
        <v>3</v>
      </c>
      <c r="D862" t="s">
        <v>199</v>
      </c>
      <c r="E862">
        <v>32.82</v>
      </c>
      <c r="F862" t="s">
        <v>14</v>
      </c>
    </row>
    <row r="863" spans="1:6">
      <c r="A863" s="1">
        <v>45431</v>
      </c>
      <c r="B863" s="2">
        <v>45431.758753518516</v>
      </c>
      <c r="C863" t="s">
        <v>3</v>
      </c>
      <c r="D863" t="s">
        <v>200</v>
      </c>
      <c r="E863">
        <v>32.82</v>
      </c>
      <c r="F863" t="s">
        <v>14</v>
      </c>
    </row>
    <row r="864" spans="1:6">
      <c r="A864" s="1">
        <v>45431</v>
      </c>
      <c r="B864" s="2">
        <v>45431.759580578706</v>
      </c>
      <c r="C864" t="s">
        <v>3</v>
      </c>
      <c r="D864" t="s">
        <v>200</v>
      </c>
      <c r="E864">
        <v>23.02</v>
      </c>
      <c r="F864" t="s">
        <v>35</v>
      </c>
    </row>
    <row r="865" spans="1:6">
      <c r="A865" s="1">
        <v>45431</v>
      </c>
      <c r="B865" s="2">
        <v>45431.761458587964</v>
      </c>
      <c r="C865" t="s">
        <v>3</v>
      </c>
      <c r="D865" t="s">
        <v>200</v>
      </c>
      <c r="E865">
        <v>37.72</v>
      </c>
      <c r="F865" t="s">
        <v>9</v>
      </c>
    </row>
    <row r="866" spans="1:6">
      <c r="A866" s="1">
        <v>45431</v>
      </c>
      <c r="B866" s="2">
        <v>45431.827164108799</v>
      </c>
      <c r="C866" t="s">
        <v>3</v>
      </c>
      <c r="D866" t="s">
        <v>201</v>
      </c>
      <c r="E866">
        <v>37.72</v>
      </c>
      <c r="F866" t="s">
        <v>43</v>
      </c>
    </row>
    <row r="867" spans="1:6">
      <c r="A867" s="1">
        <v>45431</v>
      </c>
      <c r="B867" s="2">
        <v>45431.885900011577</v>
      </c>
      <c r="C867" t="s">
        <v>3</v>
      </c>
      <c r="D867" t="s">
        <v>202</v>
      </c>
      <c r="E867">
        <v>37.72</v>
      </c>
      <c r="F867" t="s">
        <v>43</v>
      </c>
    </row>
    <row r="868" spans="1:6">
      <c r="A868" s="1">
        <v>45431</v>
      </c>
      <c r="B868" s="2">
        <v>45431.887917835651</v>
      </c>
      <c r="C868" t="s">
        <v>3</v>
      </c>
      <c r="D868" t="s">
        <v>203</v>
      </c>
      <c r="E868">
        <v>37.72</v>
      </c>
      <c r="F868" t="s">
        <v>43</v>
      </c>
    </row>
    <row r="869" spans="1:6">
      <c r="A869" s="1">
        <v>45432</v>
      </c>
      <c r="B869" s="2">
        <v>45432.420823645836</v>
      </c>
      <c r="C869" t="s">
        <v>3</v>
      </c>
      <c r="D869" t="s">
        <v>204</v>
      </c>
      <c r="E869">
        <v>32.82</v>
      </c>
      <c r="F869" t="s">
        <v>14</v>
      </c>
    </row>
    <row r="870" spans="1:6">
      <c r="A870" s="1">
        <v>45432</v>
      </c>
      <c r="B870" s="2">
        <v>45432.429072534724</v>
      </c>
      <c r="C870" t="s">
        <v>3</v>
      </c>
      <c r="D870" t="s">
        <v>205</v>
      </c>
      <c r="E870">
        <v>37.72</v>
      </c>
      <c r="F870" t="s">
        <v>7</v>
      </c>
    </row>
    <row r="871" spans="1:6">
      <c r="A871" s="1">
        <v>45434</v>
      </c>
      <c r="B871" s="2">
        <v>45434.451238935188</v>
      </c>
      <c r="C871" t="s">
        <v>3</v>
      </c>
      <c r="D871" t="s">
        <v>205</v>
      </c>
      <c r="E871">
        <v>32.82</v>
      </c>
      <c r="F871" t="s">
        <v>14</v>
      </c>
    </row>
    <row r="872" spans="1:6">
      <c r="A872" s="1">
        <v>45446</v>
      </c>
      <c r="B872" s="2">
        <v>45446.43599302083</v>
      </c>
      <c r="C872" t="s">
        <v>3</v>
      </c>
      <c r="D872" t="s">
        <v>205</v>
      </c>
      <c r="E872">
        <v>37.72</v>
      </c>
      <c r="F872" t="s">
        <v>7</v>
      </c>
    </row>
    <row r="873" spans="1:6">
      <c r="A873" s="1">
        <v>45432</v>
      </c>
      <c r="B873" s="2">
        <v>45432.592581215278</v>
      </c>
      <c r="C873" t="s">
        <v>3</v>
      </c>
      <c r="D873" t="s">
        <v>206</v>
      </c>
      <c r="E873">
        <v>32.82</v>
      </c>
      <c r="F873" t="s">
        <v>14</v>
      </c>
    </row>
    <row r="874" spans="1:6">
      <c r="A874" s="1">
        <v>45432</v>
      </c>
      <c r="B874" s="2">
        <v>45432.593418449076</v>
      </c>
      <c r="C874" t="s">
        <v>3</v>
      </c>
      <c r="D874" t="s">
        <v>206</v>
      </c>
      <c r="E874">
        <v>37.72</v>
      </c>
      <c r="F874" t="s">
        <v>43</v>
      </c>
    </row>
    <row r="875" spans="1:6">
      <c r="A875" s="1">
        <v>45439</v>
      </c>
      <c r="B875" s="2">
        <v>45439.895220891201</v>
      </c>
      <c r="C875" t="s">
        <v>3</v>
      </c>
      <c r="D875" t="s">
        <v>206</v>
      </c>
      <c r="E875">
        <v>32.82</v>
      </c>
      <c r="F875" t="s">
        <v>14</v>
      </c>
    </row>
    <row r="876" spans="1:6">
      <c r="A876" s="1">
        <v>45447</v>
      </c>
      <c r="B876" s="2">
        <v>45447.74070209491</v>
      </c>
      <c r="C876" t="s">
        <v>3</v>
      </c>
      <c r="D876" t="s">
        <v>206</v>
      </c>
      <c r="E876">
        <v>27.92</v>
      </c>
      <c r="F876" t="s">
        <v>28</v>
      </c>
    </row>
    <row r="877" spans="1:6">
      <c r="A877" s="1">
        <v>45447</v>
      </c>
      <c r="B877" s="2">
        <v>45447.741306099539</v>
      </c>
      <c r="C877" t="s">
        <v>3</v>
      </c>
      <c r="D877" t="s">
        <v>206</v>
      </c>
      <c r="E877">
        <v>37.72</v>
      </c>
      <c r="F877" t="s">
        <v>43</v>
      </c>
    </row>
    <row r="878" spans="1:6">
      <c r="A878" s="1">
        <v>45462</v>
      </c>
      <c r="B878" s="2">
        <v>45462.895132928243</v>
      </c>
      <c r="C878" t="s">
        <v>3</v>
      </c>
      <c r="D878" t="s">
        <v>206</v>
      </c>
      <c r="E878">
        <v>37.72</v>
      </c>
      <c r="F878" t="s">
        <v>43</v>
      </c>
    </row>
    <row r="879" spans="1:6">
      <c r="A879" s="1">
        <v>45462</v>
      </c>
      <c r="B879" s="2">
        <v>45462.895873657406</v>
      </c>
      <c r="C879" t="s">
        <v>3</v>
      </c>
      <c r="D879" t="s">
        <v>206</v>
      </c>
      <c r="E879">
        <v>32.82</v>
      </c>
      <c r="F879" t="s">
        <v>14</v>
      </c>
    </row>
    <row r="880" spans="1:6">
      <c r="A880" s="1">
        <v>45521</v>
      </c>
      <c r="B880" s="2">
        <v>45521.690150196759</v>
      </c>
      <c r="C880" t="s">
        <v>3</v>
      </c>
      <c r="D880" t="s">
        <v>206</v>
      </c>
      <c r="E880">
        <v>32.82</v>
      </c>
      <c r="F880" t="s">
        <v>7</v>
      </c>
    </row>
    <row r="881" spans="1:6">
      <c r="A881" s="1">
        <v>45432</v>
      </c>
      <c r="B881" s="2">
        <v>45432.718019641201</v>
      </c>
      <c r="C881" t="s">
        <v>3</v>
      </c>
      <c r="D881" t="s">
        <v>207</v>
      </c>
      <c r="E881">
        <v>37.72</v>
      </c>
      <c r="F881" t="s">
        <v>7</v>
      </c>
    </row>
    <row r="882" spans="1:6">
      <c r="A882" s="1">
        <v>45432</v>
      </c>
      <c r="B882" s="2">
        <v>45432.858892592594</v>
      </c>
      <c r="C882" t="s">
        <v>3</v>
      </c>
      <c r="D882" t="s">
        <v>208</v>
      </c>
      <c r="E882">
        <v>32.82</v>
      </c>
      <c r="F882" t="s">
        <v>14</v>
      </c>
    </row>
    <row r="883" spans="1:6">
      <c r="A883" s="1">
        <v>45432</v>
      </c>
      <c r="B883" s="2">
        <v>45432.859691157406</v>
      </c>
      <c r="C883" t="s">
        <v>3</v>
      </c>
      <c r="D883" t="s">
        <v>208</v>
      </c>
      <c r="E883">
        <v>37.72</v>
      </c>
      <c r="F883" t="s">
        <v>18</v>
      </c>
    </row>
    <row r="884" spans="1:6">
      <c r="A884" s="1">
        <v>45440</v>
      </c>
      <c r="B884" s="2">
        <v>45440.590899201386</v>
      </c>
      <c r="C884" t="s">
        <v>3</v>
      </c>
      <c r="D884" t="s">
        <v>208</v>
      </c>
      <c r="E884">
        <v>37.72</v>
      </c>
      <c r="F884" t="s">
        <v>18</v>
      </c>
    </row>
    <row r="885" spans="1:6">
      <c r="A885" s="1">
        <v>45482</v>
      </c>
      <c r="B885" s="2">
        <v>45482.473334525464</v>
      </c>
      <c r="C885" t="s">
        <v>3</v>
      </c>
      <c r="D885" t="s">
        <v>208</v>
      </c>
      <c r="E885">
        <v>27.92</v>
      </c>
      <c r="F885" t="s">
        <v>14</v>
      </c>
    </row>
    <row r="886" spans="1:6">
      <c r="A886" s="1">
        <v>45482</v>
      </c>
      <c r="B886" s="2">
        <v>45482.474188703702</v>
      </c>
      <c r="C886" t="s">
        <v>3</v>
      </c>
      <c r="D886" t="s">
        <v>208</v>
      </c>
      <c r="E886">
        <v>32.82</v>
      </c>
      <c r="F886" t="s">
        <v>43</v>
      </c>
    </row>
    <row r="887" spans="1:6">
      <c r="A887" s="1">
        <v>45432</v>
      </c>
      <c r="B887" s="2">
        <v>45432.865880613426</v>
      </c>
      <c r="C887" t="s">
        <v>3</v>
      </c>
      <c r="D887" t="s">
        <v>209</v>
      </c>
      <c r="E887">
        <v>27.92</v>
      </c>
      <c r="F887" t="s">
        <v>28</v>
      </c>
    </row>
    <row r="888" spans="1:6">
      <c r="A888" s="1">
        <v>45571</v>
      </c>
      <c r="B888" s="2">
        <v>45571.420644004633</v>
      </c>
      <c r="C888" t="s">
        <v>3</v>
      </c>
      <c r="D888" t="s">
        <v>209</v>
      </c>
      <c r="E888">
        <v>35.76</v>
      </c>
      <c r="F888" t="s">
        <v>43</v>
      </c>
    </row>
    <row r="889" spans="1:6">
      <c r="A889" s="1">
        <v>45571</v>
      </c>
      <c r="B889" s="2">
        <v>45571.421378888888</v>
      </c>
      <c r="C889" t="s">
        <v>3</v>
      </c>
      <c r="D889" t="s">
        <v>209</v>
      </c>
      <c r="E889">
        <v>25.96</v>
      </c>
      <c r="F889" t="s">
        <v>28</v>
      </c>
    </row>
    <row r="890" spans="1:6">
      <c r="A890" s="1">
        <v>45657</v>
      </c>
      <c r="B890" s="2">
        <v>45657.466328333336</v>
      </c>
      <c r="C890" t="s">
        <v>3</v>
      </c>
      <c r="D890" t="s">
        <v>209</v>
      </c>
      <c r="E890">
        <v>35.76</v>
      </c>
      <c r="F890" t="s">
        <v>43</v>
      </c>
    </row>
    <row r="891" spans="1:6">
      <c r="A891" s="1">
        <v>45657</v>
      </c>
      <c r="B891" s="2">
        <v>45657.467153391204</v>
      </c>
      <c r="C891" t="s">
        <v>3</v>
      </c>
      <c r="D891" t="s">
        <v>209</v>
      </c>
      <c r="E891">
        <v>30.86</v>
      </c>
      <c r="F891" t="s">
        <v>14</v>
      </c>
    </row>
    <row r="892" spans="1:6">
      <c r="A892" s="1">
        <v>45433</v>
      </c>
      <c r="B892" s="2">
        <v>45433.352525810187</v>
      </c>
      <c r="C892" t="s">
        <v>3</v>
      </c>
      <c r="D892" t="s">
        <v>210</v>
      </c>
      <c r="E892">
        <v>37.72</v>
      </c>
      <c r="F892" t="s">
        <v>7</v>
      </c>
    </row>
    <row r="893" spans="1:6">
      <c r="A893" s="1">
        <v>45433</v>
      </c>
      <c r="B893" s="2">
        <v>45433.673842083335</v>
      </c>
      <c r="C893" t="s">
        <v>3</v>
      </c>
      <c r="D893" t="s">
        <v>211</v>
      </c>
      <c r="E893">
        <v>37.72</v>
      </c>
      <c r="F893" t="s">
        <v>7</v>
      </c>
    </row>
    <row r="894" spans="1:6">
      <c r="A894" s="1">
        <v>45496</v>
      </c>
      <c r="B894" s="2">
        <v>45496.342317465278</v>
      </c>
      <c r="C894" t="s">
        <v>3</v>
      </c>
      <c r="D894" t="s">
        <v>211</v>
      </c>
      <c r="E894">
        <v>32.82</v>
      </c>
      <c r="F894" t="s">
        <v>7</v>
      </c>
    </row>
    <row r="895" spans="1:6">
      <c r="A895" s="1">
        <v>45685</v>
      </c>
      <c r="B895" s="2">
        <v>45685.351814756941</v>
      </c>
      <c r="C895" t="s">
        <v>3</v>
      </c>
      <c r="D895" t="s">
        <v>211</v>
      </c>
      <c r="E895">
        <v>35.76</v>
      </c>
      <c r="F895" t="s">
        <v>7</v>
      </c>
    </row>
    <row r="896" spans="1:6">
      <c r="A896" s="1">
        <v>45433</v>
      </c>
      <c r="B896" s="2">
        <v>45433.799412175926</v>
      </c>
      <c r="C896" t="s">
        <v>3</v>
      </c>
      <c r="D896" t="s">
        <v>212</v>
      </c>
      <c r="E896">
        <v>37.72</v>
      </c>
      <c r="F896" t="s">
        <v>43</v>
      </c>
    </row>
    <row r="897" spans="1:6">
      <c r="A897" s="1">
        <v>45433</v>
      </c>
      <c r="B897" s="2">
        <v>45433.842920810188</v>
      </c>
      <c r="C897" t="s">
        <v>3</v>
      </c>
      <c r="D897" t="s">
        <v>213</v>
      </c>
      <c r="E897">
        <v>37.72</v>
      </c>
      <c r="F897" t="s">
        <v>43</v>
      </c>
    </row>
    <row r="898" spans="1:6">
      <c r="A898" s="1">
        <v>45434</v>
      </c>
      <c r="B898" s="2">
        <v>45434.399095115739</v>
      </c>
      <c r="C898" t="s">
        <v>3</v>
      </c>
      <c r="D898" t="s">
        <v>214</v>
      </c>
      <c r="E898">
        <v>37.72</v>
      </c>
      <c r="F898" t="s">
        <v>43</v>
      </c>
    </row>
    <row r="899" spans="1:6">
      <c r="A899" s="1">
        <v>45435</v>
      </c>
      <c r="B899" s="2">
        <v>45435.423838425922</v>
      </c>
      <c r="C899" t="s">
        <v>3</v>
      </c>
      <c r="D899" t="s">
        <v>215</v>
      </c>
      <c r="E899">
        <v>37.72</v>
      </c>
      <c r="F899" t="s">
        <v>43</v>
      </c>
    </row>
    <row r="900" spans="1:6">
      <c r="A900" s="1">
        <v>45435</v>
      </c>
      <c r="B900" s="2">
        <v>45435.515354224539</v>
      </c>
      <c r="C900" t="s">
        <v>3</v>
      </c>
      <c r="D900" t="s">
        <v>216</v>
      </c>
      <c r="E900">
        <v>23.02</v>
      </c>
      <c r="F900" t="s">
        <v>35</v>
      </c>
    </row>
    <row r="901" spans="1:6">
      <c r="A901" s="1">
        <v>45435</v>
      </c>
      <c r="B901" s="2">
        <v>45435.664204131943</v>
      </c>
      <c r="C901" t="s">
        <v>3</v>
      </c>
      <c r="D901" t="s">
        <v>217</v>
      </c>
      <c r="E901">
        <v>37.72</v>
      </c>
      <c r="F901" t="s">
        <v>43</v>
      </c>
    </row>
    <row r="902" spans="1:6">
      <c r="A902" s="1">
        <v>45439</v>
      </c>
      <c r="B902" s="2">
        <v>45439.743700960651</v>
      </c>
      <c r="C902" t="s">
        <v>3</v>
      </c>
      <c r="D902" t="s">
        <v>217</v>
      </c>
      <c r="E902">
        <v>37.72</v>
      </c>
      <c r="F902" t="s">
        <v>7</v>
      </c>
    </row>
    <row r="903" spans="1:6">
      <c r="A903" s="1">
        <v>45467</v>
      </c>
      <c r="B903" s="2">
        <v>45467.698617743059</v>
      </c>
      <c r="C903" t="s">
        <v>3</v>
      </c>
      <c r="D903" t="s">
        <v>217</v>
      </c>
      <c r="E903">
        <v>37.72</v>
      </c>
      <c r="F903" t="s">
        <v>43</v>
      </c>
    </row>
    <row r="904" spans="1:6">
      <c r="A904" s="1">
        <v>45467</v>
      </c>
      <c r="B904" s="2">
        <v>45467.699310289354</v>
      </c>
      <c r="C904" t="s">
        <v>3</v>
      </c>
      <c r="D904" t="s">
        <v>217</v>
      </c>
      <c r="E904">
        <v>37.72</v>
      </c>
      <c r="F904" t="s">
        <v>43</v>
      </c>
    </row>
    <row r="905" spans="1:6">
      <c r="A905" s="1">
        <v>45468</v>
      </c>
      <c r="B905" s="2">
        <v>45468.482549722219</v>
      </c>
      <c r="C905" t="s">
        <v>3</v>
      </c>
      <c r="D905" t="s">
        <v>217</v>
      </c>
      <c r="E905">
        <v>37.72</v>
      </c>
      <c r="F905" t="s">
        <v>43</v>
      </c>
    </row>
    <row r="906" spans="1:6">
      <c r="A906" s="1">
        <v>45435</v>
      </c>
      <c r="B906" s="2">
        <v>45435.79437333333</v>
      </c>
      <c r="C906" t="s">
        <v>3</v>
      </c>
      <c r="D906" t="s">
        <v>218</v>
      </c>
      <c r="E906">
        <v>27.92</v>
      </c>
      <c r="F906" t="s">
        <v>28</v>
      </c>
    </row>
    <row r="907" spans="1:6">
      <c r="A907" s="1">
        <v>45435</v>
      </c>
      <c r="B907" s="2">
        <v>45435.804472430558</v>
      </c>
      <c r="C907" t="s">
        <v>3</v>
      </c>
      <c r="D907" t="s">
        <v>219</v>
      </c>
      <c r="E907">
        <v>37.72</v>
      </c>
      <c r="F907" t="s">
        <v>43</v>
      </c>
    </row>
    <row r="908" spans="1:6">
      <c r="A908" s="1">
        <v>45497</v>
      </c>
      <c r="B908" s="2">
        <v>45497.802149050927</v>
      </c>
      <c r="C908" t="s">
        <v>3</v>
      </c>
      <c r="D908" t="s">
        <v>219</v>
      </c>
      <c r="E908">
        <v>32.82</v>
      </c>
      <c r="F908" t="s">
        <v>43</v>
      </c>
    </row>
    <row r="909" spans="1:6">
      <c r="A909" s="1">
        <v>45497</v>
      </c>
      <c r="B909" s="2">
        <v>45497.803469664352</v>
      </c>
      <c r="C909" t="s">
        <v>3</v>
      </c>
      <c r="D909" t="s">
        <v>219</v>
      </c>
      <c r="E909">
        <v>32.82</v>
      </c>
      <c r="F909" t="s">
        <v>43</v>
      </c>
    </row>
    <row r="910" spans="1:6">
      <c r="A910" s="1">
        <v>45435</v>
      </c>
      <c r="B910" s="2">
        <v>45435.821198449077</v>
      </c>
      <c r="C910" t="s">
        <v>3</v>
      </c>
      <c r="D910" t="s">
        <v>220</v>
      </c>
      <c r="E910">
        <v>37.72</v>
      </c>
      <c r="F910" t="s">
        <v>43</v>
      </c>
    </row>
    <row r="911" spans="1:6">
      <c r="A911" s="1">
        <v>45439</v>
      </c>
      <c r="B911" s="2">
        <v>45439.896062175925</v>
      </c>
      <c r="C911" t="s">
        <v>3</v>
      </c>
      <c r="D911" t="s">
        <v>220</v>
      </c>
      <c r="E911">
        <v>37.72</v>
      </c>
      <c r="F911" t="s">
        <v>43</v>
      </c>
    </row>
    <row r="912" spans="1:6">
      <c r="A912" s="1">
        <v>45442</v>
      </c>
      <c r="B912" s="2">
        <v>45442.828601724534</v>
      </c>
      <c r="C912" t="s">
        <v>3</v>
      </c>
      <c r="D912" t="s">
        <v>220</v>
      </c>
      <c r="E912">
        <v>37.72</v>
      </c>
      <c r="F912" t="s">
        <v>43</v>
      </c>
    </row>
    <row r="913" spans="1:6">
      <c r="A913" s="1">
        <v>45443</v>
      </c>
      <c r="B913" s="2">
        <v>45443.920683680553</v>
      </c>
      <c r="C913" t="s">
        <v>3</v>
      </c>
      <c r="D913" t="s">
        <v>220</v>
      </c>
      <c r="E913">
        <v>37.72</v>
      </c>
      <c r="F913" t="s">
        <v>43</v>
      </c>
    </row>
    <row r="914" spans="1:6">
      <c r="A914" s="1">
        <v>45443</v>
      </c>
      <c r="B914" s="2">
        <v>45443.92144085648</v>
      </c>
      <c r="C914" t="s">
        <v>3</v>
      </c>
      <c r="D914" t="s">
        <v>220</v>
      </c>
      <c r="E914">
        <v>32.82</v>
      </c>
      <c r="F914" t="s">
        <v>14</v>
      </c>
    </row>
    <row r="915" spans="1:6">
      <c r="A915" s="1">
        <v>45443</v>
      </c>
      <c r="B915" s="2">
        <v>45443.922168611112</v>
      </c>
      <c r="C915" t="s">
        <v>3</v>
      </c>
      <c r="D915" t="s">
        <v>220</v>
      </c>
      <c r="E915">
        <v>27.92</v>
      </c>
      <c r="F915" t="s">
        <v>28</v>
      </c>
    </row>
    <row r="916" spans="1:6">
      <c r="A916" s="1">
        <v>45449</v>
      </c>
      <c r="B916" s="2">
        <v>45449.887809178239</v>
      </c>
      <c r="C916" t="s">
        <v>3</v>
      </c>
      <c r="D916" t="s">
        <v>220</v>
      </c>
      <c r="E916">
        <v>37.72</v>
      </c>
      <c r="F916" t="s">
        <v>43</v>
      </c>
    </row>
    <row r="917" spans="1:6">
      <c r="A917" s="1">
        <v>45449</v>
      </c>
      <c r="B917" s="2">
        <v>45449.888546712966</v>
      </c>
      <c r="C917" t="s">
        <v>3</v>
      </c>
      <c r="D917" t="s">
        <v>220</v>
      </c>
      <c r="E917">
        <v>32.82</v>
      </c>
      <c r="F917" t="s">
        <v>14</v>
      </c>
    </row>
    <row r="918" spans="1:6">
      <c r="A918" s="1">
        <v>45469</v>
      </c>
      <c r="B918" s="2">
        <v>45469.894613032404</v>
      </c>
      <c r="C918" t="s">
        <v>3</v>
      </c>
      <c r="D918" t="s">
        <v>220</v>
      </c>
      <c r="E918">
        <v>32.82</v>
      </c>
      <c r="F918" t="s">
        <v>14</v>
      </c>
    </row>
    <row r="919" spans="1:6">
      <c r="A919" s="1">
        <v>45558</v>
      </c>
      <c r="B919" s="2">
        <v>45558.84011420139</v>
      </c>
      <c r="C919" t="s">
        <v>3</v>
      </c>
      <c r="D919" t="s">
        <v>220</v>
      </c>
      <c r="E919">
        <v>32.82</v>
      </c>
      <c r="F919" t="s">
        <v>43</v>
      </c>
    </row>
    <row r="920" spans="1:6">
      <c r="A920" s="1">
        <v>45570</v>
      </c>
      <c r="B920" s="2">
        <v>45570.550153761571</v>
      </c>
      <c r="C920" t="s">
        <v>3</v>
      </c>
      <c r="D920" t="s">
        <v>220</v>
      </c>
      <c r="E920">
        <v>35.76</v>
      </c>
      <c r="F920" t="s">
        <v>43</v>
      </c>
    </row>
    <row r="921" spans="1:6">
      <c r="A921" s="1">
        <v>45594</v>
      </c>
      <c r="B921" s="2">
        <v>45594.795653194444</v>
      </c>
      <c r="C921" t="s">
        <v>3</v>
      </c>
      <c r="D921" t="s">
        <v>220</v>
      </c>
      <c r="E921">
        <v>35.76</v>
      </c>
      <c r="F921" t="s">
        <v>43</v>
      </c>
    </row>
    <row r="922" spans="1:6">
      <c r="A922" s="1">
        <v>45607</v>
      </c>
      <c r="B922" s="2">
        <v>45607.679675925923</v>
      </c>
      <c r="C922" t="s">
        <v>3</v>
      </c>
      <c r="D922" t="s">
        <v>220</v>
      </c>
      <c r="E922">
        <v>35.76</v>
      </c>
      <c r="F922" t="s">
        <v>43</v>
      </c>
    </row>
    <row r="923" spans="1:6">
      <c r="A923" s="1">
        <v>45607</v>
      </c>
      <c r="B923" s="2">
        <v>45607.68047068287</v>
      </c>
      <c r="C923" t="s">
        <v>3</v>
      </c>
      <c r="D923" t="s">
        <v>220</v>
      </c>
      <c r="E923">
        <v>35.76</v>
      </c>
      <c r="F923" t="s">
        <v>9</v>
      </c>
    </row>
    <row r="924" spans="1:6">
      <c r="A924" s="1">
        <v>45615</v>
      </c>
      <c r="B924" s="2">
        <v>45615.695181377312</v>
      </c>
      <c r="C924" t="s">
        <v>3</v>
      </c>
      <c r="D924" t="s">
        <v>220</v>
      </c>
      <c r="E924">
        <v>35.76</v>
      </c>
      <c r="F924" t="s">
        <v>43</v>
      </c>
    </row>
    <row r="925" spans="1:6">
      <c r="A925" s="1">
        <v>45629</v>
      </c>
      <c r="B925" s="2">
        <v>45629.931737083331</v>
      </c>
      <c r="C925" t="s">
        <v>3</v>
      </c>
      <c r="D925" t="s">
        <v>220</v>
      </c>
      <c r="E925">
        <v>35.76</v>
      </c>
      <c r="F925" t="s">
        <v>43</v>
      </c>
    </row>
    <row r="926" spans="1:6">
      <c r="A926" s="1">
        <v>45633</v>
      </c>
      <c r="B926" s="2">
        <v>45633.799461712966</v>
      </c>
      <c r="C926" t="s">
        <v>3</v>
      </c>
      <c r="D926" t="s">
        <v>220</v>
      </c>
      <c r="E926">
        <v>35.76</v>
      </c>
      <c r="F926" t="s">
        <v>43</v>
      </c>
    </row>
    <row r="927" spans="1:6">
      <c r="A927" s="1">
        <v>45634</v>
      </c>
      <c r="B927" s="2">
        <v>45634.72672791667</v>
      </c>
      <c r="C927" t="s">
        <v>3</v>
      </c>
      <c r="D927" t="s">
        <v>220</v>
      </c>
      <c r="E927">
        <v>35.76</v>
      </c>
      <c r="F927" t="s">
        <v>43</v>
      </c>
    </row>
    <row r="928" spans="1:6">
      <c r="A928" s="1">
        <v>45645</v>
      </c>
      <c r="B928" s="2">
        <v>45645.792317858795</v>
      </c>
      <c r="C928" t="s">
        <v>3</v>
      </c>
      <c r="D928" t="s">
        <v>220</v>
      </c>
      <c r="E928">
        <v>35.76</v>
      </c>
      <c r="F928" t="s">
        <v>43</v>
      </c>
    </row>
    <row r="929" spans="1:6">
      <c r="A929" s="1">
        <v>45646</v>
      </c>
      <c r="B929" s="2">
        <v>45646.789737569445</v>
      </c>
      <c r="C929" t="s">
        <v>3</v>
      </c>
      <c r="D929" t="s">
        <v>220</v>
      </c>
      <c r="E929">
        <v>35.76</v>
      </c>
      <c r="F929" t="s">
        <v>43</v>
      </c>
    </row>
    <row r="930" spans="1:6">
      <c r="A930" s="1">
        <v>45648</v>
      </c>
      <c r="B930" s="2">
        <v>45648.788709606481</v>
      </c>
      <c r="C930" t="s">
        <v>3</v>
      </c>
      <c r="D930" t="s">
        <v>220</v>
      </c>
      <c r="E930">
        <v>35.76</v>
      </c>
      <c r="F930" t="s">
        <v>43</v>
      </c>
    </row>
    <row r="931" spans="1:6">
      <c r="A931" s="1">
        <v>45665</v>
      </c>
      <c r="B931" s="2">
        <v>45665.724208391206</v>
      </c>
      <c r="C931" t="s">
        <v>3</v>
      </c>
      <c r="D931" t="s">
        <v>220</v>
      </c>
      <c r="E931">
        <v>35.76</v>
      </c>
      <c r="F931" t="s">
        <v>43</v>
      </c>
    </row>
    <row r="932" spans="1:6">
      <c r="A932" s="1">
        <v>45671</v>
      </c>
      <c r="B932" s="2">
        <v>45671.820785833334</v>
      </c>
      <c r="C932" t="s">
        <v>3</v>
      </c>
      <c r="D932" t="s">
        <v>220</v>
      </c>
      <c r="E932">
        <v>35.76</v>
      </c>
      <c r="F932" t="s">
        <v>43</v>
      </c>
    </row>
    <row r="933" spans="1:6">
      <c r="A933" s="1">
        <v>45435</v>
      </c>
      <c r="B933" s="2">
        <v>45435.84376653935</v>
      </c>
      <c r="C933" t="s">
        <v>3</v>
      </c>
      <c r="D933" t="s">
        <v>221</v>
      </c>
      <c r="E933">
        <v>37.72</v>
      </c>
      <c r="F933" t="s">
        <v>43</v>
      </c>
    </row>
    <row r="934" spans="1:6">
      <c r="A934" s="1">
        <v>45435</v>
      </c>
      <c r="B934" s="2">
        <v>45435.844724594906</v>
      </c>
      <c r="C934" t="s">
        <v>3</v>
      </c>
      <c r="D934" t="s">
        <v>221</v>
      </c>
      <c r="E934">
        <v>37.72</v>
      </c>
      <c r="F934" t="s">
        <v>7</v>
      </c>
    </row>
    <row r="935" spans="1:6">
      <c r="A935" s="1">
        <v>45435</v>
      </c>
      <c r="B935" s="2">
        <v>45435.950125150463</v>
      </c>
      <c r="C935" t="s">
        <v>3</v>
      </c>
      <c r="D935" t="s">
        <v>222</v>
      </c>
      <c r="E935">
        <v>32.82</v>
      </c>
      <c r="F935" t="s">
        <v>14</v>
      </c>
    </row>
    <row r="936" spans="1:6">
      <c r="A936" s="1">
        <v>45436</v>
      </c>
      <c r="B936" s="2">
        <v>45436.762272337961</v>
      </c>
      <c r="C936" t="s">
        <v>3</v>
      </c>
      <c r="D936" t="s">
        <v>223</v>
      </c>
      <c r="E936">
        <v>27.92</v>
      </c>
      <c r="F936" t="s">
        <v>28</v>
      </c>
    </row>
    <row r="937" spans="1:6">
      <c r="A937" s="1">
        <v>45436</v>
      </c>
      <c r="B937" s="2">
        <v>45436.762924745373</v>
      </c>
      <c r="C937" t="s">
        <v>3</v>
      </c>
      <c r="D937" t="s">
        <v>223</v>
      </c>
      <c r="E937">
        <v>27.92</v>
      </c>
      <c r="F937" t="s">
        <v>28</v>
      </c>
    </row>
    <row r="938" spans="1:6">
      <c r="A938" s="1">
        <v>45436</v>
      </c>
      <c r="B938" s="2">
        <v>45436.937965254627</v>
      </c>
      <c r="C938" t="s">
        <v>3</v>
      </c>
      <c r="D938" t="s">
        <v>224</v>
      </c>
      <c r="E938">
        <v>32.82</v>
      </c>
      <c r="F938" t="s">
        <v>14</v>
      </c>
    </row>
    <row r="939" spans="1:6">
      <c r="A939" s="1">
        <v>45437</v>
      </c>
      <c r="B939" s="2">
        <v>45437.509645694445</v>
      </c>
      <c r="C939" t="s">
        <v>3</v>
      </c>
      <c r="D939" t="s">
        <v>225</v>
      </c>
      <c r="E939">
        <v>37.72</v>
      </c>
      <c r="F939" t="s">
        <v>7</v>
      </c>
    </row>
    <row r="940" spans="1:6">
      <c r="A940" s="1">
        <v>45437</v>
      </c>
      <c r="B940" s="2">
        <v>45437.529285393517</v>
      </c>
      <c r="C940" t="s">
        <v>3</v>
      </c>
      <c r="D940" t="s">
        <v>226</v>
      </c>
      <c r="E940">
        <v>32.82</v>
      </c>
      <c r="F940" t="s">
        <v>14</v>
      </c>
    </row>
    <row r="941" spans="1:6">
      <c r="A941" s="1">
        <v>45437</v>
      </c>
      <c r="B941" s="2">
        <v>45437.530014756943</v>
      </c>
      <c r="C941" t="s">
        <v>3</v>
      </c>
      <c r="D941" t="s">
        <v>226</v>
      </c>
      <c r="E941">
        <v>32.82</v>
      </c>
      <c r="F941" t="s">
        <v>14</v>
      </c>
    </row>
    <row r="942" spans="1:6">
      <c r="A942" s="1">
        <v>45437</v>
      </c>
      <c r="B942" s="2">
        <v>45437.540417233795</v>
      </c>
      <c r="C942" t="s">
        <v>3</v>
      </c>
      <c r="D942" t="s">
        <v>227</v>
      </c>
      <c r="E942">
        <v>32.82</v>
      </c>
      <c r="F942" t="s">
        <v>14</v>
      </c>
    </row>
    <row r="943" spans="1:6">
      <c r="A943" s="1">
        <v>45438</v>
      </c>
      <c r="B943" s="2">
        <v>45438.600576527781</v>
      </c>
      <c r="C943" t="s">
        <v>3</v>
      </c>
      <c r="D943" t="s">
        <v>228</v>
      </c>
      <c r="E943">
        <v>32.82</v>
      </c>
      <c r="F943" t="s">
        <v>14</v>
      </c>
    </row>
    <row r="944" spans="1:6">
      <c r="A944" s="1">
        <v>45438</v>
      </c>
      <c r="B944" s="2">
        <v>45438.601449629627</v>
      </c>
      <c r="C944" t="s">
        <v>3</v>
      </c>
      <c r="D944" t="s">
        <v>229</v>
      </c>
      <c r="E944">
        <v>27.92</v>
      </c>
      <c r="F944" t="s">
        <v>28</v>
      </c>
    </row>
    <row r="945" spans="1:6">
      <c r="A945" s="1">
        <v>45438</v>
      </c>
      <c r="B945" s="2">
        <v>45438.611792615739</v>
      </c>
      <c r="C945" t="s">
        <v>3</v>
      </c>
      <c r="D945" t="s">
        <v>230</v>
      </c>
      <c r="E945">
        <v>32.82</v>
      </c>
      <c r="F945" t="s">
        <v>14</v>
      </c>
    </row>
    <row r="946" spans="1:6">
      <c r="A946" s="1">
        <v>45438</v>
      </c>
      <c r="B946" s="2">
        <v>45438.721707418983</v>
      </c>
      <c r="C946" t="s">
        <v>3</v>
      </c>
      <c r="D946" t="s">
        <v>231</v>
      </c>
      <c r="E946">
        <v>37.72</v>
      </c>
      <c r="F946" t="s">
        <v>43</v>
      </c>
    </row>
    <row r="947" spans="1:6">
      <c r="A947" s="1">
        <v>45438</v>
      </c>
      <c r="B947" s="2">
        <v>45438.756861608796</v>
      </c>
      <c r="C947" t="s">
        <v>3</v>
      </c>
      <c r="D947" t="s">
        <v>232</v>
      </c>
      <c r="E947">
        <v>37.72</v>
      </c>
      <c r="F947" t="s">
        <v>9</v>
      </c>
    </row>
    <row r="948" spans="1:6">
      <c r="A948" s="1">
        <v>45438</v>
      </c>
      <c r="B948" s="2">
        <v>45438.757664398145</v>
      </c>
      <c r="C948" t="s">
        <v>3</v>
      </c>
      <c r="D948" t="s">
        <v>232</v>
      </c>
      <c r="E948">
        <v>37.72</v>
      </c>
      <c r="F948" t="s">
        <v>9</v>
      </c>
    </row>
    <row r="949" spans="1:6">
      <c r="A949" s="1">
        <v>45438</v>
      </c>
      <c r="B949" s="2">
        <v>45438.759193275466</v>
      </c>
      <c r="C949" t="s">
        <v>3</v>
      </c>
      <c r="D949" t="s">
        <v>232</v>
      </c>
      <c r="E949">
        <v>27.92</v>
      </c>
      <c r="F949" t="s">
        <v>11</v>
      </c>
    </row>
    <row r="950" spans="1:6">
      <c r="A950" s="1">
        <v>45438</v>
      </c>
      <c r="B950" s="2">
        <v>45438.777300856484</v>
      </c>
      <c r="C950" t="s">
        <v>3</v>
      </c>
      <c r="D950" t="s">
        <v>233</v>
      </c>
      <c r="E950">
        <v>37.72</v>
      </c>
      <c r="F950" t="s">
        <v>7</v>
      </c>
    </row>
    <row r="951" spans="1:6">
      <c r="A951" s="1">
        <v>45438</v>
      </c>
      <c r="B951" s="2">
        <v>45438.874478634258</v>
      </c>
      <c r="C951" t="s">
        <v>3</v>
      </c>
      <c r="D951" t="s">
        <v>234</v>
      </c>
      <c r="E951">
        <v>37.72</v>
      </c>
      <c r="F951" t="s">
        <v>9</v>
      </c>
    </row>
    <row r="952" spans="1:6">
      <c r="A952" s="1">
        <v>45438</v>
      </c>
      <c r="B952" s="2">
        <v>45438.875064444444</v>
      </c>
      <c r="C952" t="s">
        <v>3</v>
      </c>
      <c r="D952" t="s">
        <v>234</v>
      </c>
      <c r="E952">
        <v>37.72</v>
      </c>
      <c r="F952" t="s">
        <v>43</v>
      </c>
    </row>
    <row r="953" spans="1:6">
      <c r="A953" s="1">
        <v>45448</v>
      </c>
      <c r="B953" s="2">
        <v>45448.840828969907</v>
      </c>
      <c r="C953" t="s">
        <v>3</v>
      </c>
      <c r="D953" t="s">
        <v>234</v>
      </c>
      <c r="E953">
        <v>37.72</v>
      </c>
      <c r="F953" t="s">
        <v>18</v>
      </c>
    </row>
    <row r="954" spans="1:6">
      <c r="A954" s="1">
        <v>45448</v>
      </c>
      <c r="B954" s="2">
        <v>45448.841685856481</v>
      </c>
      <c r="C954" t="s">
        <v>3</v>
      </c>
      <c r="D954" t="s">
        <v>234</v>
      </c>
      <c r="E954">
        <v>27.92</v>
      </c>
      <c r="F954" t="s">
        <v>28</v>
      </c>
    </row>
    <row r="955" spans="1:6">
      <c r="A955" s="1">
        <v>45438</v>
      </c>
      <c r="B955" s="2">
        <v>45438.876816377313</v>
      </c>
      <c r="C955" t="s">
        <v>3</v>
      </c>
      <c r="D955" t="s">
        <v>235</v>
      </c>
      <c r="E955">
        <v>27.92</v>
      </c>
      <c r="F955" t="s">
        <v>28</v>
      </c>
    </row>
    <row r="956" spans="1:6">
      <c r="A956" s="1">
        <v>45438</v>
      </c>
      <c r="B956" s="2">
        <v>45438.878458611114</v>
      </c>
      <c r="C956" t="s">
        <v>3</v>
      </c>
      <c r="D956" t="s">
        <v>235</v>
      </c>
      <c r="E956">
        <v>37.72</v>
      </c>
      <c r="F956" t="s">
        <v>7</v>
      </c>
    </row>
    <row r="957" spans="1:6">
      <c r="A957" s="1">
        <v>45438</v>
      </c>
      <c r="B957" s="2">
        <v>45438.877682546299</v>
      </c>
      <c r="C957" t="s">
        <v>3</v>
      </c>
      <c r="D957" t="s">
        <v>236</v>
      </c>
      <c r="E957">
        <v>37.72</v>
      </c>
      <c r="F957" t="s">
        <v>43</v>
      </c>
    </row>
    <row r="958" spans="1:6">
      <c r="A958" s="1">
        <v>45438</v>
      </c>
      <c r="B958" s="2">
        <v>45438.879197002316</v>
      </c>
      <c r="C958" t="s">
        <v>3</v>
      </c>
      <c r="D958" t="s">
        <v>237</v>
      </c>
      <c r="E958">
        <v>37.72</v>
      </c>
      <c r="F958" t="s">
        <v>43</v>
      </c>
    </row>
    <row r="959" spans="1:6">
      <c r="A959" s="1">
        <v>45439</v>
      </c>
      <c r="B959" s="2">
        <v>45439.587056574077</v>
      </c>
      <c r="C959" t="s">
        <v>3</v>
      </c>
      <c r="D959" t="s">
        <v>238</v>
      </c>
      <c r="E959">
        <v>32.82</v>
      </c>
      <c r="F959" t="s">
        <v>14</v>
      </c>
    </row>
    <row r="960" spans="1:6">
      <c r="A960" s="1">
        <v>45439</v>
      </c>
      <c r="B960" s="2">
        <v>45439.588004212965</v>
      </c>
      <c r="C960" t="s">
        <v>3</v>
      </c>
      <c r="D960" t="s">
        <v>238</v>
      </c>
      <c r="E960">
        <v>37.72</v>
      </c>
      <c r="F960" t="s">
        <v>18</v>
      </c>
    </row>
    <row r="961" spans="1:6">
      <c r="A961" s="1">
        <v>45449</v>
      </c>
      <c r="B961" s="2">
        <v>45449.632803067128</v>
      </c>
      <c r="C961" t="s">
        <v>3</v>
      </c>
      <c r="D961" t="s">
        <v>238</v>
      </c>
      <c r="E961">
        <v>32.82</v>
      </c>
      <c r="F961" t="s">
        <v>14</v>
      </c>
    </row>
    <row r="962" spans="1:6">
      <c r="A962" s="1">
        <v>45667</v>
      </c>
      <c r="B962" s="2">
        <v>45667.367602025464</v>
      </c>
      <c r="C962" t="s">
        <v>3</v>
      </c>
      <c r="D962" t="s">
        <v>238</v>
      </c>
      <c r="E962">
        <v>30.86</v>
      </c>
      <c r="F962" t="s">
        <v>14</v>
      </c>
    </row>
    <row r="963" spans="1:6">
      <c r="A963" s="1">
        <v>45667</v>
      </c>
      <c r="B963" s="2">
        <v>45667.749759074075</v>
      </c>
      <c r="C963" t="s">
        <v>3</v>
      </c>
      <c r="D963" t="s">
        <v>238</v>
      </c>
      <c r="E963">
        <v>30.86</v>
      </c>
      <c r="F963" t="s">
        <v>14</v>
      </c>
    </row>
    <row r="964" spans="1:6">
      <c r="A964" s="1">
        <v>45685</v>
      </c>
      <c r="B964" s="2">
        <v>45685.497532997688</v>
      </c>
      <c r="C964" t="s">
        <v>3</v>
      </c>
      <c r="D964" t="s">
        <v>238</v>
      </c>
      <c r="E964">
        <v>30.86</v>
      </c>
      <c r="F964" t="s">
        <v>14</v>
      </c>
    </row>
    <row r="965" spans="1:6">
      <c r="A965" s="1">
        <v>45687</v>
      </c>
      <c r="B965" s="2">
        <v>45687.387564097226</v>
      </c>
      <c r="C965" t="s">
        <v>3</v>
      </c>
      <c r="D965" t="s">
        <v>238</v>
      </c>
      <c r="E965">
        <v>30.86</v>
      </c>
      <c r="F965" t="s">
        <v>14</v>
      </c>
    </row>
    <row r="966" spans="1:6">
      <c r="A966" s="1">
        <v>45689</v>
      </c>
      <c r="B966" s="2">
        <v>45689.421792233799</v>
      </c>
      <c r="C966" t="s">
        <v>3</v>
      </c>
      <c r="D966" t="s">
        <v>238</v>
      </c>
      <c r="E966">
        <v>30.86</v>
      </c>
      <c r="F966" t="s">
        <v>14</v>
      </c>
    </row>
    <row r="967" spans="1:6">
      <c r="A967" s="1">
        <v>45689</v>
      </c>
      <c r="B967" s="2">
        <v>45689.828651655094</v>
      </c>
      <c r="C967" t="s">
        <v>3</v>
      </c>
      <c r="D967" t="s">
        <v>238</v>
      </c>
      <c r="E967">
        <v>30.86</v>
      </c>
      <c r="F967" t="s">
        <v>14</v>
      </c>
    </row>
    <row r="968" spans="1:6">
      <c r="A968" s="1">
        <v>45689</v>
      </c>
      <c r="B968" s="2">
        <v>45689.829445208336</v>
      </c>
      <c r="C968" t="s">
        <v>3</v>
      </c>
      <c r="D968" t="s">
        <v>238</v>
      </c>
      <c r="E968">
        <v>30.86</v>
      </c>
      <c r="F968" t="s">
        <v>14</v>
      </c>
    </row>
    <row r="969" spans="1:6">
      <c r="A969" s="1">
        <v>45439</v>
      </c>
      <c r="B969" s="2">
        <v>45439.633033113423</v>
      </c>
      <c r="C969" t="s">
        <v>3</v>
      </c>
      <c r="D969" t="s">
        <v>239</v>
      </c>
      <c r="E969">
        <v>27.92</v>
      </c>
      <c r="F969" t="s">
        <v>11</v>
      </c>
    </row>
    <row r="970" spans="1:6">
      <c r="A970" s="1">
        <v>45439</v>
      </c>
      <c r="B970" s="2">
        <v>45439.634789212963</v>
      </c>
      <c r="C970" t="s">
        <v>3</v>
      </c>
      <c r="D970" t="s">
        <v>239</v>
      </c>
      <c r="E970">
        <v>27.92</v>
      </c>
      <c r="F970" t="s">
        <v>11</v>
      </c>
    </row>
    <row r="971" spans="1:6">
      <c r="A971" s="1">
        <v>45500</v>
      </c>
      <c r="B971" s="2">
        <v>45500.603262777775</v>
      </c>
      <c r="C971" t="s">
        <v>3</v>
      </c>
      <c r="D971" t="s">
        <v>239</v>
      </c>
      <c r="E971">
        <v>18.12</v>
      </c>
      <c r="F971" t="s">
        <v>35</v>
      </c>
    </row>
    <row r="972" spans="1:6">
      <c r="A972" s="1">
        <v>45527</v>
      </c>
      <c r="B972" s="2">
        <v>45527.356698055555</v>
      </c>
      <c r="C972" t="s">
        <v>3</v>
      </c>
      <c r="D972" t="s">
        <v>239</v>
      </c>
      <c r="E972">
        <v>23.02</v>
      </c>
      <c r="F972" t="s">
        <v>11</v>
      </c>
    </row>
    <row r="973" spans="1:6">
      <c r="A973" s="1">
        <v>45527</v>
      </c>
      <c r="B973" s="2">
        <v>45527.357349560189</v>
      </c>
      <c r="C973" t="s">
        <v>3</v>
      </c>
      <c r="D973" t="s">
        <v>239</v>
      </c>
      <c r="E973">
        <v>23.02</v>
      </c>
      <c r="F973" t="s">
        <v>11</v>
      </c>
    </row>
    <row r="974" spans="1:6">
      <c r="A974" s="1">
        <v>45573</v>
      </c>
      <c r="B974" s="2">
        <v>45573.533385648145</v>
      </c>
      <c r="C974" t="s">
        <v>3</v>
      </c>
      <c r="D974" t="s">
        <v>239</v>
      </c>
      <c r="E974">
        <v>25.96</v>
      </c>
      <c r="F974" t="s">
        <v>11</v>
      </c>
    </row>
    <row r="975" spans="1:6">
      <c r="A975" s="1">
        <v>45573</v>
      </c>
      <c r="B975" s="2">
        <v>45573.534080798614</v>
      </c>
      <c r="C975" t="s">
        <v>3</v>
      </c>
      <c r="D975" t="s">
        <v>239</v>
      </c>
      <c r="E975">
        <v>25.96</v>
      </c>
      <c r="F975" t="s">
        <v>11</v>
      </c>
    </row>
    <row r="976" spans="1:6">
      <c r="A976" s="1">
        <v>45579</v>
      </c>
      <c r="B976" s="2">
        <v>45579.476126145833</v>
      </c>
      <c r="C976" t="s">
        <v>3</v>
      </c>
      <c r="D976" t="s">
        <v>239</v>
      </c>
      <c r="E976">
        <v>25.96</v>
      </c>
      <c r="F976" t="s">
        <v>11</v>
      </c>
    </row>
    <row r="977" spans="1:6">
      <c r="A977" s="1">
        <v>45579</v>
      </c>
      <c r="B977" s="2">
        <v>45579.476912557868</v>
      </c>
      <c r="C977" t="s">
        <v>3</v>
      </c>
      <c r="D977" t="s">
        <v>239</v>
      </c>
      <c r="E977">
        <v>25.96</v>
      </c>
      <c r="F977" t="s">
        <v>11</v>
      </c>
    </row>
    <row r="978" spans="1:6">
      <c r="A978" s="1">
        <v>45586</v>
      </c>
      <c r="B978" s="2">
        <v>45586.696498472222</v>
      </c>
      <c r="C978" t="s">
        <v>3</v>
      </c>
      <c r="D978" t="s">
        <v>239</v>
      </c>
      <c r="E978">
        <v>35.76</v>
      </c>
      <c r="F978" t="s">
        <v>18</v>
      </c>
    </row>
    <row r="979" spans="1:6">
      <c r="A979" s="1">
        <v>45594</v>
      </c>
      <c r="B979" s="2">
        <v>45594.678859293985</v>
      </c>
      <c r="C979" t="s">
        <v>3</v>
      </c>
      <c r="D979" t="s">
        <v>239</v>
      </c>
      <c r="E979">
        <v>35.76</v>
      </c>
      <c r="F979" t="s">
        <v>18</v>
      </c>
    </row>
    <row r="980" spans="1:6">
      <c r="A980" s="1">
        <v>45599</v>
      </c>
      <c r="B980" s="2">
        <v>45599.851558229166</v>
      </c>
      <c r="C980" t="s">
        <v>3</v>
      </c>
      <c r="D980" t="s">
        <v>239</v>
      </c>
      <c r="E980">
        <v>35.76</v>
      </c>
      <c r="F980" t="s">
        <v>18</v>
      </c>
    </row>
    <row r="981" spans="1:6">
      <c r="A981" s="1">
        <v>45439</v>
      </c>
      <c r="B981" s="2">
        <v>45439.750590081021</v>
      </c>
      <c r="C981" t="s">
        <v>3</v>
      </c>
      <c r="D981" t="s">
        <v>240</v>
      </c>
      <c r="E981">
        <v>27.92</v>
      </c>
      <c r="F981" t="s">
        <v>11</v>
      </c>
    </row>
    <row r="982" spans="1:6">
      <c r="A982" s="1">
        <v>45439</v>
      </c>
      <c r="B982" s="2">
        <v>45439.803094953706</v>
      </c>
      <c r="C982" t="s">
        <v>3</v>
      </c>
      <c r="D982" t="s">
        <v>241</v>
      </c>
      <c r="E982">
        <v>37.72</v>
      </c>
      <c r="F982" t="s">
        <v>7</v>
      </c>
    </row>
    <row r="983" spans="1:6">
      <c r="A983" s="1">
        <v>45439</v>
      </c>
      <c r="B983" s="2">
        <v>45439.803920474536</v>
      </c>
      <c r="C983" t="s">
        <v>3</v>
      </c>
      <c r="D983" t="s">
        <v>242</v>
      </c>
      <c r="E983">
        <v>37.72</v>
      </c>
      <c r="F983" t="s">
        <v>7</v>
      </c>
    </row>
    <row r="984" spans="1:6">
      <c r="A984" s="1">
        <v>45599</v>
      </c>
      <c r="B984" s="2">
        <v>45599.554453032404</v>
      </c>
      <c r="C984" t="s">
        <v>3</v>
      </c>
      <c r="D984" t="s">
        <v>242</v>
      </c>
      <c r="E984">
        <v>35.76</v>
      </c>
      <c r="F984" t="s">
        <v>18</v>
      </c>
    </row>
    <row r="985" spans="1:6">
      <c r="A985" s="1">
        <v>45440</v>
      </c>
      <c r="B985" s="2">
        <v>45440.491880717593</v>
      </c>
      <c r="C985" t="s">
        <v>3</v>
      </c>
      <c r="D985" t="s">
        <v>243</v>
      </c>
      <c r="E985">
        <v>37.72</v>
      </c>
      <c r="F985" t="s">
        <v>43</v>
      </c>
    </row>
    <row r="986" spans="1:6">
      <c r="A986" s="1">
        <v>45440</v>
      </c>
      <c r="B986" s="2">
        <v>45440.551856886574</v>
      </c>
      <c r="C986" t="s">
        <v>3</v>
      </c>
      <c r="D986" t="s">
        <v>244</v>
      </c>
      <c r="E986">
        <v>37.72</v>
      </c>
      <c r="F986" t="s">
        <v>43</v>
      </c>
    </row>
    <row r="987" spans="1:6">
      <c r="A987" s="1">
        <v>45440</v>
      </c>
      <c r="B987" s="2">
        <v>45440.798253113426</v>
      </c>
      <c r="C987" t="s">
        <v>3</v>
      </c>
      <c r="D987" t="s">
        <v>245</v>
      </c>
      <c r="E987">
        <v>27.92</v>
      </c>
      <c r="F987" t="s">
        <v>11</v>
      </c>
    </row>
    <row r="988" spans="1:6">
      <c r="A988" s="1">
        <v>45440</v>
      </c>
      <c r="B988" s="2">
        <v>45440.798970717595</v>
      </c>
      <c r="C988" t="s">
        <v>3</v>
      </c>
      <c r="D988" t="s">
        <v>245</v>
      </c>
      <c r="E988">
        <v>37.72</v>
      </c>
      <c r="F988" t="s">
        <v>7</v>
      </c>
    </row>
    <row r="989" spans="1:6">
      <c r="A989" s="1">
        <v>45441</v>
      </c>
      <c r="B989" s="2">
        <v>45441.385228055558</v>
      </c>
      <c r="C989" t="s">
        <v>3</v>
      </c>
      <c r="D989" t="s">
        <v>246</v>
      </c>
      <c r="E989">
        <v>37.72</v>
      </c>
      <c r="F989" t="s">
        <v>7</v>
      </c>
    </row>
    <row r="990" spans="1:6">
      <c r="A990" s="1">
        <v>45444</v>
      </c>
      <c r="B990" s="2">
        <v>45444.408619791669</v>
      </c>
      <c r="C990" t="s">
        <v>3</v>
      </c>
      <c r="D990" t="s">
        <v>246</v>
      </c>
      <c r="E990">
        <v>37.72</v>
      </c>
      <c r="F990" t="s">
        <v>7</v>
      </c>
    </row>
    <row r="991" spans="1:6">
      <c r="A991" s="1">
        <v>45519</v>
      </c>
      <c r="B991" s="2">
        <v>45519.526823645836</v>
      </c>
      <c r="C991" t="s">
        <v>3</v>
      </c>
      <c r="D991" t="s">
        <v>246</v>
      </c>
      <c r="E991">
        <v>32.82</v>
      </c>
      <c r="F991" t="s">
        <v>7</v>
      </c>
    </row>
    <row r="992" spans="1:6">
      <c r="A992" s="1">
        <v>45441</v>
      </c>
      <c r="B992" s="2">
        <v>45441.46808859954</v>
      </c>
      <c r="C992" t="s">
        <v>3</v>
      </c>
      <c r="D992" t="s">
        <v>247</v>
      </c>
      <c r="E992">
        <v>37.72</v>
      </c>
      <c r="F992" t="s">
        <v>9</v>
      </c>
    </row>
    <row r="993" spans="1:6">
      <c r="A993" s="1">
        <v>45441</v>
      </c>
      <c r="B993" s="2">
        <v>45441.632506307869</v>
      </c>
      <c r="C993" t="s">
        <v>3</v>
      </c>
      <c r="D993" t="s">
        <v>248</v>
      </c>
      <c r="E993">
        <v>27.92</v>
      </c>
      <c r="F993" t="s">
        <v>11</v>
      </c>
    </row>
    <row r="994" spans="1:6">
      <c r="A994" s="1">
        <v>45441</v>
      </c>
      <c r="B994" s="2">
        <v>45441.640929641202</v>
      </c>
      <c r="C994" t="s">
        <v>3</v>
      </c>
      <c r="D994" t="s">
        <v>249</v>
      </c>
      <c r="E994">
        <v>37.72</v>
      </c>
      <c r="F994" t="s">
        <v>7</v>
      </c>
    </row>
    <row r="995" spans="1:6">
      <c r="A995" s="1">
        <v>45441</v>
      </c>
      <c r="B995" s="2">
        <v>45441.656397430554</v>
      </c>
      <c r="C995" t="s">
        <v>3</v>
      </c>
      <c r="D995" t="s">
        <v>250</v>
      </c>
      <c r="E995">
        <v>37.72</v>
      </c>
      <c r="F995" t="s">
        <v>43</v>
      </c>
    </row>
    <row r="996" spans="1:6">
      <c r="A996" s="1">
        <v>45441</v>
      </c>
      <c r="B996" s="2">
        <v>45441.697962384256</v>
      </c>
      <c r="C996" t="s">
        <v>3</v>
      </c>
      <c r="D996" t="s">
        <v>251</v>
      </c>
      <c r="E996">
        <v>37.72</v>
      </c>
      <c r="F996" t="s">
        <v>7</v>
      </c>
    </row>
    <row r="997" spans="1:6">
      <c r="A997" s="1">
        <v>45441</v>
      </c>
      <c r="B997" s="2">
        <v>45441.766705254631</v>
      </c>
      <c r="C997" t="s">
        <v>3</v>
      </c>
      <c r="D997" t="s">
        <v>252</v>
      </c>
      <c r="E997">
        <v>27.92</v>
      </c>
      <c r="F997" t="s">
        <v>28</v>
      </c>
    </row>
    <row r="998" spans="1:6">
      <c r="A998" s="1">
        <v>45441</v>
      </c>
      <c r="B998" s="2">
        <v>45441.767353136573</v>
      </c>
      <c r="C998" t="s">
        <v>3</v>
      </c>
      <c r="D998" t="s">
        <v>252</v>
      </c>
      <c r="E998">
        <v>37.72</v>
      </c>
      <c r="F998" t="s">
        <v>7</v>
      </c>
    </row>
    <row r="999" spans="1:6">
      <c r="A999" s="1">
        <v>45441</v>
      </c>
      <c r="B999" s="2">
        <v>45441.854655555559</v>
      </c>
      <c r="C999" t="s">
        <v>3</v>
      </c>
      <c r="D999" t="s">
        <v>253</v>
      </c>
      <c r="E999">
        <v>37.72</v>
      </c>
      <c r="F999" t="s">
        <v>9</v>
      </c>
    </row>
    <row r="1000" spans="1:6">
      <c r="A1000" s="1">
        <v>45441</v>
      </c>
      <c r="B1000" s="2">
        <v>45441.85596296296</v>
      </c>
      <c r="C1000" t="s">
        <v>3</v>
      </c>
      <c r="D1000" t="s">
        <v>254</v>
      </c>
      <c r="E1000">
        <v>37.72</v>
      </c>
      <c r="F1000" t="s">
        <v>18</v>
      </c>
    </row>
    <row r="1001" spans="1:6">
      <c r="A1001" s="1">
        <v>45442</v>
      </c>
      <c r="B1001" s="2">
        <v>45442.353544872683</v>
      </c>
      <c r="C1001" t="s">
        <v>3</v>
      </c>
      <c r="D1001" t="s">
        <v>255</v>
      </c>
      <c r="E1001">
        <v>37.72</v>
      </c>
      <c r="F1001" t="s">
        <v>43</v>
      </c>
    </row>
    <row r="1002" spans="1:6">
      <c r="A1002" s="1">
        <v>45442</v>
      </c>
      <c r="B1002" s="2">
        <v>45442.354416504633</v>
      </c>
      <c r="C1002" t="s">
        <v>3</v>
      </c>
      <c r="D1002" t="s">
        <v>255</v>
      </c>
      <c r="E1002">
        <v>37.72</v>
      </c>
      <c r="F1002" t="s">
        <v>7</v>
      </c>
    </row>
    <row r="1003" spans="1:6">
      <c r="A1003" s="1">
        <v>45442</v>
      </c>
      <c r="B1003" s="2">
        <v>45442.359090069447</v>
      </c>
      <c r="C1003" t="s">
        <v>3</v>
      </c>
      <c r="D1003" t="s">
        <v>256</v>
      </c>
      <c r="E1003">
        <v>32.82</v>
      </c>
      <c r="F1003" t="s">
        <v>14</v>
      </c>
    </row>
    <row r="1004" spans="1:6">
      <c r="A1004" s="1">
        <v>45548</v>
      </c>
      <c r="B1004" s="2">
        <v>45548.651607280095</v>
      </c>
      <c r="C1004" t="s">
        <v>3</v>
      </c>
      <c r="D1004" t="s">
        <v>256</v>
      </c>
      <c r="E1004">
        <v>27.92</v>
      </c>
      <c r="F1004" t="s">
        <v>14</v>
      </c>
    </row>
    <row r="1005" spans="1:6">
      <c r="A1005" s="1">
        <v>45576</v>
      </c>
      <c r="B1005" s="2">
        <v>45576.437916331015</v>
      </c>
      <c r="C1005" t="s">
        <v>3</v>
      </c>
      <c r="D1005" t="s">
        <v>256</v>
      </c>
      <c r="E1005">
        <v>30.86</v>
      </c>
      <c r="F1005" t="s">
        <v>14</v>
      </c>
    </row>
    <row r="1006" spans="1:6">
      <c r="A1006" s="1">
        <v>45593</v>
      </c>
      <c r="B1006" s="2">
        <v>45593.385911817131</v>
      </c>
      <c r="C1006" t="s">
        <v>3</v>
      </c>
      <c r="D1006" t="s">
        <v>256</v>
      </c>
      <c r="E1006">
        <v>30.86</v>
      </c>
      <c r="F1006" t="s">
        <v>14</v>
      </c>
    </row>
    <row r="1007" spans="1:6">
      <c r="A1007" s="1">
        <v>45442</v>
      </c>
      <c r="B1007" s="2">
        <v>45442.636292418982</v>
      </c>
      <c r="C1007" t="s">
        <v>3</v>
      </c>
      <c r="D1007" t="s">
        <v>257</v>
      </c>
      <c r="E1007">
        <v>23.02</v>
      </c>
      <c r="F1007" t="s">
        <v>35</v>
      </c>
    </row>
    <row r="1008" spans="1:6">
      <c r="A1008" s="1">
        <v>45442</v>
      </c>
      <c r="B1008" s="2">
        <v>45442.85492395833</v>
      </c>
      <c r="C1008" t="s">
        <v>3</v>
      </c>
      <c r="D1008" t="s">
        <v>258</v>
      </c>
      <c r="E1008">
        <v>37.72</v>
      </c>
      <c r="F1008" t="s">
        <v>7</v>
      </c>
    </row>
    <row r="1009" spans="1:6">
      <c r="A1009" s="1">
        <v>45443</v>
      </c>
      <c r="B1009" s="2">
        <v>45443.329135115739</v>
      </c>
      <c r="C1009" t="s">
        <v>3</v>
      </c>
      <c r="D1009" t="s">
        <v>259</v>
      </c>
      <c r="E1009">
        <v>32.82</v>
      </c>
      <c r="F1009" t="s">
        <v>14</v>
      </c>
    </row>
    <row r="1010" spans="1:6">
      <c r="A1010" s="1">
        <v>45443</v>
      </c>
      <c r="B1010" s="2">
        <v>45443.389673854166</v>
      </c>
      <c r="C1010" t="s">
        <v>3</v>
      </c>
      <c r="D1010" t="s">
        <v>260</v>
      </c>
      <c r="E1010">
        <v>37.72</v>
      </c>
      <c r="F1010" t="s">
        <v>7</v>
      </c>
    </row>
    <row r="1011" spans="1:6">
      <c r="A1011" s="1">
        <v>45443</v>
      </c>
      <c r="B1011" s="2">
        <v>45443.44314653935</v>
      </c>
      <c r="C1011" t="s">
        <v>3</v>
      </c>
      <c r="D1011" t="s">
        <v>261</v>
      </c>
      <c r="E1011">
        <v>37.72</v>
      </c>
      <c r="F1011" t="s">
        <v>9</v>
      </c>
    </row>
    <row r="1012" spans="1:6">
      <c r="A1012" s="1">
        <v>45443</v>
      </c>
      <c r="B1012" s="2">
        <v>45443.443821018518</v>
      </c>
      <c r="C1012" t="s">
        <v>3</v>
      </c>
      <c r="D1012" t="s">
        <v>262</v>
      </c>
      <c r="E1012">
        <v>37.72</v>
      </c>
      <c r="F1012" t="s">
        <v>18</v>
      </c>
    </row>
    <row r="1013" spans="1:6">
      <c r="A1013" s="1">
        <v>45443</v>
      </c>
      <c r="B1013" s="2">
        <v>45443.618205740742</v>
      </c>
      <c r="C1013" t="s">
        <v>3</v>
      </c>
      <c r="D1013" t="s">
        <v>263</v>
      </c>
      <c r="E1013">
        <v>32.82</v>
      </c>
      <c r="F1013" t="s">
        <v>14</v>
      </c>
    </row>
    <row r="1014" spans="1:6">
      <c r="A1014" s="1">
        <v>45443</v>
      </c>
      <c r="B1014" s="2">
        <v>45443.766488842593</v>
      </c>
      <c r="C1014" t="s">
        <v>3</v>
      </c>
      <c r="D1014" t="s">
        <v>264</v>
      </c>
      <c r="E1014">
        <v>37.72</v>
      </c>
      <c r="F1014" t="s">
        <v>7</v>
      </c>
    </row>
    <row r="1015" spans="1:6">
      <c r="A1015" s="1">
        <v>45443</v>
      </c>
      <c r="B1015" s="2">
        <v>45443.767398969911</v>
      </c>
      <c r="C1015" t="s">
        <v>3</v>
      </c>
      <c r="D1015" t="s">
        <v>264</v>
      </c>
      <c r="E1015">
        <v>37.72</v>
      </c>
      <c r="F1015" t="s">
        <v>7</v>
      </c>
    </row>
    <row r="1016" spans="1:6">
      <c r="A1016" s="1">
        <v>45444</v>
      </c>
      <c r="B1016" s="2">
        <v>45444.484830682872</v>
      </c>
      <c r="C1016" t="s">
        <v>3</v>
      </c>
      <c r="D1016" t="s">
        <v>264</v>
      </c>
      <c r="E1016">
        <v>37.72</v>
      </c>
      <c r="F1016" t="s">
        <v>7</v>
      </c>
    </row>
    <row r="1017" spans="1:6">
      <c r="A1017" s="1">
        <v>45503</v>
      </c>
      <c r="B1017" s="2">
        <v>45503.432871759258</v>
      </c>
      <c r="C1017" t="s">
        <v>3</v>
      </c>
      <c r="D1017" t="s">
        <v>264</v>
      </c>
      <c r="E1017">
        <v>32.82</v>
      </c>
      <c r="F1017" t="s">
        <v>7</v>
      </c>
    </row>
    <row r="1018" spans="1:6">
      <c r="A1018" s="1">
        <v>45444</v>
      </c>
      <c r="B1018" s="2">
        <v>45444.764036805558</v>
      </c>
      <c r="C1018" t="s">
        <v>3</v>
      </c>
      <c r="D1018" t="s">
        <v>265</v>
      </c>
      <c r="E1018">
        <v>32.82</v>
      </c>
      <c r="F1018" t="s">
        <v>14</v>
      </c>
    </row>
    <row r="1019" spans="1:6">
      <c r="A1019" s="1">
        <v>45444</v>
      </c>
      <c r="B1019" s="2">
        <v>45444.764761145831</v>
      </c>
      <c r="C1019" t="s">
        <v>3</v>
      </c>
      <c r="D1019" t="s">
        <v>265</v>
      </c>
      <c r="E1019">
        <v>32.82</v>
      </c>
      <c r="F1019" t="s">
        <v>14</v>
      </c>
    </row>
    <row r="1020" spans="1:6">
      <c r="A1020" s="1">
        <v>45444</v>
      </c>
      <c r="B1020" s="2">
        <v>45444.874417696759</v>
      </c>
      <c r="C1020" t="s">
        <v>3</v>
      </c>
      <c r="D1020" t="s">
        <v>266</v>
      </c>
      <c r="E1020">
        <v>37.72</v>
      </c>
      <c r="F1020" t="s">
        <v>18</v>
      </c>
    </row>
    <row r="1021" spans="1:6">
      <c r="A1021" s="1">
        <v>45445</v>
      </c>
      <c r="B1021" s="2">
        <v>45445.895977199078</v>
      </c>
      <c r="C1021" t="s">
        <v>3</v>
      </c>
      <c r="D1021" t="s">
        <v>267</v>
      </c>
      <c r="E1021">
        <v>37.72</v>
      </c>
      <c r="F1021" t="s">
        <v>7</v>
      </c>
    </row>
    <row r="1022" spans="1:6">
      <c r="A1022" s="1">
        <v>45447</v>
      </c>
      <c r="B1022" s="2">
        <v>45447.501507094908</v>
      </c>
      <c r="C1022" t="s">
        <v>3</v>
      </c>
      <c r="D1022" t="s">
        <v>268</v>
      </c>
      <c r="E1022">
        <v>37.72</v>
      </c>
      <c r="F1022" t="s">
        <v>7</v>
      </c>
    </row>
    <row r="1023" spans="1:6">
      <c r="A1023" s="1">
        <v>45447</v>
      </c>
      <c r="B1023" s="2">
        <v>45447.503810023147</v>
      </c>
      <c r="C1023" t="s">
        <v>3</v>
      </c>
      <c r="D1023" t="s">
        <v>268</v>
      </c>
      <c r="E1023">
        <v>37.72</v>
      </c>
      <c r="F1023" t="s">
        <v>9</v>
      </c>
    </row>
    <row r="1024" spans="1:6">
      <c r="A1024" s="1">
        <v>45447</v>
      </c>
      <c r="B1024" s="2">
        <v>45447.646208969905</v>
      </c>
      <c r="C1024" t="s">
        <v>3</v>
      </c>
      <c r="D1024" t="s">
        <v>269</v>
      </c>
      <c r="E1024">
        <v>37.72</v>
      </c>
      <c r="F1024" t="s">
        <v>7</v>
      </c>
    </row>
    <row r="1025" spans="1:6">
      <c r="A1025" s="1">
        <v>45567</v>
      </c>
      <c r="B1025" s="2">
        <v>45567.771610567128</v>
      </c>
      <c r="C1025" t="s">
        <v>3</v>
      </c>
      <c r="D1025" t="s">
        <v>269</v>
      </c>
      <c r="E1025">
        <v>35.76</v>
      </c>
      <c r="F1025" t="s">
        <v>9</v>
      </c>
    </row>
    <row r="1026" spans="1:6">
      <c r="A1026" s="1">
        <v>45447</v>
      </c>
      <c r="B1026" s="2">
        <v>45447.842375046297</v>
      </c>
      <c r="C1026" t="s">
        <v>3</v>
      </c>
      <c r="D1026" t="s">
        <v>270</v>
      </c>
      <c r="E1026">
        <v>37.72</v>
      </c>
      <c r="F1026" t="s">
        <v>9</v>
      </c>
    </row>
    <row r="1027" spans="1:6">
      <c r="A1027" s="1">
        <v>45455</v>
      </c>
      <c r="B1027" s="2">
        <v>45455.844833888892</v>
      </c>
      <c r="C1027" t="s">
        <v>3</v>
      </c>
      <c r="D1027" t="s">
        <v>270</v>
      </c>
      <c r="E1027">
        <v>37.72</v>
      </c>
      <c r="F1027" t="s">
        <v>9</v>
      </c>
    </row>
    <row r="1028" spans="1:6">
      <c r="A1028" s="1">
        <v>45447</v>
      </c>
      <c r="B1028" s="2">
        <v>45447.868447870373</v>
      </c>
      <c r="C1028" t="s">
        <v>3</v>
      </c>
      <c r="D1028" t="s">
        <v>271</v>
      </c>
      <c r="E1028">
        <v>37.72</v>
      </c>
      <c r="F1028" t="s">
        <v>43</v>
      </c>
    </row>
    <row r="1029" spans="1:6">
      <c r="A1029" s="1">
        <v>45463</v>
      </c>
      <c r="B1029" s="2">
        <v>45463.90219922454</v>
      </c>
      <c r="C1029" t="s">
        <v>3</v>
      </c>
      <c r="D1029" t="s">
        <v>271</v>
      </c>
      <c r="E1029">
        <v>37.72</v>
      </c>
      <c r="F1029" t="s">
        <v>7</v>
      </c>
    </row>
    <row r="1030" spans="1:6">
      <c r="A1030" s="1">
        <v>45498</v>
      </c>
      <c r="B1030" s="2">
        <v>45498.806258842589</v>
      </c>
      <c r="C1030" t="s">
        <v>3</v>
      </c>
      <c r="D1030" t="s">
        <v>271</v>
      </c>
      <c r="E1030">
        <v>32.82</v>
      </c>
      <c r="F1030" t="s">
        <v>43</v>
      </c>
    </row>
    <row r="1031" spans="1:6">
      <c r="A1031" s="1">
        <v>45578</v>
      </c>
      <c r="B1031" s="2">
        <v>45578.863251481482</v>
      </c>
      <c r="C1031" t="s">
        <v>3</v>
      </c>
      <c r="D1031" t="s">
        <v>271</v>
      </c>
      <c r="E1031">
        <v>35.76</v>
      </c>
      <c r="F1031" t="s">
        <v>43</v>
      </c>
    </row>
    <row r="1032" spans="1:6">
      <c r="A1032" s="1">
        <v>45593</v>
      </c>
      <c r="B1032" s="2">
        <v>45593.798903414354</v>
      </c>
      <c r="C1032" t="s">
        <v>3</v>
      </c>
      <c r="D1032" t="s">
        <v>271</v>
      </c>
      <c r="E1032">
        <v>35.76</v>
      </c>
      <c r="F1032" t="s">
        <v>43</v>
      </c>
    </row>
    <row r="1033" spans="1:6">
      <c r="A1033" s="1">
        <v>45447</v>
      </c>
      <c r="B1033" s="2">
        <v>45447.897209583331</v>
      </c>
      <c r="C1033" t="s">
        <v>3</v>
      </c>
      <c r="D1033" t="s">
        <v>272</v>
      </c>
      <c r="E1033">
        <v>27.92</v>
      </c>
      <c r="F1033" t="s">
        <v>28</v>
      </c>
    </row>
    <row r="1034" spans="1:6">
      <c r="A1034" s="1">
        <v>45508</v>
      </c>
      <c r="B1034" s="2">
        <v>45508.493687534719</v>
      </c>
      <c r="C1034" t="s">
        <v>3</v>
      </c>
      <c r="D1034" t="s">
        <v>272</v>
      </c>
      <c r="E1034">
        <v>32.82</v>
      </c>
      <c r="F1034" t="s">
        <v>43</v>
      </c>
    </row>
    <row r="1035" spans="1:6">
      <c r="A1035" s="1">
        <v>45508</v>
      </c>
      <c r="B1035" s="2">
        <v>45508.494826585651</v>
      </c>
      <c r="C1035" t="s">
        <v>3</v>
      </c>
      <c r="D1035" t="s">
        <v>272</v>
      </c>
      <c r="E1035">
        <v>27.92</v>
      </c>
      <c r="F1035" t="s">
        <v>14</v>
      </c>
    </row>
    <row r="1036" spans="1:6">
      <c r="A1036" s="1">
        <v>45582</v>
      </c>
      <c r="B1036" s="2">
        <v>45582.714210081016</v>
      </c>
      <c r="C1036" t="s">
        <v>3</v>
      </c>
      <c r="D1036" t="s">
        <v>272</v>
      </c>
      <c r="E1036">
        <v>35.76</v>
      </c>
      <c r="F1036" t="s">
        <v>43</v>
      </c>
    </row>
    <row r="1037" spans="1:6">
      <c r="A1037" s="1">
        <v>45582</v>
      </c>
      <c r="B1037" s="2">
        <v>45582.714934062496</v>
      </c>
      <c r="C1037" t="s">
        <v>3</v>
      </c>
      <c r="D1037" t="s">
        <v>272</v>
      </c>
      <c r="E1037">
        <v>35.76</v>
      </c>
      <c r="F1037" t="s">
        <v>9</v>
      </c>
    </row>
    <row r="1038" spans="1:6">
      <c r="A1038" s="1">
        <v>45447</v>
      </c>
      <c r="B1038" s="2">
        <v>45447.897947002311</v>
      </c>
      <c r="C1038" t="s">
        <v>3</v>
      </c>
      <c r="D1038" t="s">
        <v>273</v>
      </c>
      <c r="E1038">
        <v>32.82</v>
      </c>
      <c r="F1038" t="s">
        <v>14</v>
      </c>
    </row>
    <row r="1039" spans="1:6">
      <c r="A1039" s="1">
        <v>45447</v>
      </c>
      <c r="B1039" s="2">
        <v>45447.899255405093</v>
      </c>
      <c r="C1039" t="s">
        <v>3</v>
      </c>
      <c r="D1039" t="s">
        <v>274</v>
      </c>
      <c r="E1039">
        <v>32.82</v>
      </c>
      <c r="F1039" t="s">
        <v>14</v>
      </c>
    </row>
    <row r="1040" spans="1:6">
      <c r="A1040" s="1">
        <v>45447</v>
      </c>
      <c r="B1040" s="2">
        <v>45447.90008013889</v>
      </c>
      <c r="C1040" t="s">
        <v>3</v>
      </c>
      <c r="D1040" t="s">
        <v>274</v>
      </c>
      <c r="E1040">
        <v>32.82</v>
      </c>
      <c r="F1040" t="s">
        <v>14</v>
      </c>
    </row>
    <row r="1041" spans="1:6">
      <c r="A1041" s="1">
        <v>45447</v>
      </c>
      <c r="B1041" s="2">
        <v>45447.900869953701</v>
      </c>
      <c r="C1041" t="s">
        <v>3</v>
      </c>
      <c r="D1041" t="s">
        <v>274</v>
      </c>
      <c r="E1041">
        <v>32.82</v>
      </c>
      <c r="F1041" t="s">
        <v>14</v>
      </c>
    </row>
    <row r="1042" spans="1:6">
      <c r="A1042" s="1">
        <v>45448</v>
      </c>
      <c r="B1042" s="2">
        <v>45448.348483379632</v>
      </c>
      <c r="C1042" t="s">
        <v>3</v>
      </c>
      <c r="D1042" t="s">
        <v>275</v>
      </c>
      <c r="E1042">
        <v>37.72</v>
      </c>
      <c r="F1042" t="s">
        <v>43</v>
      </c>
    </row>
    <row r="1043" spans="1:6">
      <c r="A1043" s="1">
        <v>45448</v>
      </c>
      <c r="B1043" s="2">
        <v>45448.349383368055</v>
      </c>
      <c r="C1043" t="s">
        <v>3</v>
      </c>
      <c r="D1043" t="s">
        <v>275</v>
      </c>
      <c r="E1043">
        <v>37.72</v>
      </c>
      <c r="F1043" t="s">
        <v>43</v>
      </c>
    </row>
    <row r="1044" spans="1:6">
      <c r="A1044" s="1">
        <v>45735</v>
      </c>
      <c r="B1044" s="2">
        <v>45735.294544189812</v>
      </c>
      <c r="C1044" t="s">
        <v>3</v>
      </c>
      <c r="D1044" t="s">
        <v>275</v>
      </c>
      <c r="E1044">
        <v>25.96</v>
      </c>
      <c r="F1044" t="s">
        <v>11</v>
      </c>
    </row>
    <row r="1045" spans="1:6">
      <c r="A1045" s="1">
        <v>45448</v>
      </c>
      <c r="B1045" s="2">
        <v>45448.390776712964</v>
      </c>
      <c r="C1045" t="s">
        <v>3</v>
      </c>
      <c r="D1045" t="s">
        <v>276</v>
      </c>
      <c r="E1045">
        <v>27.92</v>
      </c>
      <c r="F1045" t="s">
        <v>11</v>
      </c>
    </row>
    <row r="1046" spans="1:6">
      <c r="A1046" s="1">
        <v>45448</v>
      </c>
      <c r="B1046" s="2">
        <v>45448.822195312503</v>
      </c>
      <c r="C1046" t="s">
        <v>3</v>
      </c>
      <c r="D1046" t="s">
        <v>277</v>
      </c>
      <c r="E1046">
        <v>32.82</v>
      </c>
      <c r="F1046" t="s">
        <v>14</v>
      </c>
    </row>
    <row r="1047" spans="1:6">
      <c r="A1047" s="1">
        <v>45448</v>
      </c>
      <c r="B1047" s="2">
        <v>45448.83325841435</v>
      </c>
      <c r="C1047" t="s">
        <v>3</v>
      </c>
      <c r="D1047" t="s">
        <v>278</v>
      </c>
      <c r="E1047">
        <v>37.72</v>
      </c>
      <c r="F1047" t="s">
        <v>7</v>
      </c>
    </row>
    <row r="1048" spans="1:6">
      <c r="A1048" s="1">
        <v>45449</v>
      </c>
      <c r="B1048" s="2">
        <v>45449.512285578705</v>
      </c>
      <c r="C1048" t="s">
        <v>3</v>
      </c>
      <c r="D1048" t="s">
        <v>279</v>
      </c>
      <c r="E1048">
        <v>27.92</v>
      </c>
      <c r="F1048" t="s">
        <v>11</v>
      </c>
    </row>
    <row r="1049" spans="1:6">
      <c r="A1049" s="1">
        <v>45690</v>
      </c>
      <c r="B1049" s="2">
        <v>45690.599274571759</v>
      </c>
      <c r="C1049" t="s">
        <v>3</v>
      </c>
      <c r="D1049" t="s">
        <v>279</v>
      </c>
      <c r="E1049">
        <v>30.86</v>
      </c>
      <c r="F1049" t="s">
        <v>14</v>
      </c>
    </row>
    <row r="1050" spans="1:6">
      <c r="A1050" s="1">
        <v>45449</v>
      </c>
      <c r="B1050" s="2">
        <v>45449.641738668979</v>
      </c>
      <c r="C1050" t="s">
        <v>3</v>
      </c>
      <c r="D1050" t="s">
        <v>280</v>
      </c>
      <c r="E1050">
        <v>37.72</v>
      </c>
      <c r="F1050" t="s">
        <v>43</v>
      </c>
    </row>
    <row r="1051" spans="1:6">
      <c r="A1051" s="1">
        <v>45449</v>
      </c>
      <c r="B1051" s="2">
        <v>45449.884781273147</v>
      </c>
      <c r="C1051" t="s">
        <v>3</v>
      </c>
      <c r="D1051" t="s">
        <v>281</v>
      </c>
      <c r="E1051">
        <v>37.72</v>
      </c>
      <c r="F1051" t="s">
        <v>7</v>
      </c>
    </row>
    <row r="1052" spans="1:6">
      <c r="A1052" s="1">
        <v>45449</v>
      </c>
      <c r="B1052" s="2">
        <v>45449.885905405092</v>
      </c>
      <c r="C1052" t="s">
        <v>3</v>
      </c>
      <c r="D1052" t="s">
        <v>281</v>
      </c>
      <c r="E1052">
        <v>37.72</v>
      </c>
      <c r="F1052" t="s">
        <v>7</v>
      </c>
    </row>
    <row r="1053" spans="1:6">
      <c r="A1053" s="1">
        <v>45449</v>
      </c>
      <c r="B1053" s="2">
        <v>45449.889634722225</v>
      </c>
      <c r="C1053" t="s">
        <v>3</v>
      </c>
      <c r="D1053" t="s">
        <v>281</v>
      </c>
      <c r="E1053">
        <v>37.72</v>
      </c>
      <c r="F1053" t="s">
        <v>7</v>
      </c>
    </row>
    <row r="1054" spans="1:6">
      <c r="A1054" s="1">
        <v>45450</v>
      </c>
      <c r="B1054" s="2">
        <v>45450.345883055554</v>
      </c>
      <c r="C1054" t="s">
        <v>3</v>
      </c>
      <c r="D1054" t="s">
        <v>282</v>
      </c>
      <c r="E1054">
        <v>37.72</v>
      </c>
      <c r="F1054" t="s">
        <v>43</v>
      </c>
    </row>
    <row r="1055" spans="1:6">
      <c r="A1055" s="1">
        <v>45508</v>
      </c>
      <c r="B1055" s="2">
        <v>45508.648520104165</v>
      </c>
      <c r="C1055" t="s">
        <v>3</v>
      </c>
      <c r="D1055" t="s">
        <v>282</v>
      </c>
      <c r="E1055">
        <v>32.82</v>
      </c>
      <c r="F1055" t="s">
        <v>43</v>
      </c>
    </row>
    <row r="1056" spans="1:6">
      <c r="A1056" s="1">
        <v>45508</v>
      </c>
      <c r="B1056" s="2">
        <v>45508.649373912034</v>
      </c>
      <c r="C1056" t="s">
        <v>3</v>
      </c>
      <c r="D1056" t="s">
        <v>282</v>
      </c>
      <c r="E1056">
        <v>32.82</v>
      </c>
      <c r="F1056" t="s">
        <v>43</v>
      </c>
    </row>
    <row r="1057" spans="1:6">
      <c r="A1057" s="1">
        <v>45544</v>
      </c>
      <c r="B1057" s="2">
        <v>45544.838613402775</v>
      </c>
      <c r="C1057" t="s">
        <v>3</v>
      </c>
      <c r="D1057" t="s">
        <v>282</v>
      </c>
      <c r="E1057">
        <v>32.82</v>
      </c>
      <c r="F1057" t="s">
        <v>43</v>
      </c>
    </row>
    <row r="1058" spans="1:6">
      <c r="A1058" s="1">
        <v>45450</v>
      </c>
      <c r="B1058" s="2">
        <v>45450.441297500001</v>
      </c>
      <c r="C1058" t="s">
        <v>3</v>
      </c>
      <c r="D1058" t="s">
        <v>283</v>
      </c>
      <c r="E1058">
        <v>23.02</v>
      </c>
      <c r="F1058" t="s">
        <v>35</v>
      </c>
    </row>
    <row r="1059" spans="1:6">
      <c r="A1059" s="1">
        <v>45450</v>
      </c>
      <c r="B1059" s="2">
        <v>45450.698405300929</v>
      </c>
      <c r="C1059" t="s">
        <v>3</v>
      </c>
      <c r="D1059" t="s">
        <v>284</v>
      </c>
      <c r="E1059">
        <v>27.92</v>
      </c>
      <c r="F1059" t="s">
        <v>28</v>
      </c>
    </row>
    <row r="1060" spans="1:6">
      <c r="A1060" s="1">
        <v>45450</v>
      </c>
      <c r="B1060" s="2">
        <v>45450.699484733799</v>
      </c>
      <c r="C1060" t="s">
        <v>3</v>
      </c>
      <c r="D1060" t="s">
        <v>284</v>
      </c>
      <c r="E1060">
        <v>27.92</v>
      </c>
      <c r="F1060" t="s">
        <v>28</v>
      </c>
    </row>
    <row r="1061" spans="1:6">
      <c r="A1061" s="1">
        <v>45476</v>
      </c>
      <c r="B1061" s="2">
        <v>45476.703652986114</v>
      </c>
      <c r="C1061" t="s">
        <v>3</v>
      </c>
      <c r="D1061" t="s">
        <v>284</v>
      </c>
      <c r="E1061">
        <v>32.82</v>
      </c>
      <c r="F1061" t="s">
        <v>14</v>
      </c>
    </row>
    <row r="1062" spans="1:6">
      <c r="A1062" s="1">
        <v>45476</v>
      </c>
      <c r="B1062" s="2">
        <v>45476.705224803241</v>
      </c>
      <c r="C1062" t="s">
        <v>3</v>
      </c>
      <c r="D1062" t="s">
        <v>284</v>
      </c>
      <c r="E1062">
        <v>37.72</v>
      </c>
      <c r="F1062" t="s">
        <v>7</v>
      </c>
    </row>
    <row r="1063" spans="1:6">
      <c r="A1063" s="1">
        <v>45451</v>
      </c>
      <c r="B1063" s="2">
        <v>45451.378009444445</v>
      </c>
      <c r="C1063" t="s">
        <v>3</v>
      </c>
      <c r="D1063" t="s">
        <v>285</v>
      </c>
      <c r="E1063">
        <v>27.92</v>
      </c>
      <c r="F1063" t="s">
        <v>28</v>
      </c>
    </row>
    <row r="1064" spans="1:6">
      <c r="A1064" s="1">
        <v>45452</v>
      </c>
      <c r="B1064" s="2">
        <v>45452.437551631941</v>
      </c>
      <c r="C1064" t="s">
        <v>3</v>
      </c>
      <c r="D1064" t="s">
        <v>286</v>
      </c>
      <c r="E1064">
        <v>37.72</v>
      </c>
      <c r="F1064" t="s">
        <v>7</v>
      </c>
    </row>
    <row r="1065" spans="1:6">
      <c r="A1065" s="1">
        <v>45452</v>
      </c>
      <c r="B1065" s="2">
        <v>45452.452844872685</v>
      </c>
      <c r="C1065" t="s">
        <v>3</v>
      </c>
      <c r="D1065" t="s">
        <v>287</v>
      </c>
      <c r="E1065">
        <v>37.72</v>
      </c>
      <c r="F1065" t="s">
        <v>43</v>
      </c>
    </row>
    <row r="1066" spans="1:6">
      <c r="A1066" s="1">
        <v>45452</v>
      </c>
      <c r="B1066" s="2">
        <v>45452.463288287036</v>
      </c>
      <c r="C1066" t="s">
        <v>3</v>
      </c>
      <c r="D1066" t="s">
        <v>288</v>
      </c>
      <c r="E1066">
        <v>23.02</v>
      </c>
      <c r="F1066" t="s">
        <v>35</v>
      </c>
    </row>
    <row r="1067" spans="1:6">
      <c r="A1067" s="1">
        <v>45459</v>
      </c>
      <c r="B1067" s="2">
        <v>45459.583784629627</v>
      </c>
      <c r="C1067" t="s">
        <v>3</v>
      </c>
      <c r="D1067" t="s">
        <v>288</v>
      </c>
      <c r="E1067">
        <v>23.02</v>
      </c>
      <c r="F1067" t="s">
        <v>35</v>
      </c>
    </row>
    <row r="1068" spans="1:6">
      <c r="A1068" s="1">
        <v>45471</v>
      </c>
      <c r="B1068" s="2">
        <v>45471.744374918984</v>
      </c>
      <c r="C1068" t="s">
        <v>3</v>
      </c>
      <c r="D1068" t="s">
        <v>288</v>
      </c>
      <c r="E1068">
        <v>23.02</v>
      </c>
      <c r="F1068" t="s">
        <v>35</v>
      </c>
    </row>
    <row r="1069" spans="1:6">
      <c r="A1069" s="1">
        <v>45586</v>
      </c>
      <c r="B1069" s="2">
        <v>45586.477565439818</v>
      </c>
      <c r="C1069" t="s">
        <v>3</v>
      </c>
      <c r="D1069" t="s">
        <v>288</v>
      </c>
      <c r="E1069">
        <v>21.06</v>
      </c>
      <c r="F1069" t="s">
        <v>35</v>
      </c>
    </row>
    <row r="1070" spans="1:6">
      <c r="A1070" s="1">
        <v>45452</v>
      </c>
      <c r="B1070" s="2">
        <v>45452.495018703703</v>
      </c>
      <c r="C1070" t="s">
        <v>3</v>
      </c>
      <c r="D1070" t="s">
        <v>289</v>
      </c>
      <c r="E1070">
        <v>37.72</v>
      </c>
      <c r="F1070" t="s">
        <v>43</v>
      </c>
    </row>
    <row r="1071" spans="1:6">
      <c r="A1071" s="1">
        <v>45452</v>
      </c>
      <c r="B1071" s="2">
        <v>45452.507912499997</v>
      </c>
      <c r="C1071" t="s">
        <v>3</v>
      </c>
      <c r="D1071" t="s">
        <v>290</v>
      </c>
      <c r="E1071">
        <v>32.82</v>
      </c>
      <c r="F1071" t="s">
        <v>14</v>
      </c>
    </row>
    <row r="1072" spans="1:6">
      <c r="A1072" s="1">
        <v>45452</v>
      </c>
      <c r="B1072" s="2">
        <v>45452.509121145835</v>
      </c>
      <c r="C1072" t="s">
        <v>3</v>
      </c>
      <c r="D1072" t="s">
        <v>290</v>
      </c>
      <c r="E1072">
        <v>37.72</v>
      </c>
      <c r="F1072" t="s">
        <v>7</v>
      </c>
    </row>
    <row r="1073" spans="1:6">
      <c r="A1073" s="1">
        <v>45452</v>
      </c>
      <c r="B1073" s="2">
        <v>45452.50984702546</v>
      </c>
      <c r="C1073" t="s">
        <v>3</v>
      </c>
      <c r="D1073" t="s">
        <v>290</v>
      </c>
      <c r="E1073">
        <v>37.72</v>
      </c>
      <c r="F1073" t="s">
        <v>7</v>
      </c>
    </row>
    <row r="1074" spans="1:6">
      <c r="A1074" s="1">
        <v>45459</v>
      </c>
      <c r="B1074" s="2">
        <v>45459.534347499997</v>
      </c>
      <c r="C1074" t="s">
        <v>3</v>
      </c>
      <c r="D1074" t="s">
        <v>290</v>
      </c>
      <c r="E1074">
        <v>32.82</v>
      </c>
      <c r="F1074" t="s">
        <v>14</v>
      </c>
    </row>
    <row r="1075" spans="1:6">
      <c r="A1075" s="1">
        <v>45482</v>
      </c>
      <c r="B1075" s="2">
        <v>45482.444777395831</v>
      </c>
      <c r="C1075" t="s">
        <v>3</v>
      </c>
      <c r="D1075" t="s">
        <v>290</v>
      </c>
      <c r="E1075">
        <v>27.92</v>
      </c>
      <c r="F1075" t="s">
        <v>14</v>
      </c>
    </row>
    <row r="1076" spans="1:6">
      <c r="A1076" s="1">
        <v>45501</v>
      </c>
      <c r="B1076" s="2">
        <v>45501.595766261577</v>
      </c>
      <c r="C1076" t="s">
        <v>3</v>
      </c>
      <c r="D1076" t="s">
        <v>290</v>
      </c>
      <c r="E1076">
        <v>27.92</v>
      </c>
      <c r="F1076" t="s">
        <v>14</v>
      </c>
    </row>
    <row r="1077" spans="1:6">
      <c r="A1077" s="1">
        <v>45501</v>
      </c>
      <c r="B1077" s="2">
        <v>45501.596437453707</v>
      </c>
      <c r="C1077" t="s">
        <v>3</v>
      </c>
      <c r="D1077" t="s">
        <v>290</v>
      </c>
      <c r="E1077">
        <v>32.82</v>
      </c>
      <c r="F1077" t="s">
        <v>7</v>
      </c>
    </row>
    <row r="1078" spans="1:6">
      <c r="A1078" s="1">
        <v>45503</v>
      </c>
      <c r="B1078" s="2">
        <v>45503.430257094908</v>
      </c>
      <c r="C1078" t="s">
        <v>3</v>
      </c>
      <c r="D1078" t="s">
        <v>290</v>
      </c>
      <c r="E1078">
        <v>27.92</v>
      </c>
      <c r="F1078" t="s">
        <v>14</v>
      </c>
    </row>
    <row r="1079" spans="1:6">
      <c r="A1079" s="1">
        <v>45504</v>
      </c>
      <c r="B1079" s="2">
        <v>45504.415461377313</v>
      </c>
      <c r="C1079" t="s">
        <v>3</v>
      </c>
      <c r="D1079" t="s">
        <v>290</v>
      </c>
      <c r="E1079">
        <v>27.92</v>
      </c>
      <c r="F1079" t="s">
        <v>14</v>
      </c>
    </row>
    <row r="1080" spans="1:6">
      <c r="A1080" s="1">
        <v>45505</v>
      </c>
      <c r="B1080" s="2">
        <v>45505.392593287041</v>
      </c>
      <c r="C1080" t="s">
        <v>3</v>
      </c>
      <c r="D1080" t="s">
        <v>290</v>
      </c>
      <c r="E1080">
        <v>27.92</v>
      </c>
      <c r="F1080" t="s">
        <v>14</v>
      </c>
    </row>
    <row r="1081" spans="1:6">
      <c r="A1081" s="1">
        <v>45525</v>
      </c>
      <c r="B1081" s="2">
        <v>45525.443570914351</v>
      </c>
      <c r="C1081" t="s">
        <v>3</v>
      </c>
      <c r="D1081" t="s">
        <v>290</v>
      </c>
      <c r="E1081">
        <v>27.92</v>
      </c>
      <c r="F1081" t="s">
        <v>14</v>
      </c>
    </row>
    <row r="1082" spans="1:6">
      <c r="A1082" s="1">
        <v>45542</v>
      </c>
      <c r="B1082" s="2">
        <v>45542.415134861112</v>
      </c>
      <c r="C1082" t="s">
        <v>3</v>
      </c>
      <c r="D1082" t="s">
        <v>290</v>
      </c>
      <c r="E1082">
        <v>27.92</v>
      </c>
      <c r="F1082" t="s">
        <v>14</v>
      </c>
    </row>
    <row r="1083" spans="1:6">
      <c r="A1083" s="1">
        <v>45542</v>
      </c>
      <c r="B1083" s="2">
        <v>45542.415998958335</v>
      </c>
      <c r="C1083" t="s">
        <v>3</v>
      </c>
      <c r="D1083" t="s">
        <v>290</v>
      </c>
      <c r="E1083">
        <v>27.92</v>
      </c>
      <c r="F1083" t="s">
        <v>14</v>
      </c>
    </row>
    <row r="1084" spans="1:6">
      <c r="A1084" s="1">
        <v>45552</v>
      </c>
      <c r="B1084" s="2">
        <v>45552.359462418979</v>
      </c>
      <c r="C1084" t="s">
        <v>3</v>
      </c>
      <c r="D1084" t="s">
        <v>290</v>
      </c>
      <c r="E1084">
        <v>27.92</v>
      </c>
      <c r="F1084" t="s">
        <v>14</v>
      </c>
    </row>
    <row r="1085" spans="1:6">
      <c r="A1085" s="1">
        <v>45554</v>
      </c>
      <c r="B1085" s="2">
        <v>45554.34535491898</v>
      </c>
      <c r="C1085" t="s">
        <v>3</v>
      </c>
      <c r="D1085" t="s">
        <v>290</v>
      </c>
      <c r="E1085">
        <v>27.92</v>
      </c>
      <c r="F1085" t="s">
        <v>14</v>
      </c>
    </row>
    <row r="1086" spans="1:6">
      <c r="A1086" s="1">
        <v>45555</v>
      </c>
      <c r="B1086" s="2">
        <v>45555.357603356482</v>
      </c>
      <c r="C1086" t="s">
        <v>3</v>
      </c>
      <c r="D1086" t="s">
        <v>290</v>
      </c>
      <c r="E1086">
        <v>27.92</v>
      </c>
      <c r="F1086" t="s">
        <v>14</v>
      </c>
    </row>
    <row r="1087" spans="1:6">
      <c r="A1087" s="1">
        <v>45557</v>
      </c>
      <c r="B1087" s="2">
        <v>45557.505101469906</v>
      </c>
      <c r="C1087" t="s">
        <v>3</v>
      </c>
      <c r="D1087" t="s">
        <v>290</v>
      </c>
      <c r="E1087">
        <v>27.92</v>
      </c>
      <c r="F1087" t="s">
        <v>14</v>
      </c>
    </row>
    <row r="1088" spans="1:6">
      <c r="A1088" s="1">
        <v>45558</v>
      </c>
      <c r="B1088" s="2">
        <v>45558.377511041668</v>
      </c>
      <c r="C1088" t="s">
        <v>3</v>
      </c>
      <c r="D1088" t="s">
        <v>290</v>
      </c>
      <c r="E1088">
        <v>27.92</v>
      </c>
      <c r="F1088" t="s">
        <v>14</v>
      </c>
    </row>
    <row r="1089" spans="1:6">
      <c r="A1089" s="1">
        <v>45559</v>
      </c>
      <c r="B1089" s="2">
        <v>45559.356627465277</v>
      </c>
      <c r="C1089" t="s">
        <v>3</v>
      </c>
      <c r="D1089" t="s">
        <v>290</v>
      </c>
      <c r="E1089">
        <v>27.92</v>
      </c>
      <c r="F1089" t="s">
        <v>14</v>
      </c>
    </row>
    <row r="1090" spans="1:6">
      <c r="A1090" s="1">
        <v>45562</v>
      </c>
      <c r="B1090" s="2">
        <v>45562.395667199075</v>
      </c>
      <c r="C1090" t="s">
        <v>3</v>
      </c>
      <c r="D1090" t="s">
        <v>290</v>
      </c>
      <c r="E1090">
        <v>27.92</v>
      </c>
      <c r="F1090" t="s">
        <v>14</v>
      </c>
    </row>
    <row r="1091" spans="1:6">
      <c r="A1091" s="1">
        <v>45565</v>
      </c>
      <c r="B1091" s="2">
        <v>45565.417467222222</v>
      </c>
      <c r="C1091" t="s">
        <v>3</v>
      </c>
      <c r="D1091" t="s">
        <v>290</v>
      </c>
      <c r="E1091">
        <v>30.86</v>
      </c>
      <c r="F1091" t="s">
        <v>14</v>
      </c>
    </row>
    <row r="1092" spans="1:6">
      <c r="A1092" s="1">
        <v>45566</v>
      </c>
      <c r="B1092" s="2">
        <v>45566.408689548611</v>
      </c>
      <c r="C1092" t="s">
        <v>3</v>
      </c>
      <c r="D1092" t="s">
        <v>290</v>
      </c>
      <c r="E1092">
        <v>30.86</v>
      </c>
      <c r="F1092" t="s">
        <v>14</v>
      </c>
    </row>
    <row r="1093" spans="1:6">
      <c r="A1093" s="1">
        <v>45567</v>
      </c>
      <c r="B1093" s="2">
        <v>45567.388391817127</v>
      </c>
      <c r="C1093" t="s">
        <v>3</v>
      </c>
      <c r="D1093" t="s">
        <v>290</v>
      </c>
      <c r="E1093">
        <v>30.86</v>
      </c>
      <c r="F1093" t="s">
        <v>14</v>
      </c>
    </row>
    <row r="1094" spans="1:6">
      <c r="A1094" s="1">
        <v>45573</v>
      </c>
      <c r="B1094" s="2">
        <v>45573.37863457176</v>
      </c>
      <c r="C1094" t="s">
        <v>3</v>
      </c>
      <c r="D1094" t="s">
        <v>290</v>
      </c>
      <c r="E1094">
        <v>30.86</v>
      </c>
      <c r="F1094" t="s">
        <v>14</v>
      </c>
    </row>
    <row r="1095" spans="1:6">
      <c r="A1095" s="1">
        <v>45574</v>
      </c>
      <c r="B1095" s="2">
        <v>45574.351360057874</v>
      </c>
      <c r="C1095" t="s">
        <v>3</v>
      </c>
      <c r="D1095" t="s">
        <v>290</v>
      </c>
      <c r="E1095">
        <v>30.86</v>
      </c>
      <c r="F1095" t="s">
        <v>14</v>
      </c>
    </row>
    <row r="1096" spans="1:6">
      <c r="A1096" s="1">
        <v>45575</v>
      </c>
      <c r="B1096" s="2">
        <v>45575.391205069442</v>
      </c>
      <c r="C1096" t="s">
        <v>3</v>
      </c>
      <c r="D1096" t="s">
        <v>290</v>
      </c>
      <c r="E1096">
        <v>30.86</v>
      </c>
      <c r="F1096" t="s">
        <v>14</v>
      </c>
    </row>
    <row r="1097" spans="1:6">
      <c r="A1097" s="1">
        <v>45576</v>
      </c>
      <c r="B1097" s="2">
        <v>45576.329763657406</v>
      </c>
      <c r="C1097" t="s">
        <v>3</v>
      </c>
      <c r="D1097" t="s">
        <v>290</v>
      </c>
      <c r="E1097">
        <v>30.86</v>
      </c>
      <c r="F1097" t="s">
        <v>14</v>
      </c>
    </row>
    <row r="1098" spans="1:6">
      <c r="A1098" s="1">
        <v>45579</v>
      </c>
      <c r="B1098" s="2">
        <v>45579.352021284722</v>
      </c>
      <c r="C1098" t="s">
        <v>3</v>
      </c>
      <c r="D1098" t="s">
        <v>290</v>
      </c>
      <c r="E1098">
        <v>30.86</v>
      </c>
      <c r="F1098" t="s">
        <v>14</v>
      </c>
    </row>
    <row r="1099" spans="1:6">
      <c r="A1099" s="1">
        <v>45581</v>
      </c>
      <c r="B1099" s="2">
        <v>45581.348217743056</v>
      </c>
      <c r="C1099" t="s">
        <v>3</v>
      </c>
      <c r="D1099" t="s">
        <v>290</v>
      </c>
      <c r="E1099">
        <v>30.86</v>
      </c>
      <c r="F1099" t="s">
        <v>14</v>
      </c>
    </row>
    <row r="1100" spans="1:6">
      <c r="A1100" s="1">
        <v>45587</v>
      </c>
      <c r="B1100" s="2">
        <v>45587.351067361109</v>
      </c>
      <c r="C1100" t="s">
        <v>3</v>
      </c>
      <c r="D1100" t="s">
        <v>290</v>
      </c>
      <c r="E1100">
        <v>30.86</v>
      </c>
      <c r="F1100" t="s">
        <v>14</v>
      </c>
    </row>
    <row r="1101" spans="1:6">
      <c r="A1101" s="1">
        <v>45588</v>
      </c>
      <c r="B1101" s="2">
        <v>45588.364754606482</v>
      </c>
      <c r="C1101" t="s">
        <v>3</v>
      </c>
      <c r="D1101" t="s">
        <v>290</v>
      </c>
      <c r="E1101">
        <v>30.86</v>
      </c>
      <c r="F1101" t="s">
        <v>14</v>
      </c>
    </row>
    <row r="1102" spans="1:6">
      <c r="A1102" s="1">
        <v>45590</v>
      </c>
      <c r="B1102" s="2">
        <v>45590.45209835648</v>
      </c>
      <c r="C1102" t="s">
        <v>3</v>
      </c>
      <c r="D1102" t="s">
        <v>290</v>
      </c>
      <c r="E1102">
        <v>30.86</v>
      </c>
      <c r="F1102" t="s">
        <v>14</v>
      </c>
    </row>
    <row r="1103" spans="1:6">
      <c r="A1103" s="1">
        <v>45591</v>
      </c>
      <c r="B1103" s="2">
        <v>45591.607623310185</v>
      </c>
      <c r="C1103" t="s">
        <v>3</v>
      </c>
      <c r="D1103" t="s">
        <v>290</v>
      </c>
      <c r="E1103">
        <v>35.76</v>
      </c>
      <c r="F1103" t="s">
        <v>7</v>
      </c>
    </row>
    <row r="1104" spans="1:6">
      <c r="A1104" s="1">
        <v>45591</v>
      </c>
      <c r="B1104" s="2">
        <v>45591.60850628472</v>
      </c>
      <c r="C1104" t="s">
        <v>3</v>
      </c>
      <c r="D1104" t="s">
        <v>290</v>
      </c>
      <c r="E1104">
        <v>30.86</v>
      </c>
      <c r="F1104" t="s">
        <v>14</v>
      </c>
    </row>
    <row r="1105" spans="1:6">
      <c r="A1105" s="1">
        <v>45592</v>
      </c>
      <c r="B1105" s="2">
        <v>45592.537106354168</v>
      </c>
      <c r="C1105" t="s">
        <v>3</v>
      </c>
      <c r="D1105" t="s">
        <v>290</v>
      </c>
      <c r="E1105">
        <v>35.76</v>
      </c>
      <c r="F1105" t="s">
        <v>7</v>
      </c>
    </row>
    <row r="1106" spans="1:6">
      <c r="A1106" s="1">
        <v>45592</v>
      </c>
      <c r="B1106" s="2">
        <v>45592.537818414348</v>
      </c>
      <c r="C1106" t="s">
        <v>3</v>
      </c>
      <c r="D1106" t="s">
        <v>290</v>
      </c>
      <c r="E1106">
        <v>30.86</v>
      </c>
      <c r="F1106" t="s">
        <v>14</v>
      </c>
    </row>
    <row r="1107" spans="1:6">
      <c r="A1107" s="1">
        <v>45596</v>
      </c>
      <c r="B1107" s="2">
        <v>45596.387721064813</v>
      </c>
      <c r="C1107" t="s">
        <v>3</v>
      </c>
      <c r="D1107" t="s">
        <v>290</v>
      </c>
      <c r="E1107">
        <v>30.86</v>
      </c>
      <c r="F1107" t="s">
        <v>14</v>
      </c>
    </row>
    <row r="1108" spans="1:6">
      <c r="A1108" s="1">
        <v>45600</v>
      </c>
      <c r="B1108" s="2">
        <v>45600.35941365741</v>
      </c>
      <c r="C1108" t="s">
        <v>3</v>
      </c>
      <c r="D1108" t="s">
        <v>290</v>
      </c>
      <c r="E1108">
        <v>35.76</v>
      </c>
      <c r="F1108" t="s">
        <v>7</v>
      </c>
    </row>
    <row r="1109" spans="1:6">
      <c r="A1109" s="1">
        <v>45600</v>
      </c>
      <c r="B1109" s="2">
        <v>45600.36040351852</v>
      </c>
      <c r="C1109" t="s">
        <v>3</v>
      </c>
      <c r="D1109" t="s">
        <v>290</v>
      </c>
      <c r="E1109">
        <v>30.86</v>
      </c>
      <c r="F1109" t="s">
        <v>14</v>
      </c>
    </row>
    <row r="1110" spans="1:6">
      <c r="A1110" s="1">
        <v>45601</v>
      </c>
      <c r="B1110" s="2">
        <v>45601.378956134256</v>
      </c>
      <c r="C1110" t="s">
        <v>3</v>
      </c>
      <c r="D1110" t="s">
        <v>290</v>
      </c>
      <c r="E1110">
        <v>30.86</v>
      </c>
      <c r="F1110" t="s">
        <v>14</v>
      </c>
    </row>
    <row r="1111" spans="1:6">
      <c r="A1111" s="1">
        <v>45604</v>
      </c>
      <c r="B1111" s="2">
        <v>45604.378959652779</v>
      </c>
      <c r="C1111" t="s">
        <v>3</v>
      </c>
      <c r="D1111" t="s">
        <v>290</v>
      </c>
      <c r="E1111">
        <v>30.86</v>
      </c>
      <c r="F1111" t="s">
        <v>14</v>
      </c>
    </row>
    <row r="1112" spans="1:6">
      <c r="A1112" s="1">
        <v>45605</v>
      </c>
      <c r="B1112" s="2">
        <v>45605.422440231479</v>
      </c>
      <c r="C1112" t="s">
        <v>3</v>
      </c>
      <c r="D1112" t="s">
        <v>290</v>
      </c>
      <c r="E1112">
        <v>30.86</v>
      </c>
      <c r="F1112" t="s">
        <v>14</v>
      </c>
    </row>
    <row r="1113" spans="1:6">
      <c r="A1113" s="1">
        <v>45605</v>
      </c>
      <c r="B1113" s="2">
        <v>45605.645728518517</v>
      </c>
      <c r="C1113" t="s">
        <v>3</v>
      </c>
      <c r="D1113" t="s">
        <v>290</v>
      </c>
      <c r="E1113">
        <v>30.86</v>
      </c>
      <c r="F1113" t="s">
        <v>14</v>
      </c>
    </row>
    <row r="1114" spans="1:6">
      <c r="A1114" s="1">
        <v>45607</v>
      </c>
      <c r="B1114" s="2">
        <v>45607.411409525463</v>
      </c>
      <c r="C1114" t="s">
        <v>3</v>
      </c>
      <c r="D1114" t="s">
        <v>290</v>
      </c>
      <c r="E1114">
        <v>30.86</v>
      </c>
      <c r="F1114" t="s">
        <v>14</v>
      </c>
    </row>
    <row r="1115" spans="1:6">
      <c r="A1115" s="1">
        <v>45615</v>
      </c>
      <c r="B1115" s="2">
        <v>45615.437076030095</v>
      </c>
      <c r="C1115" t="s">
        <v>3</v>
      </c>
      <c r="D1115" t="s">
        <v>290</v>
      </c>
      <c r="E1115">
        <v>30.86</v>
      </c>
      <c r="F1115" t="s">
        <v>14</v>
      </c>
    </row>
    <row r="1116" spans="1:6">
      <c r="A1116" s="1">
        <v>45621</v>
      </c>
      <c r="B1116" s="2">
        <v>45621.383576250002</v>
      </c>
      <c r="C1116" t="s">
        <v>3</v>
      </c>
      <c r="D1116" t="s">
        <v>290</v>
      </c>
      <c r="E1116">
        <v>30.86</v>
      </c>
      <c r="F1116" t="s">
        <v>14</v>
      </c>
    </row>
    <row r="1117" spans="1:6">
      <c r="A1117" s="1">
        <v>45624</v>
      </c>
      <c r="B1117" s="2">
        <v>45624.384732708335</v>
      </c>
      <c r="C1117" t="s">
        <v>3</v>
      </c>
      <c r="D1117" t="s">
        <v>290</v>
      </c>
      <c r="E1117">
        <v>30.86</v>
      </c>
      <c r="F1117" t="s">
        <v>14</v>
      </c>
    </row>
    <row r="1118" spans="1:6">
      <c r="A1118" s="1">
        <v>45628</v>
      </c>
      <c r="B1118" s="2">
        <v>45628.348258981481</v>
      </c>
      <c r="C1118" t="s">
        <v>3</v>
      </c>
      <c r="D1118" t="s">
        <v>290</v>
      </c>
      <c r="E1118">
        <v>30.86</v>
      </c>
      <c r="F1118" t="s">
        <v>14</v>
      </c>
    </row>
    <row r="1119" spans="1:6">
      <c r="A1119" s="1">
        <v>45629</v>
      </c>
      <c r="B1119" s="2">
        <v>45629.391325879631</v>
      </c>
      <c r="C1119" t="s">
        <v>3</v>
      </c>
      <c r="D1119" t="s">
        <v>290</v>
      </c>
      <c r="E1119">
        <v>30.86</v>
      </c>
      <c r="F1119" t="s">
        <v>14</v>
      </c>
    </row>
    <row r="1120" spans="1:6">
      <c r="A1120" s="1">
        <v>45629</v>
      </c>
      <c r="B1120" s="2">
        <v>45629.391979988424</v>
      </c>
      <c r="C1120" t="s">
        <v>3</v>
      </c>
      <c r="D1120" t="s">
        <v>290</v>
      </c>
      <c r="E1120">
        <v>30.86</v>
      </c>
      <c r="F1120" t="s">
        <v>14</v>
      </c>
    </row>
    <row r="1121" spans="1:6">
      <c r="A1121" s="1">
        <v>45630</v>
      </c>
      <c r="B1121" s="2">
        <v>45630.432654953707</v>
      </c>
      <c r="C1121" t="s">
        <v>3</v>
      </c>
      <c r="D1121" t="s">
        <v>290</v>
      </c>
      <c r="E1121">
        <v>30.86</v>
      </c>
      <c r="F1121" t="s">
        <v>14</v>
      </c>
    </row>
    <row r="1122" spans="1:6">
      <c r="A1122" s="1">
        <v>45630</v>
      </c>
      <c r="B1122" s="2">
        <v>45630.433425810188</v>
      </c>
      <c r="C1122" t="s">
        <v>3</v>
      </c>
      <c r="D1122" t="s">
        <v>290</v>
      </c>
      <c r="E1122">
        <v>30.86</v>
      </c>
      <c r="F1122" t="s">
        <v>14</v>
      </c>
    </row>
    <row r="1123" spans="1:6">
      <c r="A1123" s="1">
        <v>45631</v>
      </c>
      <c r="B1123" s="2">
        <v>45631.418648761573</v>
      </c>
      <c r="C1123" t="s">
        <v>3</v>
      </c>
      <c r="D1123" t="s">
        <v>290</v>
      </c>
      <c r="E1123">
        <v>30.86</v>
      </c>
      <c r="F1123" t="s">
        <v>14</v>
      </c>
    </row>
    <row r="1124" spans="1:6">
      <c r="A1124" s="1">
        <v>45631</v>
      </c>
      <c r="B1124" s="2">
        <v>45631.420202986112</v>
      </c>
      <c r="C1124" t="s">
        <v>3</v>
      </c>
      <c r="D1124" t="s">
        <v>290</v>
      </c>
      <c r="E1124">
        <v>30.86</v>
      </c>
      <c r="F1124" t="s">
        <v>14</v>
      </c>
    </row>
    <row r="1125" spans="1:6">
      <c r="A1125" s="1">
        <v>45635</v>
      </c>
      <c r="B1125" s="2">
        <v>45635.398581215275</v>
      </c>
      <c r="C1125" t="s">
        <v>3</v>
      </c>
      <c r="D1125" t="s">
        <v>290</v>
      </c>
      <c r="E1125">
        <v>30.86</v>
      </c>
      <c r="F1125" t="s">
        <v>14</v>
      </c>
    </row>
    <row r="1126" spans="1:6">
      <c r="A1126" s="1">
        <v>45643</v>
      </c>
      <c r="B1126" s="2">
        <v>45643.450758506944</v>
      </c>
      <c r="C1126" t="s">
        <v>3</v>
      </c>
      <c r="D1126" t="s">
        <v>290</v>
      </c>
      <c r="E1126">
        <v>30.86</v>
      </c>
      <c r="F1126" t="s">
        <v>14</v>
      </c>
    </row>
    <row r="1127" spans="1:6">
      <c r="A1127" s="1">
        <v>45645</v>
      </c>
      <c r="B1127" s="2">
        <v>45645.476203032405</v>
      </c>
      <c r="C1127" t="s">
        <v>3</v>
      </c>
      <c r="D1127" t="s">
        <v>290</v>
      </c>
      <c r="E1127">
        <v>30.86</v>
      </c>
      <c r="F1127" t="s">
        <v>14</v>
      </c>
    </row>
    <row r="1128" spans="1:6">
      <c r="A1128" s="1">
        <v>45646</v>
      </c>
      <c r="B1128" s="2">
        <v>45646.402428958332</v>
      </c>
      <c r="C1128" t="s">
        <v>3</v>
      </c>
      <c r="D1128" t="s">
        <v>290</v>
      </c>
      <c r="E1128">
        <v>30.86</v>
      </c>
      <c r="F1128" t="s">
        <v>14</v>
      </c>
    </row>
    <row r="1129" spans="1:6">
      <c r="A1129" s="1">
        <v>45649</v>
      </c>
      <c r="B1129" s="2">
        <v>45649.390484895834</v>
      </c>
      <c r="C1129" t="s">
        <v>3</v>
      </c>
      <c r="D1129" t="s">
        <v>290</v>
      </c>
      <c r="E1129">
        <v>30.86</v>
      </c>
      <c r="F1129" t="s">
        <v>14</v>
      </c>
    </row>
    <row r="1130" spans="1:6">
      <c r="A1130" s="1">
        <v>45653</v>
      </c>
      <c r="B1130" s="2">
        <v>45653.425618344911</v>
      </c>
      <c r="C1130" t="s">
        <v>3</v>
      </c>
      <c r="D1130" t="s">
        <v>290</v>
      </c>
      <c r="E1130">
        <v>30.86</v>
      </c>
      <c r="F1130" t="s">
        <v>14</v>
      </c>
    </row>
    <row r="1131" spans="1:6">
      <c r="A1131" s="1">
        <v>45656</v>
      </c>
      <c r="B1131" s="2">
        <v>45656.405694016205</v>
      </c>
      <c r="C1131" t="s">
        <v>3</v>
      </c>
      <c r="D1131" t="s">
        <v>290</v>
      </c>
      <c r="E1131">
        <v>30.86</v>
      </c>
      <c r="F1131" t="s">
        <v>14</v>
      </c>
    </row>
    <row r="1132" spans="1:6">
      <c r="A1132" s="1">
        <v>45659</v>
      </c>
      <c r="B1132" s="2">
        <v>45659.415339525462</v>
      </c>
      <c r="C1132" t="s">
        <v>3</v>
      </c>
      <c r="D1132" t="s">
        <v>290</v>
      </c>
      <c r="E1132">
        <v>30.86</v>
      </c>
      <c r="F1132" t="s">
        <v>14</v>
      </c>
    </row>
    <row r="1133" spans="1:6">
      <c r="A1133" s="1">
        <v>45660</v>
      </c>
      <c r="B1133" s="2">
        <v>45660.423967615738</v>
      </c>
      <c r="C1133" t="s">
        <v>3</v>
      </c>
      <c r="D1133" t="s">
        <v>290</v>
      </c>
      <c r="E1133">
        <v>30.86</v>
      </c>
      <c r="F1133" t="s">
        <v>14</v>
      </c>
    </row>
    <row r="1134" spans="1:6">
      <c r="A1134" s="1">
        <v>45670</v>
      </c>
      <c r="B1134" s="2">
        <v>45670.387032673614</v>
      </c>
      <c r="C1134" t="s">
        <v>3</v>
      </c>
      <c r="D1134" t="s">
        <v>290</v>
      </c>
      <c r="E1134">
        <v>30.86</v>
      </c>
      <c r="F1134" t="s">
        <v>14</v>
      </c>
    </row>
    <row r="1135" spans="1:6">
      <c r="A1135" s="1">
        <v>45671</v>
      </c>
      <c r="B1135" s="2">
        <v>45671.431777812497</v>
      </c>
      <c r="C1135" t="s">
        <v>3</v>
      </c>
      <c r="D1135" t="s">
        <v>290</v>
      </c>
      <c r="E1135">
        <v>30.86</v>
      </c>
      <c r="F1135" t="s">
        <v>14</v>
      </c>
    </row>
    <row r="1136" spans="1:6">
      <c r="A1136" s="1">
        <v>45674</v>
      </c>
      <c r="B1136" s="2">
        <v>45674.366621238427</v>
      </c>
      <c r="C1136" t="s">
        <v>3</v>
      </c>
      <c r="D1136" t="s">
        <v>290</v>
      </c>
      <c r="E1136">
        <v>30.86</v>
      </c>
      <c r="F1136" t="s">
        <v>14</v>
      </c>
    </row>
    <row r="1137" spans="1:6">
      <c r="A1137" s="1">
        <v>45677</v>
      </c>
      <c r="B1137" s="2">
        <v>45677.456542025466</v>
      </c>
      <c r="C1137" t="s">
        <v>3</v>
      </c>
      <c r="D1137" t="s">
        <v>290</v>
      </c>
      <c r="E1137">
        <v>30.86</v>
      </c>
      <c r="F1137" t="s">
        <v>14</v>
      </c>
    </row>
    <row r="1138" spans="1:6">
      <c r="A1138" s="1">
        <v>45684</v>
      </c>
      <c r="B1138" s="2">
        <v>45684.573018101852</v>
      </c>
      <c r="C1138" t="s">
        <v>3</v>
      </c>
      <c r="D1138" t="s">
        <v>290</v>
      </c>
      <c r="E1138">
        <v>30.86</v>
      </c>
      <c r="F1138" t="s">
        <v>14</v>
      </c>
    </row>
    <row r="1139" spans="1:6">
      <c r="A1139" s="1">
        <v>45687</v>
      </c>
      <c r="B1139" s="2">
        <v>45687.425391990742</v>
      </c>
      <c r="C1139" t="s">
        <v>3</v>
      </c>
      <c r="D1139" t="s">
        <v>290</v>
      </c>
      <c r="E1139">
        <v>30.86</v>
      </c>
      <c r="F1139" t="s">
        <v>14</v>
      </c>
    </row>
    <row r="1140" spans="1:6">
      <c r="A1140" s="1">
        <v>45452</v>
      </c>
      <c r="B1140" s="2">
        <v>45452.632299675926</v>
      </c>
      <c r="C1140" t="s">
        <v>3</v>
      </c>
      <c r="D1140" t="s">
        <v>291</v>
      </c>
      <c r="E1140">
        <v>27.92</v>
      </c>
      <c r="F1140" t="s">
        <v>28</v>
      </c>
    </row>
    <row r="1141" spans="1:6">
      <c r="A1141" s="1">
        <v>45521</v>
      </c>
      <c r="B1141" s="2">
        <v>45521.688829131941</v>
      </c>
      <c r="C1141" t="s">
        <v>3</v>
      </c>
      <c r="D1141" t="s">
        <v>291</v>
      </c>
      <c r="E1141">
        <v>23.02</v>
      </c>
      <c r="F1141" t="s">
        <v>28</v>
      </c>
    </row>
    <row r="1142" spans="1:6">
      <c r="A1142" s="1">
        <v>45452</v>
      </c>
      <c r="B1142" s="2">
        <v>45452.678798483794</v>
      </c>
      <c r="C1142" t="s">
        <v>3</v>
      </c>
      <c r="D1142" t="s">
        <v>292</v>
      </c>
      <c r="E1142">
        <v>37.72</v>
      </c>
      <c r="F1142" t="s">
        <v>43</v>
      </c>
    </row>
    <row r="1143" spans="1:6">
      <c r="A1143" s="1">
        <v>45452</v>
      </c>
      <c r="B1143" s="2">
        <v>45452.806473113429</v>
      </c>
      <c r="C1143" t="s">
        <v>3</v>
      </c>
      <c r="D1143" t="s">
        <v>293</v>
      </c>
      <c r="E1143">
        <v>32.82</v>
      </c>
      <c r="F1143" t="s">
        <v>14</v>
      </c>
    </row>
    <row r="1144" spans="1:6">
      <c r="A1144" s="1">
        <v>45452</v>
      </c>
      <c r="B1144" s="2">
        <v>45452.87857458333</v>
      </c>
      <c r="C1144" t="s">
        <v>3</v>
      </c>
      <c r="D1144" t="s">
        <v>294</v>
      </c>
      <c r="E1144">
        <v>27.92</v>
      </c>
      <c r="F1144" t="s">
        <v>11</v>
      </c>
    </row>
    <row r="1145" spans="1:6">
      <c r="A1145" s="1">
        <v>45453</v>
      </c>
      <c r="B1145" s="2">
        <v>45453.5332159838</v>
      </c>
      <c r="C1145" t="s">
        <v>3</v>
      </c>
      <c r="D1145" t="s">
        <v>295</v>
      </c>
      <c r="E1145">
        <v>37.72</v>
      </c>
      <c r="F1145" t="s">
        <v>43</v>
      </c>
    </row>
    <row r="1146" spans="1:6">
      <c r="A1146" s="1">
        <v>45453</v>
      </c>
      <c r="B1146" s="2">
        <v>45453.794769745371</v>
      </c>
      <c r="C1146" t="s">
        <v>3</v>
      </c>
      <c r="D1146" t="s">
        <v>296</v>
      </c>
      <c r="E1146">
        <v>37.72</v>
      </c>
      <c r="F1146" t="s">
        <v>9</v>
      </c>
    </row>
    <row r="1147" spans="1:6">
      <c r="A1147" s="1">
        <v>45453</v>
      </c>
      <c r="B1147" s="2">
        <v>45453.795402430558</v>
      </c>
      <c r="C1147" t="s">
        <v>3</v>
      </c>
      <c r="D1147" t="s">
        <v>296</v>
      </c>
      <c r="E1147">
        <v>37.72</v>
      </c>
      <c r="F1147" t="s">
        <v>9</v>
      </c>
    </row>
    <row r="1148" spans="1:6">
      <c r="A1148" s="1">
        <v>45453</v>
      </c>
      <c r="B1148" s="2">
        <v>45453.817634282408</v>
      </c>
      <c r="C1148" t="s">
        <v>3</v>
      </c>
      <c r="D1148" t="s">
        <v>297</v>
      </c>
      <c r="E1148">
        <v>37.72</v>
      </c>
      <c r="F1148" t="s">
        <v>7</v>
      </c>
    </row>
    <row r="1149" spans="1:6">
      <c r="A1149" s="1">
        <v>45453</v>
      </c>
      <c r="B1149" s="2">
        <v>45453.818283310182</v>
      </c>
      <c r="C1149" t="s">
        <v>3</v>
      </c>
      <c r="D1149" t="s">
        <v>297</v>
      </c>
      <c r="E1149">
        <v>37.72</v>
      </c>
      <c r="F1149" t="s">
        <v>7</v>
      </c>
    </row>
    <row r="1150" spans="1:6">
      <c r="A1150" s="1">
        <v>45455</v>
      </c>
      <c r="B1150" s="2">
        <v>45455.737004386574</v>
      </c>
      <c r="C1150" t="s">
        <v>3</v>
      </c>
      <c r="D1150" t="s">
        <v>297</v>
      </c>
      <c r="E1150">
        <v>37.72</v>
      </c>
      <c r="F1150" t="s">
        <v>7</v>
      </c>
    </row>
    <row r="1151" spans="1:6">
      <c r="A1151" s="1">
        <v>45541</v>
      </c>
      <c r="B1151" s="2">
        <v>45541.833472511571</v>
      </c>
      <c r="C1151" t="s">
        <v>3</v>
      </c>
      <c r="D1151" t="s">
        <v>297</v>
      </c>
      <c r="E1151">
        <v>32.82</v>
      </c>
      <c r="F1151" t="s">
        <v>7</v>
      </c>
    </row>
    <row r="1152" spans="1:6">
      <c r="A1152" s="1">
        <v>45542</v>
      </c>
      <c r="B1152" s="2">
        <v>45542.816029363428</v>
      </c>
      <c r="C1152" t="s">
        <v>3</v>
      </c>
      <c r="D1152" t="s">
        <v>297</v>
      </c>
      <c r="E1152">
        <v>32.82</v>
      </c>
      <c r="F1152" t="s">
        <v>18</v>
      </c>
    </row>
    <row r="1153" spans="1:6">
      <c r="A1153" s="1">
        <v>45542</v>
      </c>
      <c r="B1153" s="2">
        <v>45542.816725185185</v>
      </c>
      <c r="C1153" t="s">
        <v>3</v>
      </c>
      <c r="D1153" t="s">
        <v>297</v>
      </c>
      <c r="E1153">
        <v>32.82</v>
      </c>
      <c r="F1153" t="s">
        <v>7</v>
      </c>
    </row>
    <row r="1154" spans="1:6">
      <c r="A1154" s="1">
        <v>45542</v>
      </c>
      <c r="B1154" s="2">
        <v>45542.817540682867</v>
      </c>
      <c r="C1154" t="s">
        <v>3</v>
      </c>
      <c r="D1154" t="s">
        <v>297</v>
      </c>
      <c r="E1154">
        <v>32.82</v>
      </c>
      <c r="F1154" t="s">
        <v>7</v>
      </c>
    </row>
    <row r="1155" spans="1:6">
      <c r="A1155" s="1">
        <v>45454</v>
      </c>
      <c r="B1155" s="2">
        <v>45454.443101307872</v>
      </c>
      <c r="C1155" t="s">
        <v>3</v>
      </c>
      <c r="D1155" t="s">
        <v>298</v>
      </c>
      <c r="E1155">
        <v>32.82</v>
      </c>
      <c r="F1155" t="s">
        <v>14</v>
      </c>
    </row>
    <row r="1156" spans="1:6">
      <c r="A1156" s="1">
        <v>45454</v>
      </c>
      <c r="B1156" s="2">
        <v>45454.783626064818</v>
      </c>
      <c r="C1156" t="s">
        <v>3</v>
      </c>
      <c r="D1156" t="s">
        <v>299</v>
      </c>
      <c r="E1156">
        <v>37.72</v>
      </c>
      <c r="F1156" t="s">
        <v>7</v>
      </c>
    </row>
    <row r="1157" spans="1:6">
      <c r="A1157" s="1">
        <v>45454</v>
      </c>
      <c r="B1157" s="2">
        <v>45454.784449398147</v>
      </c>
      <c r="C1157" t="s">
        <v>3</v>
      </c>
      <c r="D1157" t="s">
        <v>299</v>
      </c>
      <c r="E1157">
        <v>37.72</v>
      </c>
      <c r="F1157" t="s">
        <v>7</v>
      </c>
    </row>
    <row r="1158" spans="1:6">
      <c r="A1158" s="1">
        <v>45454</v>
      </c>
      <c r="B1158" s="2">
        <v>45454.886844259257</v>
      </c>
      <c r="C1158" t="s">
        <v>3</v>
      </c>
      <c r="D1158" t="s">
        <v>300</v>
      </c>
      <c r="E1158">
        <v>37.72</v>
      </c>
      <c r="F1158" t="s">
        <v>9</v>
      </c>
    </row>
    <row r="1159" spans="1:6">
      <c r="A1159" s="1">
        <v>45454</v>
      </c>
      <c r="B1159" s="2">
        <v>45454.894234953703</v>
      </c>
      <c r="C1159" t="s">
        <v>3</v>
      </c>
      <c r="D1159" t="s">
        <v>301</v>
      </c>
      <c r="E1159">
        <v>32.82</v>
      </c>
      <c r="F1159" t="s">
        <v>14</v>
      </c>
    </row>
    <row r="1160" spans="1:6">
      <c r="A1160" s="1">
        <v>45454</v>
      </c>
      <c r="B1160" s="2">
        <v>45454.895025694444</v>
      </c>
      <c r="C1160" t="s">
        <v>3</v>
      </c>
      <c r="D1160" t="s">
        <v>301</v>
      </c>
      <c r="E1160">
        <v>32.82</v>
      </c>
      <c r="F1160" t="s">
        <v>14</v>
      </c>
    </row>
    <row r="1161" spans="1:6">
      <c r="A1161" s="1">
        <v>45551</v>
      </c>
      <c r="B1161" s="2">
        <v>45551.901241990738</v>
      </c>
      <c r="C1161" t="s">
        <v>3</v>
      </c>
      <c r="D1161" t="s">
        <v>301</v>
      </c>
      <c r="E1161">
        <v>27.92</v>
      </c>
      <c r="F1161" t="s">
        <v>14</v>
      </c>
    </row>
    <row r="1162" spans="1:6">
      <c r="A1162" s="1">
        <v>45555</v>
      </c>
      <c r="B1162" s="2">
        <v>45555.896951157411</v>
      </c>
      <c r="C1162" t="s">
        <v>3</v>
      </c>
      <c r="D1162" t="s">
        <v>301</v>
      </c>
      <c r="E1162">
        <v>27.92</v>
      </c>
      <c r="F1162" t="s">
        <v>14</v>
      </c>
    </row>
    <row r="1163" spans="1:6">
      <c r="A1163" s="1">
        <v>45555</v>
      </c>
      <c r="B1163" s="2">
        <v>45555.897720196757</v>
      </c>
      <c r="C1163" t="s">
        <v>3</v>
      </c>
      <c r="D1163" t="s">
        <v>301</v>
      </c>
      <c r="E1163">
        <v>27.92</v>
      </c>
      <c r="F1163" t="s">
        <v>14</v>
      </c>
    </row>
    <row r="1164" spans="1:6">
      <c r="A1164" s="1">
        <v>45611</v>
      </c>
      <c r="B1164" s="2">
        <v>45611.779420486113</v>
      </c>
      <c r="C1164" t="s">
        <v>3</v>
      </c>
      <c r="D1164" t="s">
        <v>301</v>
      </c>
      <c r="E1164">
        <v>30.86</v>
      </c>
      <c r="F1164" t="s">
        <v>14</v>
      </c>
    </row>
    <row r="1165" spans="1:6">
      <c r="A1165" s="1">
        <v>45611</v>
      </c>
      <c r="B1165" s="2">
        <v>45611.780106018516</v>
      </c>
      <c r="C1165" t="s">
        <v>3</v>
      </c>
      <c r="D1165" t="s">
        <v>301</v>
      </c>
      <c r="E1165">
        <v>30.86</v>
      </c>
      <c r="F1165" t="s">
        <v>14</v>
      </c>
    </row>
    <row r="1166" spans="1:6">
      <c r="A1166" s="1">
        <v>45455</v>
      </c>
      <c r="B1166" s="2">
        <v>45455.429384097224</v>
      </c>
      <c r="C1166" t="s">
        <v>3</v>
      </c>
      <c r="D1166" t="s">
        <v>302</v>
      </c>
      <c r="E1166">
        <v>37.72</v>
      </c>
      <c r="F1166" t="s">
        <v>9</v>
      </c>
    </row>
    <row r="1167" spans="1:6">
      <c r="A1167" s="1">
        <v>45455</v>
      </c>
      <c r="B1167" s="2">
        <v>45455.494257615741</v>
      </c>
      <c r="C1167" t="s">
        <v>3</v>
      </c>
      <c r="D1167" t="s">
        <v>303</v>
      </c>
      <c r="E1167">
        <v>37.72</v>
      </c>
      <c r="F1167" t="s">
        <v>43</v>
      </c>
    </row>
    <row r="1168" spans="1:6">
      <c r="A1168" s="1">
        <v>45455</v>
      </c>
      <c r="B1168" s="2">
        <v>45455.741294884261</v>
      </c>
      <c r="C1168" t="s">
        <v>3</v>
      </c>
      <c r="D1168" t="s">
        <v>304</v>
      </c>
      <c r="E1168">
        <v>37.72</v>
      </c>
      <c r="F1168" t="s">
        <v>7</v>
      </c>
    </row>
    <row r="1169" spans="1:6">
      <c r="A1169" s="1">
        <v>45455</v>
      </c>
      <c r="B1169" s="2">
        <v>45455.851090729164</v>
      </c>
      <c r="C1169" t="s">
        <v>3</v>
      </c>
      <c r="D1169" t="s">
        <v>305</v>
      </c>
      <c r="E1169">
        <v>32.82</v>
      </c>
      <c r="F1169" t="s">
        <v>14</v>
      </c>
    </row>
    <row r="1170" spans="1:6">
      <c r="A1170" s="1">
        <v>45456</v>
      </c>
      <c r="B1170" s="2">
        <v>45456.371113506946</v>
      </c>
      <c r="C1170" t="s">
        <v>3</v>
      </c>
      <c r="D1170" t="s">
        <v>306</v>
      </c>
      <c r="E1170">
        <v>27.92</v>
      </c>
      <c r="F1170" t="s">
        <v>11</v>
      </c>
    </row>
    <row r="1171" spans="1:6">
      <c r="A1171" s="1">
        <v>45456</v>
      </c>
      <c r="B1171" s="2">
        <v>45456.41001201389</v>
      </c>
      <c r="C1171" t="s">
        <v>3</v>
      </c>
      <c r="D1171" t="s">
        <v>307</v>
      </c>
      <c r="E1171">
        <v>32.82</v>
      </c>
      <c r="F1171" t="s">
        <v>14</v>
      </c>
    </row>
    <row r="1172" spans="1:6">
      <c r="A1172" s="1">
        <v>45456</v>
      </c>
      <c r="B1172" s="2">
        <v>45456.711789363428</v>
      </c>
      <c r="C1172" t="s">
        <v>3</v>
      </c>
      <c r="D1172" t="s">
        <v>308</v>
      </c>
      <c r="E1172">
        <v>32.82</v>
      </c>
      <c r="F1172" t="s">
        <v>14</v>
      </c>
    </row>
    <row r="1173" spans="1:6">
      <c r="A1173" s="1">
        <v>45456</v>
      </c>
      <c r="B1173" s="2">
        <v>45456.727622986109</v>
      </c>
      <c r="C1173" t="s">
        <v>3</v>
      </c>
      <c r="D1173" t="s">
        <v>309</v>
      </c>
      <c r="E1173">
        <v>37.72</v>
      </c>
      <c r="F1173" t="s">
        <v>9</v>
      </c>
    </row>
    <row r="1174" spans="1:6">
      <c r="A1174" s="1">
        <v>45456</v>
      </c>
      <c r="B1174" s="2">
        <v>45456.864590451391</v>
      </c>
      <c r="C1174" t="s">
        <v>3</v>
      </c>
      <c r="D1174" t="s">
        <v>309</v>
      </c>
      <c r="E1174">
        <v>23.02</v>
      </c>
      <c r="F1174" t="s">
        <v>35</v>
      </c>
    </row>
    <row r="1175" spans="1:6">
      <c r="A1175" s="1">
        <v>45456</v>
      </c>
      <c r="B1175" s="2">
        <v>45456.807165312501</v>
      </c>
      <c r="C1175" t="s">
        <v>3</v>
      </c>
      <c r="D1175" t="s">
        <v>310</v>
      </c>
      <c r="E1175">
        <v>37.72</v>
      </c>
      <c r="F1175" t="s">
        <v>7</v>
      </c>
    </row>
    <row r="1176" spans="1:6">
      <c r="A1176" s="1">
        <v>45457</v>
      </c>
      <c r="B1176" s="2">
        <v>45457.437865555556</v>
      </c>
      <c r="C1176" t="s">
        <v>3</v>
      </c>
      <c r="D1176" t="s">
        <v>311</v>
      </c>
      <c r="E1176">
        <v>27.92</v>
      </c>
      <c r="F1176" t="s">
        <v>11</v>
      </c>
    </row>
    <row r="1177" spans="1:6">
      <c r="A1177" s="1">
        <v>45457</v>
      </c>
      <c r="B1177" s="2">
        <v>45457.77075693287</v>
      </c>
      <c r="C1177" t="s">
        <v>3</v>
      </c>
      <c r="D1177" t="s">
        <v>312</v>
      </c>
      <c r="E1177">
        <v>32.82</v>
      </c>
      <c r="F1177" t="s">
        <v>14</v>
      </c>
    </row>
    <row r="1178" spans="1:6">
      <c r="A1178" s="1">
        <v>45458</v>
      </c>
      <c r="B1178" s="2">
        <v>45458.476411736112</v>
      </c>
      <c r="C1178" t="s">
        <v>3</v>
      </c>
      <c r="D1178" t="s">
        <v>313</v>
      </c>
      <c r="E1178">
        <v>37.72</v>
      </c>
      <c r="F1178" t="s">
        <v>43</v>
      </c>
    </row>
    <row r="1179" spans="1:6">
      <c r="A1179" s="1">
        <v>45461</v>
      </c>
      <c r="B1179" s="2">
        <v>45461.586182002313</v>
      </c>
      <c r="C1179" t="s">
        <v>3</v>
      </c>
      <c r="D1179" t="s">
        <v>313</v>
      </c>
      <c r="E1179">
        <v>27.92</v>
      </c>
      <c r="F1179" t="s">
        <v>11</v>
      </c>
    </row>
    <row r="1180" spans="1:6">
      <c r="A1180" s="1">
        <v>45461</v>
      </c>
      <c r="B1180" s="2">
        <v>45461.586948067132</v>
      </c>
      <c r="C1180" t="s">
        <v>3</v>
      </c>
      <c r="D1180" t="s">
        <v>313</v>
      </c>
      <c r="E1180">
        <v>37.72</v>
      </c>
      <c r="F1180" t="s">
        <v>43</v>
      </c>
    </row>
    <row r="1181" spans="1:6">
      <c r="A1181" s="1">
        <v>45458</v>
      </c>
      <c r="B1181" s="2">
        <v>45458.514908969904</v>
      </c>
      <c r="C1181" t="s">
        <v>3</v>
      </c>
      <c r="D1181" t="s">
        <v>314</v>
      </c>
      <c r="E1181">
        <v>37.72</v>
      </c>
      <c r="F1181" t="s">
        <v>7</v>
      </c>
    </row>
    <row r="1182" spans="1:6">
      <c r="A1182" s="1">
        <v>45458</v>
      </c>
      <c r="B1182" s="2">
        <v>45458.51582108796</v>
      </c>
      <c r="C1182" t="s">
        <v>3</v>
      </c>
      <c r="D1182" t="s">
        <v>314</v>
      </c>
      <c r="E1182">
        <v>32.82</v>
      </c>
      <c r="F1182" t="s">
        <v>14</v>
      </c>
    </row>
    <row r="1183" spans="1:6">
      <c r="A1183" s="1">
        <v>45458</v>
      </c>
      <c r="B1183" s="2">
        <v>45458.516575995367</v>
      </c>
      <c r="C1183" t="s">
        <v>3</v>
      </c>
      <c r="D1183" t="s">
        <v>314</v>
      </c>
      <c r="E1183">
        <v>23.02</v>
      </c>
      <c r="F1183" t="s">
        <v>35</v>
      </c>
    </row>
    <row r="1184" spans="1:6">
      <c r="A1184" s="1">
        <v>45458</v>
      </c>
      <c r="B1184" s="2">
        <v>45458.517073263887</v>
      </c>
      <c r="C1184" t="s">
        <v>3</v>
      </c>
      <c r="D1184" t="s">
        <v>314</v>
      </c>
      <c r="E1184">
        <v>37.72</v>
      </c>
      <c r="F1184" t="s">
        <v>18</v>
      </c>
    </row>
    <row r="1185" spans="1:6">
      <c r="A1185" s="1">
        <v>45458</v>
      </c>
      <c r="B1185" s="2">
        <v>45458.517638425925</v>
      </c>
      <c r="C1185" t="s">
        <v>3</v>
      </c>
      <c r="D1185" t="s">
        <v>314</v>
      </c>
      <c r="E1185">
        <v>32.82</v>
      </c>
      <c r="F1185" t="s">
        <v>14</v>
      </c>
    </row>
    <row r="1186" spans="1:6">
      <c r="A1186" s="1">
        <v>45458</v>
      </c>
      <c r="B1186" s="2">
        <v>45458.669096168982</v>
      </c>
      <c r="C1186" t="s">
        <v>3</v>
      </c>
      <c r="D1186" t="s">
        <v>315</v>
      </c>
      <c r="E1186">
        <v>32.82</v>
      </c>
      <c r="F1186" t="s">
        <v>14</v>
      </c>
    </row>
    <row r="1187" spans="1:6">
      <c r="A1187" s="1">
        <v>45458</v>
      </c>
      <c r="B1187" s="2">
        <v>45458.759775729166</v>
      </c>
      <c r="C1187" t="s">
        <v>3</v>
      </c>
      <c r="D1187" t="s">
        <v>316</v>
      </c>
      <c r="E1187">
        <v>27.92</v>
      </c>
      <c r="F1187" t="s">
        <v>11</v>
      </c>
    </row>
    <row r="1188" spans="1:6">
      <c r="A1188" s="1">
        <v>45612</v>
      </c>
      <c r="B1188" s="2">
        <v>45612.485705706022</v>
      </c>
      <c r="C1188" t="s">
        <v>3</v>
      </c>
      <c r="D1188" t="s">
        <v>316</v>
      </c>
      <c r="E1188">
        <v>25.96</v>
      </c>
      <c r="F1188" t="s">
        <v>11</v>
      </c>
    </row>
    <row r="1189" spans="1:6">
      <c r="A1189" s="1">
        <v>45459</v>
      </c>
      <c r="B1189" s="2">
        <v>45459.457423217595</v>
      </c>
      <c r="C1189" t="s">
        <v>3</v>
      </c>
      <c r="D1189" t="s">
        <v>317</v>
      </c>
      <c r="E1189">
        <v>37.72</v>
      </c>
      <c r="F1189" t="s">
        <v>7</v>
      </c>
    </row>
    <row r="1190" spans="1:6">
      <c r="A1190" s="1">
        <v>45459</v>
      </c>
      <c r="B1190" s="2">
        <v>45459.458775358798</v>
      </c>
      <c r="C1190" t="s">
        <v>3</v>
      </c>
      <c r="D1190" t="s">
        <v>317</v>
      </c>
      <c r="E1190">
        <v>37.72</v>
      </c>
      <c r="F1190" t="s">
        <v>9</v>
      </c>
    </row>
    <row r="1191" spans="1:6">
      <c r="A1191" s="1">
        <v>45459</v>
      </c>
      <c r="B1191" s="2">
        <v>45459.459507962965</v>
      </c>
      <c r="C1191" t="s">
        <v>3</v>
      </c>
      <c r="D1191" t="s">
        <v>317</v>
      </c>
      <c r="E1191">
        <v>37.72</v>
      </c>
      <c r="F1191" t="s">
        <v>9</v>
      </c>
    </row>
    <row r="1192" spans="1:6">
      <c r="A1192" s="1">
        <v>45480</v>
      </c>
      <c r="B1192" s="2">
        <v>45480.378011215274</v>
      </c>
      <c r="C1192" t="s">
        <v>3</v>
      </c>
      <c r="D1192" t="s">
        <v>317</v>
      </c>
      <c r="E1192">
        <v>32.82</v>
      </c>
      <c r="F1192" t="s">
        <v>43</v>
      </c>
    </row>
    <row r="1193" spans="1:6">
      <c r="A1193" s="1">
        <v>45459</v>
      </c>
      <c r="B1193" s="2">
        <v>45459.626809398149</v>
      </c>
      <c r="C1193" t="s">
        <v>3</v>
      </c>
      <c r="D1193" t="s">
        <v>318</v>
      </c>
      <c r="E1193">
        <v>32.82</v>
      </c>
      <c r="F1193" t="s">
        <v>14</v>
      </c>
    </row>
    <row r="1194" spans="1:6">
      <c r="A1194" s="1">
        <v>45459</v>
      </c>
      <c r="B1194" s="2">
        <v>45459.628592835645</v>
      </c>
      <c r="C1194" t="s">
        <v>3</v>
      </c>
      <c r="D1194" t="s">
        <v>318</v>
      </c>
      <c r="E1194">
        <v>32.82</v>
      </c>
      <c r="F1194" t="s">
        <v>14</v>
      </c>
    </row>
    <row r="1195" spans="1:6">
      <c r="A1195" s="1">
        <v>45475</v>
      </c>
      <c r="B1195" s="2">
        <v>45475.446458993058</v>
      </c>
      <c r="C1195" t="s">
        <v>3</v>
      </c>
      <c r="D1195" t="s">
        <v>318</v>
      </c>
      <c r="E1195">
        <v>32.82</v>
      </c>
      <c r="F1195" t="s">
        <v>14</v>
      </c>
    </row>
    <row r="1196" spans="1:6">
      <c r="A1196" s="1">
        <v>45475</v>
      </c>
      <c r="B1196" s="2">
        <v>45475.447923807871</v>
      </c>
      <c r="C1196" t="s">
        <v>3</v>
      </c>
      <c r="D1196" t="s">
        <v>318</v>
      </c>
      <c r="E1196">
        <v>27.92</v>
      </c>
      <c r="F1196" t="s">
        <v>11</v>
      </c>
    </row>
    <row r="1197" spans="1:6">
      <c r="A1197" s="1">
        <v>45507</v>
      </c>
      <c r="B1197" s="2">
        <v>45507.425296875001</v>
      </c>
      <c r="C1197" t="s">
        <v>3</v>
      </c>
      <c r="D1197" t="s">
        <v>318</v>
      </c>
      <c r="E1197">
        <v>27.92</v>
      </c>
      <c r="F1197" t="s">
        <v>14</v>
      </c>
    </row>
    <row r="1198" spans="1:6">
      <c r="A1198" s="1">
        <v>45550</v>
      </c>
      <c r="B1198" s="2">
        <v>45550.57612716435</v>
      </c>
      <c r="C1198" t="s">
        <v>3</v>
      </c>
      <c r="D1198" t="s">
        <v>318</v>
      </c>
      <c r="E1198">
        <v>23.02</v>
      </c>
      <c r="F1198" t="s">
        <v>11</v>
      </c>
    </row>
    <row r="1199" spans="1:6">
      <c r="A1199" s="1">
        <v>45597</v>
      </c>
      <c r="B1199" s="2">
        <v>45597.354833819445</v>
      </c>
      <c r="C1199" t="s">
        <v>3</v>
      </c>
      <c r="D1199" t="s">
        <v>318</v>
      </c>
      <c r="E1199">
        <v>25.96</v>
      </c>
      <c r="F1199" t="s">
        <v>11</v>
      </c>
    </row>
    <row r="1200" spans="1:6">
      <c r="A1200" s="1">
        <v>45688</v>
      </c>
      <c r="B1200" s="2">
        <v>45688.386977106478</v>
      </c>
      <c r="C1200" t="s">
        <v>3</v>
      </c>
      <c r="D1200" t="s">
        <v>318</v>
      </c>
      <c r="E1200">
        <v>30.86</v>
      </c>
      <c r="F1200" t="s">
        <v>14</v>
      </c>
    </row>
    <row r="1201" spans="1:6">
      <c r="A1201" s="1">
        <v>45688</v>
      </c>
      <c r="B1201" s="2">
        <v>45688.700393460647</v>
      </c>
      <c r="C1201" t="s">
        <v>3</v>
      </c>
      <c r="D1201" t="s">
        <v>318</v>
      </c>
      <c r="E1201">
        <v>30.86</v>
      </c>
      <c r="F1201" t="s">
        <v>14</v>
      </c>
    </row>
    <row r="1202" spans="1:6">
      <c r="A1202" s="1">
        <v>45689</v>
      </c>
      <c r="B1202" s="2">
        <v>45689.368328819444</v>
      </c>
      <c r="C1202" t="s">
        <v>3</v>
      </c>
      <c r="D1202" t="s">
        <v>318</v>
      </c>
      <c r="E1202">
        <v>30.86</v>
      </c>
      <c r="F1202" t="s">
        <v>14</v>
      </c>
    </row>
    <row r="1203" spans="1:6">
      <c r="A1203" s="1">
        <v>45459</v>
      </c>
      <c r="B1203" s="2">
        <v>45459.655550844909</v>
      </c>
      <c r="C1203" t="s">
        <v>3</v>
      </c>
      <c r="D1203" t="s">
        <v>319</v>
      </c>
      <c r="E1203">
        <v>37.72</v>
      </c>
      <c r="F1203" t="s">
        <v>9</v>
      </c>
    </row>
    <row r="1204" spans="1:6">
      <c r="A1204" s="1">
        <v>45459</v>
      </c>
      <c r="B1204" s="2">
        <v>45459.699728252315</v>
      </c>
      <c r="C1204" t="s">
        <v>3</v>
      </c>
      <c r="D1204" t="s">
        <v>320</v>
      </c>
      <c r="E1204">
        <v>37.72</v>
      </c>
      <c r="F1204" t="s">
        <v>9</v>
      </c>
    </row>
    <row r="1205" spans="1:6">
      <c r="A1205" s="1">
        <v>45460</v>
      </c>
      <c r="B1205" s="2">
        <v>45460.373194953703</v>
      </c>
      <c r="C1205" t="s">
        <v>3</v>
      </c>
      <c r="D1205" t="s">
        <v>321</v>
      </c>
      <c r="E1205">
        <v>27.92</v>
      </c>
      <c r="F1205" t="s">
        <v>11</v>
      </c>
    </row>
    <row r="1206" spans="1:6">
      <c r="A1206" s="1">
        <v>45460</v>
      </c>
      <c r="B1206" s="2">
        <v>45460.425059479167</v>
      </c>
      <c r="C1206" t="s">
        <v>3</v>
      </c>
      <c r="D1206" t="s">
        <v>322</v>
      </c>
      <c r="E1206">
        <v>27.92</v>
      </c>
      <c r="F1206" t="s">
        <v>28</v>
      </c>
    </row>
    <row r="1207" spans="1:6">
      <c r="A1207" s="1">
        <v>45460</v>
      </c>
      <c r="B1207" s="2">
        <v>45460.426129340274</v>
      </c>
      <c r="C1207" t="s">
        <v>3</v>
      </c>
      <c r="D1207" t="s">
        <v>322</v>
      </c>
      <c r="E1207">
        <v>27.92</v>
      </c>
      <c r="F1207" t="s">
        <v>28</v>
      </c>
    </row>
    <row r="1208" spans="1:6">
      <c r="A1208" s="1">
        <v>45460</v>
      </c>
      <c r="B1208" s="2">
        <v>45460.785643877316</v>
      </c>
      <c r="C1208" t="s">
        <v>3</v>
      </c>
      <c r="D1208" t="s">
        <v>323</v>
      </c>
      <c r="E1208">
        <v>27.92</v>
      </c>
      <c r="F1208" t="s">
        <v>11</v>
      </c>
    </row>
    <row r="1209" spans="1:6">
      <c r="A1209" s="1">
        <v>45461</v>
      </c>
      <c r="B1209" s="2">
        <v>45461.858211770836</v>
      </c>
      <c r="C1209" t="s">
        <v>3</v>
      </c>
      <c r="D1209" t="s">
        <v>324</v>
      </c>
      <c r="E1209">
        <v>27.92</v>
      </c>
      <c r="F1209" t="s">
        <v>28</v>
      </c>
    </row>
    <row r="1210" spans="1:6">
      <c r="A1210" s="1">
        <v>45462</v>
      </c>
      <c r="B1210" s="2">
        <v>45462.32453510417</v>
      </c>
      <c r="C1210" t="s">
        <v>3</v>
      </c>
      <c r="D1210" t="s">
        <v>325</v>
      </c>
      <c r="E1210">
        <v>37.72</v>
      </c>
      <c r="F1210" t="s">
        <v>7</v>
      </c>
    </row>
    <row r="1211" spans="1:6">
      <c r="A1211" s="1">
        <v>45464</v>
      </c>
      <c r="B1211" s="2">
        <v>45464.416619560187</v>
      </c>
      <c r="C1211" t="s">
        <v>3</v>
      </c>
      <c r="D1211" t="s">
        <v>325</v>
      </c>
      <c r="E1211">
        <v>37.72</v>
      </c>
      <c r="F1211" t="s">
        <v>7</v>
      </c>
    </row>
    <row r="1212" spans="1:6">
      <c r="A1212" s="1">
        <v>45464</v>
      </c>
      <c r="B1212" s="2">
        <v>45464.830290995371</v>
      </c>
      <c r="C1212" t="s">
        <v>3</v>
      </c>
      <c r="D1212" t="s">
        <v>325</v>
      </c>
      <c r="E1212">
        <v>32.82</v>
      </c>
      <c r="F1212" t="s">
        <v>14</v>
      </c>
    </row>
    <row r="1213" spans="1:6">
      <c r="A1213" s="1">
        <v>45465</v>
      </c>
      <c r="B1213" s="2">
        <v>45465.401259016202</v>
      </c>
      <c r="C1213" t="s">
        <v>3</v>
      </c>
      <c r="D1213" t="s">
        <v>325</v>
      </c>
      <c r="E1213">
        <v>32.82</v>
      </c>
      <c r="F1213" t="s">
        <v>14</v>
      </c>
    </row>
    <row r="1214" spans="1:6">
      <c r="A1214" s="1">
        <v>45512</v>
      </c>
      <c r="B1214" s="2">
        <v>45512.893047048608</v>
      </c>
      <c r="C1214" t="s">
        <v>3</v>
      </c>
      <c r="D1214" t="s">
        <v>325</v>
      </c>
      <c r="E1214">
        <v>27.92</v>
      </c>
      <c r="F1214" t="s">
        <v>14</v>
      </c>
    </row>
    <row r="1215" spans="1:6">
      <c r="A1215" s="1">
        <v>45513</v>
      </c>
      <c r="B1215" s="2">
        <v>45513.435268217596</v>
      </c>
      <c r="C1215" t="s">
        <v>3</v>
      </c>
      <c r="D1215" t="s">
        <v>325</v>
      </c>
      <c r="E1215">
        <v>27.92</v>
      </c>
      <c r="F1215" t="s">
        <v>14</v>
      </c>
    </row>
    <row r="1216" spans="1:6">
      <c r="A1216" s="1">
        <v>45462</v>
      </c>
      <c r="B1216" s="2">
        <v>45462.454172361111</v>
      </c>
      <c r="C1216" t="s">
        <v>3</v>
      </c>
      <c r="D1216" t="s">
        <v>326</v>
      </c>
      <c r="E1216">
        <v>27.92</v>
      </c>
      <c r="F1216" t="s">
        <v>11</v>
      </c>
    </row>
    <row r="1217" spans="1:6">
      <c r="A1217" s="1">
        <v>45462</v>
      </c>
      <c r="B1217" s="2">
        <v>45462.466294062498</v>
      </c>
      <c r="C1217" t="s">
        <v>3</v>
      </c>
      <c r="D1217" t="s">
        <v>327</v>
      </c>
      <c r="E1217">
        <v>37.72</v>
      </c>
      <c r="F1217" t="s">
        <v>7</v>
      </c>
    </row>
    <row r="1218" spans="1:6">
      <c r="A1218" s="1">
        <v>45462</v>
      </c>
      <c r="B1218" s="2">
        <v>45462.467030231484</v>
      </c>
      <c r="C1218" t="s">
        <v>3</v>
      </c>
      <c r="D1218" t="s">
        <v>327</v>
      </c>
      <c r="E1218">
        <v>37.72</v>
      </c>
      <c r="F1218" t="s">
        <v>18</v>
      </c>
    </row>
    <row r="1219" spans="1:6">
      <c r="A1219" s="1">
        <v>45582</v>
      </c>
      <c r="B1219" s="2">
        <v>45582.44784990741</v>
      </c>
      <c r="C1219" t="s">
        <v>3</v>
      </c>
      <c r="D1219" t="s">
        <v>327</v>
      </c>
      <c r="E1219">
        <v>35.76</v>
      </c>
      <c r="F1219" t="s">
        <v>9</v>
      </c>
    </row>
    <row r="1220" spans="1:6">
      <c r="A1220" s="1">
        <v>45463</v>
      </c>
      <c r="B1220" s="2">
        <v>45463.790996319447</v>
      </c>
      <c r="C1220" t="s">
        <v>3</v>
      </c>
      <c r="D1220" t="s">
        <v>328</v>
      </c>
      <c r="E1220">
        <v>37.72</v>
      </c>
      <c r="F1220" t="s">
        <v>7</v>
      </c>
    </row>
    <row r="1221" spans="1:6">
      <c r="A1221" s="1">
        <v>45463</v>
      </c>
      <c r="B1221" s="2">
        <v>45463.791669409722</v>
      </c>
      <c r="C1221" t="s">
        <v>3</v>
      </c>
      <c r="D1221" t="s">
        <v>328</v>
      </c>
      <c r="E1221">
        <v>37.72</v>
      </c>
      <c r="F1221" t="s">
        <v>7</v>
      </c>
    </row>
    <row r="1222" spans="1:6">
      <c r="A1222" s="1">
        <v>45464</v>
      </c>
      <c r="B1222" s="2">
        <v>45464.417826192126</v>
      </c>
      <c r="C1222" t="s">
        <v>3</v>
      </c>
      <c r="D1222" t="s">
        <v>329</v>
      </c>
      <c r="E1222">
        <v>27.92</v>
      </c>
      <c r="F1222" t="s">
        <v>11</v>
      </c>
    </row>
    <row r="1223" spans="1:6">
      <c r="A1223" s="1">
        <v>45464</v>
      </c>
      <c r="B1223" s="2">
        <v>45464.75851925926</v>
      </c>
      <c r="C1223" t="s">
        <v>3</v>
      </c>
      <c r="D1223" t="s">
        <v>330</v>
      </c>
      <c r="E1223">
        <v>23.02</v>
      </c>
      <c r="F1223" t="s">
        <v>35</v>
      </c>
    </row>
    <row r="1224" spans="1:6">
      <c r="A1224" s="1">
        <v>45465</v>
      </c>
      <c r="B1224" s="2">
        <v>45465.53698542824</v>
      </c>
      <c r="C1224" t="s">
        <v>3</v>
      </c>
      <c r="D1224" t="s">
        <v>331</v>
      </c>
      <c r="E1224">
        <v>32.82</v>
      </c>
      <c r="F1224" t="s">
        <v>14</v>
      </c>
    </row>
    <row r="1225" spans="1:6">
      <c r="A1225" s="1">
        <v>45465</v>
      </c>
      <c r="B1225" s="2">
        <v>45465.923877291665</v>
      </c>
      <c r="C1225" t="s">
        <v>3</v>
      </c>
      <c r="D1225" t="s">
        <v>332</v>
      </c>
      <c r="E1225">
        <v>37.72</v>
      </c>
      <c r="F1225" t="s">
        <v>43</v>
      </c>
    </row>
    <row r="1226" spans="1:6">
      <c r="A1226" s="1">
        <v>45466</v>
      </c>
      <c r="B1226" s="2">
        <v>45466.879710138892</v>
      </c>
      <c r="C1226" t="s">
        <v>3</v>
      </c>
      <c r="D1226" t="s">
        <v>333</v>
      </c>
      <c r="E1226">
        <v>37.72</v>
      </c>
      <c r="F1226" t="s">
        <v>43</v>
      </c>
    </row>
    <row r="1227" spans="1:6">
      <c r="A1227" s="1">
        <v>45547</v>
      </c>
      <c r="B1227" s="2">
        <v>45547.884222314817</v>
      </c>
      <c r="C1227" t="s">
        <v>3</v>
      </c>
      <c r="D1227" t="s">
        <v>333</v>
      </c>
      <c r="E1227">
        <v>23.02</v>
      </c>
      <c r="F1227" t="s">
        <v>28</v>
      </c>
    </row>
    <row r="1228" spans="1:6">
      <c r="A1228" s="1">
        <v>45466</v>
      </c>
      <c r="B1228" s="2">
        <v>45466.89522943287</v>
      </c>
      <c r="C1228" t="s">
        <v>3</v>
      </c>
      <c r="D1228" t="s">
        <v>334</v>
      </c>
      <c r="E1228">
        <v>37.72</v>
      </c>
      <c r="F1228" t="s">
        <v>7</v>
      </c>
    </row>
    <row r="1229" spans="1:6">
      <c r="A1229" s="1">
        <v>45466</v>
      </c>
      <c r="B1229" s="2">
        <v>45466.896254340281</v>
      </c>
      <c r="C1229" t="s">
        <v>3</v>
      </c>
      <c r="D1229" t="s">
        <v>334</v>
      </c>
      <c r="E1229">
        <v>37.72</v>
      </c>
      <c r="F1229" t="s">
        <v>43</v>
      </c>
    </row>
    <row r="1230" spans="1:6">
      <c r="A1230" s="1">
        <v>45467</v>
      </c>
      <c r="B1230" s="2">
        <v>45467.626724479167</v>
      </c>
      <c r="C1230" t="s">
        <v>3</v>
      </c>
      <c r="D1230" t="s">
        <v>335</v>
      </c>
      <c r="E1230">
        <v>37.72</v>
      </c>
      <c r="F1230" t="s">
        <v>7</v>
      </c>
    </row>
    <row r="1231" spans="1:6">
      <c r="A1231" s="1">
        <v>45468</v>
      </c>
      <c r="B1231" s="2">
        <v>45468.346808379632</v>
      </c>
      <c r="C1231" t="s">
        <v>3</v>
      </c>
      <c r="D1231" t="s">
        <v>336</v>
      </c>
      <c r="E1231">
        <v>37.72</v>
      </c>
      <c r="F1231" t="s">
        <v>7</v>
      </c>
    </row>
    <row r="1232" spans="1:6">
      <c r="A1232" s="1">
        <v>45507</v>
      </c>
      <c r="B1232" s="2">
        <v>45507.704165821757</v>
      </c>
      <c r="C1232" t="s">
        <v>3</v>
      </c>
      <c r="D1232" t="s">
        <v>336</v>
      </c>
      <c r="E1232">
        <v>27.92</v>
      </c>
      <c r="F1232" t="s">
        <v>14</v>
      </c>
    </row>
    <row r="1233" spans="1:6">
      <c r="A1233" s="1">
        <v>45469</v>
      </c>
      <c r="B1233" s="2">
        <v>45469.397936412039</v>
      </c>
      <c r="C1233" t="s">
        <v>3</v>
      </c>
      <c r="D1233" t="s">
        <v>337</v>
      </c>
      <c r="E1233">
        <v>37.72</v>
      </c>
      <c r="F1233" t="s">
        <v>7</v>
      </c>
    </row>
    <row r="1234" spans="1:6">
      <c r="A1234" s="1">
        <v>45469</v>
      </c>
      <c r="B1234" s="2">
        <v>45469.689229780095</v>
      </c>
      <c r="C1234" t="s">
        <v>3</v>
      </c>
      <c r="D1234" t="s">
        <v>338</v>
      </c>
      <c r="E1234">
        <v>23.02</v>
      </c>
      <c r="F1234" t="s">
        <v>35</v>
      </c>
    </row>
    <row r="1235" spans="1:6">
      <c r="A1235" s="1">
        <v>45469</v>
      </c>
      <c r="B1235" s="2">
        <v>45469.690296377317</v>
      </c>
      <c r="C1235" t="s">
        <v>3</v>
      </c>
      <c r="D1235" t="s">
        <v>339</v>
      </c>
      <c r="E1235">
        <v>27.92</v>
      </c>
      <c r="F1235" t="s">
        <v>11</v>
      </c>
    </row>
    <row r="1236" spans="1:6">
      <c r="A1236" s="1">
        <v>45470</v>
      </c>
      <c r="B1236" s="2">
        <v>45470.385916354164</v>
      </c>
      <c r="C1236" t="s">
        <v>3</v>
      </c>
      <c r="D1236" t="s">
        <v>340</v>
      </c>
      <c r="E1236">
        <v>32.82</v>
      </c>
      <c r="F1236" t="s">
        <v>14</v>
      </c>
    </row>
    <row r="1237" spans="1:6">
      <c r="A1237" s="1">
        <v>45470</v>
      </c>
      <c r="B1237" s="2">
        <v>45470.674861111111</v>
      </c>
      <c r="C1237" t="s">
        <v>3</v>
      </c>
      <c r="D1237" t="s">
        <v>341</v>
      </c>
      <c r="E1237">
        <v>27.92</v>
      </c>
      <c r="F1237" t="s">
        <v>28</v>
      </c>
    </row>
    <row r="1238" spans="1:6">
      <c r="A1238" s="1">
        <v>45470</v>
      </c>
      <c r="B1238" s="2">
        <v>45470.905594583332</v>
      </c>
      <c r="C1238" t="s">
        <v>3</v>
      </c>
      <c r="D1238" t="s">
        <v>342</v>
      </c>
      <c r="E1238">
        <v>32.82</v>
      </c>
      <c r="F1238" t="s">
        <v>14</v>
      </c>
    </row>
    <row r="1239" spans="1:6">
      <c r="A1239" s="1">
        <v>45483</v>
      </c>
      <c r="B1239" s="2">
        <v>45483.925810752313</v>
      </c>
      <c r="C1239" t="s">
        <v>3</v>
      </c>
      <c r="D1239" t="s">
        <v>342</v>
      </c>
      <c r="E1239">
        <v>32.82</v>
      </c>
      <c r="F1239" t="s">
        <v>7</v>
      </c>
    </row>
    <row r="1240" spans="1:6">
      <c r="A1240" s="1">
        <v>45498</v>
      </c>
      <c r="B1240" s="2">
        <v>45498.943649652778</v>
      </c>
      <c r="C1240" t="s">
        <v>3</v>
      </c>
      <c r="D1240" t="s">
        <v>342</v>
      </c>
      <c r="E1240">
        <v>23.02</v>
      </c>
      <c r="F1240" t="s">
        <v>28</v>
      </c>
    </row>
    <row r="1241" spans="1:6">
      <c r="A1241" s="1">
        <v>45502</v>
      </c>
      <c r="B1241" s="2">
        <v>45502.914981701389</v>
      </c>
      <c r="C1241" t="s">
        <v>3</v>
      </c>
      <c r="D1241" t="s">
        <v>342</v>
      </c>
      <c r="E1241">
        <v>32.82</v>
      </c>
      <c r="F1241" t="s">
        <v>18</v>
      </c>
    </row>
    <row r="1242" spans="1:6">
      <c r="A1242" s="1">
        <v>45511</v>
      </c>
      <c r="B1242" s="2">
        <v>45511.887638773151</v>
      </c>
      <c r="C1242" t="s">
        <v>3</v>
      </c>
      <c r="D1242" t="s">
        <v>342</v>
      </c>
      <c r="E1242">
        <v>32.82</v>
      </c>
      <c r="F1242" t="s">
        <v>43</v>
      </c>
    </row>
    <row r="1243" spans="1:6">
      <c r="A1243" s="1">
        <v>45470</v>
      </c>
      <c r="B1243" s="2">
        <v>45470.910088159719</v>
      </c>
      <c r="C1243" t="s">
        <v>3</v>
      </c>
      <c r="D1243" t="s">
        <v>343</v>
      </c>
      <c r="E1243">
        <v>37.72</v>
      </c>
      <c r="F1243" t="s">
        <v>43</v>
      </c>
    </row>
    <row r="1244" spans="1:6">
      <c r="A1244" s="1">
        <v>45475</v>
      </c>
      <c r="B1244" s="2">
        <v>45475.918328425927</v>
      </c>
      <c r="C1244" t="s">
        <v>3</v>
      </c>
      <c r="D1244" t="s">
        <v>343</v>
      </c>
      <c r="E1244">
        <v>32.82</v>
      </c>
      <c r="F1244" t="s">
        <v>14</v>
      </c>
    </row>
    <row r="1245" spans="1:6">
      <c r="A1245" s="1">
        <v>45593</v>
      </c>
      <c r="B1245" s="2">
        <v>45593.888930810186</v>
      </c>
      <c r="C1245" t="s">
        <v>3</v>
      </c>
      <c r="D1245" t="s">
        <v>343</v>
      </c>
      <c r="E1245">
        <v>30.86</v>
      </c>
      <c r="F1245" t="s">
        <v>14</v>
      </c>
    </row>
    <row r="1246" spans="1:6">
      <c r="A1246" s="1">
        <v>45666</v>
      </c>
      <c r="B1246" s="2">
        <v>45666.923850659725</v>
      </c>
      <c r="C1246" t="s">
        <v>3</v>
      </c>
      <c r="D1246" t="s">
        <v>343</v>
      </c>
      <c r="E1246">
        <v>35.76</v>
      </c>
      <c r="F1246" t="s">
        <v>7</v>
      </c>
    </row>
    <row r="1247" spans="1:6">
      <c r="A1247" s="1">
        <v>45471</v>
      </c>
      <c r="B1247" s="2">
        <v>45471.910363136572</v>
      </c>
      <c r="C1247" t="s">
        <v>3</v>
      </c>
      <c r="D1247" t="s">
        <v>344</v>
      </c>
      <c r="E1247">
        <v>32.82</v>
      </c>
      <c r="F1247" t="s">
        <v>14</v>
      </c>
    </row>
    <row r="1248" spans="1:6">
      <c r="A1248" s="1">
        <v>45471</v>
      </c>
      <c r="B1248" s="2">
        <v>45471.911132719906</v>
      </c>
      <c r="C1248" t="s">
        <v>3</v>
      </c>
      <c r="D1248" t="s">
        <v>345</v>
      </c>
      <c r="E1248">
        <v>37.72</v>
      </c>
      <c r="F1248" t="s">
        <v>7</v>
      </c>
    </row>
    <row r="1249" spans="1:6">
      <c r="A1249" s="1">
        <v>45471</v>
      </c>
      <c r="B1249" s="2">
        <v>45471.936342314817</v>
      </c>
      <c r="C1249" t="s">
        <v>3</v>
      </c>
      <c r="D1249" t="s">
        <v>346</v>
      </c>
      <c r="E1249">
        <v>37.72</v>
      </c>
      <c r="F1249" t="s">
        <v>43</v>
      </c>
    </row>
    <row r="1250" spans="1:6">
      <c r="A1250" s="1">
        <v>45472</v>
      </c>
      <c r="B1250" s="2">
        <v>45472.486337754628</v>
      </c>
      <c r="C1250" t="s">
        <v>3</v>
      </c>
      <c r="D1250" t="s">
        <v>347</v>
      </c>
      <c r="E1250">
        <v>32.82</v>
      </c>
      <c r="F1250" t="s">
        <v>14</v>
      </c>
    </row>
    <row r="1251" spans="1:6">
      <c r="A1251" s="1">
        <v>45472</v>
      </c>
      <c r="B1251" s="2">
        <v>45472.487113530093</v>
      </c>
      <c r="C1251" t="s">
        <v>3</v>
      </c>
      <c r="D1251" t="s">
        <v>347</v>
      </c>
      <c r="E1251">
        <v>32.82</v>
      </c>
      <c r="F1251" t="s">
        <v>14</v>
      </c>
    </row>
    <row r="1252" spans="1:6">
      <c r="A1252" s="1">
        <v>45482</v>
      </c>
      <c r="B1252" s="2">
        <v>45482.435325671293</v>
      </c>
      <c r="C1252" t="s">
        <v>3</v>
      </c>
      <c r="D1252" t="s">
        <v>347</v>
      </c>
      <c r="E1252">
        <v>27.92</v>
      </c>
      <c r="F1252" t="s">
        <v>14</v>
      </c>
    </row>
    <row r="1253" spans="1:6">
      <c r="A1253" s="1">
        <v>45538</v>
      </c>
      <c r="B1253" s="2">
        <v>45538.593654062497</v>
      </c>
      <c r="C1253" t="s">
        <v>3</v>
      </c>
      <c r="D1253" t="s">
        <v>347</v>
      </c>
      <c r="E1253">
        <v>27.92</v>
      </c>
      <c r="F1253" t="s">
        <v>14</v>
      </c>
    </row>
    <row r="1254" spans="1:6">
      <c r="A1254" s="1">
        <v>45538</v>
      </c>
      <c r="B1254" s="2">
        <v>45538.594645104167</v>
      </c>
      <c r="C1254" t="s">
        <v>3</v>
      </c>
      <c r="D1254" t="s">
        <v>347</v>
      </c>
      <c r="E1254">
        <v>27.92</v>
      </c>
      <c r="F1254" t="s">
        <v>14</v>
      </c>
    </row>
    <row r="1255" spans="1:6">
      <c r="A1255" s="1">
        <v>45538</v>
      </c>
      <c r="B1255" s="2">
        <v>45538.783735497687</v>
      </c>
      <c r="C1255" t="s">
        <v>3</v>
      </c>
      <c r="D1255" t="s">
        <v>347</v>
      </c>
      <c r="E1255">
        <v>27.92</v>
      </c>
      <c r="F1255" t="s">
        <v>14</v>
      </c>
    </row>
    <row r="1256" spans="1:6">
      <c r="A1256" s="1">
        <v>45555</v>
      </c>
      <c r="B1256" s="2">
        <v>45555.569391956022</v>
      </c>
      <c r="C1256" t="s">
        <v>3</v>
      </c>
      <c r="D1256" t="s">
        <v>347</v>
      </c>
      <c r="E1256">
        <v>27.92</v>
      </c>
      <c r="F1256" t="s">
        <v>14</v>
      </c>
    </row>
    <row r="1257" spans="1:6">
      <c r="A1257" s="1">
        <v>45557</v>
      </c>
      <c r="B1257" s="2">
        <v>45557.561280821756</v>
      </c>
      <c r="C1257" t="s">
        <v>3</v>
      </c>
      <c r="D1257" t="s">
        <v>347</v>
      </c>
      <c r="E1257">
        <v>27.92</v>
      </c>
      <c r="F1257" t="s">
        <v>14</v>
      </c>
    </row>
    <row r="1258" spans="1:6">
      <c r="A1258" s="1">
        <v>45557</v>
      </c>
      <c r="B1258" s="2">
        <v>45557.562221261571</v>
      </c>
      <c r="C1258" t="s">
        <v>3</v>
      </c>
      <c r="D1258" t="s">
        <v>347</v>
      </c>
      <c r="E1258">
        <v>27.92</v>
      </c>
      <c r="F1258" t="s">
        <v>14</v>
      </c>
    </row>
    <row r="1259" spans="1:6">
      <c r="A1259" s="1">
        <v>45561</v>
      </c>
      <c r="B1259" s="2">
        <v>45561.442436168982</v>
      </c>
      <c r="C1259" t="s">
        <v>3</v>
      </c>
      <c r="D1259" t="s">
        <v>347</v>
      </c>
      <c r="E1259">
        <v>27.92</v>
      </c>
      <c r="F1259" t="s">
        <v>14</v>
      </c>
    </row>
    <row r="1260" spans="1:6">
      <c r="A1260" s="1">
        <v>45562</v>
      </c>
      <c r="B1260" s="2">
        <v>45562.449266435186</v>
      </c>
      <c r="C1260" t="s">
        <v>3</v>
      </c>
      <c r="D1260" t="s">
        <v>347</v>
      </c>
      <c r="E1260">
        <v>27.92</v>
      </c>
      <c r="F1260" t="s">
        <v>14</v>
      </c>
    </row>
    <row r="1261" spans="1:6">
      <c r="A1261" s="1">
        <v>45562</v>
      </c>
      <c r="B1261" s="2">
        <v>45562.482642152776</v>
      </c>
      <c r="C1261" t="s">
        <v>3</v>
      </c>
      <c r="D1261" t="s">
        <v>347</v>
      </c>
      <c r="E1261">
        <v>27.92</v>
      </c>
      <c r="F1261" t="s">
        <v>14</v>
      </c>
    </row>
    <row r="1262" spans="1:6">
      <c r="A1262" s="1">
        <v>45564</v>
      </c>
      <c r="B1262" s="2">
        <v>45564.453962164349</v>
      </c>
      <c r="C1262" t="s">
        <v>3</v>
      </c>
      <c r="D1262" t="s">
        <v>347</v>
      </c>
      <c r="E1262">
        <v>30.86</v>
      </c>
      <c r="F1262" t="s">
        <v>14</v>
      </c>
    </row>
    <row r="1263" spans="1:6">
      <c r="A1263" s="1">
        <v>45565</v>
      </c>
      <c r="B1263" s="2">
        <v>45565.698431249999</v>
      </c>
      <c r="C1263" t="s">
        <v>3</v>
      </c>
      <c r="D1263" t="s">
        <v>347</v>
      </c>
      <c r="E1263">
        <v>30.86</v>
      </c>
      <c r="F1263" t="s">
        <v>14</v>
      </c>
    </row>
    <row r="1264" spans="1:6">
      <c r="A1264" s="1">
        <v>45566</v>
      </c>
      <c r="B1264" s="2">
        <v>45566.418365486112</v>
      </c>
      <c r="C1264" t="s">
        <v>3</v>
      </c>
      <c r="D1264" t="s">
        <v>347</v>
      </c>
      <c r="E1264">
        <v>30.86</v>
      </c>
      <c r="F1264" t="s">
        <v>14</v>
      </c>
    </row>
    <row r="1265" spans="1:6">
      <c r="A1265" s="1">
        <v>45566</v>
      </c>
      <c r="B1265" s="2">
        <v>45566.419295312502</v>
      </c>
      <c r="C1265" t="s">
        <v>3</v>
      </c>
      <c r="D1265" t="s">
        <v>347</v>
      </c>
      <c r="E1265">
        <v>30.86</v>
      </c>
      <c r="F1265" t="s">
        <v>14</v>
      </c>
    </row>
    <row r="1266" spans="1:6">
      <c r="A1266" s="1">
        <v>45581</v>
      </c>
      <c r="B1266" s="2">
        <v>45581.448205590277</v>
      </c>
      <c r="C1266" t="s">
        <v>3</v>
      </c>
      <c r="D1266" t="s">
        <v>347</v>
      </c>
      <c r="E1266">
        <v>30.86</v>
      </c>
      <c r="F1266" t="s">
        <v>14</v>
      </c>
    </row>
    <row r="1267" spans="1:6">
      <c r="A1267" s="1">
        <v>45648</v>
      </c>
      <c r="B1267" s="2">
        <v>45648.446482939813</v>
      </c>
      <c r="C1267" t="s">
        <v>3</v>
      </c>
      <c r="D1267" t="s">
        <v>347</v>
      </c>
      <c r="E1267">
        <v>35.76</v>
      </c>
      <c r="F1267" t="s">
        <v>43</v>
      </c>
    </row>
    <row r="1268" spans="1:6">
      <c r="A1268" s="1">
        <v>45678</v>
      </c>
      <c r="B1268" s="2">
        <v>45678.787655023145</v>
      </c>
      <c r="C1268" t="s">
        <v>3</v>
      </c>
      <c r="D1268" t="s">
        <v>347</v>
      </c>
      <c r="E1268">
        <v>35.76</v>
      </c>
      <c r="F1268" t="s">
        <v>7</v>
      </c>
    </row>
    <row r="1269" spans="1:6">
      <c r="A1269" s="1">
        <v>45678</v>
      </c>
      <c r="B1269" s="2">
        <v>45678.789066469908</v>
      </c>
      <c r="C1269" t="s">
        <v>3</v>
      </c>
      <c r="D1269" t="s">
        <v>347</v>
      </c>
      <c r="E1269">
        <v>35.76</v>
      </c>
      <c r="F1269" t="s">
        <v>7</v>
      </c>
    </row>
    <row r="1270" spans="1:6">
      <c r="A1270" s="1">
        <v>45688</v>
      </c>
      <c r="B1270" s="2">
        <v>45688.393596828704</v>
      </c>
      <c r="C1270" t="s">
        <v>3</v>
      </c>
      <c r="D1270" t="s">
        <v>347</v>
      </c>
      <c r="E1270">
        <v>35.76</v>
      </c>
      <c r="F1270" t="s">
        <v>43</v>
      </c>
    </row>
    <row r="1271" spans="1:6">
      <c r="A1271" s="1">
        <v>45688</v>
      </c>
      <c r="B1271" s="2">
        <v>45688.394302523149</v>
      </c>
      <c r="C1271" t="s">
        <v>3</v>
      </c>
      <c r="D1271" t="s">
        <v>347</v>
      </c>
      <c r="E1271">
        <v>35.76</v>
      </c>
      <c r="F1271" t="s">
        <v>43</v>
      </c>
    </row>
    <row r="1272" spans="1:6">
      <c r="A1272" s="1">
        <v>45472</v>
      </c>
      <c r="B1272" s="2">
        <v>45472.521115254633</v>
      </c>
      <c r="C1272" t="s">
        <v>3</v>
      </c>
      <c r="D1272" t="s">
        <v>348</v>
      </c>
      <c r="E1272">
        <v>37.72</v>
      </c>
      <c r="F1272" t="s">
        <v>43</v>
      </c>
    </row>
    <row r="1273" spans="1:6">
      <c r="A1273" s="1">
        <v>45472</v>
      </c>
      <c r="B1273" s="2">
        <v>45472.522020625001</v>
      </c>
      <c r="C1273" t="s">
        <v>3</v>
      </c>
      <c r="D1273" t="s">
        <v>348</v>
      </c>
      <c r="E1273">
        <v>37.72</v>
      </c>
      <c r="F1273" t="s">
        <v>43</v>
      </c>
    </row>
    <row r="1274" spans="1:6">
      <c r="A1274" s="1">
        <v>45591</v>
      </c>
      <c r="B1274" s="2">
        <v>45591.370133750002</v>
      </c>
      <c r="C1274" t="s">
        <v>3</v>
      </c>
      <c r="D1274" t="s">
        <v>348</v>
      </c>
      <c r="E1274">
        <v>35.76</v>
      </c>
      <c r="F1274" t="s">
        <v>43</v>
      </c>
    </row>
    <row r="1275" spans="1:6">
      <c r="A1275" s="1">
        <v>45472</v>
      </c>
      <c r="B1275" s="2">
        <v>45472.724809988424</v>
      </c>
      <c r="C1275" t="s">
        <v>3</v>
      </c>
      <c r="D1275" t="s">
        <v>349</v>
      </c>
      <c r="E1275">
        <v>37.72</v>
      </c>
      <c r="F1275" t="s">
        <v>43</v>
      </c>
    </row>
    <row r="1276" spans="1:6">
      <c r="A1276" s="1">
        <v>45472</v>
      </c>
      <c r="B1276" s="2">
        <v>45472.725606215281</v>
      </c>
      <c r="C1276" t="s">
        <v>3</v>
      </c>
      <c r="D1276" t="s">
        <v>349</v>
      </c>
      <c r="E1276">
        <v>37.72</v>
      </c>
      <c r="F1276" t="s">
        <v>9</v>
      </c>
    </row>
    <row r="1277" spans="1:6">
      <c r="A1277" s="1">
        <v>45473</v>
      </c>
      <c r="B1277" s="2">
        <v>45473.43622502315</v>
      </c>
      <c r="C1277" t="s">
        <v>3</v>
      </c>
      <c r="D1277" t="s">
        <v>350</v>
      </c>
      <c r="E1277">
        <v>37.72</v>
      </c>
      <c r="F1277" t="s">
        <v>7</v>
      </c>
    </row>
    <row r="1278" spans="1:6">
      <c r="A1278" s="1">
        <v>45473</v>
      </c>
      <c r="B1278" s="2">
        <v>45473.545724768519</v>
      </c>
      <c r="C1278" t="s">
        <v>3</v>
      </c>
      <c r="D1278" t="s">
        <v>351</v>
      </c>
      <c r="E1278">
        <v>23.02</v>
      </c>
      <c r="F1278" t="s">
        <v>35</v>
      </c>
    </row>
    <row r="1279" spans="1:6">
      <c r="A1279" s="1">
        <v>45474</v>
      </c>
      <c r="B1279" s="2">
        <v>45474.789488935188</v>
      </c>
      <c r="C1279" t="s">
        <v>3</v>
      </c>
      <c r="D1279" t="s">
        <v>352</v>
      </c>
      <c r="E1279">
        <v>37.72</v>
      </c>
      <c r="F1279" t="s">
        <v>43</v>
      </c>
    </row>
    <row r="1280" spans="1:6">
      <c r="A1280" s="1">
        <v>45474</v>
      </c>
      <c r="B1280" s="2">
        <v>45474.790211423613</v>
      </c>
      <c r="C1280" t="s">
        <v>3</v>
      </c>
      <c r="D1280" t="s">
        <v>353</v>
      </c>
      <c r="E1280">
        <v>37.72</v>
      </c>
      <c r="F1280" t="s">
        <v>43</v>
      </c>
    </row>
    <row r="1281" spans="1:6">
      <c r="A1281" s="1">
        <v>45499</v>
      </c>
      <c r="B1281" s="2">
        <v>45499.519537546294</v>
      </c>
      <c r="C1281" t="s">
        <v>3</v>
      </c>
      <c r="D1281" t="s">
        <v>353</v>
      </c>
      <c r="E1281">
        <v>32.82</v>
      </c>
      <c r="F1281" t="s">
        <v>43</v>
      </c>
    </row>
    <row r="1282" spans="1:6">
      <c r="A1282" s="1">
        <v>45499</v>
      </c>
      <c r="B1282" s="2">
        <v>45499.520343842596</v>
      </c>
      <c r="C1282" t="s">
        <v>3</v>
      </c>
      <c r="D1282" t="s">
        <v>353</v>
      </c>
      <c r="E1282">
        <v>32.82</v>
      </c>
      <c r="F1282" t="s">
        <v>43</v>
      </c>
    </row>
    <row r="1283" spans="1:6">
      <c r="A1283" s="1">
        <v>45475</v>
      </c>
      <c r="B1283" s="2">
        <v>45475.585569803239</v>
      </c>
      <c r="C1283" t="s">
        <v>3</v>
      </c>
      <c r="D1283" t="s">
        <v>354</v>
      </c>
      <c r="E1283">
        <v>27.92</v>
      </c>
      <c r="F1283" t="s">
        <v>11</v>
      </c>
    </row>
    <row r="1284" spans="1:6">
      <c r="A1284" s="1">
        <v>45475</v>
      </c>
      <c r="B1284" s="2">
        <v>45475.688476122683</v>
      </c>
      <c r="C1284" t="s">
        <v>3</v>
      </c>
      <c r="D1284" t="s">
        <v>355</v>
      </c>
      <c r="E1284">
        <v>32.82</v>
      </c>
      <c r="F1284" t="s">
        <v>14</v>
      </c>
    </row>
    <row r="1285" spans="1:6">
      <c r="A1285" s="1">
        <v>45476</v>
      </c>
      <c r="B1285" s="2">
        <v>45476.667552708335</v>
      </c>
      <c r="C1285" t="s">
        <v>3</v>
      </c>
      <c r="D1285" t="s">
        <v>356</v>
      </c>
      <c r="E1285">
        <v>37.72</v>
      </c>
      <c r="F1285" t="s">
        <v>43</v>
      </c>
    </row>
    <row r="1286" spans="1:6">
      <c r="A1286" s="1">
        <v>45476</v>
      </c>
      <c r="B1286" s="2">
        <v>45476.70168082176</v>
      </c>
      <c r="C1286" t="s">
        <v>3</v>
      </c>
      <c r="D1286" t="s">
        <v>357</v>
      </c>
      <c r="E1286">
        <v>37.72</v>
      </c>
      <c r="F1286" t="s">
        <v>43</v>
      </c>
    </row>
    <row r="1287" spans="1:6">
      <c r="A1287" s="1">
        <v>45476</v>
      </c>
      <c r="B1287" s="2">
        <v>45476.70443179398</v>
      </c>
      <c r="C1287" t="s">
        <v>3</v>
      </c>
      <c r="D1287" t="s">
        <v>358</v>
      </c>
      <c r="E1287">
        <v>32.82</v>
      </c>
      <c r="F1287" t="s">
        <v>14</v>
      </c>
    </row>
    <row r="1288" spans="1:6">
      <c r="A1288" s="1">
        <v>45476</v>
      </c>
      <c r="B1288" s="2">
        <v>45476.707934953702</v>
      </c>
      <c r="C1288" t="s">
        <v>3</v>
      </c>
      <c r="D1288" t="s">
        <v>359</v>
      </c>
      <c r="E1288">
        <v>23.02</v>
      </c>
      <c r="F1288" t="s">
        <v>35</v>
      </c>
    </row>
    <row r="1289" spans="1:6">
      <c r="A1289" s="1">
        <v>45476</v>
      </c>
      <c r="B1289" s="2">
        <v>45476.749326701392</v>
      </c>
      <c r="C1289" t="s">
        <v>3</v>
      </c>
      <c r="D1289" t="s">
        <v>360</v>
      </c>
      <c r="E1289">
        <v>37.72</v>
      </c>
      <c r="F1289" t="s">
        <v>43</v>
      </c>
    </row>
    <row r="1290" spans="1:6">
      <c r="A1290" s="1">
        <v>45478</v>
      </c>
      <c r="B1290" s="2">
        <v>45478.572729502317</v>
      </c>
      <c r="C1290" t="s">
        <v>3</v>
      </c>
      <c r="D1290" t="s">
        <v>361</v>
      </c>
      <c r="E1290">
        <v>32.82</v>
      </c>
      <c r="F1290" t="s">
        <v>14</v>
      </c>
    </row>
    <row r="1291" spans="1:6">
      <c r="A1291" s="1">
        <v>45503</v>
      </c>
      <c r="B1291" s="2">
        <v>45503.872943564813</v>
      </c>
      <c r="C1291" t="s">
        <v>3</v>
      </c>
      <c r="D1291" t="s">
        <v>361</v>
      </c>
      <c r="E1291">
        <v>27.92</v>
      </c>
      <c r="F1291" t="s">
        <v>14</v>
      </c>
    </row>
    <row r="1292" spans="1:6">
      <c r="A1292" s="1">
        <v>45515</v>
      </c>
      <c r="B1292" s="2">
        <v>45515.428745787038</v>
      </c>
      <c r="C1292" t="s">
        <v>3</v>
      </c>
      <c r="D1292" t="s">
        <v>361</v>
      </c>
      <c r="E1292">
        <v>27.92</v>
      </c>
      <c r="F1292" t="s">
        <v>14</v>
      </c>
    </row>
    <row r="1293" spans="1:6">
      <c r="A1293" s="1">
        <v>45543</v>
      </c>
      <c r="B1293" s="2">
        <v>45543.84274148148</v>
      </c>
      <c r="C1293" t="s">
        <v>3</v>
      </c>
      <c r="D1293" t="s">
        <v>361</v>
      </c>
      <c r="E1293">
        <v>23.02</v>
      </c>
      <c r="F1293" t="s">
        <v>11</v>
      </c>
    </row>
    <row r="1294" spans="1:6">
      <c r="A1294" s="1">
        <v>45547</v>
      </c>
      <c r="B1294" s="2">
        <v>45547.456546516201</v>
      </c>
      <c r="C1294" t="s">
        <v>3</v>
      </c>
      <c r="D1294" t="s">
        <v>361</v>
      </c>
      <c r="E1294">
        <v>18.12</v>
      </c>
      <c r="F1294" t="s">
        <v>35</v>
      </c>
    </row>
    <row r="1295" spans="1:6">
      <c r="A1295" s="1">
        <v>45547</v>
      </c>
      <c r="B1295" s="2">
        <v>45547.457173692128</v>
      </c>
      <c r="C1295" t="s">
        <v>3</v>
      </c>
      <c r="D1295" t="s">
        <v>361</v>
      </c>
      <c r="E1295">
        <v>27.92</v>
      </c>
      <c r="F1295" t="s">
        <v>14</v>
      </c>
    </row>
    <row r="1296" spans="1:6">
      <c r="A1296" s="1">
        <v>45550</v>
      </c>
      <c r="B1296" s="2">
        <v>45550.362973854164</v>
      </c>
      <c r="C1296" t="s">
        <v>3</v>
      </c>
      <c r="D1296" t="s">
        <v>361</v>
      </c>
      <c r="E1296">
        <v>18.12</v>
      </c>
      <c r="F1296" t="s">
        <v>35</v>
      </c>
    </row>
    <row r="1297" spans="1:6">
      <c r="A1297" s="1">
        <v>45592</v>
      </c>
      <c r="B1297" s="2">
        <v>45592.459686365743</v>
      </c>
      <c r="C1297" t="s">
        <v>3</v>
      </c>
      <c r="D1297" t="s">
        <v>361</v>
      </c>
      <c r="E1297">
        <v>30.86</v>
      </c>
      <c r="F1297" t="s">
        <v>14</v>
      </c>
    </row>
    <row r="1298" spans="1:6">
      <c r="A1298" s="1">
        <v>45478</v>
      </c>
      <c r="B1298" s="2">
        <v>45478.788846157404</v>
      </c>
      <c r="C1298" t="s">
        <v>3</v>
      </c>
      <c r="D1298" t="s">
        <v>362</v>
      </c>
      <c r="E1298">
        <v>23.02</v>
      </c>
      <c r="F1298" t="s">
        <v>35</v>
      </c>
    </row>
    <row r="1299" spans="1:6">
      <c r="A1299" s="1">
        <v>45666</v>
      </c>
      <c r="B1299" s="2">
        <v>45666.602357430558</v>
      </c>
      <c r="C1299" t="s">
        <v>3</v>
      </c>
      <c r="D1299" t="s">
        <v>362</v>
      </c>
      <c r="E1299">
        <v>21.06</v>
      </c>
      <c r="F1299" t="s">
        <v>35</v>
      </c>
    </row>
    <row r="1300" spans="1:6">
      <c r="A1300" s="1">
        <v>45478</v>
      </c>
      <c r="B1300" s="2">
        <v>45478.924959155091</v>
      </c>
      <c r="C1300" t="s">
        <v>3</v>
      </c>
      <c r="D1300" t="s">
        <v>363</v>
      </c>
      <c r="E1300">
        <v>23.02</v>
      </c>
      <c r="F1300" t="s">
        <v>35</v>
      </c>
    </row>
    <row r="1301" spans="1:6">
      <c r="A1301" s="1">
        <v>45478</v>
      </c>
      <c r="B1301" s="2">
        <v>45478.929205138891</v>
      </c>
      <c r="C1301" t="s">
        <v>3</v>
      </c>
      <c r="D1301" t="s">
        <v>364</v>
      </c>
      <c r="E1301">
        <v>27.92</v>
      </c>
      <c r="F1301" t="s">
        <v>11</v>
      </c>
    </row>
    <row r="1302" spans="1:6">
      <c r="A1302" s="1">
        <v>45478</v>
      </c>
      <c r="B1302" s="2">
        <v>45478.929825752311</v>
      </c>
      <c r="C1302" t="s">
        <v>3</v>
      </c>
      <c r="D1302" t="s">
        <v>364</v>
      </c>
      <c r="E1302">
        <v>27.92</v>
      </c>
      <c r="F1302" t="s">
        <v>11</v>
      </c>
    </row>
    <row r="1303" spans="1:6">
      <c r="A1303" s="1">
        <v>45478</v>
      </c>
      <c r="B1303" s="2">
        <v>45478.930568854164</v>
      </c>
      <c r="C1303" t="s">
        <v>3</v>
      </c>
      <c r="D1303" t="s">
        <v>365</v>
      </c>
      <c r="E1303">
        <v>37.72</v>
      </c>
      <c r="F1303" t="s">
        <v>43</v>
      </c>
    </row>
    <row r="1304" spans="1:6">
      <c r="A1304" s="1">
        <v>45478</v>
      </c>
      <c r="B1304" s="2">
        <v>45478.931359456015</v>
      </c>
      <c r="C1304" t="s">
        <v>3</v>
      </c>
      <c r="D1304" t="s">
        <v>365</v>
      </c>
      <c r="E1304">
        <v>32.82</v>
      </c>
      <c r="F1304" t="s">
        <v>14</v>
      </c>
    </row>
    <row r="1305" spans="1:6">
      <c r="A1305" s="1">
        <v>45479</v>
      </c>
      <c r="B1305" s="2">
        <v>45479.436190115739</v>
      </c>
      <c r="C1305" t="s">
        <v>3</v>
      </c>
      <c r="D1305" t="s">
        <v>366</v>
      </c>
      <c r="E1305">
        <v>37.72</v>
      </c>
      <c r="F1305" t="s">
        <v>7</v>
      </c>
    </row>
    <row r="1306" spans="1:6">
      <c r="A1306" s="1">
        <v>45480</v>
      </c>
      <c r="B1306" s="2">
        <v>45480.385060474538</v>
      </c>
      <c r="C1306" t="s">
        <v>3</v>
      </c>
      <c r="D1306" t="s">
        <v>367</v>
      </c>
      <c r="E1306">
        <v>27.92</v>
      </c>
      <c r="F1306" t="s">
        <v>14</v>
      </c>
    </row>
    <row r="1307" spans="1:6">
      <c r="A1307" s="1">
        <v>45480</v>
      </c>
      <c r="B1307" s="2">
        <v>45480.385842766205</v>
      </c>
      <c r="C1307" t="s">
        <v>3</v>
      </c>
      <c r="D1307" t="s">
        <v>367</v>
      </c>
      <c r="E1307">
        <v>27.92</v>
      </c>
      <c r="F1307" t="s">
        <v>14</v>
      </c>
    </row>
    <row r="1308" spans="1:6">
      <c r="A1308" s="1">
        <v>45480</v>
      </c>
      <c r="B1308" s="2">
        <v>45480.395010138891</v>
      </c>
      <c r="C1308" t="s">
        <v>3</v>
      </c>
      <c r="D1308" t="s">
        <v>368</v>
      </c>
      <c r="E1308">
        <v>32.82</v>
      </c>
      <c r="F1308" t="s">
        <v>43</v>
      </c>
    </row>
    <row r="1309" spans="1:6">
      <c r="A1309" s="1">
        <v>45480</v>
      </c>
      <c r="B1309" s="2">
        <v>45480.395789224538</v>
      </c>
      <c r="C1309" t="s">
        <v>3</v>
      </c>
      <c r="D1309" t="s">
        <v>368</v>
      </c>
      <c r="E1309">
        <v>32.82</v>
      </c>
      <c r="F1309" t="s">
        <v>43</v>
      </c>
    </row>
    <row r="1310" spans="1:6">
      <c r="A1310" s="1">
        <v>45480</v>
      </c>
      <c r="B1310" s="2">
        <v>45480.622571678243</v>
      </c>
      <c r="C1310" t="s">
        <v>3</v>
      </c>
      <c r="D1310" t="s">
        <v>369</v>
      </c>
      <c r="E1310">
        <v>32.82</v>
      </c>
      <c r="F1310" t="s">
        <v>9</v>
      </c>
    </row>
    <row r="1311" spans="1:6">
      <c r="A1311" s="1">
        <v>45480</v>
      </c>
      <c r="B1311" s="2">
        <v>45480.623465405093</v>
      </c>
      <c r="C1311" t="s">
        <v>3</v>
      </c>
      <c r="D1311" t="s">
        <v>369</v>
      </c>
      <c r="E1311">
        <v>32.82</v>
      </c>
      <c r="F1311" t="s">
        <v>18</v>
      </c>
    </row>
    <row r="1312" spans="1:6">
      <c r="A1312" s="1">
        <v>45584</v>
      </c>
      <c r="B1312" s="2">
        <v>45584.590655196756</v>
      </c>
      <c r="C1312" t="s">
        <v>3</v>
      </c>
      <c r="D1312" t="s">
        <v>369</v>
      </c>
      <c r="E1312">
        <v>35.76</v>
      </c>
      <c r="F1312" t="s">
        <v>43</v>
      </c>
    </row>
    <row r="1313" spans="1:6">
      <c r="A1313" s="1">
        <v>45480</v>
      </c>
      <c r="B1313" s="2">
        <v>45480.713776435186</v>
      </c>
      <c r="C1313" t="s">
        <v>3</v>
      </c>
      <c r="D1313" t="s">
        <v>370</v>
      </c>
      <c r="E1313">
        <v>32.82</v>
      </c>
      <c r="F1313" t="s">
        <v>7</v>
      </c>
    </row>
    <row r="1314" spans="1:6">
      <c r="A1314" s="1">
        <v>45480</v>
      </c>
      <c r="B1314" s="2">
        <v>45480.814897997683</v>
      </c>
      <c r="C1314" t="s">
        <v>3</v>
      </c>
      <c r="D1314" t="s">
        <v>371</v>
      </c>
      <c r="E1314">
        <v>32.82</v>
      </c>
      <c r="F1314" t="s">
        <v>43</v>
      </c>
    </row>
    <row r="1315" spans="1:6">
      <c r="A1315" s="1">
        <v>45480</v>
      </c>
      <c r="B1315" s="2">
        <v>45480.834394131947</v>
      </c>
      <c r="C1315" t="s">
        <v>3</v>
      </c>
      <c r="D1315" t="s">
        <v>372</v>
      </c>
      <c r="E1315">
        <v>32.82</v>
      </c>
      <c r="F1315" t="s">
        <v>9</v>
      </c>
    </row>
    <row r="1316" spans="1:6">
      <c r="A1316" s="1">
        <v>45480</v>
      </c>
      <c r="B1316" s="2">
        <v>45480.940002951385</v>
      </c>
      <c r="C1316" t="s">
        <v>3</v>
      </c>
      <c r="D1316" t="s">
        <v>373</v>
      </c>
      <c r="E1316">
        <v>27.92</v>
      </c>
      <c r="F1316" t="s">
        <v>14</v>
      </c>
    </row>
    <row r="1317" spans="1:6">
      <c r="A1317" s="1">
        <v>45481</v>
      </c>
      <c r="B1317" s="2">
        <v>45481.314672731482</v>
      </c>
      <c r="C1317" t="s">
        <v>3</v>
      </c>
      <c r="D1317" t="s">
        <v>374</v>
      </c>
      <c r="E1317">
        <v>32.82</v>
      </c>
      <c r="F1317" t="s">
        <v>7</v>
      </c>
    </row>
    <row r="1318" spans="1:6">
      <c r="A1318" s="1">
        <v>45481</v>
      </c>
      <c r="B1318" s="2">
        <v>45481.501972465281</v>
      </c>
      <c r="C1318" t="s">
        <v>3</v>
      </c>
      <c r="D1318" t="s">
        <v>375</v>
      </c>
      <c r="E1318">
        <v>23.02</v>
      </c>
      <c r="F1318" t="s">
        <v>11</v>
      </c>
    </row>
    <row r="1319" spans="1:6">
      <c r="A1319" s="1">
        <v>45481</v>
      </c>
      <c r="B1319" s="2">
        <v>45481.611392939813</v>
      </c>
      <c r="C1319" t="s">
        <v>3</v>
      </c>
      <c r="D1319" t="s">
        <v>376</v>
      </c>
      <c r="E1319">
        <v>23.02</v>
      </c>
      <c r="F1319" t="s">
        <v>11</v>
      </c>
    </row>
    <row r="1320" spans="1:6">
      <c r="A1320" s="1">
        <v>45481</v>
      </c>
      <c r="B1320" s="2">
        <v>45481.812904814811</v>
      </c>
      <c r="C1320" t="s">
        <v>3</v>
      </c>
      <c r="D1320" t="s">
        <v>377</v>
      </c>
      <c r="E1320">
        <v>27.92</v>
      </c>
      <c r="F1320" t="s">
        <v>14</v>
      </c>
    </row>
    <row r="1321" spans="1:6">
      <c r="A1321" s="1">
        <v>45482</v>
      </c>
      <c r="B1321" s="2">
        <v>45482.696522395832</v>
      </c>
      <c r="C1321" t="s">
        <v>3</v>
      </c>
      <c r="D1321" t="s">
        <v>378</v>
      </c>
      <c r="E1321">
        <v>27.92</v>
      </c>
      <c r="F1321" t="s">
        <v>14</v>
      </c>
    </row>
    <row r="1322" spans="1:6">
      <c r="A1322" s="1">
        <v>45483</v>
      </c>
      <c r="B1322" s="2">
        <v>45483.465760300925</v>
      </c>
      <c r="C1322" t="s">
        <v>3</v>
      </c>
      <c r="D1322" t="s">
        <v>379</v>
      </c>
      <c r="E1322">
        <v>23.02</v>
      </c>
      <c r="F1322" t="s">
        <v>11</v>
      </c>
    </row>
    <row r="1323" spans="1:6">
      <c r="A1323" s="1">
        <v>45486</v>
      </c>
      <c r="B1323" s="2">
        <v>45486.443174456021</v>
      </c>
      <c r="C1323" t="s">
        <v>3</v>
      </c>
      <c r="D1323" t="s">
        <v>379</v>
      </c>
      <c r="E1323">
        <v>32.82</v>
      </c>
      <c r="F1323" t="s">
        <v>7</v>
      </c>
    </row>
    <row r="1324" spans="1:6">
      <c r="A1324" s="1">
        <v>45486</v>
      </c>
      <c r="B1324" s="2">
        <v>45486.487246400466</v>
      </c>
      <c r="C1324" t="s">
        <v>3</v>
      </c>
      <c r="D1324" t="s">
        <v>379</v>
      </c>
      <c r="E1324">
        <v>32.82</v>
      </c>
      <c r="F1324" t="s">
        <v>7</v>
      </c>
    </row>
    <row r="1325" spans="1:6">
      <c r="A1325" s="1">
        <v>45483</v>
      </c>
      <c r="B1325" s="2">
        <v>45483.520065497687</v>
      </c>
      <c r="C1325" t="s">
        <v>3</v>
      </c>
      <c r="D1325" t="s">
        <v>380</v>
      </c>
      <c r="E1325">
        <v>27.92</v>
      </c>
      <c r="F1325" t="s">
        <v>14</v>
      </c>
    </row>
    <row r="1326" spans="1:6">
      <c r="A1326" s="1">
        <v>45484</v>
      </c>
      <c r="B1326" s="2">
        <v>45484.477402337965</v>
      </c>
      <c r="C1326" t="s">
        <v>3</v>
      </c>
      <c r="D1326" t="s">
        <v>381</v>
      </c>
      <c r="E1326">
        <v>32.82</v>
      </c>
      <c r="F1326" t="s">
        <v>9</v>
      </c>
    </row>
    <row r="1327" spans="1:6">
      <c r="A1327" s="1">
        <v>45489</v>
      </c>
      <c r="B1327" s="2">
        <v>45489.81210052083</v>
      </c>
      <c r="C1327" t="s">
        <v>3</v>
      </c>
      <c r="D1327" t="s">
        <v>381</v>
      </c>
      <c r="E1327">
        <v>32.82</v>
      </c>
      <c r="F1327" t="s">
        <v>9</v>
      </c>
    </row>
    <row r="1328" spans="1:6">
      <c r="A1328" s="1">
        <v>45494</v>
      </c>
      <c r="B1328" s="2">
        <v>45494.43814604167</v>
      </c>
      <c r="C1328" t="s">
        <v>3</v>
      </c>
      <c r="D1328" t="s">
        <v>381</v>
      </c>
      <c r="E1328">
        <v>32.82</v>
      </c>
      <c r="F1328" t="s">
        <v>18</v>
      </c>
    </row>
    <row r="1329" spans="1:6">
      <c r="A1329" s="1">
        <v>45516</v>
      </c>
      <c r="B1329" s="2">
        <v>45516.351614097221</v>
      </c>
      <c r="C1329" t="s">
        <v>3</v>
      </c>
      <c r="D1329" t="s">
        <v>381</v>
      </c>
      <c r="E1329">
        <v>32.82</v>
      </c>
      <c r="F1329" t="s">
        <v>9</v>
      </c>
    </row>
    <row r="1330" spans="1:6">
      <c r="A1330" s="1">
        <v>45484</v>
      </c>
      <c r="B1330" s="2">
        <v>45484.70021653935</v>
      </c>
      <c r="C1330" t="s">
        <v>3</v>
      </c>
      <c r="D1330" t="s">
        <v>382</v>
      </c>
      <c r="E1330">
        <v>27.92</v>
      </c>
      <c r="F1330" t="s">
        <v>14</v>
      </c>
    </row>
    <row r="1331" spans="1:6">
      <c r="A1331" s="1">
        <v>45484</v>
      </c>
      <c r="B1331" s="2">
        <v>45484.932102407409</v>
      </c>
      <c r="C1331" t="s">
        <v>3</v>
      </c>
      <c r="D1331" t="s">
        <v>383</v>
      </c>
      <c r="E1331">
        <v>32.82</v>
      </c>
      <c r="F1331" t="s">
        <v>7</v>
      </c>
    </row>
    <row r="1332" spans="1:6">
      <c r="A1332" s="1">
        <v>45484</v>
      </c>
      <c r="B1332" s="2">
        <v>45484.938177557873</v>
      </c>
      <c r="C1332" t="s">
        <v>3</v>
      </c>
      <c r="D1332" t="s">
        <v>384</v>
      </c>
      <c r="E1332">
        <v>23.02</v>
      </c>
      <c r="F1332" t="s">
        <v>11</v>
      </c>
    </row>
    <row r="1333" spans="1:6">
      <c r="A1333" s="1">
        <v>45485</v>
      </c>
      <c r="B1333" s="2">
        <v>45485.335619120371</v>
      </c>
      <c r="C1333" t="s">
        <v>3</v>
      </c>
      <c r="D1333" t="s">
        <v>385</v>
      </c>
      <c r="E1333">
        <v>23.02</v>
      </c>
      <c r="F1333" t="s">
        <v>28</v>
      </c>
    </row>
    <row r="1334" spans="1:6">
      <c r="A1334" s="1">
        <v>45535</v>
      </c>
      <c r="B1334" s="2">
        <v>45535.380931562497</v>
      </c>
      <c r="C1334" t="s">
        <v>3</v>
      </c>
      <c r="D1334" t="s">
        <v>385</v>
      </c>
      <c r="E1334">
        <v>23.02</v>
      </c>
      <c r="F1334" t="s">
        <v>28</v>
      </c>
    </row>
    <row r="1335" spans="1:6">
      <c r="A1335" s="1">
        <v>45485</v>
      </c>
      <c r="B1335" s="2">
        <v>45485.492053020833</v>
      </c>
      <c r="C1335" t="s">
        <v>3</v>
      </c>
      <c r="D1335" t="s">
        <v>386</v>
      </c>
      <c r="E1335">
        <v>32.82</v>
      </c>
      <c r="F1335" t="s">
        <v>9</v>
      </c>
    </row>
    <row r="1336" spans="1:6">
      <c r="A1336" s="1">
        <v>45487</v>
      </c>
      <c r="B1336" s="2">
        <v>45487.454447997683</v>
      </c>
      <c r="C1336" t="s">
        <v>3</v>
      </c>
      <c r="D1336" t="s">
        <v>387</v>
      </c>
      <c r="E1336">
        <v>23.02</v>
      </c>
      <c r="F1336" t="s">
        <v>11</v>
      </c>
    </row>
    <row r="1337" spans="1:6">
      <c r="A1337" s="1">
        <v>45487</v>
      </c>
      <c r="B1337" s="2">
        <v>45487.455214409725</v>
      </c>
      <c r="C1337" t="s">
        <v>3</v>
      </c>
      <c r="D1337" t="s">
        <v>387</v>
      </c>
      <c r="E1337">
        <v>27.92</v>
      </c>
      <c r="F1337" t="s">
        <v>14</v>
      </c>
    </row>
    <row r="1338" spans="1:6">
      <c r="A1338" s="1">
        <v>45487</v>
      </c>
      <c r="B1338" s="2">
        <v>45487.455905682873</v>
      </c>
      <c r="C1338" t="s">
        <v>3</v>
      </c>
      <c r="D1338" t="s">
        <v>387</v>
      </c>
      <c r="E1338">
        <v>32.82</v>
      </c>
      <c r="F1338" t="s">
        <v>43</v>
      </c>
    </row>
    <row r="1339" spans="1:6">
      <c r="A1339" s="1">
        <v>45487</v>
      </c>
      <c r="B1339" s="2">
        <v>45487.456875717595</v>
      </c>
      <c r="C1339" t="s">
        <v>3</v>
      </c>
      <c r="D1339" t="s">
        <v>388</v>
      </c>
      <c r="E1339">
        <v>32.82</v>
      </c>
      <c r="F1339" t="s">
        <v>7</v>
      </c>
    </row>
    <row r="1340" spans="1:6">
      <c r="A1340" s="1">
        <v>45487</v>
      </c>
      <c r="B1340" s="2">
        <v>45487.459858773145</v>
      </c>
      <c r="C1340" t="s">
        <v>3</v>
      </c>
      <c r="D1340" t="s">
        <v>389</v>
      </c>
      <c r="E1340">
        <v>23.02</v>
      </c>
      <c r="F1340" t="s">
        <v>11</v>
      </c>
    </row>
    <row r="1341" spans="1:6">
      <c r="A1341" s="1">
        <v>45491</v>
      </c>
      <c r="B1341" s="2">
        <v>45491.558030231485</v>
      </c>
      <c r="C1341" t="s">
        <v>3</v>
      </c>
      <c r="D1341" t="s">
        <v>389</v>
      </c>
      <c r="E1341">
        <v>32.82</v>
      </c>
      <c r="F1341" t="s">
        <v>7</v>
      </c>
    </row>
    <row r="1342" spans="1:6">
      <c r="A1342" s="1">
        <v>45492</v>
      </c>
      <c r="B1342" s="2">
        <v>45492.460443761571</v>
      </c>
      <c r="C1342" t="s">
        <v>3</v>
      </c>
      <c r="D1342" t="s">
        <v>389</v>
      </c>
      <c r="E1342">
        <v>23.02</v>
      </c>
      <c r="F1342" t="s">
        <v>11</v>
      </c>
    </row>
    <row r="1343" spans="1:6">
      <c r="A1343" s="1">
        <v>45495</v>
      </c>
      <c r="B1343" s="2">
        <v>45495.342629016202</v>
      </c>
      <c r="C1343" t="s">
        <v>3</v>
      </c>
      <c r="D1343" t="s">
        <v>389</v>
      </c>
      <c r="E1343">
        <v>23.02</v>
      </c>
      <c r="F1343" t="s">
        <v>11</v>
      </c>
    </row>
    <row r="1344" spans="1:6">
      <c r="A1344" s="1">
        <v>45496</v>
      </c>
      <c r="B1344" s="2">
        <v>45496.376223460647</v>
      </c>
      <c r="C1344" t="s">
        <v>3</v>
      </c>
      <c r="D1344" t="s">
        <v>389</v>
      </c>
      <c r="E1344">
        <v>23.02</v>
      </c>
      <c r="F1344" t="s">
        <v>11</v>
      </c>
    </row>
    <row r="1345" spans="1:6">
      <c r="A1345" s="1">
        <v>45498</v>
      </c>
      <c r="B1345" s="2">
        <v>45498.476443298612</v>
      </c>
      <c r="C1345" t="s">
        <v>3</v>
      </c>
      <c r="D1345" t="s">
        <v>389</v>
      </c>
      <c r="E1345">
        <v>23.02</v>
      </c>
      <c r="F1345" t="s">
        <v>11</v>
      </c>
    </row>
    <row r="1346" spans="1:6">
      <c r="A1346" s="1">
        <v>45509</v>
      </c>
      <c r="B1346" s="2">
        <v>45509.472771342589</v>
      </c>
      <c r="C1346" t="s">
        <v>3</v>
      </c>
      <c r="D1346" t="s">
        <v>389</v>
      </c>
      <c r="E1346">
        <v>23.02</v>
      </c>
      <c r="F1346" t="s">
        <v>28</v>
      </c>
    </row>
    <row r="1347" spans="1:6">
      <c r="A1347" s="1">
        <v>45510</v>
      </c>
      <c r="B1347" s="2">
        <v>45510.431288425927</v>
      </c>
      <c r="C1347" t="s">
        <v>3</v>
      </c>
      <c r="D1347" t="s">
        <v>389</v>
      </c>
      <c r="E1347">
        <v>23.02</v>
      </c>
      <c r="F1347" t="s">
        <v>28</v>
      </c>
    </row>
    <row r="1348" spans="1:6">
      <c r="A1348" s="1">
        <v>45525</v>
      </c>
      <c r="B1348" s="2">
        <v>45525.426069490743</v>
      </c>
      <c r="C1348" t="s">
        <v>3</v>
      </c>
      <c r="D1348" t="s">
        <v>389</v>
      </c>
      <c r="E1348">
        <v>23.02</v>
      </c>
      <c r="F1348" t="s">
        <v>11</v>
      </c>
    </row>
    <row r="1349" spans="1:6">
      <c r="A1349" s="1">
        <v>45531</v>
      </c>
      <c r="B1349" s="2">
        <v>45531.419497256946</v>
      </c>
      <c r="C1349" t="s">
        <v>3</v>
      </c>
      <c r="D1349" t="s">
        <v>389</v>
      </c>
      <c r="E1349">
        <v>32.82</v>
      </c>
      <c r="F1349" t="s">
        <v>7</v>
      </c>
    </row>
    <row r="1350" spans="1:6">
      <c r="A1350" s="1">
        <v>45532</v>
      </c>
      <c r="B1350" s="2">
        <v>45532.524385925928</v>
      </c>
      <c r="C1350" t="s">
        <v>3</v>
      </c>
      <c r="D1350" t="s">
        <v>389</v>
      </c>
      <c r="E1350">
        <v>23.02</v>
      </c>
      <c r="F1350" t="s">
        <v>11</v>
      </c>
    </row>
    <row r="1351" spans="1:6">
      <c r="A1351" s="1">
        <v>45548</v>
      </c>
      <c r="B1351" s="2">
        <v>45548.371016365738</v>
      </c>
      <c r="C1351" t="s">
        <v>3</v>
      </c>
      <c r="D1351" t="s">
        <v>389</v>
      </c>
      <c r="E1351">
        <v>32.82</v>
      </c>
      <c r="F1351" t="s">
        <v>7</v>
      </c>
    </row>
    <row r="1352" spans="1:6">
      <c r="A1352" s="1">
        <v>45567</v>
      </c>
      <c r="B1352" s="2">
        <v>45567.431962071758</v>
      </c>
      <c r="C1352" t="s">
        <v>3</v>
      </c>
      <c r="D1352" t="s">
        <v>389</v>
      </c>
      <c r="E1352">
        <v>35.76</v>
      </c>
      <c r="F1352" t="s">
        <v>7</v>
      </c>
    </row>
    <row r="1353" spans="1:6">
      <c r="A1353" s="1">
        <v>45575</v>
      </c>
      <c r="B1353" s="2">
        <v>45575.420248773145</v>
      </c>
      <c r="C1353" t="s">
        <v>3</v>
      </c>
      <c r="D1353" t="s">
        <v>389</v>
      </c>
      <c r="E1353">
        <v>35.76</v>
      </c>
      <c r="F1353" t="s">
        <v>7</v>
      </c>
    </row>
    <row r="1354" spans="1:6">
      <c r="A1354" s="1">
        <v>45576</v>
      </c>
      <c r="B1354" s="2">
        <v>45576.41713396991</v>
      </c>
      <c r="C1354" t="s">
        <v>3</v>
      </c>
      <c r="D1354" t="s">
        <v>389</v>
      </c>
      <c r="E1354">
        <v>25.96</v>
      </c>
      <c r="F1354" t="s">
        <v>11</v>
      </c>
    </row>
    <row r="1355" spans="1:6">
      <c r="A1355" s="1">
        <v>45576</v>
      </c>
      <c r="B1355" s="2">
        <v>45576.417996215278</v>
      </c>
      <c r="C1355" t="s">
        <v>3</v>
      </c>
      <c r="D1355" t="s">
        <v>389</v>
      </c>
      <c r="E1355">
        <v>25.96</v>
      </c>
      <c r="F1355" t="s">
        <v>11</v>
      </c>
    </row>
    <row r="1356" spans="1:6">
      <c r="A1356" s="1">
        <v>45595</v>
      </c>
      <c r="B1356" s="2">
        <v>45595.506087187503</v>
      </c>
      <c r="C1356" t="s">
        <v>3</v>
      </c>
      <c r="D1356" t="s">
        <v>389</v>
      </c>
      <c r="E1356">
        <v>35.76</v>
      </c>
      <c r="F1356" t="s">
        <v>7</v>
      </c>
    </row>
    <row r="1357" spans="1:6">
      <c r="A1357" s="1">
        <v>45595</v>
      </c>
      <c r="B1357" s="2">
        <v>45595.506791539352</v>
      </c>
      <c r="C1357" t="s">
        <v>3</v>
      </c>
      <c r="D1357" t="s">
        <v>389</v>
      </c>
      <c r="E1357">
        <v>25.96</v>
      </c>
      <c r="F1357" t="s">
        <v>11</v>
      </c>
    </row>
    <row r="1358" spans="1:6">
      <c r="A1358" s="1">
        <v>45604</v>
      </c>
      <c r="B1358" s="2">
        <v>45604.407996527778</v>
      </c>
      <c r="C1358" t="s">
        <v>3</v>
      </c>
      <c r="D1358" t="s">
        <v>389</v>
      </c>
      <c r="E1358">
        <v>25.96</v>
      </c>
      <c r="F1358" t="s">
        <v>11</v>
      </c>
    </row>
    <row r="1359" spans="1:6">
      <c r="A1359" s="1">
        <v>45604</v>
      </c>
      <c r="B1359" s="2">
        <v>45604.409024687498</v>
      </c>
      <c r="C1359" t="s">
        <v>3</v>
      </c>
      <c r="D1359" t="s">
        <v>389</v>
      </c>
      <c r="E1359">
        <v>25.96</v>
      </c>
      <c r="F1359" t="s">
        <v>11</v>
      </c>
    </row>
    <row r="1360" spans="1:6">
      <c r="A1360" s="1">
        <v>45487</v>
      </c>
      <c r="B1360" s="2">
        <v>45487.938541388889</v>
      </c>
      <c r="C1360" t="s">
        <v>3</v>
      </c>
      <c r="D1360" t="s">
        <v>390</v>
      </c>
      <c r="E1360">
        <v>32.82</v>
      </c>
      <c r="F1360" t="s">
        <v>7</v>
      </c>
    </row>
    <row r="1361" spans="1:6">
      <c r="A1361" s="1">
        <v>45488</v>
      </c>
      <c r="B1361" s="2">
        <v>45488.314647650463</v>
      </c>
      <c r="C1361" t="s">
        <v>3</v>
      </c>
      <c r="D1361" t="s">
        <v>391</v>
      </c>
      <c r="E1361">
        <v>32.82</v>
      </c>
      <c r="F1361" t="s">
        <v>43</v>
      </c>
    </row>
    <row r="1362" spans="1:6">
      <c r="A1362" s="1">
        <v>45489</v>
      </c>
      <c r="B1362" s="2">
        <v>45489.516405868053</v>
      </c>
      <c r="C1362" t="s">
        <v>3</v>
      </c>
      <c r="D1362" t="s">
        <v>392</v>
      </c>
      <c r="E1362">
        <v>27.92</v>
      </c>
      <c r="F1362" t="s">
        <v>14</v>
      </c>
    </row>
    <row r="1363" spans="1:6">
      <c r="A1363" s="1">
        <v>45490</v>
      </c>
      <c r="B1363" s="2">
        <v>45490.545135925924</v>
      </c>
      <c r="C1363" t="s">
        <v>3</v>
      </c>
      <c r="D1363" t="s">
        <v>393</v>
      </c>
      <c r="E1363">
        <v>27.92</v>
      </c>
      <c r="F1363" t="s">
        <v>14</v>
      </c>
    </row>
    <row r="1364" spans="1:6">
      <c r="A1364" s="1">
        <v>45497</v>
      </c>
      <c r="B1364" s="2">
        <v>45497.488809270835</v>
      </c>
      <c r="C1364" t="s">
        <v>3</v>
      </c>
      <c r="D1364" t="s">
        <v>393</v>
      </c>
      <c r="E1364">
        <v>32.82</v>
      </c>
      <c r="F1364" t="s">
        <v>43</v>
      </c>
    </row>
    <row r="1365" spans="1:6">
      <c r="A1365" s="1">
        <v>45499</v>
      </c>
      <c r="B1365" s="2">
        <v>45499.504880439817</v>
      </c>
      <c r="C1365" t="s">
        <v>3</v>
      </c>
      <c r="D1365" t="s">
        <v>393</v>
      </c>
      <c r="E1365">
        <v>27.92</v>
      </c>
      <c r="F1365" t="s">
        <v>14</v>
      </c>
    </row>
    <row r="1366" spans="1:6">
      <c r="A1366" s="1">
        <v>45491</v>
      </c>
      <c r="B1366" s="2">
        <v>45491.465432789351</v>
      </c>
      <c r="C1366" t="s">
        <v>3</v>
      </c>
      <c r="D1366" t="s">
        <v>394</v>
      </c>
      <c r="E1366">
        <v>27.92</v>
      </c>
      <c r="F1366" t="s">
        <v>14</v>
      </c>
    </row>
    <row r="1367" spans="1:6">
      <c r="A1367" s="1">
        <v>45491</v>
      </c>
      <c r="B1367" s="2">
        <v>45491.466243449075</v>
      </c>
      <c r="C1367" t="s">
        <v>3</v>
      </c>
      <c r="D1367" t="s">
        <v>395</v>
      </c>
      <c r="E1367">
        <v>18.12</v>
      </c>
      <c r="F1367" t="s">
        <v>35</v>
      </c>
    </row>
    <row r="1368" spans="1:6">
      <c r="A1368" s="1">
        <v>45491</v>
      </c>
      <c r="B1368" s="2">
        <v>45491.762770578702</v>
      </c>
      <c r="C1368" t="s">
        <v>3</v>
      </c>
      <c r="D1368" t="s">
        <v>396</v>
      </c>
      <c r="E1368">
        <v>32.82</v>
      </c>
      <c r="F1368" t="s">
        <v>43</v>
      </c>
    </row>
    <row r="1369" spans="1:6">
      <c r="A1369" s="1">
        <v>45491</v>
      </c>
      <c r="B1369" s="2">
        <v>45491.888678402778</v>
      </c>
      <c r="C1369" t="s">
        <v>3</v>
      </c>
      <c r="D1369" t="s">
        <v>397</v>
      </c>
      <c r="E1369">
        <v>32.82</v>
      </c>
      <c r="F1369" t="s">
        <v>9</v>
      </c>
    </row>
    <row r="1370" spans="1:6">
      <c r="A1370" s="1">
        <v>45491</v>
      </c>
      <c r="B1370" s="2">
        <v>45491.890276099541</v>
      </c>
      <c r="C1370" t="s">
        <v>3</v>
      </c>
      <c r="D1370" t="s">
        <v>397</v>
      </c>
      <c r="E1370">
        <v>32.82</v>
      </c>
      <c r="F1370" t="s">
        <v>7</v>
      </c>
    </row>
    <row r="1371" spans="1:6">
      <c r="A1371" s="1">
        <v>45491</v>
      </c>
      <c r="B1371" s="2">
        <v>45491.907160578703</v>
      </c>
      <c r="C1371" t="s">
        <v>3</v>
      </c>
      <c r="D1371" t="s">
        <v>398</v>
      </c>
      <c r="E1371">
        <v>32.82</v>
      </c>
      <c r="F1371" t="s">
        <v>7</v>
      </c>
    </row>
    <row r="1372" spans="1:6">
      <c r="A1372" s="1">
        <v>45492</v>
      </c>
      <c r="B1372" s="2">
        <v>45492.589823101851</v>
      </c>
      <c r="C1372" t="s">
        <v>3</v>
      </c>
      <c r="D1372" t="s">
        <v>398</v>
      </c>
      <c r="E1372">
        <v>32.82</v>
      </c>
      <c r="F1372" t="s">
        <v>7</v>
      </c>
    </row>
    <row r="1373" spans="1:6">
      <c r="A1373" s="1">
        <v>45492</v>
      </c>
      <c r="B1373" s="2">
        <v>45492.591228067133</v>
      </c>
      <c r="C1373" t="s">
        <v>3</v>
      </c>
      <c r="D1373" t="s">
        <v>398</v>
      </c>
      <c r="E1373">
        <v>32.82</v>
      </c>
      <c r="F1373" t="s">
        <v>18</v>
      </c>
    </row>
    <row r="1374" spans="1:6">
      <c r="A1374" s="1">
        <v>45492</v>
      </c>
      <c r="B1374" s="2">
        <v>45492.69188972222</v>
      </c>
      <c r="C1374" t="s">
        <v>3</v>
      </c>
      <c r="D1374" t="s">
        <v>398</v>
      </c>
      <c r="E1374">
        <v>32.82</v>
      </c>
      <c r="F1374" t="s">
        <v>7</v>
      </c>
    </row>
    <row r="1375" spans="1:6">
      <c r="A1375" s="1">
        <v>45492</v>
      </c>
      <c r="B1375" s="2">
        <v>45492.692775555559</v>
      </c>
      <c r="C1375" t="s">
        <v>3</v>
      </c>
      <c r="D1375" t="s">
        <v>398</v>
      </c>
      <c r="E1375">
        <v>32.82</v>
      </c>
      <c r="F1375" t="s">
        <v>7</v>
      </c>
    </row>
    <row r="1376" spans="1:6">
      <c r="A1376" s="1">
        <v>45504</v>
      </c>
      <c r="B1376" s="2">
        <v>45504.549798715278</v>
      </c>
      <c r="C1376" t="s">
        <v>3</v>
      </c>
      <c r="D1376" t="s">
        <v>398</v>
      </c>
      <c r="E1376">
        <v>32.82</v>
      </c>
      <c r="F1376" t="s">
        <v>18</v>
      </c>
    </row>
    <row r="1377" spans="1:6">
      <c r="A1377" s="1">
        <v>45504</v>
      </c>
      <c r="B1377" s="2">
        <v>45504.551392199071</v>
      </c>
      <c r="C1377" t="s">
        <v>3</v>
      </c>
      <c r="D1377" t="s">
        <v>398</v>
      </c>
      <c r="E1377">
        <v>32.82</v>
      </c>
      <c r="F1377" t="s">
        <v>7</v>
      </c>
    </row>
    <row r="1378" spans="1:6">
      <c r="A1378" s="1">
        <v>45492</v>
      </c>
      <c r="B1378" s="2">
        <v>45492.469681817129</v>
      </c>
      <c r="C1378" t="s">
        <v>3</v>
      </c>
      <c r="D1378" t="s">
        <v>399</v>
      </c>
      <c r="E1378">
        <v>27.92</v>
      </c>
      <c r="F1378" t="s">
        <v>14</v>
      </c>
    </row>
    <row r="1379" spans="1:6">
      <c r="A1379" s="1">
        <v>45495</v>
      </c>
      <c r="B1379" s="2">
        <v>45495.42751465278</v>
      </c>
      <c r="C1379" t="s">
        <v>3</v>
      </c>
      <c r="D1379" t="s">
        <v>399</v>
      </c>
      <c r="E1379">
        <v>27.92</v>
      </c>
      <c r="F1379" t="s">
        <v>14</v>
      </c>
    </row>
    <row r="1380" spans="1:6">
      <c r="A1380" s="1">
        <v>45497</v>
      </c>
      <c r="B1380" s="2">
        <v>45497.402025543983</v>
      </c>
      <c r="C1380" t="s">
        <v>3</v>
      </c>
      <c r="D1380" t="s">
        <v>399</v>
      </c>
      <c r="E1380">
        <v>27.92</v>
      </c>
      <c r="F1380" t="s">
        <v>14</v>
      </c>
    </row>
    <row r="1381" spans="1:6">
      <c r="A1381" s="1">
        <v>45498</v>
      </c>
      <c r="B1381" s="2">
        <v>45498.437322094906</v>
      </c>
      <c r="C1381" t="s">
        <v>3</v>
      </c>
      <c r="D1381" t="s">
        <v>399</v>
      </c>
      <c r="E1381">
        <v>27.92</v>
      </c>
      <c r="F1381" t="s">
        <v>14</v>
      </c>
    </row>
    <row r="1382" spans="1:6">
      <c r="A1382" s="1">
        <v>45499</v>
      </c>
      <c r="B1382" s="2">
        <v>45499.491132581017</v>
      </c>
      <c r="C1382" t="s">
        <v>3</v>
      </c>
      <c r="D1382" t="s">
        <v>399</v>
      </c>
      <c r="E1382">
        <v>27.92</v>
      </c>
      <c r="F1382" t="s">
        <v>14</v>
      </c>
    </row>
    <row r="1383" spans="1:6">
      <c r="A1383" s="1">
        <v>45517</v>
      </c>
      <c r="B1383" s="2">
        <v>45517.406902430557</v>
      </c>
      <c r="C1383" t="s">
        <v>3</v>
      </c>
      <c r="D1383" t="s">
        <v>399</v>
      </c>
      <c r="E1383">
        <v>27.92</v>
      </c>
      <c r="F1383" t="s">
        <v>14</v>
      </c>
    </row>
    <row r="1384" spans="1:6">
      <c r="A1384" s="1">
        <v>45536</v>
      </c>
      <c r="B1384" s="2">
        <v>45536.613935497684</v>
      </c>
      <c r="C1384" t="s">
        <v>3</v>
      </c>
      <c r="D1384" t="s">
        <v>399</v>
      </c>
      <c r="E1384">
        <v>27.92</v>
      </c>
      <c r="F1384" t="s">
        <v>14</v>
      </c>
    </row>
    <row r="1385" spans="1:6">
      <c r="A1385" s="1">
        <v>45538</v>
      </c>
      <c r="B1385" s="2">
        <v>45538.386831134259</v>
      </c>
      <c r="C1385" t="s">
        <v>3</v>
      </c>
      <c r="D1385" t="s">
        <v>399</v>
      </c>
      <c r="E1385">
        <v>27.92</v>
      </c>
      <c r="F1385" t="s">
        <v>14</v>
      </c>
    </row>
    <row r="1386" spans="1:6">
      <c r="A1386" s="1">
        <v>45540</v>
      </c>
      <c r="B1386" s="2">
        <v>45540.396724768521</v>
      </c>
      <c r="C1386" t="s">
        <v>3</v>
      </c>
      <c r="D1386" t="s">
        <v>399</v>
      </c>
      <c r="E1386">
        <v>27.92</v>
      </c>
      <c r="F1386" t="s">
        <v>14</v>
      </c>
    </row>
    <row r="1387" spans="1:6">
      <c r="A1387" s="1">
        <v>45572</v>
      </c>
      <c r="B1387" s="2">
        <v>45572.367783298614</v>
      </c>
      <c r="C1387" t="s">
        <v>3</v>
      </c>
      <c r="D1387" t="s">
        <v>399</v>
      </c>
      <c r="E1387">
        <v>35.76</v>
      </c>
      <c r="F1387" t="s">
        <v>7</v>
      </c>
    </row>
    <row r="1388" spans="1:6">
      <c r="A1388" s="1">
        <v>45572</v>
      </c>
      <c r="B1388" s="2">
        <v>45572.368537824077</v>
      </c>
      <c r="C1388" t="s">
        <v>3</v>
      </c>
      <c r="D1388" t="s">
        <v>399</v>
      </c>
      <c r="E1388">
        <v>30.86</v>
      </c>
      <c r="F1388" t="s">
        <v>14</v>
      </c>
    </row>
    <row r="1389" spans="1:6">
      <c r="A1389" s="1">
        <v>45586</v>
      </c>
      <c r="B1389" s="2">
        <v>45586.378407800927</v>
      </c>
      <c r="C1389" t="s">
        <v>3</v>
      </c>
      <c r="D1389" t="s">
        <v>399</v>
      </c>
      <c r="E1389">
        <v>30.86</v>
      </c>
      <c r="F1389" t="s">
        <v>14</v>
      </c>
    </row>
    <row r="1390" spans="1:6">
      <c r="A1390" s="1">
        <v>45625</v>
      </c>
      <c r="B1390" s="2">
        <v>45625.380225752313</v>
      </c>
      <c r="C1390" t="s">
        <v>3</v>
      </c>
      <c r="D1390" t="s">
        <v>399</v>
      </c>
      <c r="E1390">
        <v>30.86</v>
      </c>
      <c r="F1390" t="s">
        <v>14</v>
      </c>
    </row>
    <row r="1391" spans="1:6">
      <c r="A1391" s="1">
        <v>45625</v>
      </c>
      <c r="B1391" s="2">
        <v>45625.380905613427</v>
      </c>
      <c r="C1391" t="s">
        <v>3</v>
      </c>
      <c r="D1391" t="s">
        <v>399</v>
      </c>
      <c r="E1391">
        <v>30.86</v>
      </c>
      <c r="F1391" t="s">
        <v>14</v>
      </c>
    </row>
    <row r="1392" spans="1:6">
      <c r="A1392" s="1">
        <v>45627</v>
      </c>
      <c r="B1392" s="2">
        <v>45627.432483657409</v>
      </c>
      <c r="C1392" t="s">
        <v>3</v>
      </c>
      <c r="D1392" t="s">
        <v>399</v>
      </c>
      <c r="E1392">
        <v>30.86</v>
      </c>
      <c r="F1392" t="s">
        <v>14</v>
      </c>
    </row>
    <row r="1393" spans="1:6">
      <c r="A1393" s="1">
        <v>45666</v>
      </c>
      <c r="B1393" s="2">
        <v>45666.376756747683</v>
      </c>
      <c r="C1393" t="s">
        <v>3</v>
      </c>
      <c r="D1393" t="s">
        <v>399</v>
      </c>
      <c r="E1393">
        <v>30.86</v>
      </c>
      <c r="F1393" t="s">
        <v>14</v>
      </c>
    </row>
    <row r="1394" spans="1:6">
      <c r="A1394" s="1">
        <v>45667</v>
      </c>
      <c r="B1394" s="2">
        <v>45667.386533541663</v>
      </c>
      <c r="C1394" t="s">
        <v>3</v>
      </c>
      <c r="D1394" t="s">
        <v>399</v>
      </c>
      <c r="E1394">
        <v>30.86</v>
      </c>
      <c r="F1394" t="s">
        <v>14</v>
      </c>
    </row>
    <row r="1395" spans="1:6">
      <c r="A1395" s="1">
        <v>45492</v>
      </c>
      <c r="B1395" s="2">
        <v>45492.540712511574</v>
      </c>
      <c r="C1395" t="s">
        <v>3</v>
      </c>
      <c r="D1395" t="s">
        <v>400</v>
      </c>
      <c r="E1395">
        <v>32.82</v>
      </c>
      <c r="F1395" t="s">
        <v>7</v>
      </c>
    </row>
    <row r="1396" spans="1:6">
      <c r="A1396" s="1">
        <v>45492</v>
      </c>
      <c r="B1396" s="2">
        <v>45492.541613229165</v>
      </c>
      <c r="C1396" t="s">
        <v>3</v>
      </c>
      <c r="D1396" t="s">
        <v>400</v>
      </c>
      <c r="E1396">
        <v>27.92</v>
      </c>
      <c r="F1396" t="s">
        <v>14</v>
      </c>
    </row>
    <row r="1397" spans="1:6">
      <c r="A1397" s="1">
        <v>45493</v>
      </c>
      <c r="B1397" s="2">
        <v>45493.337320243052</v>
      </c>
      <c r="C1397" t="s">
        <v>3</v>
      </c>
      <c r="D1397" t="s">
        <v>401</v>
      </c>
      <c r="E1397">
        <v>23.02</v>
      </c>
      <c r="F1397" t="s">
        <v>11</v>
      </c>
    </row>
    <row r="1398" spans="1:6">
      <c r="A1398" s="1">
        <v>45493</v>
      </c>
      <c r="B1398" s="2">
        <v>45493.338063483796</v>
      </c>
      <c r="C1398" t="s">
        <v>3</v>
      </c>
      <c r="D1398" t="s">
        <v>401</v>
      </c>
      <c r="E1398">
        <v>32.82</v>
      </c>
      <c r="F1398" t="s">
        <v>7</v>
      </c>
    </row>
    <row r="1399" spans="1:6">
      <c r="A1399" s="1">
        <v>45493</v>
      </c>
      <c r="B1399" s="2">
        <v>45493.338789733796</v>
      </c>
      <c r="C1399" t="s">
        <v>3</v>
      </c>
      <c r="D1399" t="s">
        <v>401</v>
      </c>
      <c r="E1399">
        <v>23.02</v>
      </c>
      <c r="F1399" t="s">
        <v>11</v>
      </c>
    </row>
    <row r="1400" spans="1:6">
      <c r="A1400" s="1">
        <v>45493</v>
      </c>
      <c r="B1400" s="2">
        <v>45493.37562042824</v>
      </c>
      <c r="C1400" t="s">
        <v>3</v>
      </c>
      <c r="D1400" t="s">
        <v>402</v>
      </c>
      <c r="E1400">
        <v>32.82</v>
      </c>
      <c r="F1400" t="s">
        <v>7</v>
      </c>
    </row>
    <row r="1401" spans="1:6">
      <c r="A1401" s="1">
        <v>45504</v>
      </c>
      <c r="B1401" s="2">
        <v>45504.413024479167</v>
      </c>
      <c r="C1401" t="s">
        <v>3</v>
      </c>
      <c r="D1401" t="s">
        <v>402</v>
      </c>
      <c r="E1401">
        <v>23.02</v>
      </c>
      <c r="F1401" t="s">
        <v>11</v>
      </c>
    </row>
    <row r="1402" spans="1:6">
      <c r="A1402" s="1">
        <v>45504</v>
      </c>
      <c r="B1402" s="2">
        <v>45504.413716921299</v>
      </c>
      <c r="C1402" t="s">
        <v>3</v>
      </c>
      <c r="D1402" t="s">
        <v>402</v>
      </c>
      <c r="E1402">
        <v>23.02</v>
      </c>
      <c r="F1402" t="s">
        <v>11</v>
      </c>
    </row>
    <row r="1403" spans="1:6">
      <c r="A1403" s="1">
        <v>45493</v>
      </c>
      <c r="B1403" s="2">
        <v>45493.376711203702</v>
      </c>
      <c r="C1403" t="s">
        <v>3</v>
      </c>
      <c r="D1403" t="s">
        <v>403</v>
      </c>
      <c r="E1403">
        <v>32.82</v>
      </c>
      <c r="F1403" t="s">
        <v>7</v>
      </c>
    </row>
    <row r="1404" spans="1:6">
      <c r="A1404" s="1">
        <v>45493</v>
      </c>
      <c r="B1404" s="2">
        <v>45493.443993564812</v>
      </c>
      <c r="C1404" t="s">
        <v>3</v>
      </c>
      <c r="D1404" t="s">
        <v>404</v>
      </c>
      <c r="E1404">
        <v>23.02</v>
      </c>
      <c r="F1404" t="s">
        <v>11</v>
      </c>
    </row>
    <row r="1405" spans="1:6">
      <c r="A1405" s="1">
        <v>45493</v>
      </c>
      <c r="B1405" s="2">
        <v>45493.635523391204</v>
      </c>
      <c r="C1405" t="s">
        <v>3</v>
      </c>
      <c r="D1405" t="s">
        <v>405</v>
      </c>
      <c r="E1405">
        <v>32.82</v>
      </c>
      <c r="F1405" t="s">
        <v>7</v>
      </c>
    </row>
    <row r="1406" spans="1:6">
      <c r="A1406" s="1">
        <v>45494</v>
      </c>
      <c r="B1406" s="2">
        <v>45494.485749722226</v>
      </c>
      <c r="C1406" t="s">
        <v>3</v>
      </c>
      <c r="D1406" t="s">
        <v>406</v>
      </c>
      <c r="E1406">
        <v>32.82</v>
      </c>
      <c r="F1406" t="s">
        <v>43</v>
      </c>
    </row>
    <row r="1407" spans="1:6">
      <c r="A1407" s="1">
        <v>45494</v>
      </c>
      <c r="B1407" s="2">
        <v>45494.565634826387</v>
      </c>
      <c r="C1407" t="s">
        <v>3</v>
      </c>
      <c r="D1407" t="s">
        <v>407</v>
      </c>
      <c r="E1407">
        <v>23.02</v>
      </c>
      <c r="F1407" t="s">
        <v>28</v>
      </c>
    </row>
    <row r="1408" spans="1:6">
      <c r="A1408" s="1">
        <v>45494</v>
      </c>
      <c r="B1408" s="2">
        <v>45494.571197268517</v>
      </c>
      <c r="C1408" t="s">
        <v>3</v>
      </c>
      <c r="D1408" t="s">
        <v>408</v>
      </c>
      <c r="E1408">
        <v>32.82</v>
      </c>
      <c r="F1408" t="s">
        <v>7</v>
      </c>
    </row>
    <row r="1409" spans="1:6">
      <c r="A1409" s="1">
        <v>45495</v>
      </c>
      <c r="B1409" s="2">
        <v>45495.36168465278</v>
      </c>
      <c r="C1409" t="s">
        <v>3</v>
      </c>
      <c r="D1409" t="s">
        <v>409</v>
      </c>
      <c r="E1409">
        <v>23.02</v>
      </c>
      <c r="F1409" t="s">
        <v>11</v>
      </c>
    </row>
    <row r="1410" spans="1:6">
      <c r="A1410" s="1">
        <v>45496</v>
      </c>
      <c r="B1410" s="2">
        <v>45496.361330798609</v>
      </c>
      <c r="C1410" t="s">
        <v>3</v>
      </c>
      <c r="D1410" t="s">
        <v>409</v>
      </c>
      <c r="E1410">
        <v>23.02</v>
      </c>
      <c r="F1410" t="s">
        <v>11</v>
      </c>
    </row>
    <row r="1411" spans="1:6">
      <c r="A1411" s="1">
        <v>45495</v>
      </c>
      <c r="B1411" s="2">
        <v>45495.697657326389</v>
      </c>
      <c r="C1411" t="s">
        <v>3</v>
      </c>
      <c r="D1411" t="s">
        <v>410</v>
      </c>
      <c r="E1411">
        <v>32.82</v>
      </c>
      <c r="F1411" t="s">
        <v>7</v>
      </c>
    </row>
    <row r="1412" spans="1:6">
      <c r="A1412" s="1">
        <v>45496</v>
      </c>
      <c r="B1412" s="2">
        <v>45496.36451175926</v>
      </c>
      <c r="C1412" t="s">
        <v>3</v>
      </c>
      <c r="D1412" t="s">
        <v>411</v>
      </c>
      <c r="E1412">
        <v>27.92</v>
      </c>
      <c r="F1412" t="s">
        <v>14</v>
      </c>
    </row>
    <row r="1413" spans="1:6">
      <c r="A1413" s="1">
        <v>45496</v>
      </c>
      <c r="B1413" s="2">
        <v>45496.367651701388</v>
      </c>
      <c r="C1413" t="s">
        <v>3</v>
      </c>
      <c r="D1413" t="s">
        <v>412</v>
      </c>
      <c r="E1413">
        <v>32.82</v>
      </c>
      <c r="F1413" t="s">
        <v>18</v>
      </c>
    </row>
    <row r="1414" spans="1:6">
      <c r="A1414" s="1">
        <v>45496</v>
      </c>
      <c r="B1414" s="2">
        <v>45496.368869965278</v>
      </c>
      <c r="C1414" t="s">
        <v>3</v>
      </c>
      <c r="D1414" t="s">
        <v>413</v>
      </c>
      <c r="E1414">
        <v>32.82</v>
      </c>
      <c r="F1414" t="s">
        <v>7</v>
      </c>
    </row>
    <row r="1415" spans="1:6">
      <c r="A1415" s="1">
        <v>45497</v>
      </c>
      <c r="B1415" s="2">
        <v>45497.580021076392</v>
      </c>
      <c r="C1415" t="s">
        <v>3</v>
      </c>
      <c r="D1415" t="s">
        <v>413</v>
      </c>
      <c r="E1415">
        <v>32.82</v>
      </c>
      <c r="F1415" t="s">
        <v>7</v>
      </c>
    </row>
    <row r="1416" spans="1:6">
      <c r="A1416" s="1">
        <v>45498</v>
      </c>
      <c r="B1416" s="2">
        <v>45498.367574398151</v>
      </c>
      <c r="C1416" t="s">
        <v>3</v>
      </c>
      <c r="D1416" t="s">
        <v>413</v>
      </c>
      <c r="E1416">
        <v>32.82</v>
      </c>
      <c r="F1416" t="s">
        <v>7</v>
      </c>
    </row>
    <row r="1417" spans="1:6">
      <c r="A1417" s="1">
        <v>45496</v>
      </c>
      <c r="B1417" s="2">
        <v>45496.419172361107</v>
      </c>
      <c r="C1417" t="s">
        <v>3</v>
      </c>
      <c r="D1417" t="s">
        <v>414</v>
      </c>
      <c r="E1417">
        <v>27.92</v>
      </c>
      <c r="F1417" t="s">
        <v>14</v>
      </c>
    </row>
    <row r="1418" spans="1:6">
      <c r="A1418" s="1">
        <v>45496</v>
      </c>
      <c r="B1418" s="2">
        <v>45496.638946423613</v>
      </c>
      <c r="C1418" t="s">
        <v>3</v>
      </c>
      <c r="D1418" t="s">
        <v>415</v>
      </c>
      <c r="E1418">
        <v>27.92</v>
      </c>
      <c r="F1418" t="s">
        <v>14</v>
      </c>
    </row>
    <row r="1419" spans="1:6">
      <c r="A1419" s="1">
        <v>45496</v>
      </c>
      <c r="B1419" s="2">
        <v>45496.639598148147</v>
      </c>
      <c r="C1419" t="s">
        <v>3</v>
      </c>
      <c r="D1419" t="s">
        <v>415</v>
      </c>
      <c r="E1419">
        <v>32.82</v>
      </c>
      <c r="F1419" t="s">
        <v>7</v>
      </c>
    </row>
    <row r="1420" spans="1:6">
      <c r="A1420" s="1">
        <v>45507</v>
      </c>
      <c r="B1420" s="2">
        <v>45507.400916817132</v>
      </c>
      <c r="C1420" t="s">
        <v>3</v>
      </c>
      <c r="D1420" t="s">
        <v>415</v>
      </c>
      <c r="E1420">
        <v>27.92</v>
      </c>
      <c r="F1420" t="s">
        <v>14</v>
      </c>
    </row>
    <row r="1421" spans="1:6">
      <c r="A1421" s="1">
        <v>45507</v>
      </c>
      <c r="B1421" s="2">
        <v>45507.401863541665</v>
      </c>
      <c r="C1421" t="s">
        <v>3</v>
      </c>
      <c r="D1421" t="s">
        <v>415</v>
      </c>
      <c r="E1421">
        <v>27.92</v>
      </c>
      <c r="F1421" t="s">
        <v>14</v>
      </c>
    </row>
    <row r="1422" spans="1:6">
      <c r="A1422" s="1">
        <v>45497</v>
      </c>
      <c r="B1422" s="2">
        <v>45497.412933518521</v>
      </c>
      <c r="C1422" t="s">
        <v>3</v>
      </c>
      <c r="D1422" t="s">
        <v>416</v>
      </c>
      <c r="E1422">
        <v>18.12</v>
      </c>
      <c r="F1422" t="s">
        <v>35</v>
      </c>
    </row>
    <row r="1423" spans="1:6">
      <c r="A1423" s="1">
        <v>45576</v>
      </c>
      <c r="B1423" s="2">
        <v>45576.401932025467</v>
      </c>
      <c r="C1423" t="s">
        <v>3</v>
      </c>
      <c r="D1423" t="s">
        <v>416</v>
      </c>
      <c r="E1423">
        <v>25.96</v>
      </c>
      <c r="F1423" t="s">
        <v>28</v>
      </c>
    </row>
    <row r="1424" spans="1:6">
      <c r="A1424" s="1">
        <v>45587</v>
      </c>
      <c r="B1424" s="2">
        <v>45587.452457013889</v>
      </c>
      <c r="C1424" t="s">
        <v>3</v>
      </c>
      <c r="D1424" t="s">
        <v>416</v>
      </c>
      <c r="E1424">
        <v>21.06</v>
      </c>
      <c r="F1424" t="s">
        <v>35</v>
      </c>
    </row>
    <row r="1425" spans="1:6">
      <c r="A1425" s="1">
        <v>45587</v>
      </c>
      <c r="B1425" s="2">
        <v>45587.452975706015</v>
      </c>
      <c r="C1425" t="s">
        <v>3</v>
      </c>
      <c r="D1425" t="s">
        <v>416</v>
      </c>
      <c r="E1425">
        <v>25.96</v>
      </c>
      <c r="F1425" t="s">
        <v>28</v>
      </c>
    </row>
    <row r="1426" spans="1:6">
      <c r="A1426" s="1">
        <v>45590</v>
      </c>
      <c r="B1426" s="2">
        <v>45590.323181168984</v>
      </c>
      <c r="C1426" t="s">
        <v>3</v>
      </c>
      <c r="D1426" t="s">
        <v>416</v>
      </c>
      <c r="E1426">
        <v>21.06</v>
      </c>
      <c r="F1426" t="s">
        <v>35</v>
      </c>
    </row>
    <row r="1427" spans="1:6">
      <c r="A1427" s="1">
        <v>45498</v>
      </c>
      <c r="B1427" s="2">
        <v>45498.642436481481</v>
      </c>
      <c r="C1427" t="s">
        <v>3</v>
      </c>
      <c r="D1427" t="s">
        <v>417</v>
      </c>
      <c r="E1427">
        <v>32.82</v>
      </c>
      <c r="F1427" t="s">
        <v>43</v>
      </c>
    </row>
    <row r="1428" spans="1:6">
      <c r="A1428" s="1">
        <v>45498</v>
      </c>
      <c r="B1428" s="2">
        <v>45498.879181388889</v>
      </c>
      <c r="C1428" t="s">
        <v>3</v>
      </c>
      <c r="D1428" t="s">
        <v>418</v>
      </c>
      <c r="E1428">
        <v>23.02</v>
      </c>
      <c r="F1428" t="s">
        <v>28</v>
      </c>
    </row>
    <row r="1429" spans="1:6">
      <c r="A1429" s="1">
        <v>45498</v>
      </c>
      <c r="B1429" s="2">
        <v>45498.879745393519</v>
      </c>
      <c r="C1429" t="s">
        <v>3</v>
      </c>
      <c r="D1429" t="s">
        <v>418</v>
      </c>
      <c r="E1429">
        <v>18.12</v>
      </c>
      <c r="F1429" t="s">
        <v>35</v>
      </c>
    </row>
    <row r="1430" spans="1:6">
      <c r="A1430" s="1">
        <v>45498</v>
      </c>
      <c r="B1430" s="2">
        <v>45498.944291550928</v>
      </c>
      <c r="C1430" t="s">
        <v>3</v>
      </c>
      <c r="D1430" t="s">
        <v>419</v>
      </c>
      <c r="E1430">
        <v>32.82</v>
      </c>
      <c r="F1430" t="s">
        <v>18</v>
      </c>
    </row>
    <row r="1431" spans="1:6">
      <c r="A1431" s="1">
        <v>45499</v>
      </c>
      <c r="B1431" s="2">
        <v>45499.356264733797</v>
      </c>
      <c r="C1431" t="s">
        <v>3</v>
      </c>
      <c r="D1431" t="s">
        <v>420</v>
      </c>
      <c r="E1431">
        <v>32.82</v>
      </c>
      <c r="F1431" t="s">
        <v>7</v>
      </c>
    </row>
    <row r="1432" spans="1:6">
      <c r="A1432" s="1">
        <v>45673</v>
      </c>
      <c r="B1432" s="2">
        <v>45673.691099606483</v>
      </c>
      <c r="C1432" t="s">
        <v>3</v>
      </c>
      <c r="D1432" t="s">
        <v>420</v>
      </c>
      <c r="E1432">
        <v>35.76</v>
      </c>
      <c r="F1432" t="s">
        <v>7</v>
      </c>
    </row>
    <row r="1433" spans="1:6">
      <c r="A1433" s="1">
        <v>45499</v>
      </c>
      <c r="B1433" s="2">
        <v>45499.398049895834</v>
      </c>
      <c r="C1433" t="s">
        <v>3</v>
      </c>
      <c r="D1433" t="s">
        <v>421</v>
      </c>
      <c r="E1433">
        <v>23.02</v>
      </c>
      <c r="F1433" t="s">
        <v>28</v>
      </c>
    </row>
    <row r="1434" spans="1:6">
      <c r="A1434" s="1">
        <v>45499</v>
      </c>
      <c r="B1434" s="2">
        <v>45499.398803622687</v>
      </c>
      <c r="C1434" t="s">
        <v>3</v>
      </c>
      <c r="D1434" t="s">
        <v>421</v>
      </c>
      <c r="E1434">
        <v>23.02</v>
      </c>
      <c r="F1434" t="s">
        <v>28</v>
      </c>
    </row>
    <row r="1435" spans="1:6">
      <c r="A1435" s="1">
        <v>45499</v>
      </c>
      <c r="B1435" s="2">
        <v>45499.416063275465</v>
      </c>
      <c r="C1435" t="s">
        <v>3</v>
      </c>
      <c r="D1435" t="s">
        <v>422</v>
      </c>
      <c r="E1435">
        <v>32.82</v>
      </c>
      <c r="F1435" t="s">
        <v>7</v>
      </c>
    </row>
    <row r="1436" spans="1:6">
      <c r="A1436" s="1">
        <v>45499</v>
      </c>
      <c r="B1436" s="2">
        <v>45499.416698136571</v>
      </c>
      <c r="C1436" t="s">
        <v>3</v>
      </c>
      <c r="D1436" t="s">
        <v>422</v>
      </c>
      <c r="E1436">
        <v>32.82</v>
      </c>
      <c r="F1436" t="s">
        <v>7</v>
      </c>
    </row>
    <row r="1437" spans="1:6">
      <c r="A1437" s="1">
        <v>45529</v>
      </c>
      <c r="B1437" s="2">
        <v>45529.351709155089</v>
      </c>
      <c r="C1437" t="s">
        <v>3</v>
      </c>
      <c r="D1437" t="s">
        <v>422</v>
      </c>
      <c r="E1437">
        <v>23.02</v>
      </c>
      <c r="F1437" t="s">
        <v>11</v>
      </c>
    </row>
    <row r="1438" spans="1:6">
      <c r="A1438" s="1">
        <v>45529</v>
      </c>
      <c r="B1438" s="2">
        <v>45529.3525046875</v>
      </c>
      <c r="C1438" t="s">
        <v>3</v>
      </c>
      <c r="D1438" t="s">
        <v>422</v>
      </c>
      <c r="E1438">
        <v>23.02</v>
      </c>
      <c r="F1438" t="s">
        <v>11</v>
      </c>
    </row>
    <row r="1439" spans="1:6">
      <c r="A1439" s="1">
        <v>45530</v>
      </c>
      <c r="B1439" s="2">
        <v>45530.344555682874</v>
      </c>
      <c r="C1439" t="s">
        <v>3</v>
      </c>
      <c r="D1439" t="s">
        <v>422</v>
      </c>
      <c r="E1439">
        <v>23.02</v>
      </c>
      <c r="F1439" t="s">
        <v>11</v>
      </c>
    </row>
    <row r="1440" spans="1:6">
      <c r="A1440" s="1">
        <v>45530</v>
      </c>
      <c r="B1440" s="2">
        <v>45530.345407511573</v>
      </c>
      <c r="C1440" t="s">
        <v>3</v>
      </c>
      <c r="D1440" t="s">
        <v>422</v>
      </c>
      <c r="E1440">
        <v>23.02</v>
      </c>
      <c r="F1440" t="s">
        <v>11</v>
      </c>
    </row>
    <row r="1441" spans="1:6">
      <c r="A1441" s="1">
        <v>45559</v>
      </c>
      <c r="B1441" s="2">
        <v>45559.779895081017</v>
      </c>
      <c r="C1441" t="s">
        <v>3</v>
      </c>
      <c r="D1441" t="s">
        <v>422</v>
      </c>
      <c r="E1441">
        <v>23.02</v>
      </c>
      <c r="F1441" t="s">
        <v>11</v>
      </c>
    </row>
    <row r="1442" spans="1:6">
      <c r="A1442" s="1">
        <v>45559</v>
      </c>
      <c r="B1442" s="2">
        <v>45559.780487060183</v>
      </c>
      <c r="C1442" t="s">
        <v>3</v>
      </c>
      <c r="D1442" t="s">
        <v>422</v>
      </c>
      <c r="E1442">
        <v>23.02</v>
      </c>
      <c r="F1442" t="s">
        <v>11</v>
      </c>
    </row>
    <row r="1443" spans="1:6">
      <c r="A1443" s="1">
        <v>45562</v>
      </c>
      <c r="B1443" s="2">
        <v>45562.845987118053</v>
      </c>
      <c r="C1443" t="s">
        <v>3</v>
      </c>
      <c r="D1443" t="s">
        <v>422</v>
      </c>
      <c r="E1443">
        <v>32.82</v>
      </c>
      <c r="F1443" t="s">
        <v>43</v>
      </c>
    </row>
    <row r="1444" spans="1:6">
      <c r="A1444" s="1">
        <v>45562</v>
      </c>
      <c r="B1444" s="2">
        <v>45562.846693506945</v>
      </c>
      <c r="C1444" t="s">
        <v>3</v>
      </c>
      <c r="D1444" t="s">
        <v>422</v>
      </c>
      <c r="E1444">
        <v>32.82</v>
      </c>
      <c r="F1444" t="s">
        <v>43</v>
      </c>
    </row>
    <row r="1445" spans="1:6">
      <c r="A1445" s="1">
        <v>45499</v>
      </c>
      <c r="B1445" s="2">
        <v>45499.548566412035</v>
      </c>
      <c r="C1445" t="s">
        <v>3</v>
      </c>
      <c r="D1445" t="s">
        <v>423</v>
      </c>
      <c r="E1445">
        <v>32.82</v>
      </c>
      <c r="F1445" t="s">
        <v>7</v>
      </c>
    </row>
    <row r="1446" spans="1:6">
      <c r="A1446" s="1">
        <v>45633</v>
      </c>
      <c r="B1446" s="2">
        <v>45633.655611817128</v>
      </c>
      <c r="C1446" t="s">
        <v>3</v>
      </c>
      <c r="D1446" t="s">
        <v>423</v>
      </c>
      <c r="E1446">
        <v>35.76</v>
      </c>
      <c r="F1446" t="s">
        <v>7</v>
      </c>
    </row>
    <row r="1447" spans="1:6">
      <c r="A1447" s="1">
        <v>45499</v>
      </c>
      <c r="B1447" s="2">
        <v>45499.724645219911</v>
      </c>
      <c r="C1447" t="s">
        <v>3</v>
      </c>
      <c r="D1447" t="s">
        <v>424</v>
      </c>
      <c r="E1447">
        <v>23.02</v>
      </c>
      <c r="F1447" t="s">
        <v>11</v>
      </c>
    </row>
    <row r="1448" spans="1:6">
      <c r="A1448" s="1">
        <v>45499</v>
      </c>
      <c r="B1448" s="2">
        <v>45499.748949270834</v>
      </c>
      <c r="C1448" t="s">
        <v>3</v>
      </c>
      <c r="D1448" t="s">
        <v>425</v>
      </c>
      <c r="E1448">
        <v>32.82</v>
      </c>
      <c r="F1448" t="s">
        <v>43</v>
      </c>
    </row>
    <row r="1449" spans="1:6">
      <c r="A1449" s="1">
        <v>45499</v>
      </c>
      <c r="B1449" s="2">
        <v>45499.951299976849</v>
      </c>
      <c r="C1449" t="s">
        <v>3</v>
      </c>
      <c r="D1449" t="s">
        <v>426</v>
      </c>
      <c r="E1449">
        <v>27.92</v>
      </c>
      <c r="F1449" t="s">
        <v>14</v>
      </c>
    </row>
    <row r="1450" spans="1:6">
      <c r="A1450" s="1">
        <v>45500</v>
      </c>
      <c r="B1450" s="2">
        <v>45500.496890983799</v>
      </c>
      <c r="C1450" t="s">
        <v>3</v>
      </c>
      <c r="D1450" t="s">
        <v>427</v>
      </c>
      <c r="E1450">
        <v>27.92</v>
      </c>
      <c r="F1450" t="s">
        <v>14</v>
      </c>
    </row>
    <row r="1451" spans="1:6">
      <c r="A1451" s="1">
        <v>45500</v>
      </c>
      <c r="B1451" s="2">
        <v>45500.710108310188</v>
      </c>
      <c r="C1451" t="s">
        <v>3</v>
      </c>
      <c r="D1451" t="s">
        <v>428</v>
      </c>
      <c r="E1451">
        <v>32.82</v>
      </c>
      <c r="F1451" t="s">
        <v>43</v>
      </c>
    </row>
    <row r="1452" spans="1:6">
      <c r="A1452" s="1">
        <v>45515</v>
      </c>
      <c r="B1452" s="2">
        <v>45515.685823217595</v>
      </c>
      <c r="C1452" t="s">
        <v>3</v>
      </c>
      <c r="D1452" t="s">
        <v>428</v>
      </c>
      <c r="E1452">
        <v>32.82</v>
      </c>
      <c r="F1452" t="s">
        <v>43</v>
      </c>
    </row>
    <row r="1453" spans="1:6">
      <c r="A1453" s="1">
        <v>45500</v>
      </c>
      <c r="B1453" s="2">
        <v>45500.710869351853</v>
      </c>
      <c r="C1453" t="s">
        <v>3</v>
      </c>
      <c r="D1453" t="s">
        <v>429</v>
      </c>
      <c r="E1453">
        <v>32.82</v>
      </c>
      <c r="F1453" t="s">
        <v>43</v>
      </c>
    </row>
    <row r="1454" spans="1:6">
      <c r="A1454" s="1">
        <v>45500</v>
      </c>
      <c r="B1454" s="2">
        <v>45500.714588240742</v>
      </c>
      <c r="C1454" t="s">
        <v>3</v>
      </c>
      <c r="D1454" t="s">
        <v>430</v>
      </c>
      <c r="E1454">
        <v>27.92</v>
      </c>
      <c r="F1454" t="s">
        <v>14</v>
      </c>
    </row>
    <row r="1455" spans="1:6">
      <c r="A1455" s="1">
        <v>45500</v>
      </c>
      <c r="B1455" s="2">
        <v>45500.715371226848</v>
      </c>
      <c r="C1455" t="s">
        <v>3</v>
      </c>
      <c r="D1455" t="s">
        <v>430</v>
      </c>
      <c r="E1455">
        <v>27.92</v>
      </c>
      <c r="F1455" t="s">
        <v>14</v>
      </c>
    </row>
    <row r="1456" spans="1:6">
      <c r="A1456" s="1">
        <v>45500</v>
      </c>
      <c r="B1456" s="2">
        <v>45500.955832349537</v>
      </c>
      <c r="C1456" t="s">
        <v>3</v>
      </c>
      <c r="D1456" t="s">
        <v>431</v>
      </c>
      <c r="E1456">
        <v>32.82</v>
      </c>
      <c r="F1456" t="s">
        <v>43</v>
      </c>
    </row>
    <row r="1457" spans="1:6">
      <c r="A1457" s="1">
        <v>45502</v>
      </c>
      <c r="B1457" s="2">
        <v>45502.341740810189</v>
      </c>
      <c r="C1457" t="s">
        <v>3</v>
      </c>
      <c r="D1457" t="s">
        <v>432</v>
      </c>
      <c r="E1457">
        <v>32.82</v>
      </c>
      <c r="F1457" t="s">
        <v>7</v>
      </c>
    </row>
    <row r="1458" spans="1:6">
      <c r="A1458" s="1">
        <v>45502</v>
      </c>
      <c r="B1458" s="2">
        <v>45502.410703090274</v>
      </c>
      <c r="C1458" t="s">
        <v>3</v>
      </c>
      <c r="D1458" t="s">
        <v>433</v>
      </c>
      <c r="E1458">
        <v>27.92</v>
      </c>
      <c r="F1458" t="s">
        <v>14</v>
      </c>
    </row>
    <row r="1459" spans="1:6">
      <c r="A1459" s="1">
        <v>45526</v>
      </c>
      <c r="B1459" s="2">
        <v>45526.423188310182</v>
      </c>
      <c r="C1459" t="s">
        <v>3</v>
      </c>
      <c r="D1459" t="s">
        <v>433</v>
      </c>
      <c r="E1459">
        <v>27.92</v>
      </c>
      <c r="F1459" t="s">
        <v>14</v>
      </c>
    </row>
    <row r="1460" spans="1:6">
      <c r="A1460" s="1">
        <v>45527</v>
      </c>
      <c r="B1460" s="2">
        <v>45527.385324351853</v>
      </c>
      <c r="C1460" t="s">
        <v>3</v>
      </c>
      <c r="D1460" t="s">
        <v>433</v>
      </c>
      <c r="E1460">
        <v>27.92</v>
      </c>
      <c r="F1460" t="s">
        <v>14</v>
      </c>
    </row>
    <row r="1461" spans="1:6">
      <c r="A1461" s="1">
        <v>45672</v>
      </c>
      <c r="B1461" s="2">
        <v>45672.383382418979</v>
      </c>
      <c r="C1461" t="s">
        <v>3</v>
      </c>
      <c r="D1461" t="s">
        <v>433</v>
      </c>
      <c r="E1461">
        <v>30.86</v>
      </c>
      <c r="F1461" t="s">
        <v>14</v>
      </c>
    </row>
    <row r="1462" spans="1:6">
      <c r="A1462" s="1">
        <v>45673</v>
      </c>
      <c r="B1462" s="2">
        <v>45673.401497210645</v>
      </c>
      <c r="C1462" t="s">
        <v>3</v>
      </c>
      <c r="D1462" t="s">
        <v>433</v>
      </c>
      <c r="E1462">
        <v>30.86</v>
      </c>
      <c r="F1462" t="s">
        <v>14</v>
      </c>
    </row>
    <row r="1463" spans="1:6">
      <c r="A1463" s="1">
        <v>45502</v>
      </c>
      <c r="B1463" s="2">
        <v>45502.415620821761</v>
      </c>
      <c r="C1463" t="s">
        <v>3</v>
      </c>
      <c r="D1463" t="s">
        <v>434</v>
      </c>
      <c r="E1463">
        <v>32.82</v>
      </c>
      <c r="F1463" t="s">
        <v>43</v>
      </c>
    </row>
    <row r="1464" spans="1:6">
      <c r="A1464" s="1">
        <v>45512</v>
      </c>
      <c r="B1464" s="2">
        <v>45512.518812187503</v>
      </c>
      <c r="C1464" t="s">
        <v>3</v>
      </c>
      <c r="D1464" t="s">
        <v>434</v>
      </c>
      <c r="E1464">
        <v>27.92</v>
      </c>
      <c r="F1464" t="s">
        <v>14</v>
      </c>
    </row>
    <row r="1465" spans="1:6">
      <c r="A1465" s="1">
        <v>45502</v>
      </c>
      <c r="B1465" s="2">
        <v>45502.447036585647</v>
      </c>
      <c r="C1465" t="s">
        <v>3</v>
      </c>
      <c r="D1465" t="s">
        <v>435</v>
      </c>
      <c r="E1465">
        <v>32.82</v>
      </c>
      <c r="F1465" t="s">
        <v>9</v>
      </c>
    </row>
    <row r="1466" spans="1:6">
      <c r="A1466" s="1">
        <v>45502</v>
      </c>
      <c r="B1466" s="2">
        <v>45502.447868587966</v>
      </c>
      <c r="C1466" t="s">
        <v>3</v>
      </c>
      <c r="D1466" t="s">
        <v>435</v>
      </c>
      <c r="E1466">
        <v>32.82</v>
      </c>
      <c r="F1466" t="s">
        <v>9</v>
      </c>
    </row>
    <row r="1467" spans="1:6">
      <c r="A1467" s="1">
        <v>45502</v>
      </c>
      <c r="B1467" s="2">
        <v>45502.79619364583</v>
      </c>
      <c r="C1467" t="s">
        <v>3</v>
      </c>
      <c r="D1467" t="s">
        <v>436</v>
      </c>
      <c r="E1467">
        <v>32.82</v>
      </c>
      <c r="F1467" t="s">
        <v>43</v>
      </c>
    </row>
    <row r="1468" spans="1:6">
      <c r="A1468" s="1">
        <v>45503</v>
      </c>
      <c r="B1468" s="2">
        <v>45503.320265567127</v>
      </c>
      <c r="C1468" t="s">
        <v>3</v>
      </c>
      <c r="D1468" t="s">
        <v>437</v>
      </c>
      <c r="E1468">
        <v>27.92</v>
      </c>
      <c r="F1468" t="s">
        <v>14</v>
      </c>
    </row>
    <row r="1469" spans="1:6">
      <c r="A1469" s="1">
        <v>45504</v>
      </c>
      <c r="B1469" s="2">
        <v>45504.333241875</v>
      </c>
      <c r="C1469" t="s">
        <v>3</v>
      </c>
      <c r="D1469" t="s">
        <v>437</v>
      </c>
      <c r="E1469">
        <v>27.92</v>
      </c>
      <c r="F1469" t="s">
        <v>14</v>
      </c>
    </row>
    <row r="1470" spans="1:6">
      <c r="A1470" s="1">
        <v>45505</v>
      </c>
      <c r="B1470" s="2">
        <v>45505.313195428243</v>
      </c>
      <c r="C1470" t="s">
        <v>3</v>
      </c>
      <c r="D1470" t="s">
        <v>437</v>
      </c>
      <c r="E1470">
        <v>27.92</v>
      </c>
      <c r="F1470" t="s">
        <v>14</v>
      </c>
    </row>
    <row r="1471" spans="1:6">
      <c r="A1471" s="1">
        <v>45505</v>
      </c>
      <c r="B1471" s="2">
        <v>45505.655368287036</v>
      </c>
      <c r="C1471" t="s">
        <v>3</v>
      </c>
      <c r="D1471" t="s">
        <v>437</v>
      </c>
      <c r="E1471">
        <v>27.92</v>
      </c>
      <c r="F1471" t="s">
        <v>14</v>
      </c>
    </row>
    <row r="1472" spans="1:6">
      <c r="A1472" s="1">
        <v>45503</v>
      </c>
      <c r="B1472" s="2">
        <v>45503.336889074075</v>
      </c>
      <c r="C1472" t="s">
        <v>3</v>
      </c>
      <c r="D1472" t="s">
        <v>438</v>
      </c>
      <c r="E1472">
        <v>23.02</v>
      </c>
      <c r="F1472" t="s">
        <v>28</v>
      </c>
    </row>
    <row r="1473" spans="1:6">
      <c r="A1473" s="1">
        <v>45574</v>
      </c>
      <c r="B1473" s="2">
        <v>45574.405104502315</v>
      </c>
      <c r="C1473" t="s">
        <v>3</v>
      </c>
      <c r="D1473" t="s">
        <v>438</v>
      </c>
      <c r="E1473">
        <v>30.86</v>
      </c>
      <c r="F1473" t="s">
        <v>14</v>
      </c>
    </row>
    <row r="1474" spans="1:6">
      <c r="A1474" s="1">
        <v>45503</v>
      </c>
      <c r="B1474" s="2">
        <v>45503.347813831017</v>
      </c>
      <c r="C1474" t="s">
        <v>3</v>
      </c>
      <c r="D1474" t="s">
        <v>439</v>
      </c>
      <c r="E1474">
        <v>32.82</v>
      </c>
      <c r="F1474" t="s">
        <v>43</v>
      </c>
    </row>
    <row r="1475" spans="1:6">
      <c r="A1475" s="1">
        <v>45527</v>
      </c>
      <c r="B1475" s="2">
        <v>45527.349265821758</v>
      </c>
      <c r="C1475" t="s">
        <v>3</v>
      </c>
      <c r="D1475" t="s">
        <v>439</v>
      </c>
      <c r="E1475">
        <v>32.82</v>
      </c>
      <c r="F1475" t="s">
        <v>7</v>
      </c>
    </row>
    <row r="1476" spans="1:6">
      <c r="A1476" s="1">
        <v>45537</v>
      </c>
      <c r="B1476" s="2">
        <v>45537.350460706017</v>
      </c>
      <c r="C1476" t="s">
        <v>3</v>
      </c>
      <c r="D1476" t="s">
        <v>439</v>
      </c>
      <c r="E1476">
        <v>32.82</v>
      </c>
      <c r="F1476" t="s">
        <v>7</v>
      </c>
    </row>
    <row r="1477" spans="1:6">
      <c r="A1477" s="1">
        <v>45541</v>
      </c>
      <c r="B1477" s="2">
        <v>45541.357486423614</v>
      </c>
      <c r="C1477" t="s">
        <v>3</v>
      </c>
      <c r="D1477" t="s">
        <v>439</v>
      </c>
      <c r="E1477">
        <v>32.82</v>
      </c>
      <c r="F1477" t="s">
        <v>7</v>
      </c>
    </row>
    <row r="1478" spans="1:6">
      <c r="A1478" s="1">
        <v>45548</v>
      </c>
      <c r="B1478" s="2">
        <v>45548.361840104168</v>
      </c>
      <c r="C1478" t="s">
        <v>3</v>
      </c>
      <c r="D1478" t="s">
        <v>439</v>
      </c>
      <c r="E1478">
        <v>32.82</v>
      </c>
      <c r="F1478" t="s">
        <v>7</v>
      </c>
    </row>
    <row r="1479" spans="1:6">
      <c r="A1479" s="1">
        <v>45503</v>
      </c>
      <c r="B1479" s="2">
        <v>45503.466751840278</v>
      </c>
      <c r="C1479" t="s">
        <v>3</v>
      </c>
      <c r="D1479" t="s">
        <v>440</v>
      </c>
      <c r="E1479">
        <v>23.02</v>
      </c>
      <c r="F1479" t="s">
        <v>11</v>
      </c>
    </row>
    <row r="1480" spans="1:6">
      <c r="A1480" s="1">
        <v>45503</v>
      </c>
      <c r="B1480" s="2">
        <v>45503.467548819448</v>
      </c>
      <c r="C1480" t="s">
        <v>3</v>
      </c>
      <c r="D1480" t="s">
        <v>440</v>
      </c>
      <c r="E1480">
        <v>18.12</v>
      </c>
      <c r="F1480" t="s">
        <v>35</v>
      </c>
    </row>
    <row r="1481" spans="1:6">
      <c r="A1481" s="1">
        <v>45503</v>
      </c>
      <c r="B1481" s="2">
        <v>45503.468537939814</v>
      </c>
      <c r="C1481" t="s">
        <v>3</v>
      </c>
      <c r="D1481" t="s">
        <v>441</v>
      </c>
      <c r="E1481">
        <v>27.92</v>
      </c>
      <c r="F1481" t="s">
        <v>14</v>
      </c>
    </row>
    <row r="1482" spans="1:6">
      <c r="A1482" s="1">
        <v>45689</v>
      </c>
      <c r="B1482" s="2">
        <v>45689.900715000003</v>
      </c>
      <c r="C1482" t="s">
        <v>3</v>
      </c>
      <c r="D1482" t="s">
        <v>441</v>
      </c>
      <c r="E1482">
        <v>30.86</v>
      </c>
      <c r="F1482" t="s">
        <v>14</v>
      </c>
    </row>
    <row r="1483" spans="1:6">
      <c r="A1483" s="1">
        <v>45503</v>
      </c>
      <c r="B1483" s="2">
        <v>45503.469463310183</v>
      </c>
      <c r="C1483" t="s">
        <v>3</v>
      </c>
      <c r="D1483" t="s">
        <v>442</v>
      </c>
      <c r="E1483">
        <v>27.92</v>
      </c>
      <c r="F1483" t="s">
        <v>14</v>
      </c>
    </row>
    <row r="1484" spans="1:6">
      <c r="A1484" s="1">
        <v>45503</v>
      </c>
      <c r="B1484" s="2">
        <v>45503.47956871528</v>
      </c>
      <c r="C1484" t="s">
        <v>3</v>
      </c>
      <c r="D1484" t="s">
        <v>443</v>
      </c>
      <c r="E1484">
        <v>27.92</v>
      </c>
      <c r="F1484" t="s">
        <v>14</v>
      </c>
    </row>
    <row r="1485" spans="1:6">
      <c r="A1485" s="1">
        <v>45520</v>
      </c>
      <c r="B1485" s="2">
        <v>45520.566814791666</v>
      </c>
      <c r="C1485" t="s">
        <v>3</v>
      </c>
      <c r="D1485" t="s">
        <v>443</v>
      </c>
      <c r="E1485">
        <v>27.92</v>
      </c>
      <c r="F1485" t="s">
        <v>14</v>
      </c>
    </row>
    <row r="1486" spans="1:6">
      <c r="A1486" s="1">
        <v>45503</v>
      </c>
      <c r="B1486" s="2">
        <v>45503.480333437503</v>
      </c>
      <c r="C1486" t="s">
        <v>3</v>
      </c>
      <c r="D1486" t="s">
        <v>444</v>
      </c>
      <c r="E1486">
        <v>27.92</v>
      </c>
      <c r="F1486" t="s">
        <v>14</v>
      </c>
    </row>
    <row r="1487" spans="1:6">
      <c r="A1487" s="1">
        <v>45503</v>
      </c>
      <c r="B1487" s="2">
        <v>45503.505642453703</v>
      </c>
      <c r="C1487" t="s">
        <v>3</v>
      </c>
      <c r="D1487" t="s">
        <v>445</v>
      </c>
      <c r="E1487">
        <v>32.82</v>
      </c>
      <c r="F1487" t="s">
        <v>7</v>
      </c>
    </row>
    <row r="1488" spans="1:6">
      <c r="A1488" s="1">
        <v>45503</v>
      </c>
      <c r="B1488" s="2">
        <v>45503.636222546294</v>
      </c>
      <c r="C1488" t="s">
        <v>3</v>
      </c>
      <c r="D1488" t="s">
        <v>446</v>
      </c>
      <c r="E1488">
        <v>27.92</v>
      </c>
      <c r="F1488" t="s">
        <v>14</v>
      </c>
    </row>
    <row r="1489" spans="1:6">
      <c r="A1489" s="1">
        <v>45503</v>
      </c>
      <c r="B1489" s="2">
        <v>45503.672834212965</v>
      </c>
      <c r="C1489" t="s">
        <v>3</v>
      </c>
      <c r="D1489" t="s">
        <v>447</v>
      </c>
      <c r="E1489">
        <v>23.02</v>
      </c>
      <c r="F1489" t="s">
        <v>28</v>
      </c>
    </row>
    <row r="1490" spans="1:6">
      <c r="A1490" s="1">
        <v>45503</v>
      </c>
      <c r="B1490" s="2">
        <v>45503.673421608793</v>
      </c>
      <c r="C1490" t="s">
        <v>3</v>
      </c>
      <c r="D1490" t="s">
        <v>447</v>
      </c>
      <c r="E1490">
        <v>27.92</v>
      </c>
      <c r="F1490" t="s">
        <v>14</v>
      </c>
    </row>
    <row r="1491" spans="1:6">
      <c r="A1491" s="1">
        <v>45503</v>
      </c>
      <c r="B1491" s="2">
        <v>45503.850230023148</v>
      </c>
      <c r="C1491" t="s">
        <v>3</v>
      </c>
      <c r="D1491" t="s">
        <v>448</v>
      </c>
      <c r="E1491">
        <v>18.12</v>
      </c>
      <c r="F1491" t="s">
        <v>35</v>
      </c>
    </row>
    <row r="1492" spans="1:6">
      <c r="A1492" s="1">
        <v>45503</v>
      </c>
      <c r="B1492" s="2">
        <v>45503.898138865741</v>
      </c>
      <c r="C1492" t="s">
        <v>3</v>
      </c>
      <c r="D1492" t="s">
        <v>449</v>
      </c>
      <c r="E1492">
        <v>32.82</v>
      </c>
      <c r="F1492" t="s">
        <v>7</v>
      </c>
    </row>
    <row r="1493" spans="1:6">
      <c r="A1493" s="1">
        <v>45503</v>
      </c>
      <c r="B1493" s="2">
        <v>45503.927331990744</v>
      </c>
      <c r="C1493" t="s">
        <v>3</v>
      </c>
      <c r="D1493" t="s">
        <v>450</v>
      </c>
      <c r="E1493">
        <v>23.02</v>
      </c>
      <c r="F1493" t="s">
        <v>11</v>
      </c>
    </row>
    <row r="1494" spans="1:6">
      <c r="A1494" s="1">
        <v>45503</v>
      </c>
      <c r="B1494" s="2">
        <v>45503.928000694446</v>
      </c>
      <c r="C1494" t="s">
        <v>3</v>
      </c>
      <c r="D1494" t="s">
        <v>450</v>
      </c>
      <c r="E1494">
        <v>32.82</v>
      </c>
      <c r="F1494" t="s">
        <v>43</v>
      </c>
    </row>
    <row r="1495" spans="1:6">
      <c r="A1495" s="1">
        <v>45504</v>
      </c>
      <c r="B1495" s="2">
        <v>45504.359513229167</v>
      </c>
      <c r="C1495" t="s">
        <v>3</v>
      </c>
      <c r="D1495" t="s">
        <v>451</v>
      </c>
      <c r="E1495">
        <v>27.92</v>
      </c>
      <c r="F1495" t="s">
        <v>14</v>
      </c>
    </row>
    <row r="1496" spans="1:6">
      <c r="A1496" s="1">
        <v>45504</v>
      </c>
      <c r="B1496" s="2">
        <v>45504.360164768521</v>
      </c>
      <c r="C1496" t="s">
        <v>3</v>
      </c>
      <c r="D1496" t="s">
        <v>451</v>
      </c>
      <c r="E1496">
        <v>27.92</v>
      </c>
      <c r="F1496" t="s">
        <v>14</v>
      </c>
    </row>
    <row r="1497" spans="1:6">
      <c r="A1497" s="1">
        <v>45504</v>
      </c>
      <c r="B1497" s="2">
        <v>45504.558905520833</v>
      </c>
      <c r="C1497" t="s">
        <v>3</v>
      </c>
      <c r="D1497" t="s">
        <v>452</v>
      </c>
      <c r="E1497">
        <v>27.92</v>
      </c>
      <c r="F1497" t="s">
        <v>14</v>
      </c>
    </row>
    <row r="1498" spans="1:6">
      <c r="A1498" s="1">
        <v>45504</v>
      </c>
      <c r="B1498" s="2">
        <v>45504.741745219908</v>
      </c>
      <c r="C1498" t="s">
        <v>3</v>
      </c>
      <c r="D1498" t="s">
        <v>453</v>
      </c>
      <c r="E1498">
        <v>23.02</v>
      </c>
      <c r="F1498" t="s">
        <v>28</v>
      </c>
    </row>
    <row r="1499" spans="1:6">
      <c r="A1499" s="1">
        <v>45504</v>
      </c>
      <c r="B1499" s="2">
        <v>45504.752951064816</v>
      </c>
      <c r="C1499" t="s">
        <v>3</v>
      </c>
      <c r="D1499" t="s">
        <v>454</v>
      </c>
      <c r="E1499">
        <v>32.82</v>
      </c>
      <c r="F1499" t="s">
        <v>7</v>
      </c>
    </row>
    <row r="1500" spans="1:6">
      <c r="A1500" s="1">
        <v>45515</v>
      </c>
      <c r="B1500" s="2">
        <v>45515.411534606479</v>
      </c>
      <c r="C1500" t="s">
        <v>3</v>
      </c>
      <c r="D1500" t="s">
        <v>454</v>
      </c>
      <c r="E1500">
        <v>32.82</v>
      </c>
      <c r="F1500" t="s">
        <v>7</v>
      </c>
    </row>
    <row r="1501" spans="1:6">
      <c r="A1501" s="1">
        <v>45515</v>
      </c>
      <c r="B1501" s="2">
        <v>45515.412309768515</v>
      </c>
      <c r="C1501" t="s">
        <v>3</v>
      </c>
      <c r="D1501" t="s">
        <v>454</v>
      </c>
      <c r="E1501">
        <v>32.82</v>
      </c>
      <c r="F1501" t="s">
        <v>7</v>
      </c>
    </row>
    <row r="1502" spans="1:6">
      <c r="A1502" s="1">
        <v>45569</v>
      </c>
      <c r="B1502" s="2">
        <v>45569.363898993055</v>
      </c>
      <c r="C1502" t="s">
        <v>3</v>
      </c>
      <c r="D1502" t="s">
        <v>454</v>
      </c>
      <c r="E1502">
        <v>25.96</v>
      </c>
      <c r="F1502" t="s">
        <v>11</v>
      </c>
    </row>
    <row r="1503" spans="1:6">
      <c r="A1503" s="1">
        <v>45569</v>
      </c>
      <c r="B1503" s="2">
        <v>45569.365034166665</v>
      </c>
      <c r="C1503" t="s">
        <v>3</v>
      </c>
      <c r="D1503" t="s">
        <v>454</v>
      </c>
      <c r="E1503">
        <v>25.96</v>
      </c>
      <c r="F1503" t="s">
        <v>11</v>
      </c>
    </row>
    <row r="1504" spans="1:6">
      <c r="A1504" s="1">
        <v>45579</v>
      </c>
      <c r="B1504" s="2">
        <v>45579.443133773151</v>
      </c>
      <c r="C1504" t="s">
        <v>3</v>
      </c>
      <c r="D1504" t="s">
        <v>454</v>
      </c>
      <c r="E1504">
        <v>35.76</v>
      </c>
      <c r="F1504" t="s">
        <v>7</v>
      </c>
    </row>
    <row r="1505" spans="1:6">
      <c r="A1505" s="1">
        <v>45579</v>
      </c>
      <c r="B1505" s="2">
        <v>45579.44390875</v>
      </c>
      <c r="C1505" t="s">
        <v>3</v>
      </c>
      <c r="D1505" t="s">
        <v>454</v>
      </c>
      <c r="E1505">
        <v>35.76</v>
      </c>
      <c r="F1505" t="s">
        <v>7</v>
      </c>
    </row>
    <row r="1506" spans="1:6">
      <c r="A1506" s="1">
        <v>45504</v>
      </c>
      <c r="B1506" s="2">
        <v>45504.807394479169</v>
      </c>
      <c r="C1506" t="s">
        <v>3</v>
      </c>
      <c r="D1506" t="s">
        <v>455</v>
      </c>
      <c r="E1506">
        <v>23.02</v>
      </c>
      <c r="F1506" t="s">
        <v>28</v>
      </c>
    </row>
    <row r="1507" spans="1:6">
      <c r="A1507" s="1">
        <v>45504</v>
      </c>
      <c r="B1507" s="2">
        <v>45504.86576872685</v>
      </c>
      <c r="C1507" t="s">
        <v>3</v>
      </c>
      <c r="D1507" t="s">
        <v>456</v>
      </c>
      <c r="E1507">
        <v>32.82</v>
      </c>
      <c r="F1507" t="s">
        <v>18</v>
      </c>
    </row>
    <row r="1508" spans="1:6">
      <c r="A1508" s="1">
        <v>45511</v>
      </c>
      <c r="B1508" s="2">
        <v>45511.861218530095</v>
      </c>
      <c r="C1508" t="s">
        <v>3</v>
      </c>
      <c r="D1508" t="s">
        <v>456</v>
      </c>
      <c r="E1508">
        <v>32.82</v>
      </c>
      <c r="F1508" t="s">
        <v>18</v>
      </c>
    </row>
    <row r="1509" spans="1:6">
      <c r="A1509" s="1">
        <v>45514</v>
      </c>
      <c r="B1509" s="2">
        <v>45514.901174965278</v>
      </c>
      <c r="C1509" t="s">
        <v>3</v>
      </c>
      <c r="D1509" t="s">
        <v>456</v>
      </c>
      <c r="E1509">
        <v>32.82</v>
      </c>
      <c r="F1509" t="s">
        <v>18</v>
      </c>
    </row>
    <row r="1510" spans="1:6">
      <c r="A1510" s="1">
        <v>45504</v>
      </c>
      <c r="B1510" s="2">
        <v>45504.868141331019</v>
      </c>
      <c r="C1510" t="s">
        <v>3</v>
      </c>
      <c r="D1510" t="s">
        <v>457</v>
      </c>
      <c r="E1510">
        <v>23.02</v>
      </c>
      <c r="F1510" t="s">
        <v>28</v>
      </c>
    </row>
    <row r="1511" spans="1:6">
      <c r="A1511" s="1">
        <v>45504</v>
      </c>
      <c r="B1511" s="2">
        <v>45504.86887017361</v>
      </c>
      <c r="C1511" t="s">
        <v>3</v>
      </c>
      <c r="D1511" t="s">
        <v>457</v>
      </c>
      <c r="E1511">
        <v>32.82</v>
      </c>
      <c r="F1511" t="s">
        <v>7</v>
      </c>
    </row>
    <row r="1512" spans="1:6">
      <c r="A1512" s="1">
        <v>45504</v>
      </c>
      <c r="B1512" s="2">
        <v>45504.870544872683</v>
      </c>
      <c r="C1512" t="s">
        <v>3</v>
      </c>
      <c r="D1512" t="s">
        <v>457</v>
      </c>
      <c r="E1512">
        <v>23.02</v>
      </c>
      <c r="F1512" t="s">
        <v>28</v>
      </c>
    </row>
    <row r="1513" spans="1:6">
      <c r="A1513" s="1">
        <v>45504</v>
      </c>
      <c r="B1513" s="2">
        <v>45504.89335648148</v>
      </c>
      <c r="C1513" t="s">
        <v>3</v>
      </c>
      <c r="D1513" t="s">
        <v>458</v>
      </c>
      <c r="E1513">
        <v>32.82</v>
      </c>
      <c r="F1513" t="s">
        <v>7</v>
      </c>
    </row>
    <row r="1514" spans="1:6">
      <c r="A1514" s="1">
        <v>45504</v>
      </c>
      <c r="B1514" s="2">
        <v>45504.912636851848</v>
      </c>
      <c r="C1514" t="s">
        <v>3</v>
      </c>
      <c r="D1514" t="s">
        <v>459</v>
      </c>
      <c r="E1514">
        <v>32.82</v>
      </c>
      <c r="F1514" t="s">
        <v>7</v>
      </c>
    </row>
    <row r="1515" spans="1:6">
      <c r="A1515" s="1">
        <v>45563</v>
      </c>
      <c r="B1515" s="2">
        <v>45563.857304513891</v>
      </c>
      <c r="C1515" t="s">
        <v>3</v>
      </c>
      <c r="D1515" t="s">
        <v>459</v>
      </c>
      <c r="E1515">
        <v>35.76</v>
      </c>
      <c r="F1515" t="s">
        <v>7</v>
      </c>
    </row>
    <row r="1516" spans="1:6">
      <c r="A1516" s="1">
        <v>45504</v>
      </c>
      <c r="B1516" s="2">
        <v>45504.91338622685</v>
      </c>
      <c r="C1516" t="s">
        <v>3</v>
      </c>
      <c r="D1516" t="s">
        <v>460</v>
      </c>
      <c r="E1516">
        <v>32.82</v>
      </c>
      <c r="F1516" t="s">
        <v>7</v>
      </c>
    </row>
    <row r="1517" spans="1:6">
      <c r="A1517" s="1">
        <v>45505</v>
      </c>
      <c r="B1517" s="2">
        <v>45505.474147789355</v>
      </c>
      <c r="C1517" t="s">
        <v>3</v>
      </c>
      <c r="D1517" t="s">
        <v>461</v>
      </c>
      <c r="E1517">
        <v>27.92</v>
      </c>
      <c r="F1517" t="s">
        <v>14</v>
      </c>
    </row>
    <row r="1518" spans="1:6">
      <c r="A1518" s="1">
        <v>45505</v>
      </c>
      <c r="B1518" s="2">
        <v>45505.557483807868</v>
      </c>
      <c r="C1518" t="s">
        <v>3</v>
      </c>
      <c r="D1518" t="s">
        <v>462</v>
      </c>
      <c r="E1518">
        <v>23.02</v>
      </c>
      <c r="F1518" t="s">
        <v>28</v>
      </c>
    </row>
    <row r="1519" spans="1:6">
      <c r="A1519" s="1">
        <v>45505</v>
      </c>
      <c r="B1519" s="2">
        <v>45505.558070763887</v>
      </c>
      <c r="C1519" t="s">
        <v>3</v>
      </c>
      <c r="D1519" t="s">
        <v>462</v>
      </c>
      <c r="E1519">
        <v>32.82</v>
      </c>
      <c r="F1519" t="s">
        <v>43</v>
      </c>
    </row>
    <row r="1520" spans="1:6">
      <c r="A1520" s="1">
        <v>45505</v>
      </c>
      <c r="B1520" s="2">
        <v>45505.575778530096</v>
      </c>
      <c r="C1520" t="s">
        <v>3</v>
      </c>
      <c r="D1520" t="s">
        <v>463</v>
      </c>
      <c r="E1520">
        <v>32.82</v>
      </c>
      <c r="F1520" t="s">
        <v>43</v>
      </c>
    </row>
    <row r="1521" spans="1:6">
      <c r="A1521" s="1">
        <v>45505</v>
      </c>
      <c r="B1521" s="2">
        <v>45505.683341006945</v>
      </c>
      <c r="C1521" t="s">
        <v>3</v>
      </c>
      <c r="D1521" t="s">
        <v>464</v>
      </c>
      <c r="E1521">
        <v>27.92</v>
      </c>
      <c r="F1521" t="s">
        <v>14</v>
      </c>
    </row>
    <row r="1522" spans="1:6">
      <c r="A1522" s="1">
        <v>45505</v>
      </c>
      <c r="B1522" s="2">
        <v>45505.684807071761</v>
      </c>
      <c r="C1522" t="s">
        <v>3</v>
      </c>
      <c r="D1522" t="s">
        <v>464</v>
      </c>
      <c r="E1522">
        <v>23.02</v>
      </c>
      <c r="F1522" t="s">
        <v>11</v>
      </c>
    </row>
    <row r="1523" spans="1:6">
      <c r="A1523" s="1">
        <v>45518</v>
      </c>
      <c r="B1523" s="2">
        <v>45518.535473032411</v>
      </c>
      <c r="C1523" t="s">
        <v>3</v>
      </c>
      <c r="D1523" t="s">
        <v>464</v>
      </c>
      <c r="E1523">
        <v>23.02</v>
      </c>
      <c r="F1523" t="s">
        <v>11</v>
      </c>
    </row>
    <row r="1524" spans="1:6">
      <c r="A1524" s="1">
        <v>45505</v>
      </c>
      <c r="B1524" s="2">
        <v>45505.724713402778</v>
      </c>
      <c r="C1524" t="s">
        <v>3</v>
      </c>
      <c r="D1524" t="s">
        <v>465</v>
      </c>
      <c r="E1524">
        <v>23.02</v>
      </c>
      <c r="F1524" t="s">
        <v>11</v>
      </c>
    </row>
    <row r="1525" spans="1:6">
      <c r="A1525" s="1">
        <v>45505</v>
      </c>
      <c r="B1525" s="2">
        <v>45505.862130995367</v>
      </c>
      <c r="C1525" t="s">
        <v>3</v>
      </c>
      <c r="D1525" t="s">
        <v>466</v>
      </c>
      <c r="E1525">
        <v>32.82</v>
      </c>
      <c r="F1525" t="s">
        <v>43</v>
      </c>
    </row>
    <row r="1526" spans="1:6">
      <c r="A1526" s="1">
        <v>45506</v>
      </c>
      <c r="B1526" s="2">
        <v>45506.376321354168</v>
      </c>
      <c r="C1526" t="s">
        <v>3</v>
      </c>
      <c r="D1526" t="s">
        <v>467</v>
      </c>
      <c r="E1526">
        <v>27.92</v>
      </c>
      <c r="F1526" t="s">
        <v>14</v>
      </c>
    </row>
    <row r="1527" spans="1:6">
      <c r="A1527" s="1">
        <v>45511</v>
      </c>
      <c r="B1527" s="2">
        <v>45511.372088599535</v>
      </c>
      <c r="C1527" t="s">
        <v>3</v>
      </c>
      <c r="D1527" t="s">
        <v>467</v>
      </c>
      <c r="E1527">
        <v>27.92</v>
      </c>
      <c r="F1527" t="s">
        <v>14</v>
      </c>
    </row>
    <row r="1528" spans="1:6">
      <c r="A1528" s="1">
        <v>45506</v>
      </c>
      <c r="B1528" s="2">
        <v>45506.755963912037</v>
      </c>
      <c r="C1528" t="s">
        <v>3</v>
      </c>
      <c r="D1528" t="s">
        <v>468</v>
      </c>
      <c r="E1528">
        <v>27.92</v>
      </c>
      <c r="F1528" t="s">
        <v>14</v>
      </c>
    </row>
    <row r="1529" spans="1:6">
      <c r="A1529" s="1">
        <v>45507</v>
      </c>
      <c r="B1529" s="2">
        <v>45507.472529756946</v>
      </c>
      <c r="C1529" t="s">
        <v>3</v>
      </c>
      <c r="D1529" t="s">
        <v>469</v>
      </c>
      <c r="E1529">
        <v>23.02</v>
      </c>
      <c r="F1529" t="s">
        <v>28</v>
      </c>
    </row>
    <row r="1530" spans="1:6">
      <c r="A1530" s="1">
        <v>45507</v>
      </c>
      <c r="B1530" s="2">
        <v>45507.473171296297</v>
      </c>
      <c r="C1530" t="s">
        <v>3</v>
      </c>
      <c r="D1530" t="s">
        <v>469</v>
      </c>
      <c r="E1530">
        <v>23.02</v>
      </c>
      <c r="F1530" t="s">
        <v>28</v>
      </c>
    </row>
    <row r="1531" spans="1:6">
      <c r="A1531" s="1">
        <v>45557</v>
      </c>
      <c r="B1531" s="2">
        <v>45557.865581111109</v>
      </c>
      <c r="C1531" t="s">
        <v>3</v>
      </c>
      <c r="D1531" t="s">
        <v>469</v>
      </c>
      <c r="E1531">
        <v>27.92</v>
      </c>
      <c r="F1531" t="s">
        <v>14</v>
      </c>
    </row>
    <row r="1532" spans="1:6">
      <c r="A1532" s="1">
        <v>45557</v>
      </c>
      <c r="B1532" s="2">
        <v>45557.866378425926</v>
      </c>
      <c r="C1532" t="s">
        <v>3</v>
      </c>
      <c r="D1532" t="s">
        <v>469</v>
      </c>
      <c r="E1532">
        <v>27.92</v>
      </c>
      <c r="F1532" t="s">
        <v>14</v>
      </c>
    </row>
    <row r="1533" spans="1:6">
      <c r="A1533" s="1">
        <v>45585</v>
      </c>
      <c r="B1533" s="2">
        <v>45585.661632581017</v>
      </c>
      <c r="C1533" t="s">
        <v>3</v>
      </c>
      <c r="D1533" t="s">
        <v>469</v>
      </c>
      <c r="E1533">
        <v>30.86</v>
      </c>
      <c r="F1533" t="s">
        <v>14</v>
      </c>
    </row>
    <row r="1534" spans="1:6">
      <c r="A1534" s="1">
        <v>45601</v>
      </c>
      <c r="B1534" s="2">
        <v>45601.786762430558</v>
      </c>
      <c r="C1534" t="s">
        <v>3</v>
      </c>
      <c r="D1534" t="s">
        <v>469</v>
      </c>
      <c r="E1534">
        <v>35.76</v>
      </c>
      <c r="F1534" t="s">
        <v>43</v>
      </c>
    </row>
    <row r="1535" spans="1:6">
      <c r="A1535" s="1">
        <v>45601</v>
      </c>
      <c r="B1535" s="2">
        <v>45601.787624155091</v>
      </c>
      <c r="C1535" t="s">
        <v>3</v>
      </c>
      <c r="D1535" t="s">
        <v>469</v>
      </c>
      <c r="E1535">
        <v>35.76</v>
      </c>
      <c r="F1535" t="s">
        <v>43</v>
      </c>
    </row>
    <row r="1536" spans="1:6">
      <c r="A1536" s="1">
        <v>45601</v>
      </c>
      <c r="B1536" s="2">
        <v>45601.788410023146</v>
      </c>
      <c r="C1536" t="s">
        <v>3</v>
      </c>
      <c r="D1536" t="s">
        <v>469</v>
      </c>
      <c r="E1536">
        <v>35.76</v>
      </c>
      <c r="F1536" t="s">
        <v>43</v>
      </c>
    </row>
    <row r="1537" spans="1:6">
      <c r="A1537" s="1">
        <v>45507</v>
      </c>
      <c r="B1537" s="2">
        <v>45507.77687530093</v>
      </c>
      <c r="C1537" t="s">
        <v>3</v>
      </c>
      <c r="D1537" t="s">
        <v>470</v>
      </c>
      <c r="E1537">
        <v>32.82</v>
      </c>
      <c r="F1537" t="s">
        <v>43</v>
      </c>
    </row>
    <row r="1538" spans="1:6">
      <c r="A1538" s="1">
        <v>45521</v>
      </c>
      <c r="B1538" s="2">
        <v>45521.784014490739</v>
      </c>
      <c r="C1538" t="s">
        <v>3</v>
      </c>
      <c r="D1538" t="s">
        <v>470</v>
      </c>
      <c r="E1538">
        <v>32.82</v>
      </c>
      <c r="F1538" t="s">
        <v>43</v>
      </c>
    </row>
    <row r="1539" spans="1:6">
      <c r="A1539" s="1">
        <v>45507</v>
      </c>
      <c r="B1539" s="2">
        <v>45507.896399976853</v>
      </c>
      <c r="C1539" t="s">
        <v>3</v>
      </c>
      <c r="D1539" t="s">
        <v>471</v>
      </c>
      <c r="E1539">
        <v>32.82</v>
      </c>
      <c r="F1539" t="s">
        <v>7</v>
      </c>
    </row>
    <row r="1540" spans="1:6">
      <c r="A1540" s="1">
        <v>45507</v>
      </c>
      <c r="B1540" s="2">
        <v>45507.897989178244</v>
      </c>
      <c r="C1540" t="s">
        <v>3</v>
      </c>
      <c r="D1540" t="s">
        <v>471</v>
      </c>
      <c r="E1540">
        <v>32.82</v>
      </c>
      <c r="F1540" t="s">
        <v>7</v>
      </c>
    </row>
    <row r="1541" spans="1:6">
      <c r="A1541" s="1">
        <v>45508</v>
      </c>
      <c r="B1541" s="2">
        <v>45508.346265208333</v>
      </c>
      <c r="C1541" t="s">
        <v>3</v>
      </c>
      <c r="D1541" t="s">
        <v>472</v>
      </c>
      <c r="E1541">
        <v>32.82</v>
      </c>
      <c r="F1541" t="s">
        <v>43</v>
      </c>
    </row>
    <row r="1542" spans="1:6">
      <c r="A1542" s="1">
        <v>45509</v>
      </c>
      <c r="B1542" s="2">
        <v>45509.368122141204</v>
      </c>
      <c r="C1542" t="s">
        <v>3</v>
      </c>
      <c r="D1542" t="s">
        <v>473</v>
      </c>
      <c r="E1542">
        <v>23.02</v>
      </c>
      <c r="F1542" t="s">
        <v>28</v>
      </c>
    </row>
    <row r="1543" spans="1:6">
      <c r="A1543" s="1">
        <v>45509</v>
      </c>
      <c r="B1543" s="2">
        <v>45509.573176550926</v>
      </c>
      <c r="C1543" t="s">
        <v>3</v>
      </c>
      <c r="D1543" t="s">
        <v>474</v>
      </c>
      <c r="E1543">
        <v>32.82</v>
      </c>
      <c r="F1543" t="s">
        <v>43</v>
      </c>
    </row>
    <row r="1544" spans="1:6">
      <c r="A1544" s="1">
        <v>45509</v>
      </c>
      <c r="B1544" s="2">
        <v>45509.670807152776</v>
      </c>
      <c r="C1544" t="s">
        <v>3</v>
      </c>
      <c r="D1544" t="s">
        <v>475</v>
      </c>
      <c r="E1544">
        <v>32.82</v>
      </c>
      <c r="F1544" t="s">
        <v>7</v>
      </c>
    </row>
    <row r="1545" spans="1:6">
      <c r="A1545" s="1">
        <v>45509</v>
      </c>
      <c r="B1545" s="2">
        <v>45509.671745798609</v>
      </c>
      <c r="C1545" t="s">
        <v>3</v>
      </c>
      <c r="D1545" t="s">
        <v>475</v>
      </c>
      <c r="E1545">
        <v>32.82</v>
      </c>
      <c r="F1545" t="s">
        <v>7</v>
      </c>
    </row>
    <row r="1546" spans="1:6">
      <c r="A1546" s="1">
        <v>45509</v>
      </c>
      <c r="B1546" s="2">
        <v>45509.73917252315</v>
      </c>
      <c r="C1546" t="s">
        <v>3</v>
      </c>
      <c r="D1546" t="s">
        <v>476</v>
      </c>
      <c r="E1546">
        <v>32.82</v>
      </c>
      <c r="F1546" t="s">
        <v>7</v>
      </c>
    </row>
    <row r="1547" spans="1:6">
      <c r="A1547" s="1">
        <v>45509</v>
      </c>
      <c r="B1547" s="2">
        <v>45509.73995505787</v>
      </c>
      <c r="C1547" t="s">
        <v>3</v>
      </c>
      <c r="D1547" t="s">
        <v>476</v>
      </c>
      <c r="E1547">
        <v>27.92</v>
      </c>
      <c r="F1547" t="s">
        <v>14</v>
      </c>
    </row>
    <row r="1548" spans="1:6">
      <c r="A1548" s="1">
        <v>45509</v>
      </c>
      <c r="B1548" s="2">
        <v>45509.867719270835</v>
      </c>
      <c r="C1548" t="s">
        <v>3</v>
      </c>
      <c r="D1548" t="s">
        <v>477</v>
      </c>
      <c r="E1548">
        <v>32.82</v>
      </c>
      <c r="F1548" t="s">
        <v>18</v>
      </c>
    </row>
    <row r="1549" spans="1:6">
      <c r="A1549" s="1">
        <v>45509</v>
      </c>
      <c r="B1549" s="2">
        <v>45509.868309247686</v>
      </c>
      <c r="C1549" t="s">
        <v>3</v>
      </c>
      <c r="D1549" t="s">
        <v>477</v>
      </c>
      <c r="E1549">
        <v>32.82</v>
      </c>
      <c r="F1549" t="s">
        <v>18</v>
      </c>
    </row>
    <row r="1550" spans="1:6">
      <c r="A1550" s="1">
        <v>45514</v>
      </c>
      <c r="B1550" s="2">
        <v>45514.523060810185</v>
      </c>
      <c r="C1550" t="s">
        <v>3</v>
      </c>
      <c r="D1550" t="s">
        <v>477</v>
      </c>
      <c r="E1550">
        <v>27.92</v>
      </c>
      <c r="F1550" t="s">
        <v>14</v>
      </c>
    </row>
    <row r="1551" spans="1:6">
      <c r="A1551" s="1">
        <v>45522</v>
      </c>
      <c r="B1551" s="2">
        <v>45522.522001064812</v>
      </c>
      <c r="C1551" t="s">
        <v>3</v>
      </c>
      <c r="D1551" t="s">
        <v>477</v>
      </c>
      <c r="E1551">
        <v>32.82</v>
      </c>
      <c r="F1551" t="s">
        <v>43</v>
      </c>
    </row>
    <row r="1552" spans="1:6">
      <c r="A1552" s="1">
        <v>45679</v>
      </c>
      <c r="B1552" s="2">
        <v>45679.730631331018</v>
      </c>
      <c r="C1552" t="s">
        <v>3</v>
      </c>
      <c r="D1552" t="s">
        <v>477</v>
      </c>
      <c r="E1552">
        <v>30.86</v>
      </c>
      <c r="F1552" t="s">
        <v>14</v>
      </c>
    </row>
    <row r="1553" spans="1:6">
      <c r="A1553" s="1">
        <v>45509</v>
      </c>
      <c r="B1553" s="2">
        <v>45509.947085567132</v>
      </c>
      <c r="C1553" t="s">
        <v>3</v>
      </c>
      <c r="D1553" t="s">
        <v>478</v>
      </c>
      <c r="E1553">
        <v>27.92</v>
      </c>
      <c r="F1553" t="s">
        <v>14</v>
      </c>
    </row>
    <row r="1554" spans="1:6">
      <c r="A1554" s="1">
        <v>45510</v>
      </c>
      <c r="B1554" s="2">
        <v>45510.439263136577</v>
      </c>
      <c r="C1554" t="s">
        <v>3</v>
      </c>
      <c r="D1554" t="s">
        <v>479</v>
      </c>
      <c r="E1554">
        <v>32.82</v>
      </c>
      <c r="F1554" t="s">
        <v>9</v>
      </c>
    </row>
    <row r="1555" spans="1:6">
      <c r="A1555" s="1">
        <v>45510</v>
      </c>
      <c r="B1555" s="2">
        <v>45510.736680567126</v>
      </c>
      <c r="C1555" t="s">
        <v>3</v>
      </c>
      <c r="D1555" t="s">
        <v>480</v>
      </c>
      <c r="E1555">
        <v>32.82</v>
      </c>
      <c r="F1555" t="s">
        <v>43</v>
      </c>
    </row>
    <row r="1556" spans="1:6">
      <c r="A1556" s="1">
        <v>45510</v>
      </c>
      <c r="B1556" s="2">
        <v>45510.738109953701</v>
      </c>
      <c r="C1556" t="s">
        <v>3</v>
      </c>
      <c r="D1556" t="s">
        <v>480</v>
      </c>
      <c r="E1556">
        <v>32.82</v>
      </c>
      <c r="F1556" t="s">
        <v>7</v>
      </c>
    </row>
    <row r="1557" spans="1:6">
      <c r="A1557" s="1">
        <v>45510</v>
      </c>
      <c r="B1557" s="2">
        <v>45510.738947534723</v>
      </c>
      <c r="C1557" t="s">
        <v>3</v>
      </c>
      <c r="D1557" t="s">
        <v>480</v>
      </c>
      <c r="E1557">
        <v>32.82</v>
      </c>
      <c r="F1557" t="s">
        <v>18</v>
      </c>
    </row>
    <row r="1558" spans="1:6">
      <c r="A1558" s="1">
        <v>45510</v>
      </c>
      <c r="B1558" s="2">
        <v>45510.795406365738</v>
      </c>
      <c r="C1558" t="s">
        <v>3</v>
      </c>
      <c r="D1558" t="s">
        <v>481</v>
      </c>
      <c r="E1558">
        <v>27.92</v>
      </c>
      <c r="F1558" t="s">
        <v>14</v>
      </c>
    </row>
    <row r="1559" spans="1:6">
      <c r="A1559" s="1">
        <v>45538</v>
      </c>
      <c r="B1559" s="2">
        <v>45538.799448055557</v>
      </c>
      <c r="C1559" t="s">
        <v>3</v>
      </c>
      <c r="D1559" t="s">
        <v>481</v>
      </c>
      <c r="E1559">
        <v>32.82</v>
      </c>
      <c r="F1559" t="s">
        <v>7</v>
      </c>
    </row>
    <row r="1560" spans="1:6">
      <c r="A1560" s="1">
        <v>45538</v>
      </c>
      <c r="B1560" s="2">
        <v>45538.803632037037</v>
      </c>
      <c r="C1560" t="s">
        <v>3</v>
      </c>
      <c r="D1560" t="s">
        <v>481</v>
      </c>
      <c r="E1560">
        <v>27.92</v>
      </c>
      <c r="F1560" t="s">
        <v>14</v>
      </c>
    </row>
    <row r="1561" spans="1:6">
      <c r="A1561" s="1">
        <v>45541</v>
      </c>
      <c r="B1561" s="2">
        <v>45541.475338587959</v>
      </c>
      <c r="C1561" t="s">
        <v>3</v>
      </c>
      <c r="D1561" t="s">
        <v>481</v>
      </c>
      <c r="E1561">
        <v>18.12</v>
      </c>
      <c r="F1561" t="s">
        <v>35</v>
      </c>
    </row>
    <row r="1562" spans="1:6">
      <c r="A1562" s="1">
        <v>45564</v>
      </c>
      <c r="B1562" s="2">
        <v>45564.450521412036</v>
      </c>
      <c r="C1562" t="s">
        <v>3</v>
      </c>
      <c r="D1562" t="s">
        <v>481</v>
      </c>
      <c r="E1562">
        <v>25.96</v>
      </c>
      <c r="F1562" t="s">
        <v>11</v>
      </c>
    </row>
    <row r="1563" spans="1:6">
      <c r="A1563" s="1">
        <v>45510</v>
      </c>
      <c r="B1563" s="2">
        <v>45510.836425150461</v>
      </c>
      <c r="C1563" t="s">
        <v>3</v>
      </c>
      <c r="D1563" t="s">
        <v>482</v>
      </c>
      <c r="E1563">
        <v>32.82</v>
      </c>
      <c r="F1563" t="s">
        <v>7</v>
      </c>
    </row>
    <row r="1564" spans="1:6">
      <c r="A1564" s="1">
        <v>45511</v>
      </c>
      <c r="B1564" s="2">
        <v>45511.549492534723</v>
      </c>
      <c r="C1564" t="s">
        <v>3</v>
      </c>
      <c r="D1564" t="s">
        <v>483</v>
      </c>
      <c r="E1564">
        <v>18.12</v>
      </c>
      <c r="F1564" t="s">
        <v>35</v>
      </c>
    </row>
    <row r="1565" spans="1:6">
      <c r="A1565" s="1">
        <v>45511</v>
      </c>
      <c r="B1565" s="2">
        <v>45511.679880289354</v>
      </c>
      <c r="C1565" t="s">
        <v>3</v>
      </c>
      <c r="D1565" t="s">
        <v>484</v>
      </c>
      <c r="E1565">
        <v>23.02</v>
      </c>
      <c r="F1565" t="s">
        <v>11</v>
      </c>
    </row>
    <row r="1566" spans="1:6">
      <c r="A1566" s="1">
        <v>45511</v>
      </c>
      <c r="B1566" s="2">
        <v>45511.936767199077</v>
      </c>
      <c r="C1566" t="s">
        <v>3</v>
      </c>
      <c r="D1566" t="s">
        <v>485</v>
      </c>
      <c r="E1566">
        <v>32.82</v>
      </c>
      <c r="F1566" t="s">
        <v>7</v>
      </c>
    </row>
    <row r="1567" spans="1:6">
      <c r="A1567" s="1">
        <v>45511</v>
      </c>
      <c r="B1567" s="2">
        <v>45511.939073738424</v>
      </c>
      <c r="C1567" t="s">
        <v>3</v>
      </c>
      <c r="D1567" t="s">
        <v>486</v>
      </c>
      <c r="E1567">
        <v>32.82</v>
      </c>
      <c r="F1567" t="s">
        <v>7</v>
      </c>
    </row>
    <row r="1568" spans="1:6">
      <c r="A1568" s="1">
        <v>45518</v>
      </c>
      <c r="B1568" s="2">
        <v>45518.31731017361</v>
      </c>
      <c r="C1568" t="s">
        <v>3</v>
      </c>
      <c r="D1568" t="s">
        <v>486</v>
      </c>
      <c r="E1568">
        <v>32.82</v>
      </c>
      <c r="F1568" t="s">
        <v>43</v>
      </c>
    </row>
    <row r="1569" spans="1:6">
      <c r="A1569" s="1">
        <v>45561</v>
      </c>
      <c r="B1569" s="2">
        <v>45561.949593368059</v>
      </c>
      <c r="C1569" t="s">
        <v>3</v>
      </c>
      <c r="D1569" t="s">
        <v>486</v>
      </c>
      <c r="E1569">
        <v>27.92</v>
      </c>
      <c r="F1569" t="s">
        <v>14</v>
      </c>
    </row>
    <row r="1570" spans="1:6">
      <c r="A1570" s="1">
        <v>45512</v>
      </c>
      <c r="B1570" s="2">
        <v>45512.706866504632</v>
      </c>
      <c r="C1570" t="s">
        <v>3</v>
      </c>
      <c r="D1570" t="s">
        <v>487</v>
      </c>
      <c r="E1570">
        <v>32.82</v>
      </c>
      <c r="F1570" t="s">
        <v>43</v>
      </c>
    </row>
    <row r="1571" spans="1:6">
      <c r="A1571" s="1">
        <v>45512</v>
      </c>
      <c r="B1571" s="2">
        <v>45512.720737835647</v>
      </c>
      <c r="C1571" t="s">
        <v>3</v>
      </c>
      <c r="D1571" t="s">
        <v>488</v>
      </c>
      <c r="E1571">
        <v>32.82</v>
      </c>
      <c r="F1571" t="s">
        <v>43</v>
      </c>
    </row>
    <row r="1572" spans="1:6">
      <c r="A1572" s="1">
        <v>45513</v>
      </c>
      <c r="B1572" s="2">
        <v>45513.316230787037</v>
      </c>
      <c r="C1572" t="s">
        <v>3</v>
      </c>
      <c r="D1572" t="s">
        <v>489</v>
      </c>
      <c r="E1572">
        <v>32.82</v>
      </c>
      <c r="F1572" t="s">
        <v>7</v>
      </c>
    </row>
    <row r="1573" spans="1:6">
      <c r="A1573" s="1">
        <v>45513</v>
      </c>
      <c r="B1573" s="2">
        <v>45513.477878726851</v>
      </c>
      <c r="C1573" t="s">
        <v>3</v>
      </c>
      <c r="D1573" t="s">
        <v>489</v>
      </c>
      <c r="E1573">
        <v>32.82</v>
      </c>
      <c r="F1573" t="s">
        <v>7</v>
      </c>
    </row>
    <row r="1574" spans="1:6">
      <c r="A1574" s="1">
        <v>45515</v>
      </c>
      <c r="B1574" s="2">
        <v>45515.903577199075</v>
      </c>
      <c r="C1574" t="s">
        <v>3</v>
      </c>
      <c r="D1574" t="s">
        <v>489</v>
      </c>
      <c r="E1574">
        <v>32.82</v>
      </c>
      <c r="F1574" t="s">
        <v>7</v>
      </c>
    </row>
    <row r="1575" spans="1:6">
      <c r="A1575" s="1">
        <v>45518</v>
      </c>
      <c r="B1575" s="2">
        <v>45518.31652896991</v>
      </c>
      <c r="C1575" t="s">
        <v>3</v>
      </c>
      <c r="D1575" t="s">
        <v>489</v>
      </c>
      <c r="E1575">
        <v>32.82</v>
      </c>
      <c r="F1575" t="s">
        <v>7</v>
      </c>
    </row>
    <row r="1576" spans="1:6">
      <c r="A1576" s="1">
        <v>45527</v>
      </c>
      <c r="B1576" s="2">
        <v>45527.321714432874</v>
      </c>
      <c r="C1576" t="s">
        <v>3</v>
      </c>
      <c r="D1576" t="s">
        <v>489</v>
      </c>
      <c r="E1576">
        <v>32.82</v>
      </c>
      <c r="F1576" t="s">
        <v>7</v>
      </c>
    </row>
    <row r="1577" spans="1:6">
      <c r="A1577" s="1">
        <v>45560</v>
      </c>
      <c r="B1577" s="2">
        <v>45560.929765671295</v>
      </c>
      <c r="C1577" t="s">
        <v>3</v>
      </c>
      <c r="D1577" t="s">
        <v>489</v>
      </c>
      <c r="E1577">
        <v>27.92</v>
      </c>
      <c r="F1577" t="s">
        <v>14</v>
      </c>
    </row>
    <row r="1578" spans="1:6">
      <c r="A1578" s="1">
        <v>45573</v>
      </c>
      <c r="B1578" s="2">
        <v>45573.634504050926</v>
      </c>
      <c r="C1578" t="s">
        <v>3</v>
      </c>
      <c r="D1578" t="s">
        <v>489</v>
      </c>
      <c r="E1578">
        <v>35.76</v>
      </c>
      <c r="F1578" t="s">
        <v>7</v>
      </c>
    </row>
    <row r="1579" spans="1:6">
      <c r="A1579" s="1">
        <v>45513</v>
      </c>
      <c r="B1579" s="2">
        <v>45513.412205474538</v>
      </c>
      <c r="C1579" t="s">
        <v>3</v>
      </c>
      <c r="D1579" t="s">
        <v>490</v>
      </c>
      <c r="E1579">
        <v>23.02</v>
      </c>
      <c r="F1579" t="s">
        <v>11</v>
      </c>
    </row>
    <row r="1580" spans="1:6">
      <c r="A1580" s="1">
        <v>45513</v>
      </c>
      <c r="B1580" s="2">
        <v>45513.479035671298</v>
      </c>
      <c r="C1580" t="s">
        <v>3</v>
      </c>
      <c r="D1580" t="s">
        <v>491</v>
      </c>
      <c r="E1580">
        <v>23.02</v>
      </c>
      <c r="F1580" t="s">
        <v>11</v>
      </c>
    </row>
    <row r="1581" spans="1:6">
      <c r="A1581" s="1">
        <v>45513</v>
      </c>
      <c r="B1581" s="2">
        <v>45513.789209629627</v>
      </c>
      <c r="C1581" t="s">
        <v>3</v>
      </c>
      <c r="D1581" t="s">
        <v>492</v>
      </c>
      <c r="E1581">
        <v>23.02</v>
      </c>
      <c r="F1581" t="s">
        <v>11</v>
      </c>
    </row>
    <row r="1582" spans="1:6">
      <c r="A1582" s="1">
        <v>45513</v>
      </c>
      <c r="B1582" s="2">
        <v>45513.793826516201</v>
      </c>
      <c r="C1582" t="s">
        <v>3</v>
      </c>
      <c r="D1582" t="s">
        <v>493</v>
      </c>
      <c r="E1582">
        <v>32.82</v>
      </c>
      <c r="F1582" t="s">
        <v>9</v>
      </c>
    </row>
    <row r="1583" spans="1:6">
      <c r="A1583" s="1">
        <v>45514</v>
      </c>
      <c r="B1583" s="2">
        <v>45514.358849861113</v>
      </c>
      <c r="C1583" t="s">
        <v>3</v>
      </c>
      <c r="D1583" t="s">
        <v>494</v>
      </c>
      <c r="E1583">
        <v>32.82</v>
      </c>
      <c r="F1583" t="s">
        <v>43</v>
      </c>
    </row>
    <row r="1584" spans="1:6">
      <c r="A1584" s="1">
        <v>45514</v>
      </c>
      <c r="B1584" s="2">
        <v>45514.359688298609</v>
      </c>
      <c r="C1584" t="s">
        <v>3</v>
      </c>
      <c r="D1584" t="s">
        <v>494</v>
      </c>
      <c r="E1584">
        <v>27.92</v>
      </c>
      <c r="F1584" t="s">
        <v>14</v>
      </c>
    </row>
    <row r="1585" spans="1:6">
      <c r="A1585" s="1">
        <v>45515</v>
      </c>
      <c r="B1585" s="2">
        <v>45515.497698425927</v>
      </c>
      <c r="C1585" t="s">
        <v>3</v>
      </c>
      <c r="D1585" t="s">
        <v>494</v>
      </c>
      <c r="E1585">
        <v>32.82</v>
      </c>
      <c r="F1585" t="s">
        <v>43</v>
      </c>
    </row>
    <row r="1586" spans="1:6">
      <c r="A1586" s="1">
        <v>45515</v>
      </c>
      <c r="B1586" s="2">
        <v>45515.498394317132</v>
      </c>
      <c r="C1586" t="s">
        <v>3</v>
      </c>
      <c r="D1586" t="s">
        <v>494</v>
      </c>
      <c r="E1586">
        <v>27.92</v>
      </c>
      <c r="F1586" t="s">
        <v>14</v>
      </c>
    </row>
    <row r="1587" spans="1:6">
      <c r="A1587" s="1">
        <v>45514</v>
      </c>
      <c r="B1587" s="2">
        <v>45514.510543136574</v>
      </c>
      <c r="C1587" t="s">
        <v>3</v>
      </c>
      <c r="D1587" t="s">
        <v>495</v>
      </c>
      <c r="E1587">
        <v>32.82</v>
      </c>
      <c r="F1587" t="s">
        <v>7</v>
      </c>
    </row>
    <row r="1588" spans="1:6">
      <c r="A1588" s="1">
        <v>45514</v>
      </c>
      <c r="B1588" s="2">
        <v>45514.886673171299</v>
      </c>
      <c r="C1588" t="s">
        <v>3</v>
      </c>
      <c r="D1588" t="s">
        <v>496</v>
      </c>
      <c r="E1588">
        <v>32.82</v>
      </c>
      <c r="F1588" t="s">
        <v>18</v>
      </c>
    </row>
    <row r="1589" spans="1:6">
      <c r="A1589" s="1">
        <v>45514</v>
      </c>
      <c r="B1589" s="2">
        <v>45514.887281099538</v>
      </c>
      <c r="C1589" t="s">
        <v>3</v>
      </c>
      <c r="D1589" t="s">
        <v>496</v>
      </c>
      <c r="E1589">
        <v>32.82</v>
      </c>
      <c r="F1589" t="s">
        <v>18</v>
      </c>
    </row>
    <row r="1590" spans="1:6">
      <c r="A1590" s="1">
        <v>45515</v>
      </c>
      <c r="B1590" s="2">
        <v>45515.662402222224</v>
      </c>
      <c r="C1590" t="s">
        <v>3</v>
      </c>
      <c r="D1590" t="s">
        <v>497</v>
      </c>
      <c r="E1590">
        <v>32.82</v>
      </c>
      <c r="F1590" t="s">
        <v>7</v>
      </c>
    </row>
    <row r="1591" spans="1:6">
      <c r="A1591" s="1">
        <v>45515</v>
      </c>
      <c r="B1591" s="2">
        <v>45515.663366354165</v>
      </c>
      <c r="C1591" t="s">
        <v>3</v>
      </c>
      <c r="D1591" t="s">
        <v>498</v>
      </c>
      <c r="E1591">
        <v>27.92</v>
      </c>
      <c r="F1591" t="s">
        <v>14</v>
      </c>
    </row>
    <row r="1592" spans="1:6">
      <c r="A1592" s="1">
        <v>45515</v>
      </c>
      <c r="B1592" s="2">
        <v>45515.664209456016</v>
      </c>
      <c r="C1592" t="s">
        <v>3</v>
      </c>
      <c r="D1592" t="s">
        <v>498</v>
      </c>
      <c r="E1592">
        <v>32.82</v>
      </c>
      <c r="F1592" t="s">
        <v>18</v>
      </c>
    </row>
    <row r="1593" spans="1:6">
      <c r="A1593" s="1">
        <v>45515</v>
      </c>
      <c r="B1593" s="2">
        <v>45515.686554351851</v>
      </c>
      <c r="C1593" t="s">
        <v>3</v>
      </c>
      <c r="D1593" t="s">
        <v>499</v>
      </c>
      <c r="E1593">
        <v>18.12</v>
      </c>
      <c r="F1593" t="s">
        <v>35</v>
      </c>
    </row>
    <row r="1594" spans="1:6">
      <c r="A1594" s="1">
        <v>45515</v>
      </c>
      <c r="B1594" s="2">
        <v>45515.896210057872</v>
      </c>
      <c r="C1594" t="s">
        <v>3</v>
      </c>
      <c r="D1594" t="s">
        <v>500</v>
      </c>
      <c r="E1594">
        <v>23.02</v>
      </c>
      <c r="F1594" t="s">
        <v>28</v>
      </c>
    </row>
    <row r="1595" spans="1:6">
      <c r="A1595" s="1">
        <v>45543</v>
      </c>
      <c r="B1595" s="2">
        <v>45543.530185497686</v>
      </c>
      <c r="C1595" t="s">
        <v>3</v>
      </c>
      <c r="D1595" t="s">
        <v>500</v>
      </c>
      <c r="E1595">
        <v>23.02</v>
      </c>
      <c r="F1595" t="s">
        <v>28</v>
      </c>
    </row>
    <row r="1596" spans="1:6">
      <c r="A1596" s="1">
        <v>45515</v>
      </c>
      <c r="B1596" s="2">
        <v>45515.904978101855</v>
      </c>
      <c r="C1596" t="s">
        <v>3</v>
      </c>
      <c r="D1596" t="s">
        <v>501</v>
      </c>
      <c r="E1596">
        <v>32.82</v>
      </c>
      <c r="F1596" t="s">
        <v>7</v>
      </c>
    </row>
    <row r="1597" spans="1:6">
      <c r="A1597" s="1">
        <v>45515</v>
      </c>
      <c r="B1597" s="2">
        <v>45515.94409621528</v>
      </c>
      <c r="C1597" t="s">
        <v>3</v>
      </c>
      <c r="D1597" t="s">
        <v>502</v>
      </c>
      <c r="E1597">
        <v>32.82</v>
      </c>
      <c r="F1597" t="s">
        <v>43</v>
      </c>
    </row>
    <row r="1598" spans="1:6">
      <c r="A1598" s="1">
        <v>45516</v>
      </c>
      <c r="B1598" s="2">
        <v>45516.468805219905</v>
      </c>
      <c r="C1598" t="s">
        <v>3</v>
      </c>
      <c r="D1598" t="s">
        <v>503</v>
      </c>
      <c r="E1598">
        <v>27.92</v>
      </c>
      <c r="F1598" t="s">
        <v>14</v>
      </c>
    </row>
    <row r="1599" spans="1:6">
      <c r="A1599" s="1">
        <v>45516</v>
      </c>
      <c r="B1599" s="2">
        <v>45516.471869363428</v>
      </c>
      <c r="C1599" t="s">
        <v>3</v>
      </c>
      <c r="D1599" t="s">
        <v>504</v>
      </c>
      <c r="E1599">
        <v>23.02</v>
      </c>
      <c r="F1599" t="s">
        <v>11</v>
      </c>
    </row>
    <row r="1600" spans="1:6">
      <c r="A1600" s="1">
        <v>45516</v>
      </c>
      <c r="B1600" s="2">
        <v>45516.472495833332</v>
      </c>
      <c r="C1600" t="s">
        <v>3</v>
      </c>
      <c r="D1600" t="s">
        <v>504</v>
      </c>
      <c r="E1600">
        <v>32.82</v>
      </c>
      <c r="F1600" t="s">
        <v>7</v>
      </c>
    </row>
    <row r="1601" spans="1:6">
      <c r="A1601" s="1">
        <v>45516</v>
      </c>
      <c r="B1601" s="2">
        <v>45516.489217407405</v>
      </c>
      <c r="C1601" t="s">
        <v>3</v>
      </c>
      <c r="D1601" t="s">
        <v>505</v>
      </c>
      <c r="E1601">
        <v>32.82</v>
      </c>
      <c r="F1601" t="s">
        <v>7</v>
      </c>
    </row>
    <row r="1602" spans="1:6">
      <c r="A1602" s="1">
        <v>45523</v>
      </c>
      <c r="B1602" s="2">
        <v>45523.897187916664</v>
      </c>
      <c r="C1602" t="s">
        <v>3</v>
      </c>
      <c r="D1602" t="s">
        <v>505</v>
      </c>
      <c r="E1602">
        <v>32.82</v>
      </c>
      <c r="F1602" t="s">
        <v>18</v>
      </c>
    </row>
    <row r="1603" spans="1:6">
      <c r="A1603" s="1">
        <v>45516</v>
      </c>
      <c r="B1603" s="2">
        <v>45516.586150451389</v>
      </c>
      <c r="C1603" t="s">
        <v>3</v>
      </c>
      <c r="D1603" t="s">
        <v>506</v>
      </c>
      <c r="E1603">
        <v>18.12</v>
      </c>
      <c r="F1603" t="s">
        <v>35</v>
      </c>
    </row>
    <row r="1604" spans="1:6">
      <c r="A1604" s="1">
        <v>45516</v>
      </c>
      <c r="B1604" s="2">
        <v>45516.586885775461</v>
      </c>
      <c r="C1604" t="s">
        <v>3</v>
      </c>
      <c r="D1604" t="s">
        <v>506</v>
      </c>
      <c r="E1604">
        <v>27.92</v>
      </c>
      <c r="F1604" t="s">
        <v>14</v>
      </c>
    </row>
    <row r="1605" spans="1:6">
      <c r="A1605" s="1">
        <v>45516</v>
      </c>
      <c r="B1605" s="2">
        <v>45516.648299884262</v>
      </c>
      <c r="C1605" t="s">
        <v>3</v>
      </c>
      <c r="D1605" t="s">
        <v>507</v>
      </c>
      <c r="E1605">
        <v>27.92</v>
      </c>
      <c r="F1605" t="s">
        <v>14</v>
      </c>
    </row>
    <row r="1606" spans="1:6">
      <c r="A1606" s="1">
        <v>45516</v>
      </c>
      <c r="B1606" s="2">
        <v>45516.901134733795</v>
      </c>
      <c r="C1606" t="s">
        <v>3</v>
      </c>
      <c r="D1606" t="s">
        <v>508</v>
      </c>
      <c r="E1606">
        <v>32.82</v>
      </c>
      <c r="F1606" t="s">
        <v>7</v>
      </c>
    </row>
    <row r="1607" spans="1:6">
      <c r="A1607" s="1">
        <v>45517</v>
      </c>
      <c r="B1607" s="2">
        <v>45517.615042696758</v>
      </c>
      <c r="C1607" t="s">
        <v>3</v>
      </c>
      <c r="D1607" t="s">
        <v>508</v>
      </c>
      <c r="E1607">
        <v>32.82</v>
      </c>
      <c r="F1607" t="s">
        <v>7</v>
      </c>
    </row>
    <row r="1608" spans="1:6">
      <c r="A1608" s="1">
        <v>45539</v>
      </c>
      <c r="B1608" s="2">
        <v>45539.888607048611</v>
      </c>
      <c r="C1608" t="s">
        <v>3</v>
      </c>
      <c r="D1608" t="s">
        <v>508</v>
      </c>
      <c r="E1608">
        <v>32.82</v>
      </c>
      <c r="F1608" t="s">
        <v>7</v>
      </c>
    </row>
    <row r="1609" spans="1:6">
      <c r="A1609" s="1">
        <v>45544</v>
      </c>
      <c r="B1609" s="2">
        <v>45544.416096643516</v>
      </c>
      <c r="C1609" t="s">
        <v>3</v>
      </c>
      <c r="D1609" t="s">
        <v>508</v>
      </c>
      <c r="E1609">
        <v>32.82</v>
      </c>
      <c r="F1609" t="s">
        <v>7</v>
      </c>
    </row>
    <row r="1610" spans="1:6">
      <c r="A1610" s="1">
        <v>45554</v>
      </c>
      <c r="B1610" s="2">
        <v>45554.417715034724</v>
      </c>
      <c r="C1610" t="s">
        <v>3</v>
      </c>
      <c r="D1610" t="s">
        <v>508</v>
      </c>
      <c r="E1610">
        <v>32.82</v>
      </c>
      <c r="F1610" t="s">
        <v>7</v>
      </c>
    </row>
    <row r="1611" spans="1:6">
      <c r="A1611" s="1">
        <v>45572</v>
      </c>
      <c r="B1611" s="2">
        <v>45572.742303310188</v>
      </c>
      <c r="C1611" t="s">
        <v>3</v>
      </c>
      <c r="D1611" t="s">
        <v>508</v>
      </c>
      <c r="E1611">
        <v>35.76</v>
      </c>
      <c r="F1611" t="s">
        <v>7</v>
      </c>
    </row>
    <row r="1612" spans="1:6">
      <c r="A1612" s="1">
        <v>45574</v>
      </c>
      <c r="B1612" s="2">
        <v>45574.41643484954</v>
      </c>
      <c r="C1612" t="s">
        <v>3</v>
      </c>
      <c r="D1612" t="s">
        <v>508</v>
      </c>
      <c r="E1612">
        <v>35.76</v>
      </c>
      <c r="F1612" t="s">
        <v>7</v>
      </c>
    </row>
    <row r="1613" spans="1:6">
      <c r="A1613" s="1">
        <v>45584</v>
      </c>
      <c r="B1613" s="2">
        <v>45584.668586006941</v>
      </c>
      <c r="C1613" t="s">
        <v>3</v>
      </c>
      <c r="D1613" t="s">
        <v>508</v>
      </c>
      <c r="E1613">
        <v>35.76</v>
      </c>
      <c r="F1613" t="s">
        <v>7</v>
      </c>
    </row>
    <row r="1614" spans="1:6">
      <c r="A1614" s="1">
        <v>45604</v>
      </c>
      <c r="B1614" s="2">
        <v>45604.491104050925</v>
      </c>
      <c r="C1614" t="s">
        <v>3</v>
      </c>
      <c r="D1614" t="s">
        <v>508</v>
      </c>
      <c r="E1614">
        <v>35.76</v>
      </c>
      <c r="F1614" t="s">
        <v>43</v>
      </c>
    </row>
    <row r="1615" spans="1:6">
      <c r="A1615" s="1">
        <v>45611</v>
      </c>
      <c r="B1615" s="2">
        <v>45611.581642291669</v>
      </c>
      <c r="C1615" t="s">
        <v>3</v>
      </c>
      <c r="D1615" t="s">
        <v>508</v>
      </c>
      <c r="E1615">
        <v>35.76</v>
      </c>
      <c r="F1615" t="s">
        <v>7</v>
      </c>
    </row>
    <row r="1616" spans="1:6">
      <c r="A1616" s="1">
        <v>45619</v>
      </c>
      <c r="B1616" s="2">
        <v>45619.487123460647</v>
      </c>
      <c r="C1616" t="s">
        <v>3</v>
      </c>
      <c r="D1616" t="s">
        <v>508</v>
      </c>
      <c r="E1616">
        <v>35.76</v>
      </c>
      <c r="F1616" t="s">
        <v>9</v>
      </c>
    </row>
    <row r="1617" spans="1:6">
      <c r="A1617" s="1">
        <v>45626</v>
      </c>
      <c r="B1617" s="2">
        <v>45626.595046516202</v>
      </c>
      <c r="C1617" t="s">
        <v>3</v>
      </c>
      <c r="D1617" t="s">
        <v>508</v>
      </c>
      <c r="E1617">
        <v>35.76</v>
      </c>
      <c r="F1617" t="s">
        <v>18</v>
      </c>
    </row>
    <row r="1618" spans="1:6">
      <c r="A1618" s="1">
        <v>45639</v>
      </c>
      <c r="B1618" s="2">
        <v>45639.682915486112</v>
      </c>
      <c r="C1618" t="s">
        <v>3</v>
      </c>
      <c r="D1618" t="s">
        <v>508</v>
      </c>
      <c r="E1618">
        <v>35.76</v>
      </c>
      <c r="F1618" t="s">
        <v>18</v>
      </c>
    </row>
    <row r="1619" spans="1:6">
      <c r="A1619" s="1">
        <v>45517</v>
      </c>
      <c r="B1619" s="2">
        <v>45517.364238275462</v>
      </c>
      <c r="C1619" t="s">
        <v>3</v>
      </c>
      <c r="D1619" t="s">
        <v>509</v>
      </c>
      <c r="E1619">
        <v>27.92</v>
      </c>
      <c r="F1619" t="s">
        <v>14</v>
      </c>
    </row>
    <row r="1620" spans="1:6">
      <c r="A1620" s="1">
        <v>45517</v>
      </c>
      <c r="B1620" s="2">
        <v>45517.499856620372</v>
      </c>
      <c r="C1620" t="s">
        <v>3</v>
      </c>
      <c r="D1620" t="s">
        <v>510</v>
      </c>
      <c r="E1620">
        <v>32.82</v>
      </c>
      <c r="F1620" t="s">
        <v>7</v>
      </c>
    </row>
    <row r="1621" spans="1:6">
      <c r="A1621" s="1">
        <v>45517</v>
      </c>
      <c r="B1621" s="2">
        <v>45517.542841284725</v>
      </c>
      <c r="C1621" t="s">
        <v>3</v>
      </c>
      <c r="D1621" t="s">
        <v>511</v>
      </c>
      <c r="E1621">
        <v>27.92</v>
      </c>
      <c r="F1621" t="s">
        <v>14</v>
      </c>
    </row>
    <row r="1622" spans="1:6">
      <c r="A1622" s="1">
        <v>45517</v>
      </c>
      <c r="B1622" s="2">
        <v>45517.658295173613</v>
      </c>
      <c r="C1622" t="s">
        <v>3</v>
      </c>
      <c r="D1622" t="s">
        <v>512</v>
      </c>
      <c r="E1622">
        <v>32.82</v>
      </c>
      <c r="F1622" t="s">
        <v>43</v>
      </c>
    </row>
    <row r="1623" spans="1:6">
      <c r="A1623" s="1">
        <v>45517</v>
      </c>
      <c r="B1623" s="2">
        <v>45517.853871886575</v>
      </c>
      <c r="C1623" t="s">
        <v>3</v>
      </c>
      <c r="D1623" t="s">
        <v>513</v>
      </c>
      <c r="E1623">
        <v>32.82</v>
      </c>
      <c r="F1623" t="s">
        <v>7</v>
      </c>
    </row>
    <row r="1624" spans="1:6">
      <c r="A1624" s="1">
        <v>45517</v>
      </c>
      <c r="B1624" s="2">
        <v>45517.854596643519</v>
      </c>
      <c r="C1624" t="s">
        <v>3</v>
      </c>
      <c r="D1624" t="s">
        <v>513</v>
      </c>
      <c r="E1624">
        <v>32.82</v>
      </c>
      <c r="F1624" t="s">
        <v>18</v>
      </c>
    </row>
    <row r="1625" spans="1:6">
      <c r="A1625" s="1">
        <v>45517</v>
      </c>
      <c r="B1625" s="2">
        <v>45517.864154988427</v>
      </c>
      <c r="C1625" t="s">
        <v>3</v>
      </c>
      <c r="D1625" t="s">
        <v>514</v>
      </c>
      <c r="E1625">
        <v>32.82</v>
      </c>
      <c r="F1625" t="s">
        <v>43</v>
      </c>
    </row>
    <row r="1626" spans="1:6">
      <c r="A1626" s="1">
        <v>45517</v>
      </c>
      <c r="B1626" s="2">
        <v>45517.875517222223</v>
      </c>
      <c r="C1626" t="s">
        <v>3</v>
      </c>
      <c r="D1626" t="s">
        <v>515</v>
      </c>
      <c r="E1626">
        <v>23.02</v>
      </c>
      <c r="F1626" t="s">
        <v>28</v>
      </c>
    </row>
    <row r="1627" spans="1:6">
      <c r="A1627" s="1">
        <v>45518</v>
      </c>
      <c r="B1627" s="2">
        <v>45518.534223969909</v>
      </c>
      <c r="C1627" t="s">
        <v>3</v>
      </c>
      <c r="D1627" t="s">
        <v>516</v>
      </c>
      <c r="E1627">
        <v>23.02</v>
      </c>
      <c r="F1627" t="s">
        <v>11</v>
      </c>
    </row>
    <row r="1628" spans="1:6">
      <c r="A1628" s="1">
        <v>45518</v>
      </c>
      <c r="B1628" s="2">
        <v>45518.639898842594</v>
      </c>
      <c r="C1628" t="s">
        <v>3</v>
      </c>
      <c r="D1628" t="s">
        <v>517</v>
      </c>
      <c r="E1628">
        <v>32.82</v>
      </c>
      <c r="F1628" t="s">
        <v>7</v>
      </c>
    </row>
    <row r="1629" spans="1:6">
      <c r="A1629" s="1">
        <v>45518</v>
      </c>
      <c r="B1629" s="2">
        <v>45518.725263749999</v>
      </c>
      <c r="C1629" t="s">
        <v>3</v>
      </c>
      <c r="D1629" t="s">
        <v>518</v>
      </c>
      <c r="E1629">
        <v>23.02</v>
      </c>
      <c r="F1629" t="s">
        <v>11</v>
      </c>
    </row>
    <row r="1630" spans="1:6">
      <c r="A1630" s="1">
        <v>45518</v>
      </c>
      <c r="B1630" s="2">
        <v>45518.756987534725</v>
      </c>
      <c r="C1630" t="s">
        <v>3</v>
      </c>
      <c r="D1630" t="s">
        <v>519</v>
      </c>
      <c r="E1630">
        <v>23.02</v>
      </c>
      <c r="F1630" t="s">
        <v>28</v>
      </c>
    </row>
    <row r="1631" spans="1:6">
      <c r="A1631" s="1">
        <v>45518</v>
      </c>
      <c r="B1631" s="2">
        <v>45518.79118378472</v>
      </c>
      <c r="C1631" t="s">
        <v>3</v>
      </c>
      <c r="D1631" t="s">
        <v>520</v>
      </c>
      <c r="E1631">
        <v>27.92</v>
      </c>
      <c r="F1631" t="s">
        <v>14</v>
      </c>
    </row>
    <row r="1632" spans="1:6">
      <c r="A1632" s="1">
        <v>45518</v>
      </c>
      <c r="B1632" s="2">
        <v>45518.90385440972</v>
      </c>
      <c r="C1632" t="s">
        <v>3</v>
      </c>
      <c r="D1632" t="s">
        <v>521</v>
      </c>
      <c r="E1632">
        <v>32.82</v>
      </c>
      <c r="F1632" t="s">
        <v>7</v>
      </c>
    </row>
    <row r="1633" spans="1:6">
      <c r="A1633" s="1">
        <v>45523</v>
      </c>
      <c r="B1633" s="2">
        <v>45523.889723159722</v>
      </c>
      <c r="C1633" t="s">
        <v>3</v>
      </c>
      <c r="D1633" t="s">
        <v>521</v>
      </c>
      <c r="E1633">
        <v>32.82</v>
      </c>
      <c r="F1633" t="s">
        <v>7</v>
      </c>
    </row>
    <row r="1634" spans="1:6">
      <c r="A1634" s="1">
        <v>45525</v>
      </c>
      <c r="B1634" s="2">
        <v>45525.820874108795</v>
      </c>
      <c r="C1634" t="s">
        <v>3</v>
      </c>
      <c r="D1634" t="s">
        <v>521</v>
      </c>
      <c r="E1634">
        <v>32.82</v>
      </c>
      <c r="F1634" t="s">
        <v>7</v>
      </c>
    </row>
    <row r="1635" spans="1:6">
      <c r="A1635" s="1">
        <v>45527</v>
      </c>
      <c r="B1635" s="2">
        <v>45527.825032488428</v>
      </c>
      <c r="C1635" t="s">
        <v>3</v>
      </c>
      <c r="D1635" t="s">
        <v>521</v>
      </c>
      <c r="E1635">
        <v>32.82</v>
      </c>
      <c r="F1635" t="s">
        <v>7</v>
      </c>
    </row>
    <row r="1636" spans="1:6">
      <c r="A1636" s="1">
        <v>45541</v>
      </c>
      <c r="B1636" s="2">
        <v>45541.881611655095</v>
      </c>
      <c r="C1636" t="s">
        <v>3</v>
      </c>
      <c r="D1636" t="s">
        <v>521</v>
      </c>
      <c r="E1636">
        <v>32.82</v>
      </c>
      <c r="F1636" t="s">
        <v>7</v>
      </c>
    </row>
    <row r="1637" spans="1:6">
      <c r="A1637" s="1">
        <v>45544</v>
      </c>
      <c r="B1637" s="2">
        <v>45544.759563888889</v>
      </c>
      <c r="C1637" t="s">
        <v>3</v>
      </c>
      <c r="D1637" t="s">
        <v>521</v>
      </c>
      <c r="E1637">
        <v>32.82</v>
      </c>
      <c r="F1637" t="s">
        <v>7</v>
      </c>
    </row>
    <row r="1638" spans="1:6">
      <c r="A1638" s="1">
        <v>45556</v>
      </c>
      <c r="B1638" s="2">
        <v>45556.761443298608</v>
      </c>
      <c r="C1638" t="s">
        <v>3</v>
      </c>
      <c r="D1638" t="s">
        <v>521</v>
      </c>
      <c r="E1638">
        <v>32.82</v>
      </c>
      <c r="F1638" t="s">
        <v>7</v>
      </c>
    </row>
    <row r="1639" spans="1:6">
      <c r="A1639" s="1">
        <v>45556</v>
      </c>
      <c r="B1639" s="2">
        <v>45556.76216071759</v>
      </c>
      <c r="C1639" t="s">
        <v>3</v>
      </c>
      <c r="D1639" t="s">
        <v>521</v>
      </c>
      <c r="E1639">
        <v>32.82</v>
      </c>
      <c r="F1639" t="s">
        <v>7</v>
      </c>
    </row>
    <row r="1640" spans="1:6">
      <c r="A1640" s="1">
        <v>45558</v>
      </c>
      <c r="B1640" s="2">
        <v>45558.824559606481</v>
      </c>
      <c r="C1640" t="s">
        <v>3</v>
      </c>
      <c r="D1640" t="s">
        <v>521</v>
      </c>
      <c r="E1640">
        <v>32.82</v>
      </c>
      <c r="F1640" t="s">
        <v>7</v>
      </c>
    </row>
    <row r="1641" spans="1:6">
      <c r="A1641" s="1">
        <v>45563</v>
      </c>
      <c r="B1641" s="2">
        <v>45563.601242326389</v>
      </c>
      <c r="C1641" t="s">
        <v>3</v>
      </c>
      <c r="D1641" t="s">
        <v>521</v>
      </c>
      <c r="E1641">
        <v>35.76</v>
      </c>
      <c r="F1641" t="s">
        <v>7</v>
      </c>
    </row>
    <row r="1642" spans="1:6">
      <c r="A1642" s="1">
        <v>45565</v>
      </c>
      <c r="B1642" s="2">
        <v>45565.814099537034</v>
      </c>
      <c r="C1642" t="s">
        <v>3</v>
      </c>
      <c r="D1642" t="s">
        <v>521</v>
      </c>
      <c r="E1642">
        <v>35.76</v>
      </c>
      <c r="F1642" t="s">
        <v>7</v>
      </c>
    </row>
    <row r="1643" spans="1:6">
      <c r="A1643" s="1">
        <v>45573</v>
      </c>
      <c r="B1643" s="2">
        <v>45573.613106770834</v>
      </c>
      <c r="C1643" t="s">
        <v>3</v>
      </c>
      <c r="D1643" t="s">
        <v>521</v>
      </c>
      <c r="E1643">
        <v>35.76</v>
      </c>
      <c r="F1643" t="s">
        <v>7</v>
      </c>
    </row>
    <row r="1644" spans="1:6">
      <c r="A1644" s="1">
        <v>45577</v>
      </c>
      <c r="B1644" s="2">
        <v>45577.494623831015</v>
      </c>
      <c r="C1644" t="s">
        <v>3</v>
      </c>
      <c r="D1644" t="s">
        <v>521</v>
      </c>
      <c r="E1644">
        <v>35.76</v>
      </c>
      <c r="F1644" t="s">
        <v>7</v>
      </c>
    </row>
    <row r="1645" spans="1:6">
      <c r="A1645" s="1">
        <v>45577</v>
      </c>
      <c r="B1645" s="2">
        <v>45577.840901759257</v>
      </c>
      <c r="C1645" t="s">
        <v>3</v>
      </c>
      <c r="D1645" t="s">
        <v>521</v>
      </c>
      <c r="E1645">
        <v>35.76</v>
      </c>
      <c r="F1645" t="s">
        <v>7</v>
      </c>
    </row>
    <row r="1646" spans="1:6">
      <c r="A1646" s="1">
        <v>45578</v>
      </c>
      <c r="B1646" s="2">
        <v>45578.74537866898</v>
      </c>
      <c r="C1646" t="s">
        <v>3</v>
      </c>
      <c r="D1646" t="s">
        <v>521</v>
      </c>
      <c r="E1646">
        <v>35.76</v>
      </c>
      <c r="F1646" t="s">
        <v>7</v>
      </c>
    </row>
    <row r="1647" spans="1:6">
      <c r="A1647" s="1">
        <v>45578</v>
      </c>
      <c r="B1647" s="2">
        <v>45578.746092939815</v>
      </c>
      <c r="C1647" t="s">
        <v>3</v>
      </c>
      <c r="D1647" t="s">
        <v>521</v>
      </c>
      <c r="E1647">
        <v>35.76</v>
      </c>
      <c r="F1647" t="s">
        <v>7</v>
      </c>
    </row>
    <row r="1648" spans="1:6">
      <c r="A1648" s="1">
        <v>45579</v>
      </c>
      <c r="B1648" s="2">
        <v>45579.617956736111</v>
      </c>
      <c r="C1648" t="s">
        <v>3</v>
      </c>
      <c r="D1648" t="s">
        <v>521</v>
      </c>
      <c r="E1648">
        <v>35.76</v>
      </c>
      <c r="F1648" t="s">
        <v>7</v>
      </c>
    </row>
    <row r="1649" spans="1:6">
      <c r="A1649" s="1">
        <v>45580</v>
      </c>
      <c r="B1649" s="2">
        <v>45580.84114449074</v>
      </c>
      <c r="C1649" t="s">
        <v>3</v>
      </c>
      <c r="D1649" t="s">
        <v>521</v>
      </c>
      <c r="E1649">
        <v>35.76</v>
      </c>
      <c r="F1649" t="s">
        <v>7</v>
      </c>
    </row>
    <row r="1650" spans="1:6">
      <c r="A1650" s="1">
        <v>45580</v>
      </c>
      <c r="B1650" s="2">
        <v>45580.841998043979</v>
      </c>
      <c r="C1650" t="s">
        <v>3</v>
      </c>
      <c r="D1650" t="s">
        <v>521</v>
      </c>
      <c r="E1650">
        <v>35.76</v>
      </c>
      <c r="F1650" t="s">
        <v>7</v>
      </c>
    </row>
    <row r="1651" spans="1:6">
      <c r="A1651" s="1">
        <v>45582</v>
      </c>
      <c r="B1651" s="2">
        <v>45582.821668599536</v>
      </c>
      <c r="C1651" t="s">
        <v>3</v>
      </c>
      <c r="D1651" t="s">
        <v>521</v>
      </c>
      <c r="E1651">
        <v>35.76</v>
      </c>
      <c r="F1651" t="s">
        <v>7</v>
      </c>
    </row>
    <row r="1652" spans="1:6">
      <c r="A1652" s="1">
        <v>45584</v>
      </c>
      <c r="B1652" s="2">
        <v>45584.664527986111</v>
      </c>
      <c r="C1652" t="s">
        <v>3</v>
      </c>
      <c r="D1652" t="s">
        <v>521</v>
      </c>
      <c r="E1652">
        <v>35.76</v>
      </c>
      <c r="F1652" t="s">
        <v>9</v>
      </c>
    </row>
    <row r="1653" spans="1:6">
      <c r="A1653" s="1">
        <v>45584</v>
      </c>
      <c r="B1653" s="2">
        <v>45584.666250879629</v>
      </c>
      <c r="C1653" t="s">
        <v>3</v>
      </c>
      <c r="D1653" t="s">
        <v>521</v>
      </c>
      <c r="E1653">
        <v>35.76</v>
      </c>
      <c r="F1653" t="s">
        <v>7</v>
      </c>
    </row>
    <row r="1654" spans="1:6">
      <c r="A1654" s="1">
        <v>45585</v>
      </c>
      <c r="B1654" s="2">
        <v>45585.727150775463</v>
      </c>
      <c r="C1654" t="s">
        <v>3</v>
      </c>
      <c r="D1654" t="s">
        <v>521</v>
      </c>
      <c r="E1654">
        <v>35.76</v>
      </c>
      <c r="F1654" t="s">
        <v>7</v>
      </c>
    </row>
    <row r="1655" spans="1:6">
      <c r="A1655" s="1">
        <v>45587</v>
      </c>
      <c r="B1655" s="2">
        <v>45587.82406496528</v>
      </c>
      <c r="C1655" t="s">
        <v>3</v>
      </c>
      <c r="D1655" t="s">
        <v>521</v>
      </c>
      <c r="E1655">
        <v>35.76</v>
      </c>
      <c r="F1655" t="s">
        <v>9</v>
      </c>
    </row>
    <row r="1656" spans="1:6">
      <c r="A1656" s="1">
        <v>45587</v>
      </c>
      <c r="B1656" s="2">
        <v>45587.82488965278</v>
      </c>
      <c r="C1656" t="s">
        <v>3</v>
      </c>
      <c r="D1656" t="s">
        <v>521</v>
      </c>
      <c r="E1656">
        <v>35.76</v>
      </c>
      <c r="F1656" t="s">
        <v>7</v>
      </c>
    </row>
    <row r="1657" spans="1:6">
      <c r="A1657" s="1">
        <v>45589</v>
      </c>
      <c r="B1657" s="2">
        <v>45589.826605740738</v>
      </c>
      <c r="C1657" t="s">
        <v>3</v>
      </c>
      <c r="D1657" t="s">
        <v>521</v>
      </c>
      <c r="E1657">
        <v>35.76</v>
      </c>
      <c r="F1657" t="s">
        <v>7</v>
      </c>
    </row>
    <row r="1658" spans="1:6">
      <c r="A1658" s="1">
        <v>45592</v>
      </c>
      <c r="B1658" s="2">
        <v>45592.678543692127</v>
      </c>
      <c r="C1658" t="s">
        <v>3</v>
      </c>
      <c r="D1658" t="s">
        <v>521</v>
      </c>
      <c r="E1658">
        <v>35.76</v>
      </c>
      <c r="F1658" t="s">
        <v>7</v>
      </c>
    </row>
    <row r="1659" spans="1:6">
      <c r="A1659" s="1">
        <v>45594</v>
      </c>
      <c r="B1659" s="2">
        <v>45594.827232939817</v>
      </c>
      <c r="C1659" t="s">
        <v>3</v>
      </c>
      <c r="D1659" t="s">
        <v>521</v>
      </c>
      <c r="E1659">
        <v>35.76</v>
      </c>
      <c r="F1659" t="s">
        <v>9</v>
      </c>
    </row>
    <row r="1660" spans="1:6">
      <c r="A1660" s="1">
        <v>45594</v>
      </c>
      <c r="B1660" s="2">
        <v>45594.829194317128</v>
      </c>
      <c r="C1660" t="s">
        <v>3</v>
      </c>
      <c r="D1660" t="s">
        <v>521</v>
      </c>
      <c r="E1660">
        <v>35.76</v>
      </c>
      <c r="F1660" t="s">
        <v>7</v>
      </c>
    </row>
    <row r="1661" spans="1:6">
      <c r="A1661" s="1">
        <v>45595</v>
      </c>
      <c r="B1661" s="2">
        <v>45595.628648067126</v>
      </c>
      <c r="C1661" t="s">
        <v>3</v>
      </c>
      <c r="D1661" t="s">
        <v>521</v>
      </c>
      <c r="E1661">
        <v>35.76</v>
      </c>
      <c r="F1661" t="s">
        <v>7</v>
      </c>
    </row>
    <row r="1662" spans="1:6">
      <c r="A1662" s="1">
        <v>45595</v>
      </c>
      <c r="B1662" s="2">
        <v>45595.629896331018</v>
      </c>
      <c r="C1662" t="s">
        <v>3</v>
      </c>
      <c r="D1662" t="s">
        <v>521</v>
      </c>
      <c r="E1662">
        <v>35.76</v>
      </c>
      <c r="F1662" t="s">
        <v>7</v>
      </c>
    </row>
    <row r="1663" spans="1:6">
      <c r="A1663" s="1">
        <v>45598</v>
      </c>
      <c r="B1663" s="2">
        <v>45598.683516840276</v>
      </c>
      <c r="C1663" t="s">
        <v>3</v>
      </c>
      <c r="D1663" t="s">
        <v>521</v>
      </c>
      <c r="E1663">
        <v>35.76</v>
      </c>
      <c r="F1663" t="s">
        <v>9</v>
      </c>
    </row>
    <row r="1664" spans="1:6">
      <c r="A1664" s="1">
        <v>45598</v>
      </c>
      <c r="B1664" s="2">
        <v>45598.684687638888</v>
      </c>
      <c r="C1664" t="s">
        <v>3</v>
      </c>
      <c r="D1664" t="s">
        <v>521</v>
      </c>
      <c r="E1664">
        <v>35.76</v>
      </c>
      <c r="F1664" t="s">
        <v>7</v>
      </c>
    </row>
    <row r="1665" spans="1:6">
      <c r="A1665" s="1">
        <v>45603</v>
      </c>
      <c r="B1665" s="2">
        <v>45603.835077222226</v>
      </c>
      <c r="C1665" t="s">
        <v>3</v>
      </c>
      <c r="D1665" t="s">
        <v>521</v>
      </c>
      <c r="E1665">
        <v>35.76</v>
      </c>
      <c r="F1665" t="s">
        <v>7</v>
      </c>
    </row>
    <row r="1666" spans="1:6">
      <c r="A1666" s="1">
        <v>45610</v>
      </c>
      <c r="B1666" s="2">
        <v>45610.821834421295</v>
      </c>
      <c r="C1666" t="s">
        <v>3</v>
      </c>
      <c r="D1666" t="s">
        <v>521</v>
      </c>
      <c r="E1666">
        <v>35.76</v>
      </c>
      <c r="F1666" t="s">
        <v>9</v>
      </c>
    </row>
    <row r="1667" spans="1:6">
      <c r="A1667" s="1">
        <v>45610</v>
      </c>
      <c r="B1667" s="2">
        <v>45610.824040960651</v>
      </c>
      <c r="C1667" t="s">
        <v>3</v>
      </c>
      <c r="D1667" t="s">
        <v>521</v>
      </c>
      <c r="E1667">
        <v>35.76</v>
      </c>
      <c r="F1667" t="s">
        <v>9</v>
      </c>
    </row>
    <row r="1668" spans="1:6">
      <c r="A1668" s="1">
        <v>45624</v>
      </c>
      <c r="B1668" s="2">
        <v>45624.871523935188</v>
      </c>
      <c r="C1668" t="s">
        <v>3</v>
      </c>
      <c r="D1668" t="s">
        <v>521</v>
      </c>
      <c r="E1668">
        <v>35.76</v>
      </c>
      <c r="F1668" t="s">
        <v>7</v>
      </c>
    </row>
    <row r="1669" spans="1:6">
      <c r="A1669" s="1">
        <v>45647</v>
      </c>
      <c r="B1669" s="2">
        <v>45647.647958668982</v>
      </c>
      <c r="C1669" t="s">
        <v>3</v>
      </c>
      <c r="D1669" t="s">
        <v>521</v>
      </c>
      <c r="E1669">
        <v>35.76</v>
      </c>
      <c r="F1669" t="s">
        <v>9</v>
      </c>
    </row>
    <row r="1670" spans="1:6">
      <c r="A1670" s="1">
        <v>45647</v>
      </c>
      <c r="B1670" s="2">
        <v>45647.648490902779</v>
      </c>
      <c r="C1670" t="s">
        <v>3</v>
      </c>
      <c r="D1670" t="s">
        <v>521</v>
      </c>
      <c r="E1670">
        <v>35.76</v>
      </c>
      <c r="F1670" t="s">
        <v>7</v>
      </c>
    </row>
    <row r="1671" spans="1:6">
      <c r="A1671" s="1">
        <v>45654</v>
      </c>
      <c r="B1671" s="2">
        <v>45654.724771666668</v>
      </c>
      <c r="C1671" t="s">
        <v>3</v>
      </c>
      <c r="D1671" t="s">
        <v>521</v>
      </c>
      <c r="E1671">
        <v>35.76</v>
      </c>
      <c r="F1671" t="s">
        <v>7</v>
      </c>
    </row>
    <row r="1672" spans="1:6">
      <c r="A1672" s="1">
        <v>45675</v>
      </c>
      <c r="B1672" s="2">
        <v>45675.690047442127</v>
      </c>
      <c r="C1672" t="s">
        <v>3</v>
      </c>
      <c r="D1672" t="s">
        <v>521</v>
      </c>
      <c r="E1672">
        <v>35.76</v>
      </c>
      <c r="F1672" t="s">
        <v>9</v>
      </c>
    </row>
    <row r="1673" spans="1:6">
      <c r="A1673" s="1">
        <v>45675</v>
      </c>
      <c r="B1673" s="2">
        <v>45675.691136886577</v>
      </c>
      <c r="C1673" t="s">
        <v>3</v>
      </c>
      <c r="D1673" t="s">
        <v>521</v>
      </c>
      <c r="E1673">
        <v>35.76</v>
      </c>
      <c r="F1673" t="s">
        <v>7</v>
      </c>
    </row>
    <row r="1674" spans="1:6">
      <c r="A1674" s="1">
        <v>45675</v>
      </c>
      <c r="B1674" s="2">
        <v>45675.692001967589</v>
      </c>
      <c r="C1674" t="s">
        <v>3</v>
      </c>
      <c r="D1674" t="s">
        <v>521</v>
      </c>
      <c r="E1674">
        <v>35.76</v>
      </c>
      <c r="F1674" t="s">
        <v>9</v>
      </c>
    </row>
    <row r="1675" spans="1:6">
      <c r="A1675" s="1">
        <v>45688</v>
      </c>
      <c r="B1675" s="2">
        <v>45688.537797638892</v>
      </c>
      <c r="C1675" t="s">
        <v>3</v>
      </c>
      <c r="D1675" t="s">
        <v>521</v>
      </c>
      <c r="E1675">
        <v>35.76</v>
      </c>
      <c r="F1675" t="s">
        <v>7</v>
      </c>
    </row>
    <row r="1676" spans="1:6">
      <c r="A1676" s="1">
        <v>45690</v>
      </c>
      <c r="B1676" s="2">
        <v>45690.698008310188</v>
      </c>
      <c r="C1676" t="s">
        <v>3</v>
      </c>
      <c r="D1676" t="s">
        <v>521</v>
      </c>
      <c r="E1676">
        <v>35.76</v>
      </c>
      <c r="F1676" t="s">
        <v>7</v>
      </c>
    </row>
    <row r="1677" spans="1:6">
      <c r="A1677" s="1">
        <v>45691</v>
      </c>
      <c r="B1677" s="2">
        <v>45691.618293692132</v>
      </c>
      <c r="C1677" t="s">
        <v>3</v>
      </c>
      <c r="D1677" t="s">
        <v>521</v>
      </c>
      <c r="E1677">
        <v>35.76</v>
      </c>
      <c r="F1677" t="s">
        <v>7</v>
      </c>
    </row>
    <row r="1678" spans="1:6">
      <c r="A1678" s="1">
        <v>45693</v>
      </c>
      <c r="B1678" s="2">
        <v>45693.796368773146</v>
      </c>
      <c r="C1678" t="s">
        <v>3</v>
      </c>
      <c r="D1678" t="s">
        <v>521</v>
      </c>
      <c r="E1678">
        <v>35.76</v>
      </c>
      <c r="F1678" t="s">
        <v>9</v>
      </c>
    </row>
    <row r="1679" spans="1:6">
      <c r="A1679" s="1">
        <v>45700</v>
      </c>
      <c r="B1679" s="2">
        <v>45700.83727708333</v>
      </c>
      <c r="C1679" t="s">
        <v>3</v>
      </c>
      <c r="D1679" t="s">
        <v>521</v>
      </c>
      <c r="E1679">
        <v>35.76</v>
      </c>
      <c r="F1679" t="s">
        <v>7</v>
      </c>
    </row>
    <row r="1680" spans="1:6">
      <c r="A1680" s="1">
        <v>45702</v>
      </c>
      <c r="B1680" s="2">
        <v>45702.650472881942</v>
      </c>
      <c r="C1680" t="s">
        <v>3</v>
      </c>
      <c r="D1680" t="s">
        <v>521</v>
      </c>
      <c r="E1680">
        <v>35.76</v>
      </c>
      <c r="F1680" t="s">
        <v>43</v>
      </c>
    </row>
    <row r="1681" spans="1:6">
      <c r="A1681" s="1">
        <v>45702</v>
      </c>
      <c r="B1681" s="2">
        <v>45702.651938402778</v>
      </c>
      <c r="C1681" t="s">
        <v>3</v>
      </c>
      <c r="D1681" t="s">
        <v>521</v>
      </c>
      <c r="E1681">
        <v>35.76</v>
      </c>
      <c r="F1681" t="s">
        <v>7</v>
      </c>
    </row>
    <row r="1682" spans="1:6">
      <c r="A1682" s="1">
        <v>45737</v>
      </c>
      <c r="B1682" s="2">
        <v>45737.786257708336</v>
      </c>
      <c r="C1682" t="s">
        <v>3</v>
      </c>
      <c r="D1682" t="s">
        <v>521</v>
      </c>
      <c r="E1682">
        <v>35.76</v>
      </c>
      <c r="F1682" t="s">
        <v>7</v>
      </c>
    </row>
    <row r="1683" spans="1:6">
      <c r="A1683" s="1">
        <v>45519</v>
      </c>
      <c r="B1683" s="2">
        <v>45519.400719583333</v>
      </c>
      <c r="C1683" t="s">
        <v>3</v>
      </c>
      <c r="D1683" t="s">
        <v>522</v>
      </c>
      <c r="E1683">
        <v>32.82</v>
      </c>
      <c r="F1683" t="s">
        <v>43</v>
      </c>
    </row>
    <row r="1684" spans="1:6">
      <c r="A1684" s="1">
        <v>45519</v>
      </c>
      <c r="B1684" s="2">
        <v>45519.401445636577</v>
      </c>
      <c r="C1684" t="s">
        <v>3</v>
      </c>
      <c r="D1684" t="s">
        <v>523</v>
      </c>
      <c r="E1684">
        <v>32.82</v>
      </c>
      <c r="F1684" t="s">
        <v>9</v>
      </c>
    </row>
    <row r="1685" spans="1:6">
      <c r="A1685" s="1">
        <v>45519</v>
      </c>
      <c r="B1685" s="2">
        <v>45519.401964525459</v>
      </c>
      <c r="C1685" t="s">
        <v>3</v>
      </c>
      <c r="D1685" t="s">
        <v>523</v>
      </c>
      <c r="E1685">
        <v>32.82</v>
      </c>
      <c r="F1685" t="s">
        <v>7</v>
      </c>
    </row>
    <row r="1686" spans="1:6">
      <c r="A1686" s="1">
        <v>45519</v>
      </c>
      <c r="B1686" s="2">
        <v>45519.575157418978</v>
      </c>
      <c r="C1686" t="s">
        <v>3</v>
      </c>
      <c r="D1686" t="s">
        <v>524</v>
      </c>
      <c r="E1686">
        <v>32.82</v>
      </c>
      <c r="F1686" t="s">
        <v>7</v>
      </c>
    </row>
    <row r="1687" spans="1:6">
      <c r="A1687" s="1">
        <v>45526</v>
      </c>
      <c r="B1687" s="2">
        <v>45526.59458409722</v>
      </c>
      <c r="C1687" t="s">
        <v>3</v>
      </c>
      <c r="D1687" t="s">
        <v>524</v>
      </c>
      <c r="E1687">
        <v>32.82</v>
      </c>
      <c r="F1687" t="s">
        <v>7</v>
      </c>
    </row>
    <row r="1688" spans="1:6">
      <c r="A1688" s="1">
        <v>45539</v>
      </c>
      <c r="B1688" s="2">
        <v>45539.481673587965</v>
      </c>
      <c r="C1688" t="s">
        <v>3</v>
      </c>
      <c r="D1688" t="s">
        <v>524</v>
      </c>
      <c r="E1688">
        <v>32.82</v>
      </c>
      <c r="F1688" t="s">
        <v>7</v>
      </c>
    </row>
    <row r="1689" spans="1:6">
      <c r="A1689" s="1">
        <v>45557</v>
      </c>
      <c r="B1689" s="2">
        <v>45557.564983344906</v>
      </c>
      <c r="C1689" t="s">
        <v>3</v>
      </c>
      <c r="D1689" t="s">
        <v>524</v>
      </c>
      <c r="E1689">
        <v>27.92</v>
      </c>
      <c r="F1689" t="s">
        <v>14</v>
      </c>
    </row>
    <row r="1690" spans="1:6">
      <c r="A1690" s="1">
        <v>45559</v>
      </c>
      <c r="B1690" s="2">
        <v>45559.650968726855</v>
      </c>
      <c r="C1690" t="s">
        <v>3</v>
      </c>
      <c r="D1690" t="s">
        <v>524</v>
      </c>
      <c r="E1690">
        <v>32.82</v>
      </c>
      <c r="F1690" t="s">
        <v>43</v>
      </c>
    </row>
    <row r="1691" spans="1:6">
      <c r="A1691" s="1">
        <v>45575</v>
      </c>
      <c r="B1691" s="2">
        <v>45575.628968726851</v>
      </c>
      <c r="C1691" t="s">
        <v>3</v>
      </c>
      <c r="D1691" t="s">
        <v>524</v>
      </c>
      <c r="E1691">
        <v>35.76</v>
      </c>
      <c r="F1691" t="s">
        <v>43</v>
      </c>
    </row>
    <row r="1692" spans="1:6">
      <c r="A1692" s="1">
        <v>45579</v>
      </c>
      <c r="B1692" s="2">
        <v>45579.931873437497</v>
      </c>
      <c r="C1692" t="s">
        <v>3</v>
      </c>
      <c r="D1692" t="s">
        <v>524</v>
      </c>
      <c r="E1692">
        <v>35.76</v>
      </c>
      <c r="F1692" t="s">
        <v>7</v>
      </c>
    </row>
    <row r="1693" spans="1:6">
      <c r="A1693" s="1">
        <v>45581</v>
      </c>
      <c r="B1693" s="2">
        <v>45581.738433530096</v>
      </c>
      <c r="C1693" t="s">
        <v>3</v>
      </c>
      <c r="D1693" t="s">
        <v>524</v>
      </c>
      <c r="E1693">
        <v>30.86</v>
      </c>
      <c r="F1693" t="s">
        <v>14</v>
      </c>
    </row>
    <row r="1694" spans="1:6">
      <c r="A1694" s="1">
        <v>45582</v>
      </c>
      <c r="B1694" s="2">
        <v>45582.435159606481</v>
      </c>
      <c r="C1694" t="s">
        <v>3</v>
      </c>
      <c r="D1694" t="s">
        <v>524</v>
      </c>
      <c r="E1694">
        <v>35.76</v>
      </c>
      <c r="F1694" t="s">
        <v>7</v>
      </c>
    </row>
    <row r="1695" spans="1:6">
      <c r="A1695" s="1">
        <v>45519</v>
      </c>
      <c r="B1695" s="2">
        <v>45519.745743344909</v>
      </c>
      <c r="C1695" t="s">
        <v>3</v>
      </c>
      <c r="D1695" t="s">
        <v>525</v>
      </c>
      <c r="E1695">
        <v>27.92</v>
      </c>
      <c r="F1695" t="s">
        <v>14</v>
      </c>
    </row>
    <row r="1696" spans="1:6">
      <c r="A1696" s="1">
        <v>45519</v>
      </c>
      <c r="B1696" s="2">
        <v>45519.799284976849</v>
      </c>
      <c r="C1696" t="s">
        <v>3</v>
      </c>
      <c r="D1696" t="s">
        <v>526</v>
      </c>
      <c r="E1696">
        <v>32.82</v>
      </c>
      <c r="F1696" t="s">
        <v>9</v>
      </c>
    </row>
    <row r="1697" spans="1:6">
      <c r="A1697" s="1">
        <v>45519</v>
      </c>
      <c r="B1697" s="2">
        <v>45519.799930972222</v>
      </c>
      <c r="C1697" t="s">
        <v>3</v>
      </c>
      <c r="D1697" t="s">
        <v>526</v>
      </c>
      <c r="E1697">
        <v>27.92</v>
      </c>
      <c r="F1697" t="s">
        <v>14</v>
      </c>
    </row>
    <row r="1698" spans="1:6">
      <c r="A1698" s="1">
        <v>45519</v>
      </c>
      <c r="B1698" s="2">
        <v>45519.820488935184</v>
      </c>
      <c r="C1698" t="s">
        <v>3</v>
      </c>
      <c r="D1698" t="s">
        <v>527</v>
      </c>
      <c r="E1698">
        <v>27.92</v>
      </c>
      <c r="F1698" t="s">
        <v>14</v>
      </c>
    </row>
    <row r="1699" spans="1:6">
      <c r="A1699" s="1">
        <v>45519</v>
      </c>
      <c r="B1699" s="2">
        <v>45519.821272997688</v>
      </c>
      <c r="C1699" t="s">
        <v>3</v>
      </c>
      <c r="D1699" t="s">
        <v>527</v>
      </c>
      <c r="E1699">
        <v>23.02</v>
      </c>
      <c r="F1699" t="s">
        <v>11</v>
      </c>
    </row>
    <row r="1700" spans="1:6">
      <c r="A1700" s="1">
        <v>45520</v>
      </c>
      <c r="B1700" s="2">
        <v>45520.520332546294</v>
      </c>
      <c r="C1700" t="s">
        <v>3</v>
      </c>
      <c r="D1700" t="s">
        <v>527</v>
      </c>
      <c r="E1700">
        <v>32.82</v>
      </c>
      <c r="F1700" t="s">
        <v>7</v>
      </c>
    </row>
    <row r="1701" spans="1:6">
      <c r="A1701" s="1">
        <v>45519</v>
      </c>
      <c r="B1701" s="2">
        <v>45519.861591620371</v>
      </c>
      <c r="C1701" t="s">
        <v>3</v>
      </c>
      <c r="D1701" t="s">
        <v>528</v>
      </c>
      <c r="E1701">
        <v>32.82</v>
      </c>
      <c r="F1701" t="s">
        <v>43</v>
      </c>
    </row>
    <row r="1702" spans="1:6">
      <c r="A1702" s="1">
        <v>45520</v>
      </c>
      <c r="B1702" s="2">
        <v>45520.537701990739</v>
      </c>
      <c r="C1702" t="s">
        <v>3</v>
      </c>
      <c r="D1702" t="s">
        <v>529</v>
      </c>
      <c r="E1702">
        <v>23.02</v>
      </c>
      <c r="F1702" t="s">
        <v>11</v>
      </c>
    </row>
    <row r="1703" spans="1:6">
      <c r="A1703" s="1">
        <v>45521</v>
      </c>
      <c r="B1703" s="2">
        <v>45521.38760396991</v>
      </c>
      <c r="C1703" t="s">
        <v>3</v>
      </c>
      <c r="D1703" t="s">
        <v>530</v>
      </c>
      <c r="E1703">
        <v>32.82</v>
      </c>
      <c r="F1703" t="s">
        <v>43</v>
      </c>
    </row>
    <row r="1704" spans="1:6">
      <c r="A1704" s="1">
        <v>45521</v>
      </c>
      <c r="B1704" s="2">
        <v>45521.453950543983</v>
      </c>
      <c r="C1704" t="s">
        <v>3</v>
      </c>
      <c r="D1704" t="s">
        <v>531</v>
      </c>
      <c r="E1704">
        <v>27.92</v>
      </c>
      <c r="F1704" t="s">
        <v>14</v>
      </c>
    </row>
    <row r="1705" spans="1:6">
      <c r="A1705" s="1">
        <v>45521</v>
      </c>
      <c r="B1705" s="2">
        <v>45521.55463175926</v>
      </c>
      <c r="C1705" t="s">
        <v>3</v>
      </c>
      <c r="D1705" t="s">
        <v>532</v>
      </c>
      <c r="E1705">
        <v>27.92</v>
      </c>
      <c r="F1705" t="s">
        <v>14</v>
      </c>
    </row>
    <row r="1706" spans="1:6">
      <c r="A1706" s="1">
        <v>45588</v>
      </c>
      <c r="B1706" s="2">
        <v>45588.914823437502</v>
      </c>
      <c r="C1706" t="s">
        <v>3</v>
      </c>
      <c r="D1706" t="s">
        <v>532</v>
      </c>
      <c r="E1706">
        <v>30.86</v>
      </c>
      <c r="F1706" t="s">
        <v>14</v>
      </c>
    </row>
    <row r="1707" spans="1:6">
      <c r="A1707" s="1">
        <v>45521</v>
      </c>
      <c r="B1707" s="2">
        <v>45521.946288784726</v>
      </c>
      <c r="C1707" t="s">
        <v>3</v>
      </c>
      <c r="D1707" t="s">
        <v>533</v>
      </c>
      <c r="E1707">
        <v>32.82</v>
      </c>
      <c r="F1707" t="s">
        <v>7</v>
      </c>
    </row>
    <row r="1708" spans="1:6">
      <c r="A1708" s="1">
        <v>45522</v>
      </c>
      <c r="B1708" s="2">
        <v>45522.340076400462</v>
      </c>
      <c r="C1708" t="s">
        <v>3</v>
      </c>
      <c r="D1708" t="s">
        <v>534</v>
      </c>
      <c r="E1708">
        <v>32.82</v>
      </c>
      <c r="F1708" t="s">
        <v>43</v>
      </c>
    </row>
    <row r="1709" spans="1:6">
      <c r="A1709" s="1">
        <v>45522</v>
      </c>
      <c r="B1709" s="2">
        <v>45522.355620335649</v>
      </c>
      <c r="C1709" t="s">
        <v>3</v>
      </c>
      <c r="D1709" t="s">
        <v>535</v>
      </c>
      <c r="E1709">
        <v>32.82</v>
      </c>
      <c r="F1709" t="s">
        <v>43</v>
      </c>
    </row>
    <row r="1710" spans="1:6">
      <c r="A1710" s="1">
        <v>45522</v>
      </c>
      <c r="B1710" s="2">
        <v>45522.372237175929</v>
      </c>
      <c r="C1710" t="s">
        <v>3</v>
      </c>
      <c r="D1710" t="s">
        <v>536</v>
      </c>
      <c r="E1710">
        <v>27.92</v>
      </c>
      <c r="F1710" t="s">
        <v>14</v>
      </c>
    </row>
    <row r="1711" spans="1:6">
      <c r="A1711" s="1">
        <v>45522</v>
      </c>
      <c r="B1711" s="2">
        <v>45522.766791388887</v>
      </c>
      <c r="C1711" t="s">
        <v>3</v>
      </c>
      <c r="D1711" t="s">
        <v>537</v>
      </c>
      <c r="E1711">
        <v>27.92</v>
      </c>
      <c r="F1711" t="s">
        <v>14</v>
      </c>
    </row>
    <row r="1712" spans="1:6">
      <c r="A1712" s="1">
        <v>45522</v>
      </c>
      <c r="B1712" s="2">
        <v>45522.768099374996</v>
      </c>
      <c r="C1712" t="s">
        <v>3</v>
      </c>
      <c r="D1712" t="s">
        <v>537</v>
      </c>
      <c r="E1712">
        <v>27.92</v>
      </c>
      <c r="F1712" t="s">
        <v>14</v>
      </c>
    </row>
    <row r="1713" spans="1:6">
      <c r="A1713" s="1">
        <v>45522</v>
      </c>
      <c r="B1713" s="2">
        <v>45522.768953159721</v>
      </c>
      <c r="C1713" t="s">
        <v>3</v>
      </c>
      <c r="D1713" t="s">
        <v>537</v>
      </c>
      <c r="E1713">
        <v>23.02</v>
      </c>
      <c r="F1713" t="s">
        <v>11</v>
      </c>
    </row>
    <row r="1714" spans="1:6">
      <c r="A1714" s="1">
        <v>45522</v>
      </c>
      <c r="B1714" s="2">
        <v>45522.76959570602</v>
      </c>
      <c r="C1714" t="s">
        <v>3</v>
      </c>
      <c r="D1714" t="s">
        <v>537</v>
      </c>
      <c r="E1714">
        <v>23.02</v>
      </c>
      <c r="F1714" t="s">
        <v>11</v>
      </c>
    </row>
    <row r="1715" spans="1:6">
      <c r="A1715" s="1">
        <v>45523</v>
      </c>
      <c r="B1715" s="2">
        <v>45523.631816921297</v>
      </c>
      <c r="C1715" t="s">
        <v>3</v>
      </c>
      <c r="D1715" t="s">
        <v>538</v>
      </c>
      <c r="E1715">
        <v>27.92</v>
      </c>
      <c r="F1715" t="s">
        <v>14</v>
      </c>
    </row>
    <row r="1716" spans="1:6">
      <c r="A1716" s="1">
        <v>45523</v>
      </c>
      <c r="B1716" s="2">
        <v>45523.632537175923</v>
      </c>
      <c r="C1716" t="s">
        <v>3</v>
      </c>
      <c r="D1716" t="s">
        <v>538</v>
      </c>
      <c r="E1716">
        <v>27.92</v>
      </c>
      <c r="F1716" t="s">
        <v>14</v>
      </c>
    </row>
    <row r="1717" spans="1:6">
      <c r="A1717" s="1">
        <v>45524</v>
      </c>
      <c r="B1717" s="2">
        <v>45524.353644861112</v>
      </c>
      <c r="C1717" t="s">
        <v>3</v>
      </c>
      <c r="D1717" t="s">
        <v>539</v>
      </c>
      <c r="E1717">
        <v>32.82</v>
      </c>
      <c r="F1717" t="s">
        <v>7</v>
      </c>
    </row>
    <row r="1718" spans="1:6">
      <c r="A1718" s="1">
        <v>45657</v>
      </c>
      <c r="B1718" s="2">
        <v>45657.715480752318</v>
      </c>
      <c r="C1718" t="s">
        <v>3</v>
      </c>
      <c r="D1718" t="s">
        <v>539</v>
      </c>
      <c r="E1718">
        <v>35.76</v>
      </c>
      <c r="F1718" t="s">
        <v>7</v>
      </c>
    </row>
    <row r="1719" spans="1:6">
      <c r="A1719" s="1">
        <v>45659</v>
      </c>
      <c r="B1719" s="2">
        <v>45659.738312210648</v>
      </c>
      <c r="C1719" t="s">
        <v>3</v>
      </c>
      <c r="D1719" t="s">
        <v>539</v>
      </c>
      <c r="E1719">
        <v>35.76</v>
      </c>
      <c r="F1719" t="s">
        <v>43</v>
      </c>
    </row>
    <row r="1720" spans="1:6">
      <c r="A1720" s="1">
        <v>45524</v>
      </c>
      <c r="B1720" s="2">
        <v>45524.367910578701</v>
      </c>
      <c r="C1720" t="s">
        <v>3</v>
      </c>
      <c r="D1720" t="s">
        <v>540</v>
      </c>
      <c r="E1720">
        <v>18.12</v>
      </c>
      <c r="F1720" t="s">
        <v>35</v>
      </c>
    </row>
    <row r="1721" spans="1:6">
      <c r="A1721" s="1">
        <v>45524</v>
      </c>
      <c r="B1721" s="2">
        <v>45524.368476192132</v>
      </c>
      <c r="C1721" t="s">
        <v>3</v>
      </c>
      <c r="D1721" t="s">
        <v>540</v>
      </c>
      <c r="E1721">
        <v>23.02</v>
      </c>
      <c r="F1721" t="s">
        <v>28</v>
      </c>
    </row>
    <row r="1722" spans="1:6">
      <c r="A1722" s="1">
        <v>45524</v>
      </c>
      <c r="B1722" s="2">
        <v>45524.465226562497</v>
      </c>
      <c r="C1722" t="s">
        <v>3</v>
      </c>
      <c r="D1722" t="s">
        <v>541</v>
      </c>
      <c r="E1722">
        <v>23.02</v>
      </c>
      <c r="F1722" t="s">
        <v>11</v>
      </c>
    </row>
    <row r="1723" spans="1:6">
      <c r="A1723" s="1">
        <v>45524</v>
      </c>
      <c r="B1723" s="2">
        <v>45524.466424571758</v>
      </c>
      <c r="C1723" t="s">
        <v>3</v>
      </c>
      <c r="D1723" t="s">
        <v>542</v>
      </c>
      <c r="E1723">
        <v>23.02</v>
      </c>
      <c r="F1723" t="s">
        <v>11</v>
      </c>
    </row>
    <row r="1724" spans="1:6">
      <c r="A1724" s="1">
        <v>45524</v>
      </c>
      <c r="B1724" s="2">
        <v>45524.467027557868</v>
      </c>
      <c r="C1724" t="s">
        <v>3</v>
      </c>
      <c r="D1724" t="s">
        <v>543</v>
      </c>
      <c r="E1724">
        <v>23.02</v>
      </c>
      <c r="F1724" t="s">
        <v>11</v>
      </c>
    </row>
    <row r="1725" spans="1:6">
      <c r="A1725" s="1">
        <v>45524</v>
      </c>
      <c r="B1725" s="2">
        <v>45524.862973067131</v>
      </c>
      <c r="C1725" t="s">
        <v>3</v>
      </c>
      <c r="D1725" t="s">
        <v>544</v>
      </c>
      <c r="E1725">
        <v>32.82</v>
      </c>
      <c r="F1725" t="s">
        <v>7</v>
      </c>
    </row>
    <row r="1726" spans="1:6">
      <c r="A1726" s="1">
        <v>45524</v>
      </c>
      <c r="B1726" s="2">
        <v>45524.86406078704</v>
      </c>
      <c r="C1726" t="s">
        <v>3</v>
      </c>
      <c r="D1726" t="s">
        <v>545</v>
      </c>
      <c r="E1726">
        <v>32.82</v>
      </c>
      <c r="F1726" t="s">
        <v>7</v>
      </c>
    </row>
    <row r="1727" spans="1:6">
      <c r="A1727" s="1">
        <v>45524</v>
      </c>
      <c r="B1727" s="2">
        <v>45524.86472622685</v>
      </c>
      <c r="C1727" t="s">
        <v>3</v>
      </c>
      <c r="D1727" t="s">
        <v>545</v>
      </c>
      <c r="E1727">
        <v>32.82</v>
      </c>
      <c r="F1727" t="s">
        <v>7</v>
      </c>
    </row>
    <row r="1728" spans="1:6">
      <c r="A1728" s="1">
        <v>45546</v>
      </c>
      <c r="B1728" s="2">
        <v>45546.842533414354</v>
      </c>
      <c r="C1728" t="s">
        <v>3</v>
      </c>
      <c r="D1728" t="s">
        <v>545</v>
      </c>
      <c r="E1728">
        <v>27.92</v>
      </c>
      <c r="F1728" t="s">
        <v>14</v>
      </c>
    </row>
    <row r="1729" spans="1:6">
      <c r="A1729" s="1">
        <v>45546</v>
      </c>
      <c r="B1729" s="2">
        <v>45546.843274143517</v>
      </c>
      <c r="C1729" t="s">
        <v>3</v>
      </c>
      <c r="D1729" t="s">
        <v>545</v>
      </c>
      <c r="E1729">
        <v>32.82</v>
      </c>
      <c r="F1729" t="s">
        <v>7</v>
      </c>
    </row>
    <row r="1730" spans="1:6">
      <c r="A1730" s="1">
        <v>45546</v>
      </c>
      <c r="B1730" s="2">
        <v>45546.843973958334</v>
      </c>
      <c r="C1730" t="s">
        <v>3</v>
      </c>
      <c r="D1730" t="s">
        <v>545</v>
      </c>
      <c r="E1730">
        <v>32.82</v>
      </c>
      <c r="F1730" t="s">
        <v>7</v>
      </c>
    </row>
    <row r="1731" spans="1:6">
      <c r="A1731" s="1">
        <v>45559</v>
      </c>
      <c r="B1731" s="2">
        <v>45559.879541689814</v>
      </c>
      <c r="C1731" t="s">
        <v>3</v>
      </c>
      <c r="D1731" t="s">
        <v>545</v>
      </c>
      <c r="E1731">
        <v>27.92</v>
      </c>
      <c r="F1731" t="s">
        <v>14</v>
      </c>
    </row>
    <row r="1732" spans="1:6">
      <c r="A1732" s="1">
        <v>45559</v>
      </c>
      <c r="B1732" s="2">
        <v>45559.880265798609</v>
      </c>
      <c r="C1732" t="s">
        <v>3</v>
      </c>
      <c r="D1732" t="s">
        <v>545</v>
      </c>
      <c r="E1732">
        <v>27.92</v>
      </c>
      <c r="F1732" t="s">
        <v>14</v>
      </c>
    </row>
    <row r="1733" spans="1:6">
      <c r="A1733" s="1">
        <v>45565</v>
      </c>
      <c r="B1733" s="2">
        <v>45565.833821006941</v>
      </c>
      <c r="C1733" t="s">
        <v>3</v>
      </c>
      <c r="D1733" t="s">
        <v>545</v>
      </c>
      <c r="E1733">
        <v>30.86</v>
      </c>
      <c r="F1733" t="s">
        <v>14</v>
      </c>
    </row>
    <row r="1734" spans="1:6">
      <c r="A1734" s="1">
        <v>45524</v>
      </c>
      <c r="B1734" s="2">
        <v>45524.86532394676</v>
      </c>
      <c r="C1734" t="s">
        <v>3</v>
      </c>
      <c r="D1734" t="s">
        <v>546</v>
      </c>
      <c r="E1734">
        <v>32.82</v>
      </c>
      <c r="F1734" t="s">
        <v>7</v>
      </c>
    </row>
    <row r="1735" spans="1:6">
      <c r="A1735" s="1">
        <v>45525</v>
      </c>
      <c r="B1735" s="2">
        <v>45525.332790486114</v>
      </c>
      <c r="C1735" t="s">
        <v>3</v>
      </c>
      <c r="D1735" t="s">
        <v>547</v>
      </c>
      <c r="E1735">
        <v>27.92</v>
      </c>
      <c r="F1735" t="s">
        <v>14</v>
      </c>
    </row>
    <row r="1736" spans="1:6">
      <c r="A1736" s="1">
        <v>45670</v>
      </c>
      <c r="B1736" s="2">
        <v>45670.339123530095</v>
      </c>
      <c r="C1736" t="s">
        <v>3</v>
      </c>
      <c r="D1736" t="s">
        <v>547</v>
      </c>
      <c r="E1736">
        <v>30.86</v>
      </c>
      <c r="F1736" t="s">
        <v>14</v>
      </c>
    </row>
    <row r="1737" spans="1:6">
      <c r="A1737" s="1">
        <v>45525</v>
      </c>
      <c r="B1737" s="2">
        <v>45525.55359664352</v>
      </c>
      <c r="C1737" t="s">
        <v>3</v>
      </c>
      <c r="D1737" t="s">
        <v>548</v>
      </c>
      <c r="E1737">
        <v>32.82</v>
      </c>
      <c r="F1737" t="s">
        <v>7</v>
      </c>
    </row>
    <row r="1738" spans="1:6">
      <c r="A1738" s="1">
        <v>45526</v>
      </c>
      <c r="B1738" s="2">
        <v>45526.449992546295</v>
      </c>
      <c r="C1738" t="s">
        <v>3</v>
      </c>
      <c r="D1738" t="s">
        <v>549</v>
      </c>
      <c r="E1738">
        <v>27.92</v>
      </c>
      <c r="F1738" t="s">
        <v>14</v>
      </c>
    </row>
    <row r="1739" spans="1:6">
      <c r="A1739" s="1">
        <v>45526</v>
      </c>
      <c r="B1739" s="2">
        <v>45526.602063634258</v>
      </c>
      <c r="C1739" t="s">
        <v>3</v>
      </c>
      <c r="D1739" t="s">
        <v>550</v>
      </c>
      <c r="E1739">
        <v>32.82</v>
      </c>
      <c r="F1739" t="s">
        <v>7</v>
      </c>
    </row>
    <row r="1740" spans="1:6">
      <c r="A1740" s="1">
        <v>45526</v>
      </c>
      <c r="B1740" s="2">
        <v>45526.629947071757</v>
      </c>
      <c r="C1740" t="s">
        <v>3</v>
      </c>
      <c r="D1740" t="s">
        <v>551</v>
      </c>
      <c r="E1740">
        <v>32.82</v>
      </c>
      <c r="F1740" t="s">
        <v>43</v>
      </c>
    </row>
    <row r="1741" spans="1:6">
      <c r="A1741" s="1">
        <v>45526</v>
      </c>
      <c r="B1741" s="2">
        <v>45526.644066168985</v>
      </c>
      <c r="C1741" t="s">
        <v>3</v>
      </c>
      <c r="D1741" t="s">
        <v>552</v>
      </c>
      <c r="E1741">
        <v>23.02</v>
      </c>
      <c r="F1741" t="s">
        <v>11</v>
      </c>
    </row>
    <row r="1742" spans="1:6">
      <c r="A1742" s="1">
        <v>45527</v>
      </c>
      <c r="B1742" s="2">
        <v>45527.424290555558</v>
      </c>
      <c r="C1742" t="s">
        <v>3</v>
      </c>
      <c r="D1742" t="s">
        <v>553</v>
      </c>
      <c r="E1742">
        <v>32.82</v>
      </c>
      <c r="F1742" t="s">
        <v>18</v>
      </c>
    </row>
    <row r="1743" spans="1:6">
      <c r="A1743" s="1">
        <v>45527</v>
      </c>
      <c r="B1743" s="2">
        <v>45527.424947557869</v>
      </c>
      <c r="C1743" t="s">
        <v>3</v>
      </c>
      <c r="D1743" t="s">
        <v>553</v>
      </c>
      <c r="E1743">
        <v>23.02</v>
      </c>
      <c r="F1743" t="s">
        <v>11</v>
      </c>
    </row>
    <row r="1744" spans="1:6">
      <c r="A1744" s="1">
        <v>45527</v>
      </c>
      <c r="B1744" s="2">
        <v>45527.467354016204</v>
      </c>
      <c r="C1744" t="s">
        <v>3</v>
      </c>
      <c r="D1744" t="s">
        <v>554</v>
      </c>
      <c r="E1744">
        <v>32.82</v>
      </c>
      <c r="F1744" t="s">
        <v>9</v>
      </c>
    </row>
    <row r="1745" spans="1:6">
      <c r="A1745" s="1">
        <v>45527</v>
      </c>
      <c r="B1745" s="2">
        <v>45527.558966990742</v>
      </c>
      <c r="C1745" t="s">
        <v>3</v>
      </c>
      <c r="D1745" t="s">
        <v>555</v>
      </c>
      <c r="E1745">
        <v>23.02</v>
      </c>
      <c r="F1745" t="s">
        <v>11</v>
      </c>
    </row>
    <row r="1746" spans="1:6">
      <c r="A1746" s="1">
        <v>45527</v>
      </c>
      <c r="B1746" s="2">
        <v>45527.645055312503</v>
      </c>
      <c r="C1746" t="s">
        <v>3</v>
      </c>
      <c r="D1746" t="s">
        <v>556</v>
      </c>
      <c r="E1746">
        <v>23.02</v>
      </c>
      <c r="F1746" t="s">
        <v>11</v>
      </c>
    </row>
    <row r="1747" spans="1:6">
      <c r="A1747" s="1">
        <v>45528</v>
      </c>
      <c r="B1747" s="2">
        <v>45528.364022858797</v>
      </c>
      <c r="C1747" t="s">
        <v>3</v>
      </c>
      <c r="D1747" t="s">
        <v>557</v>
      </c>
      <c r="E1747">
        <v>23.02</v>
      </c>
      <c r="F1747" t="s">
        <v>28</v>
      </c>
    </row>
    <row r="1748" spans="1:6">
      <c r="A1748" s="1">
        <v>45542</v>
      </c>
      <c r="B1748" s="2">
        <v>45542.411145821759</v>
      </c>
      <c r="C1748" t="s">
        <v>3</v>
      </c>
      <c r="D1748" t="s">
        <v>557</v>
      </c>
      <c r="E1748">
        <v>23.02</v>
      </c>
      <c r="F1748" t="s">
        <v>28</v>
      </c>
    </row>
    <row r="1749" spans="1:6">
      <c r="A1749" s="1">
        <v>45542</v>
      </c>
      <c r="B1749" s="2">
        <v>45542.411846932868</v>
      </c>
      <c r="C1749" t="s">
        <v>3</v>
      </c>
      <c r="D1749" t="s">
        <v>557</v>
      </c>
      <c r="E1749">
        <v>23.02</v>
      </c>
      <c r="F1749" t="s">
        <v>28</v>
      </c>
    </row>
    <row r="1750" spans="1:6">
      <c r="A1750" s="1">
        <v>45543</v>
      </c>
      <c r="B1750" s="2">
        <v>45543.387697071761</v>
      </c>
      <c r="C1750" t="s">
        <v>3</v>
      </c>
      <c r="D1750" t="s">
        <v>557</v>
      </c>
      <c r="E1750">
        <v>23.02</v>
      </c>
      <c r="F1750" t="s">
        <v>28</v>
      </c>
    </row>
    <row r="1751" spans="1:6">
      <c r="A1751" s="1">
        <v>45543</v>
      </c>
      <c r="B1751" s="2">
        <v>45543.38833814815</v>
      </c>
      <c r="C1751" t="s">
        <v>3</v>
      </c>
      <c r="D1751" t="s">
        <v>557</v>
      </c>
      <c r="E1751">
        <v>23.02</v>
      </c>
      <c r="F1751" t="s">
        <v>28</v>
      </c>
    </row>
    <row r="1752" spans="1:6">
      <c r="A1752" s="1">
        <v>45543</v>
      </c>
      <c r="B1752" s="2">
        <v>45543.420788715281</v>
      </c>
      <c r="C1752" t="s">
        <v>3</v>
      </c>
      <c r="D1752" t="s">
        <v>557</v>
      </c>
      <c r="E1752">
        <v>23.02</v>
      </c>
      <c r="F1752" t="s">
        <v>28</v>
      </c>
    </row>
    <row r="1753" spans="1:6">
      <c r="A1753" s="1">
        <v>45545</v>
      </c>
      <c r="B1753" s="2">
        <v>45545.640212812497</v>
      </c>
      <c r="C1753" t="s">
        <v>3</v>
      </c>
      <c r="D1753" t="s">
        <v>557</v>
      </c>
      <c r="E1753">
        <v>23.02</v>
      </c>
      <c r="F1753" t="s">
        <v>28</v>
      </c>
    </row>
    <row r="1754" spans="1:6">
      <c r="A1754" s="1">
        <v>45545</v>
      </c>
      <c r="B1754" s="2">
        <v>45545.641041041665</v>
      </c>
      <c r="C1754" t="s">
        <v>3</v>
      </c>
      <c r="D1754" t="s">
        <v>557</v>
      </c>
      <c r="E1754">
        <v>23.02</v>
      </c>
      <c r="F1754" t="s">
        <v>28</v>
      </c>
    </row>
    <row r="1755" spans="1:6">
      <c r="A1755" s="1">
        <v>45549</v>
      </c>
      <c r="B1755" s="2">
        <v>45549.687029618057</v>
      </c>
      <c r="C1755" t="s">
        <v>3</v>
      </c>
      <c r="D1755" t="s">
        <v>557</v>
      </c>
      <c r="E1755">
        <v>32.82</v>
      </c>
      <c r="F1755" t="s">
        <v>43</v>
      </c>
    </row>
    <row r="1756" spans="1:6">
      <c r="A1756" s="1">
        <v>45549</v>
      </c>
      <c r="B1756" s="2">
        <v>45549.687695289351</v>
      </c>
      <c r="C1756" t="s">
        <v>3</v>
      </c>
      <c r="D1756" t="s">
        <v>557</v>
      </c>
      <c r="E1756">
        <v>32.82</v>
      </c>
      <c r="F1756" t="s">
        <v>43</v>
      </c>
    </row>
    <row r="1757" spans="1:6">
      <c r="A1757" s="1">
        <v>45550</v>
      </c>
      <c r="B1757" s="2">
        <v>45550.620355416664</v>
      </c>
      <c r="C1757" t="s">
        <v>3</v>
      </c>
      <c r="D1757" t="s">
        <v>557</v>
      </c>
      <c r="E1757">
        <v>32.82</v>
      </c>
      <c r="F1757" t="s">
        <v>43</v>
      </c>
    </row>
    <row r="1758" spans="1:6">
      <c r="A1758" s="1">
        <v>45556</v>
      </c>
      <c r="B1758" s="2">
        <v>45556.484574571761</v>
      </c>
      <c r="C1758" t="s">
        <v>3</v>
      </c>
      <c r="D1758" t="s">
        <v>557</v>
      </c>
      <c r="E1758">
        <v>23.02</v>
      </c>
      <c r="F1758" t="s">
        <v>28</v>
      </c>
    </row>
    <row r="1759" spans="1:6">
      <c r="A1759" s="1">
        <v>45556</v>
      </c>
      <c r="B1759" s="2">
        <v>45556.485243020834</v>
      </c>
      <c r="C1759" t="s">
        <v>3</v>
      </c>
      <c r="D1759" t="s">
        <v>557</v>
      </c>
      <c r="E1759">
        <v>23.02</v>
      </c>
      <c r="F1759" t="s">
        <v>28</v>
      </c>
    </row>
    <row r="1760" spans="1:6">
      <c r="A1760" s="1">
        <v>45619</v>
      </c>
      <c r="B1760" s="2">
        <v>45619.382479918982</v>
      </c>
      <c r="C1760" t="s">
        <v>3</v>
      </c>
      <c r="D1760" t="s">
        <v>557</v>
      </c>
      <c r="E1760">
        <v>25.96</v>
      </c>
      <c r="F1760" t="s">
        <v>28</v>
      </c>
    </row>
    <row r="1761" spans="1:6">
      <c r="A1761" s="1">
        <v>45619</v>
      </c>
      <c r="B1761" s="2">
        <v>45619.383205775463</v>
      </c>
      <c r="C1761" t="s">
        <v>3</v>
      </c>
      <c r="D1761" t="s">
        <v>557</v>
      </c>
      <c r="E1761">
        <v>25.96</v>
      </c>
      <c r="F1761" t="s">
        <v>28</v>
      </c>
    </row>
    <row r="1762" spans="1:6">
      <c r="A1762" s="1">
        <v>45528</v>
      </c>
      <c r="B1762" s="2">
        <v>45528.429276446761</v>
      </c>
      <c r="C1762" t="s">
        <v>3</v>
      </c>
      <c r="D1762" t="s">
        <v>558</v>
      </c>
      <c r="E1762">
        <v>18.12</v>
      </c>
      <c r="F1762" t="s">
        <v>35</v>
      </c>
    </row>
    <row r="1763" spans="1:6">
      <c r="A1763" s="1">
        <v>45528</v>
      </c>
      <c r="B1763" s="2">
        <v>45528.4297715625</v>
      </c>
      <c r="C1763" t="s">
        <v>3</v>
      </c>
      <c r="D1763" t="s">
        <v>558</v>
      </c>
      <c r="E1763">
        <v>18.12</v>
      </c>
      <c r="F1763" t="s">
        <v>35</v>
      </c>
    </row>
    <row r="1764" spans="1:6">
      <c r="A1764" s="1">
        <v>45528</v>
      </c>
      <c r="B1764" s="2">
        <v>45528.430431053239</v>
      </c>
      <c r="C1764" t="s">
        <v>3</v>
      </c>
      <c r="D1764" t="s">
        <v>558</v>
      </c>
      <c r="E1764">
        <v>23.02</v>
      </c>
      <c r="F1764" t="s">
        <v>11</v>
      </c>
    </row>
    <row r="1765" spans="1:6">
      <c r="A1765" s="1">
        <v>45529</v>
      </c>
      <c r="B1765" s="2">
        <v>45529.391924363423</v>
      </c>
      <c r="C1765" t="s">
        <v>3</v>
      </c>
      <c r="D1765" t="s">
        <v>559</v>
      </c>
      <c r="E1765">
        <v>32.82</v>
      </c>
      <c r="F1765" t="s">
        <v>43</v>
      </c>
    </row>
    <row r="1766" spans="1:6">
      <c r="A1766" s="1">
        <v>45529</v>
      </c>
      <c r="B1766" s="2">
        <v>45529.528966469908</v>
      </c>
      <c r="C1766" t="s">
        <v>3</v>
      </c>
      <c r="D1766" t="s">
        <v>560</v>
      </c>
      <c r="E1766">
        <v>32.82</v>
      </c>
      <c r="F1766" t="s">
        <v>43</v>
      </c>
    </row>
    <row r="1767" spans="1:6">
      <c r="A1767" s="1">
        <v>45530</v>
      </c>
      <c r="B1767" s="2">
        <v>45530.442875740744</v>
      </c>
      <c r="C1767" t="s">
        <v>3</v>
      </c>
      <c r="D1767" t="s">
        <v>561</v>
      </c>
      <c r="E1767">
        <v>32.82</v>
      </c>
      <c r="F1767" t="s">
        <v>7</v>
      </c>
    </row>
    <row r="1768" spans="1:6">
      <c r="A1768" s="1">
        <v>45530</v>
      </c>
      <c r="B1768" s="2">
        <v>45530.443623113424</v>
      </c>
      <c r="C1768" t="s">
        <v>3</v>
      </c>
      <c r="D1768" t="s">
        <v>562</v>
      </c>
      <c r="E1768">
        <v>32.82</v>
      </c>
      <c r="F1768" t="s">
        <v>43</v>
      </c>
    </row>
    <row r="1769" spans="1:6">
      <c r="A1769" s="1">
        <v>45530</v>
      </c>
      <c r="B1769" s="2">
        <v>45530.787127199073</v>
      </c>
      <c r="C1769" t="s">
        <v>3</v>
      </c>
      <c r="D1769" t="s">
        <v>563</v>
      </c>
      <c r="E1769">
        <v>27.92</v>
      </c>
      <c r="F1769" t="s">
        <v>14</v>
      </c>
    </row>
    <row r="1770" spans="1:6">
      <c r="A1770" s="1">
        <v>45530</v>
      </c>
      <c r="B1770" s="2">
        <v>45530.787862164354</v>
      </c>
      <c r="C1770" t="s">
        <v>3</v>
      </c>
      <c r="D1770" t="s">
        <v>563</v>
      </c>
      <c r="E1770">
        <v>32.82</v>
      </c>
      <c r="F1770" t="s">
        <v>7</v>
      </c>
    </row>
    <row r="1771" spans="1:6">
      <c r="A1771" s="1">
        <v>45530</v>
      </c>
      <c r="B1771" s="2">
        <v>45530.955322974536</v>
      </c>
      <c r="C1771" t="s">
        <v>3</v>
      </c>
      <c r="D1771" t="s">
        <v>564</v>
      </c>
      <c r="E1771">
        <v>27.92</v>
      </c>
      <c r="F1771" t="s">
        <v>14</v>
      </c>
    </row>
    <row r="1772" spans="1:6">
      <c r="A1772" s="1">
        <v>45585</v>
      </c>
      <c r="B1772" s="2">
        <v>45585.928808344906</v>
      </c>
      <c r="C1772" t="s">
        <v>3</v>
      </c>
      <c r="D1772" t="s">
        <v>564</v>
      </c>
      <c r="E1772">
        <v>35.76</v>
      </c>
      <c r="F1772" t="s">
        <v>43</v>
      </c>
    </row>
    <row r="1773" spans="1:6">
      <c r="A1773" s="1">
        <v>45532</v>
      </c>
      <c r="B1773" s="2">
        <v>45532.505772824072</v>
      </c>
      <c r="C1773" t="s">
        <v>3</v>
      </c>
      <c r="D1773" t="s">
        <v>565</v>
      </c>
      <c r="E1773">
        <v>27.92</v>
      </c>
      <c r="F1773" t="s">
        <v>14</v>
      </c>
    </row>
    <row r="1774" spans="1:6">
      <c r="A1774" s="1">
        <v>45532</v>
      </c>
      <c r="B1774" s="2">
        <v>45532.506992349539</v>
      </c>
      <c r="C1774" t="s">
        <v>3</v>
      </c>
      <c r="D1774" t="s">
        <v>565</v>
      </c>
      <c r="E1774">
        <v>32.82</v>
      </c>
      <c r="F1774" t="s">
        <v>43</v>
      </c>
    </row>
    <row r="1775" spans="1:6">
      <c r="A1775" s="1">
        <v>45532</v>
      </c>
      <c r="B1775" s="2">
        <v>45532.575407395831</v>
      </c>
      <c r="C1775" t="s">
        <v>3</v>
      </c>
      <c r="D1775" t="s">
        <v>566</v>
      </c>
      <c r="E1775">
        <v>27.92</v>
      </c>
      <c r="F1775" t="s">
        <v>14</v>
      </c>
    </row>
    <row r="1776" spans="1:6">
      <c r="A1776" s="1">
        <v>45548</v>
      </c>
      <c r="B1776" s="2">
        <v>45548.660345972225</v>
      </c>
      <c r="C1776" t="s">
        <v>3</v>
      </c>
      <c r="D1776" t="s">
        <v>566</v>
      </c>
      <c r="E1776">
        <v>27.92</v>
      </c>
      <c r="F1776" t="s">
        <v>14</v>
      </c>
    </row>
    <row r="1777" spans="1:6">
      <c r="A1777" s="1">
        <v>45533</v>
      </c>
      <c r="B1777" s="2">
        <v>45533.31215646991</v>
      </c>
      <c r="C1777" t="s">
        <v>3</v>
      </c>
      <c r="D1777" t="s">
        <v>567</v>
      </c>
      <c r="E1777">
        <v>23.02</v>
      </c>
      <c r="F1777" t="s">
        <v>11</v>
      </c>
    </row>
    <row r="1778" spans="1:6">
      <c r="A1778" s="1">
        <v>45534</v>
      </c>
      <c r="B1778" s="2">
        <v>45534.717713969905</v>
      </c>
      <c r="C1778" t="s">
        <v>3</v>
      </c>
      <c r="D1778" t="s">
        <v>568</v>
      </c>
      <c r="E1778">
        <v>32.82</v>
      </c>
      <c r="F1778" t="s">
        <v>7</v>
      </c>
    </row>
    <row r="1779" spans="1:6">
      <c r="A1779" s="1">
        <v>45534</v>
      </c>
      <c r="B1779" s="2">
        <v>45534.71843508102</v>
      </c>
      <c r="C1779" t="s">
        <v>3</v>
      </c>
      <c r="D1779" t="s">
        <v>568</v>
      </c>
      <c r="E1779">
        <v>27.92</v>
      </c>
      <c r="F1779" t="s">
        <v>14</v>
      </c>
    </row>
    <row r="1780" spans="1:6">
      <c r="A1780" s="1">
        <v>45534</v>
      </c>
      <c r="B1780" s="2">
        <v>45534.719160289351</v>
      </c>
      <c r="C1780" t="s">
        <v>3</v>
      </c>
      <c r="D1780" t="s">
        <v>568</v>
      </c>
      <c r="E1780">
        <v>27.92</v>
      </c>
      <c r="F1780" t="s">
        <v>14</v>
      </c>
    </row>
    <row r="1781" spans="1:6">
      <c r="A1781" s="1">
        <v>45552</v>
      </c>
      <c r="B1781" s="2">
        <v>45552.381987905093</v>
      </c>
      <c r="C1781" t="s">
        <v>3</v>
      </c>
      <c r="D1781" t="s">
        <v>568</v>
      </c>
      <c r="E1781">
        <v>32.82</v>
      </c>
      <c r="F1781" t="s">
        <v>43</v>
      </c>
    </row>
    <row r="1782" spans="1:6">
      <c r="A1782" s="1">
        <v>45552</v>
      </c>
      <c r="B1782" s="2">
        <v>45552.382734039355</v>
      </c>
      <c r="C1782" t="s">
        <v>3</v>
      </c>
      <c r="D1782" t="s">
        <v>568</v>
      </c>
      <c r="E1782">
        <v>27.92</v>
      </c>
      <c r="F1782" t="s">
        <v>14</v>
      </c>
    </row>
    <row r="1783" spans="1:6">
      <c r="A1783" s="1">
        <v>45552</v>
      </c>
      <c r="B1783" s="2">
        <v>45552.579433240739</v>
      </c>
      <c r="C1783" t="s">
        <v>3</v>
      </c>
      <c r="D1783" t="s">
        <v>568</v>
      </c>
      <c r="E1783">
        <v>27.92</v>
      </c>
      <c r="F1783" t="s">
        <v>14</v>
      </c>
    </row>
    <row r="1784" spans="1:6">
      <c r="A1784" s="1">
        <v>45552</v>
      </c>
      <c r="B1784" s="2">
        <v>45552.687236296297</v>
      </c>
      <c r="C1784" t="s">
        <v>3</v>
      </c>
      <c r="D1784" t="s">
        <v>568</v>
      </c>
      <c r="E1784">
        <v>32.82</v>
      </c>
      <c r="F1784" t="s">
        <v>43</v>
      </c>
    </row>
    <row r="1785" spans="1:6">
      <c r="A1785" s="1">
        <v>45535</v>
      </c>
      <c r="B1785" s="2">
        <v>45535.418150381942</v>
      </c>
      <c r="C1785" t="s">
        <v>3</v>
      </c>
      <c r="D1785" t="s">
        <v>569</v>
      </c>
      <c r="E1785">
        <v>27.92</v>
      </c>
      <c r="F1785" t="s">
        <v>14</v>
      </c>
    </row>
    <row r="1786" spans="1:6">
      <c r="A1786" s="1">
        <v>45535</v>
      </c>
      <c r="B1786" s="2">
        <v>45535.432255520835</v>
      </c>
      <c r="C1786" t="s">
        <v>3</v>
      </c>
      <c r="D1786" t="s">
        <v>570</v>
      </c>
      <c r="E1786">
        <v>18.12</v>
      </c>
      <c r="F1786" t="s">
        <v>35</v>
      </c>
    </row>
    <row r="1787" spans="1:6">
      <c r="A1787" s="1">
        <v>45535</v>
      </c>
      <c r="B1787" s="2">
        <v>45535.479103831021</v>
      </c>
      <c r="C1787" t="s">
        <v>3</v>
      </c>
      <c r="D1787" t="s">
        <v>571</v>
      </c>
      <c r="E1787">
        <v>27.92</v>
      </c>
      <c r="F1787" t="s">
        <v>14</v>
      </c>
    </row>
    <row r="1788" spans="1:6">
      <c r="A1788" s="1">
        <v>45536</v>
      </c>
      <c r="B1788" s="2">
        <v>45536.507925289348</v>
      </c>
      <c r="C1788" t="s">
        <v>3</v>
      </c>
      <c r="D1788" t="s">
        <v>572</v>
      </c>
      <c r="E1788">
        <v>32.82</v>
      </c>
      <c r="F1788" t="s">
        <v>43</v>
      </c>
    </row>
    <row r="1789" spans="1:6">
      <c r="A1789" s="1">
        <v>45536</v>
      </c>
      <c r="B1789" s="2">
        <v>45536.53492416667</v>
      </c>
      <c r="C1789" t="s">
        <v>3</v>
      </c>
      <c r="D1789" t="s">
        <v>573</v>
      </c>
      <c r="E1789">
        <v>27.92</v>
      </c>
      <c r="F1789" t="s">
        <v>14</v>
      </c>
    </row>
    <row r="1790" spans="1:6">
      <c r="A1790" s="1">
        <v>45536</v>
      </c>
      <c r="B1790" s="2">
        <v>45536.581642916666</v>
      </c>
      <c r="C1790" t="s">
        <v>3</v>
      </c>
      <c r="D1790" t="s">
        <v>574</v>
      </c>
      <c r="E1790">
        <v>32.82</v>
      </c>
      <c r="F1790" t="s">
        <v>7</v>
      </c>
    </row>
    <row r="1791" spans="1:6">
      <c r="A1791" s="1">
        <v>45536</v>
      </c>
      <c r="B1791" s="2">
        <v>45536.722758414355</v>
      </c>
      <c r="C1791" t="s">
        <v>3</v>
      </c>
      <c r="D1791" t="s">
        <v>575</v>
      </c>
      <c r="E1791">
        <v>32.82</v>
      </c>
      <c r="F1791" t="s">
        <v>7</v>
      </c>
    </row>
    <row r="1792" spans="1:6">
      <c r="A1792" s="1">
        <v>45536</v>
      </c>
      <c r="B1792" s="2">
        <v>45536.72446607639</v>
      </c>
      <c r="C1792" t="s">
        <v>3</v>
      </c>
      <c r="D1792" t="s">
        <v>576</v>
      </c>
      <c r="E1792">
        <v>32.82</v>
      </c>
      <c r="F1792" t="s">
        <v>7</v>
      </c>
    </row>
    <row r="1793" spans="1:6">
      <c r="A1793" s="1">
        <v>45536</v>
      </c>
      <c r="B1793" s="2">
        <v>45536.725575104167</v>
      </c>
      <c r="C1793" t="s">
        <v>3</v>
      </c>
      <c r="D1793" t="s">
        <v>577</v>
      </c>
      <c r="E1793">
        <v>32.82</v>
      </c>
      <c r="F1793" t="s">
        <v>7</v>
      </c>
    </row>
    <row r="1794" spans="1:6">
      <c r="A1794" s="1">
        <v>45537</v>
      </c>
      <c r="B1794" s="2">
        <v>45537.368259791663</v>
      </c>
      <c r="C1794" t="s">
        <v>3</v>
      </c>
      <c r="D1794" t="s">
        <v>578</v>
      </c>
      <c r="E1794">
        <v>27.92</v>
      </c>
      <c r="F1794" t="s">
        <v>14</v>
      </c>
    </row>
    <row r="1795" spans="1:6">
      <c r="A1795" s="1">
        <v>45537</v>
      </c>
      <c r="B1795" s="2">
        <v>45537.369133657405</v>
      </c>
      <c r="C1795" t="s">
        <v>3</v>
      </c>
      <c r="D1795" t="s">
        <v>579</v>
      </c>
      <c r="E1795">
        <v>32.82</v>
      </c>
      <c r="F1795" t="s">
        <v>7</v>
      </c>
    </row>
    <row r="1796" spans="1:6">
      <c r="A1796" s="1">
        <v>45539</v>
      </c>
      <c r="B1796" s="2">
        <v>45539.537168055555</v>
      </c>
      <c r="C1796" t="s">
        <v>3</v>
      </c>
      <c r="D1796" t="s">
        <v>579</v>
      </c>
      <c r="E1796">
        <v>32.82</v>
      </c>
      <c r="F1796" t="s">
        <v>7</v>
      </c>
    </row>
    <row r="1797" spans="1:6">
      <c r="A1797" s="1">
        <v>45547</v>
      </c>
      <c r="B1797" s="2">
        <v>45547.505812013886</v>
      </c>
      <c r="C1797" t="s">
        <v>3</v>
      </c>
      <c r="D1797" t="s">
        <v>579</v>
      </c>
      <c r="E1797">
        <v>32.82</v>
      </c>
      <c r="F1797" t="s">
        <v>43</v>
      </c>
    </row>
    <row r="1798" spans="1:6">
      <c r="A1798" s="1">
        <v>45537</v>
      </c>
      <c r="B1798" s="2">
        <v>45537.624156747683</v>
      </c>
      <c r="C1798" t="s">
        <v>3</v>
      </c>
      <c r="D1798" t="s">
        <v>580</v>
      </c>
      <c r="E1798">
        <v>27.92</v>
      </c>
      <c r="F1798" t="s">
        <v>14</v>
      </c>
    </row>
    <row r="1799" spans="1:6">
      <c r="A1799" s="1">
        <v>45537</v>
      </c>
      <c r="B1799" s="2">
        <v>45537.840091701386</v>
      </c>
      <c r="C1799" t="s">
        <v>3</v>
      </c>
      <c r="D1799" t="s">
        <v>581</v>
      </c>
      <c r="E1799">
        <v>32.82</v>
      </c>
      <c r="F1799" t="s">
        <v>43</v>
      </c>
    </row>
    <row r="1800" spans="1:6">
      <c r="A1800" s="1">
        <v>45537</v>
      </c>
      <c r="B1800" s="2">
        <v>45537.86981462963</v>
      </c>
      <c r="C1800" t="s">
        <v>3</v>
      </c>
      <c r="D1800" t="s">
        <v>582</v>
      </c>
      <c r="E1800">
        <v>23.02</v>
      </c>
      <c r="F1800" t="s">
        <v>11</v>
      </c>
    </row>
    <row r="1801" spans="1:6">
      <c r="A1801" s="1">
        <v>45537</v>
      </c>
      <c r="B1801" s="2">
        <v>45537.870475578704</v>
      </c>
      <c r="C1801" t="s">
        <v>3</v>
      </c>
      <c r="D1801" t="s">
        <v>582</v>
      </c>
      <c r="E1801">
        <v>23.02</v>
      </c>
      <c r="F1801" t="s">
        <v>11</v>
      </c>
    </row>
    <row r="1802" spans="1:6">
      <c r="A1802" s="1">
        <v>45538</v>
      </c>
      <c r="B1802" s="2">
        <v>45538.348788981479</v>
      </c>
      <c r="C1802" t="s">
        <v>3</v>
      </c>
      <c r="D1802" t="s">
        <v>583</v>
      </c>
      <c r="E1802">
        <v>32.82</v>
      </c>
      <c r="F1802" t="s">
        <v>18</v>
      </c>
    </row>
    <row r="1803" spans="1:6">
      <c r="A1803" s="1">
        <v>45538</v>
      </c>
      <c r="B1803" s="2">
        <v>45538.361940949071</v>
      </c>
      <c r="C1803" t="s">
        <v>3</v>
      </c>
      <c r="D1803" t="s">
        <v>584</v>
      </c>
      <c r="E1803">
        <v>32.82</v>
      </c>
      <c r="F1803" t="s">
        <v>7</v>
      </c>
    </row>
    <row r="1804" spans="1:6">
      <c r="A1804" s="1">
        <v>45544</v>
      </c>
      <c r="B1804" s="2">
        <v>45544.330991539355</v>
      </c>
      <c r="C1804" t="s">
        <v>3</v>
      </c>
      <c r="D1804" t="s">
        <v>584</v>
      </c>
      <c r="E1804">
        <v>32.82</v>
      </c>
      <c r="F1804" t="s">
        <v>7</v>
      </c>
    </row>
    <row r="1805" spans="1:6">
      <c r="A1805" s="1">
        <v>45548</v>
      </c>
      <c r="B1805" s="2">
        <v>45548.331177812499</v>
      </c>
      <c r="C1805" t="s">
        <v>3</v>
      </c>
      <c r="D1805" t="s">
        <v>584</v>
      </c>
      <c r="E1805">
        <v>32.82</v>
      </c>
      <c r="F1805" t="s">
        <v>7</v>
      </c>
    </row>
    <row r="1806" spans="1:6">
      <c r="A1806" s="1">
        <v>45561</v>
      </c>
      <c r="B1806" s="2">
        <v>45561.363600104167</v>
      </c>
      <c r="C1806" t="s">
        <v>3</v>
      </c>
      <c r="D1806" t="s">
        <v>584</v>
      </c>
      <c r="E1806">
        <v>32.82</v>
      </c>
      <c r="F1806" t="s">
        <v>7</v>
      </c>
    </row>
    <row r="1807" spans="1:6">
      <c r="A1807" s="1">
        <v>45574</v>
      </c>
      <c r="B1807" s="2">
        <v>45574.329659710646</v>
      </c>
      <c r="C1807" t="s">
        <v>3</v>
      </c>
      <c r="D1807" t="s">
        <v>584</v>
      </c>
      <c r="E1807">
        <v>35.76</v>
      </c>
      <c r="F1807" t="s">
        <v>7</v>
      </c>
    </row>
    <row r="1808" spans="1:6">
      <c r="A1808" s="1">
        <v>45576</v>
      </c>
      <c r="B1808" s="2">
        <v>45576.352996250003</v>
      </c>
      <c r="C1808" t="s">
        <v>3</v>
      </c>
      <c r="D1808" t="s">
        <v>584</v>
      </c>
      <c r="E1808">
        <v>35.76</v>
      </c>
      <c r="F1808" t="s">
        <v>7</v>
      </c>
    </row>
    <row r="1809" spans="1:6">
      <c r="A1809" s="1">
        <v>45576</v>
      </c>
      <c r="B1809" s="2">
        <v>45576.353731365743</v>
      </c>
      <c r="C1809" t="s">
        <v>3</v>
      </c>
      <c r="D1809" t="s">
        <v>584</v>
      </c>
      <c r="E1809">
        <v>35.76</v>
      </c>
      <c r="F1809" t="s">
        <v>18</v>
      </c>
    </row>
    <row r="1810" spans="1:6">
      <c r="A1810" s="1">
        <v>45581</v>
      </c>
      <c r="B1810" s="2">
        <v>45581.392953414354</v>
      </c>
      <c r="C1810" t="s">
        <v>3</v>
      </c>
      <c r="D1810" t="s">
        <v>584</v>
      </c>
      <c r="E1810">
        <v>35.76</v>
      </c>
      <c r="F1810" t="s">
        <v>7</v>
      </c>
    </row>
    <row r="1811" spans="1:6">
      <c r="A1811" s="1">
        <v>45582</v>
      </c>
      <c r="B1811" s="2">
        <v>45582.332022719907</v>
      </c>
      <c r="C1811" t="s">
        <v>3</v>
      </c>
      <c r="D1811" t="s">
        <v>584</v>
      </c>
      <c r="E1811">
        <v>35.76</v>
      </c>
      <c r="F1811" t="s">
        <v>7</v>
      </c>
    </row>
    <row r="1812" spans="1:6">
      <c r="A1812" s="1">
        <v>45585</v>
      </c>
      <c r="B1812" s="2">
        <v>45585.361619976851</v>
      </c>
      <c r="C1812" t="s">
        <v>3</v>
      </c>
      <c r="D1812" t="s">
        <v>584</v>
      </c>
      <c r="E1812">
        <v>35.76</v>
      </c>
      <c r="F1812" t="s">
        <v>7</v>
      </c>
    </row>
    <row r="1813" spans="1:6">
      <c r="A1813" s="1">
        <v>45585</v>
      </c>
      <c r="B1813" s="2">
        <v>45585.362389710652</v>
      </c>
      <c r="C1813" t="s">
        <v>3</v>
      </c>
      <c r="D1813" t="s">
        <v>584</v>
      </c>
      <c r="E1813">
        <v>35.76</v>
      </c>
      <c r="F1813" t="s">
        <v>18</v>
      </c>
    </row>
    <row r="1814" spans="1:6">
      <c r="A1814" s="1">
        <v>45590</v>
      </c>
      <c r="B1814" s="2">
        <v>45590.340333483793</v>
      </c>
      <c r="C1814" t="s">
        <v>3</v>
      </c>
      <c r="D1814" t="s">
        <v>584</v>
      </c>
      <c r="E1814">
        <v>35.76</v>
      </c>
      <c r="F1814" t="s">
        <v>18</v>
      </c>
    </row>
    <row r="1815" spans="1:6">
      <c r="A1815" s="1">
        <v>45590</v>
      </c>
      <c r="B1815" s="2">
        <v>45590.340909340281</v>
      </c>
      <c r="C1815" t="s">
        <v>3</v>
      </c>
      <c r="D1815" t="s">
        <v>584</v>
      </c>
      <c r="E1815">
        <v>35.76</v>
      </c>
      <c r="F1815" t="s">
        <v>7</v>
      </c>
    </row>
    <row r="1816" spans="1:6">
      <c r="A1816" s="1">
        <v>45594</v>
      </c>
      <c r="B1816" s="2">
        <v>45594.397195370373</v>
      </c>
      <c r="C1816" t="s">
        <v>3</v>
      </c>
      <c r="D1816" t="s">
        <v>584</v>
      </c>
      <c r="E1816">
        <v>35.76</v>
      </c>
      <c r="F1816" t="s">
        <v>7</v>
      </c>
    </row>
    <row r="1817" spans="1:6">
      <c r="A1817" s="1">
        <v>45602</v>
      </c>
      <c r="B1817" s="2">
        <v>45602.34126296296</v>
      </c>
      <c r="C1817" t="s">
        <v>3</v>
      </c>
      <c r="D1817" t="s">
        <v>584</v>
      </c>
      <c r="E1817">
        <v>35.76</v>
      </c>
      <c r="F1817" t="s">
        <v>7</v>
      </c>
    </row>
    <row r="1818" spans="1:6">
      <c r="A1818" s="1">
        <v>45605</v>
      </c>
      <c r="B1818" s="2">
        <v>45605.677637060187</v>
      </c>
      <c r="C1818" t="s">
        <v>3</v>
      </c>
      <c r="D1818" t="s">
        <v>584</v>
      </c>
      <c r="E1818">
        <v>35.76</v>
      </c>
      <c r="F1818" t="s">
        <v>7</v>
      </c>
    </row>
    <row r="1819" spans="1:6">
      <c r="A1819" s="1">
        <v>45605</v>
      </c>
      <c r="B1819" s="2">
        <v>45605.678384537037</v>
      </c>
      <c r="C1819" t="s">
        <v>3</v>
      </c>
      <c r="D1819" t="s">
        <v>584</v>
      </c>
      <c r="E1819">
        <v>35.76</v>
      </c>
      <c r="F1819" t="s">
        <v>18</v>
      </c>
    </row>
    <row r="1820" spans="1:6">
      <c r="A1820" s="1">
        <v>45614</v>
      </c>
      <c r="B1820" s="2">
        <v>45614.331506921299</v>
      </c>
      <c r="C1820" t="s">
        <v>3</v>
      </c>
      <c r="D1820" t="s">
        <v>584</v>
      </c>
      <c r="E1820">
        <v>35.76</v>
      </c>
      <c r="F1820" t="s">
        <v>7</v>
      </c>
    </row>
    <row r="1821" spans="1:6">
      <c r="A1821" s="1">
        <v>45620</v>
      </c>
      <c r="B1821" s="2">
        <v>45620.34522560185</v>
      </c>
      <c r="C1821" t="s">
        <v>3</v>
      </c>
      <c r="D1821" t="s">
        <v>584</v>
      </c>
      <c r="E1821">
        <v>35.76</v>
      </c>
      <c r="F1821" t="s">
        <v>7</v>
      </c>
    </row>
    <row r="1822" spans="1:6">
      <c r="A1822" s="1">
        <v>45622</v>
      </c>
      <c r="B1822" s="2">
        <v>45622.329605856481</v>
      </c>
      <c r="C1822" t="s">
        <v>3</v>
      </c>
      <c r="D1822" t="s">
        <v>584</v>
      </c>
      <c r="E1822">
        <v>35.76</v>
      </c>
      <c r="F1822" t="s">
        <v>7</v>
      </c>
    </row>
    <row r="1823" spans="1:6">
      <c r="A1823" s="1">
        <v>45625</v>
      </c>
      <c r="B1823" s="2">
        <v>45625.331737858796</v>
      </c>
      <c r="C1823" t="s">
        <v>3</v>
      </c>
      <c r="D1823" t="s">
        <v>584</v>
      </c>
      <c r="E1823">
        <v>35.76</v>
      </c>
      <c r="F1823" t="s">
        <v>7</v>
      </c>
    </row>
    <row r="1824" spans="1:6">
      <c r="A1824" s="1">
        <v>45626</v>
      </c>
      <c r="B1824" s="2">
        <v>45626.540418310185</v>
      </c>
      <c r="C1824" t="s">
        <v>3</v>
      </c>
      <c r="D1824" t="s">
        <v>584</v>
      </c>
      <c r="E1824">
        <v>35.76</v>
      </c>
      <c r="F1824" t="s">
        <v>18</v>
      </c>
    </row>
    <row r="1825" spans="1:6">
      <c r="A1825" s="1">
        <v>45629</v>
      </c>
      <c r="B1825" s="2">
        <v>45629.341193738423</v>
      </c>
      <c r="C1825" t="s">
        <v>3</v>
      </c>
      <c r="D1825" t="s">
        <v>584</v>
      </c>
      <c r="E1825">
        <v>35.76</v>
      </c>
      <c r="F1825" t="s">
        <v>7</v>
      </c>
    </row>
    <row r="1826" spans="1:6">
      <c r="A1826" s="1">
        <v>45637</v>
      </c>
      <c r="B1826" s="2">
        <v>45637.326226724537</v>
      </c>
      <c r="C1826" t="s">
        <v>3</v>
      </c>
      <c r="D1826" t="s">
        <v>584</v>
      </c>
      <c r="E1826">
        <v>35.76</v>
      </c>
      <c r="F1826" t="s">
        <v>7</v>
      </c>
    </row>
    <row r="1827" spans="1:6">
      <c r="A1827" s="1">
        <v>45641</v>
      </c>
      <c r="B1827" s="2">
        <v>45641.464870451389</v>
      </c>
      <c r="C1827" t="s">
        <v>3</v>
      </c>
      <c r="D1827" t="s">
        <v>584</v>
      </c>
      <c r="E1827">
        <v>35.76</v>
      </c>
      <c r="F1827" t="s">
        <v>7</v>
      </c>
    </row>
    <row r="1828" spans="1:6">
      <c r="A1828" s="1">
        <v>45641</v>
      </c>
      <c r="B1828" s="2">
        <v>45641.465575150462</v>
      </c>
      <c r="C1828" t="s">
        <v>3</v>
      </c>
      <c r="D1828" t="s">
        <v>584</v>
      </c>
      <c r="E1828">
        <v>35.76</v>
      </c>
      <c r="F1828" t="s">
        <v>18</v>
      </c>
    </row>
    <row r="1829" spans="1:6">
      <c r="A1829" s="1">
        <v>45642</v>
      </c>
      <c r="B1829" s="2">
        <v>45642.327990497688</v>
      </c>
      <c r="C1829" t="s">
        <v>3</v>
      </c>
      <c r="D1829" t="s">
        <v>584</v>
      </c>
      <c r="E1829">
        <v>35.76</v>
      </c>
      <c r="F1829" t="s">
        <v>7</v>
      </c>
    </row>
    <row r="1830" spans="1:6">
      <c r="A1830" s="1">
        <v>45649</v>
      </c>
      <c r="B1830" s="2">
        <v>45649.483268842596</v>
      </c>
      <c r="C1830" t="s">
        <v>3</v>
      </c>
      <c r="D1830" t="s">
        <v>584</v>
      </c>
      <c r="E1830">
        <v>35.76</v>
      </c>
      <c r="F1830" t="s">
        <v>43</v>
      </c>
    </row>
    <row r="1831" spans="1:6">
      <c r="A1831" s="1">
        <v>45654</v>
      </c>
      <c r="B1831" s="2">
        <v>45654.452813946758</v>
      </c>
      <c r="C1831" t="s">
        <v>3</v>
      </c>
      <c r="D1831" t="s">
        <v>584</v>
      </c>
      <c r="E1831">
        <v>35.76</v>
      </c>
      <c r="F1831" t="s">
        <v>7</v>
      </c>
    </row>
    <row r="1832" spans="1:6">
      <c r="A1832" s="1">
        <v>45666</v>
      </c>
      <c r="B1832" s="2">
        <v>45666.372624247684</v>
      </c>
      <c r="C1832" t="s">
        <v>3</v>
      </c>
      <c r="D1832" t="s">
        <v>584</v>
      </c>
      <c r="E1832">
        <v>35.76</v>
      </c>
      <c r="F1832" t="s">
        <v>7</v>
      </c>
    </row>
    <row r="1833" spans="1:6">
      <c r="A1833" s="1">
        <v>45538</v>
      </c>
      <c r="B1833" s="2">
        <v>45538.377227696757</v>
      </c>
      <c r="C1833" t="s">
        <v>3</v>
      </c>
      <c r="D1833" t="s">
        <v>585</v>
      </c>
      <c r="E1833">
        <v>27.92</v>
      </c>
      <c r="F1833" t="s">
        <v>14</v>
      </c>
    </row>
    <row r="1834" spans="1:6">
      <c r="A1834" s="1">
        <v>45538</v>
      </c>
      <c r="B1834" s="2">
        <v>45538.377913773147</v>
      </c>
      <c r="C1834" t="s">
        <v>3</v>
      </c>
      <c r="D1834" t="s">
        <v>585</v>
      </c>
      <c r="E1834">
        <v>32.82</v>
      </c>
      <c r="F1834" t="s">
        <v>43</v>
      </c>
    </row>
    <row r="1835" spans="1:6">
      <c r="A1835" s="1">
        <v>45581</v>
      </c>
      <c r="B1835" s="2">
        <v>45581.427638240741</v>
      </c>
      <c r="C1835" t="s">
        <v>3</v>
      </c>
      <c r="D1835" t="s">
        <v>585</v>
      </c>
      <c r="E1835">
        <v>30.86</v>
      </c>
      <c r="F1835" t="s">
        <v>14</v>
      </c>
    </row>
    <row r="1836" spans="1:6">
      <c r="A1836" s="1">
        <v>45581</v>
      </c>
      <c r="B1836" s="2">
        <v>45581.428399756944</v>
      </c>
      <c r="C1836" t="s">
        <v>3</v>
      </c>
      <c r="D1836" t="s">
        <v>585</v>
      </c>
      <c r="E1836">
        <v>30.86</v>
      </c>
      <c r="F1836" t="s">
        <v>14</v>
      </c>
    </row>
    <row r="1837" spans="1:6">
      <c r="A1837" s="1">
        <v>45595</v>
      </c>
      <c r="B1837" s="2">
        <v>45595.36558769676</v>
      </c>
      <c r="C1837" t="s">
        <v>3</v>
      </c>
      <c r="D1837" t="s">
        <v>585</v>
      </c>
      <c r="E1837">
        <v>30.86</v>
      </c>
      <c r="F1837" t="s">
        <v>14</v>
      </c>
    </row>
    <row r="1838" spans="1:6">
      <c r="A1838" s="1">
        <v>45595</v>
      </c>
      <c r="B1838" s="2">
        <v>45595.366311122685</v>
      </c>
      <c r="C1838" t="s">
        <v>3</v>
      </c>
      <c r="D1838" t="s">
        <v>585</v>
      </c>
      <c r="E1838">
        <v>30.86</v>
      </c>
      <c r="F1838" t="s">
        <v>14</v>
      </c>
    </row>
    <row r="1839" spans="1:6">
      <c r="A1839" s="1">
        <v>45538</v>
      </c>
      <c r="B1839" s="2">
        <v>45538.383890671299</v>
      </c>
      <c r="C1839" t="s">
        <v>3</v>
      </c>
      <c r="D1839" t="s">
        <v>586</v>
      </c>
      <c r="E1839">
        <v>32.82</v>
      </c>
      <c r="F1839" t="s">
        <v>18</v>
      </c>
    </row>
    <row r="1840" spans="1:6">
      <c r="A1840" s="1">
        <v>45538</v>
      </c>
      <c r="B1840" s="2">
        <v>45538.384417303241</v>
      </c>
      <c r="C1840" t="s">
        <v>3</v>
      </c>
      <c r="D1840" t="s">
        <v>586</v>
      </c>
      <c r="E1840">
        <v>32.82</v>
      </c>
      <c r="F1840" t="s">
        <v>18</v>
      </c>
    </row>
    <row r="1841" spans="1:6">
      <c r="A1841" s="1">
        <v>45538</v>
      </c>
      <c r="B1841" s="2">
        <v>45538.389087615738</v>
      </c>
      <c r="C1841" t="s">
        <v>3</v>
      </c>
      <c r="D1841" t="s">
        <v>587</v>
      </c>
      <c r="E1841">
        <v>27.92</v>
      </c>
      <c r="F1841" t="s">
        <v>14</v>
      </c>
    </row>
    <row r="1842" spans="1:6">
      <c r="A1842" s="1">
        <v>45558</v>
      </c>
      <c r="B1842" s="2">
        <v>45558.589490115737</v>
      </c>
      <c r="C1842" t="s">
        <v>3</v>
      </c>
      <c r="D1842" t="s">
        <v>587</v>
      </c>
      <c r="E1842">
        <v>27.92</v>
      </c>
      <c r="F1842" t="s">
        <v>14</v>
      </c>
    </row>
    <row r="1843" spans="1:6">
      <c r="A1843" s="1">
        <v>45538</v>
      </c>
      <c r="B1843" s="2">
        <v>45538.40130002315</v>
      </c>
      <c r="C1843" t="s">
        <v>3</v>
      </c>
      <c r="D1843" t="s">
        <v>588</v>
      </c>
      <c r="E1843">
        <v>32.82</v>
      </c>
      <c r="F1843" t="s">
        <v>7</v>
      </c>
    </row>
    <row r="1844" spans="1:6">
      <c r="A1844" s="1">
        <v>45538</v>
      </c>
      <c r="B1844" s="2">
        <v>45538.402041655092</v>
      </c>
      <c r="C1844" t="s">
        <v>3</v>
      </c>
      <c r="D1844" t="s">
        <v>589</v>
      </c>
      <c r="E1844">
        <v>32.82</v>
      </c>
      <c r="F1844" t="s">
        <v>18</v>
      </c>
    </row>
    <row r="1845" spans="1:6">
      <c r="A1845" s="1">
        <v>45538</v>
      </c>
      <c r="B1845" s="2">
        <v>45538.539507048612</v>
      </c>
      <c r="C1845" t="s">
        <v>3</v>
      </c>
      <c r="D1845" t="s">
        <v>590</v>
      </c>
      <c r="E1845">
        <v>23.02</v>
      </c>
      <c r="F1845" t="s">
        <v>28</v>
      </c>
    </row>
    <row r="1846" spans="1:6">
      <c r="A1846" s="1">
        <v>45539</v>
      </c>
      <c r="B1846" s="2">
        <v>45539.466221921299</v>
      </c>
      <c r="C1846" t="s">
        <v>3</v>
      </c>
      <c r="D1846" t="s">
        <v>591</v>
      </c>
      <c r="E1846">
        <v>27.92</v>
      </c>
      <c r="F1846" t="s">
        <v>14</v>
      </c>
    </row>
    <row r="1847" spans="1:6">
      <c r="A1847" s="1">
        <v>45539</v>
      </c>
      <c r="B1847" s="2">
        <v>45539.496926932872</v>
      </c>
      <c r="C1847" t="s">
        <v>3</v>
      </c>
      <c r="D1847" t="s">
        <v>592</v>
      </c>
      <c r="E1847">
        <v>27.92</v>
      </c>
      <c r="F1847" t="s">
        <v>14</v>
      </c>
    </row>
    <row r="1848" spans="1:6">
      <c r="A1848" s="1">
        <v>45539</v>
      </c>
      <c r="B1848" s="2">
        <v>45539.544335763887</v>
      </c>
      <c r="C1848" t="s">
        <v>3</v>
      </c>
      <c r="D1848" t="s">
        <v>593</v>
      </c>
      <c r="E1848">
        <v>32.82</v>
      </c>
      <c r="F1848" t="s">
        <v>7</v>
      </c>
    </row>
    <row r="1849" spans="1:6">
      <c r="A1849" s="1">
        <v>45539</v>
      </c>
      <c r="B1849" s="2">
        <v>45539.545325231484</v>
      </c>
      <c r="C1849" t="s">
        <v>3</v>
      </c>
      <c r="D1849" t="s">
        <v>593</v>
      </c>
      <c r="E1849">
        <v>27.92</v>
      </c>
      <c r="F1849" t="s">
        <v>14</v>
      </c>
    </row>
    <row r="1850" spans="1:6">
      <c r="A1850" s="1">
        <v>45631</v>
      </c>
      <c r="B1850" s="2">
        <v>45631.480535405091</v>
      </c>
      <c r="C1850" t="s">
        <v>3</v>
      </c>
      <c r="D1850" t="s">
        <v>593</v>
      </c>
      <c r="E1850">
        <v>35.76</v>
      </c>
      <c r="F1850" t="s">
        <v>7</v>
      </c>
    </row>
    <row r="1851" spans="1:6">
      <c r="A1851" s="1">
        <v>45539</v>
      </c>
      <c r="B1851" s="2">
        <v>45539.75262644676</v>
      </c>
      <c r="C1851" t="s">
        <v>3</v>
      </c>
      <c r="D1851" t="s">
        <v>594</v>
      </c>
      <c r="E1851">
        <v>32.82</v>
      </c>
      <c r="F1851" t="s">
        <v>43</v>
      </c>
    </row>
    <row r="1852" spans="1:6">
      <c r="A1852" s="1">
        <v>45540</v>
      </c>
      <c r="B1852" s="2">
        <v>45540.436761886573</v>
      </c>
      <c r="C1852" t="s">
        <v>3</v>
      </c>
      <c r="D1852" t="s">
        <v>595</v>
      </c>
      <c r="E1852">
        <v>27.92</v>
      </c>
      <c r="F1852" t="s">
        <v>14</v>
      </c>
    </row>
    <row r="1853" spans="1:6">
      <c r="A1853" s="1">
        <v>45540</v>
      </c>
      <c r="B1853" s="2">
        <v>45540.583654305556</v>
      </c>
      <c r="C1853" t="s">
        <v>3</v>
      </c>
      <c r="D1853" t="s">
        <v>596</v>
      </c>
      <c r="E1853">
        <v>32.82</v>
      </c>
      <c r="F1853" t="s">
        <v>7</v>
      </c>
    </row>
    <row r="1854" spans="1:6">
      <c r="A1854" s="1">
        <v>45541</v>
      </c>
      <c r="B1854" s="2">
        <v>45541.351086458337</v>
      </c>
      <c r="C1854" t="s">
        <v>3</v>
      </c>
      <c r="D1854" t="s">
        <v>596</v>
      </c>
      <c r="E1854">
        <v>32.82</v>
      </c>
      <c r="F1854" t="s">
        <v>43</v>
      </c>
    </row>
    <row r="1855" spans="1:6">
      <c r="A1855" s="1">
        <v>45544</v>
      </c>
      <c r="B1855" s="2">
        <v>45544.329068935185</v>
      </c>
      <c r="C1855" t="s">
        <v>3</v>
      </c>
      <c r="D1855" t="s">
        <v>596</v>
      </c>
      <c r="E1855">
        <v>32.82</v>
      </c>
      <c r="F1855" t="s">
        <v>43</v>
      </c>
    </row>
    <row r="1856" spans="1:6">
      <c r="A1856" s="1">
        <v>45540</v>
      </c>
      <c r="B1856" s="2">
        <v>45540.642503958334</v>
      </c>
      <c r="C1856" t="s">
        <v>3</v>
      </c>
      <c r="D1856" t="s">
        <v>597</v>
      </c>
      <c r="E1856">
        <v>32.82</v>
      </c>
      <c r="F1856" t="s">
        <v>7</v>
      </c>
    </row>
    <row r="1857" spans="1:6">
      <c r="A1857" s="1">
        <v>45544</v>
      </c>
      <c r="B1857" s="2">
        <v>45544.409614629629</v>
      </c>
      <c r="C1857" t="s">
        <v>3</v>
      </c>
      <c r="D1857" t="s">
        <v>597</v>
      </c>
      <c r="E1857">
        <v>32.82</v>
      </c>
      <c r="F1857" t="s">
        <v>7</v>
      </c>
    </row>
    <row r="1858" spans="1:6">
      <c r="A1858" s="1">
        <v>45544</v>
      </c>
      <c r="B1858" s="2">
        <v>45544.410321041665</v>
      </c>
      <c r="C1858" t="s">
        <v>3</v>
      </c>
      <c r="D1858" t="s">
        <v>597</v>
      </c>
      <c r="E1858">
        <v>32.82</v>
      </c>
      <c r="F1858" t="s">
        <v>9</v>
      </c>
    </row>
    <row r="1859" spans="1:6">
      <c r="A1859" s="1">
        <v>45559</v>
      </c>
      <c r="B1859" s="2">
        <v>45559.693614537035</v>
      </c>
      <c r="C1859" t="s">
        <v>3</v>
      </c>
      <c r="D1859" t="s">
        <v>597</v>
      </c>
      <c r="E1859">
        <v>32.82</v>
      </c>
      <c r="F1859" t="s">
        <v>7</v>
      </c>
    </row>
    <row r="1860" spans="1:6">
      <c r="A1860" s="1">
        <v>45540</v>
      </c>
      <c r="B1860" s="2">
        <v>45540.693638715275</v>
      </c>
      <c r="C1860" t="s">
        <v>3</v>
      </c>
      <c r="D1860" t="s">
        <v>598</v>
      </c>
      <c r="E1860">
        <v>23.02</v>
      </c>
      <c r="F1860" t="s">
        <v>11</v>
      </c>
    </row>
    <row r="1861" spans="1:6">
      <c r="A1861" s="1">
        <v>45546</v>
      </c>
      <c r="B1861" s="2">
        <v>45546.87609056713</v>
      </c>
      <c r="C1861" t="s">
        <v>3</v>
      </c>
      <c r="D1861" t="s">
        <v>598</v>
      </c>
      <c r="E1861">
        <v>23.02</v>
      </c>
      <c r="F1861" t="s">
        <v>28</v>
      </c>
    </row>
    <row r="1862" spans="1:6">
      <c r="A1862" s="1">
        <v>45551</v>
      </c>
      <c r="B1862" s="2">
        <v>45551.565008877318</v>
      </c>
      <c r="C1862" t="s">
        <v>3</v>
      </c>
      <c r="D1862" t="s">
        <v>598</v>
      </c>
      <c r="E1862">
        <v>27.92</v>
      </c>
      <c r="F1862" t="s">
        <v>14</v>
      </c>
    </row>
    <row r="1863" spans="1:6">
      <c r="A1863" s="1">
        <v>45558</v>
      </c>
      <c r="B1863" s="2">
        <v>45558.507689259262</v>
      </c>
      <c r="C1863" t="s">
        <v>3</v>
      </c>
      <c r="D1863" t="s">
        <v>598</v>
      </c>
      <c r="E1863">
        <v>23.02</v>
      </c>
      <c r="F1863" t="s">
        <v>11</v>
      </c>
    </row>
    <row r="1864" spans="1:6">
      <c r="A1864" s="1">
        <v>45540</v>
      </c>
      <c r="B1864" s="2">
        <v>45540.694440208332</v>
      </c>
      <c r="C1864" t="s">
        <v>3</v>
      </c>
      <c r="D1864" t="s">
        <v>599</v>
      </c>
      <c r="E1864">
        <v>27.92</v>
      </c>
      <c r="F1864" t="s">
        <v>14</v>
      </c>
    </row>
    <row r="1865" spans="1:6">
      <c r="A1865" s="1">
        <v>45566</v>
      </c>
      <c r="B1865" s="2">
        <v>45566.835672951391</v>
      </c>
      <c r="C1865" t="s">
        <v>3</v>
      </c>
      <c r="D1865" t="s">
        <v>599</v>
      </c>
      <c r="E1865">
        <v>35.76</v>
      </c>
      <c r="F1865" t="s">
        <v>9</v>
      </c>
    </row>
    <row r="1866" spans="1:6">
      <c r="A1866" s="1">
        <v>45540</v>
      </c>
      <c r="B1866" s="2">
        <v>45540.711445659719</v>
      </c>
      <c r="C1866" t="s">
        <v>3</v>
      </c>
      <c r="D1866" t="s">
        <v>600</v>
      </c>
      <c r="E1866">
        <v>32.82</v>
      </c>
      <c r="F1866" t="s">
        <v>43</v>
      </c>
    </row>
    <row r="1867" spans="1:6">
      <c r="A1867" s="1">
        <v>45540</v>
      </c>
      <c r="B1867" s="2">
        <v>45540.712172268519</v>
      </c>
      <c r="C1867" t="s">
        <v>3</v>
      </c>
      <c r="D1867" t="s">
        <v>600</v>
      </c>
      <c r="E1867">
        <v>32.82</v>
      </c>
      <c r="F1867" t="s">
        <v>43</v>
      </c>
    </row>
    <row r="1868" spans="1:6">
      <c r="A1868" s="1">
        <v>45540</v>
      </c>
      <c r="B1868" s="2">
        <v>45540.854339861115</v>
      </c>
      <c r="C1868" t="s">
        <v>3</v>
      </c>
      <c r="D1868" t="s">
        <v>601</v>
      </c>
      <c r="E1868">
        <v>32.82</v>
      </c>
      <c r="F1868" t="s">
        <v>43</v>
      </c>
    </row>
    <row r="1869" spans="1:6">
      <c r="A1869" s="1">
        <v>45540</v>
      </c>
      <c r="B1869" s="2">
        <v>45540.871116076392</v>
      </c>
      <c r="C1869" t="s">
        <v>3</v>
      </c>
      <c r="D1869" t="s">
        <v>602</v>
      </c>
      <c r="E1869">
        <v>23.02</v>
      </c>
      <c r="F1869" t="s">
        <v>11</v>
      </c>
    </row>
    <row r="1870" spans="1:6">
      <c r="A1870" s="1">
        <v>45540</v>
      </c>
      <c r="B1870" s="2">
        <v>45540.871891539355</v>
      </c>
      <c r="C1870" t="s">
        <v>3</v>
      </c>
      <c r="D1870" t="s">
        <v>602</v>
      </c>
      <c r="E1870">
        <v>32.82</v>
      </c>
      <c r="F1870" t="s">
        <v>43</v>
      </c>
    </row>
    <row r="1871" spans="1:6">
      <c r="A1871" s="1">
        <v>45541</v>
      </c>
      <c r="B1871" s="2">
        <v>45541.371318865742</v>
      </c>
      <c r="C1871" t="s">
        <v>3</v>
      </c>
      <c r="D1871" t="s">
        <v>603</v>
      </c>
      <c r="E1871">
        <v>23.02</v>
      </c>
      <c r="F1871" t="s">
        <v>11</v>
      </c>
    </row>
    <row r="1872" spans="1:6">
      <c r="A1872" s="1">
        <v>45541</v>
      </c>
      <c r="B1872" s="2">
        <v>45541.410184594904</v>
      </c>
      <c r="C1872" t="s">
        <v>3</v>
      </c>
      <c r="D1872" t="s">
        <v>604</v>
      </c>
      <c r="E1872">
        <v>18.12</v>
      </c>
      <c r="F1872" t="s">
        <v>35</v>
      </c>
    </row>
    <row r="1873" spans="1:6">
      <c r="A1873" s="1">
        <v>45541</v>
      </c>
      <c r="B1873" s="2">
        <v>45541.411021018517</v>
      </c>
      <c r="C1873" t="s">
        <v>3</v>
      </c>
      <c r="D1873" t="s">
        <v>604</v>
      </c>
      <c r="E1873">
        <v>32.82</v>
      </c>
      <c r="F1873" t="s">
        <v>7</v>
      </c>
    </row>
    <row r="1874" spans="1:6">
      <c r="A1874" s="1">
        <v>45541</v>
      </c>
      <c r="B1874" s="2">
        <v>45541.437570011571</v>
      </c>
      <c r="C1874" t="s">
        <v>3</v>
      </c>
      <c r="D1874" t="s">
        <v>605</v>
      </c>
      <c r="E1874">
        <v>32.82</v>
      </c>
      <c r="F1874" t="s">
        <v>9</v>
      </c>
    </row>
    <row r="1875" spans="1:6">
      <c r="A1875" s="1">
        <v>45542</v>
      </c>
      <c r="B1875" s="2">
        <v>45542.367326550928</v>
      </c>
      <c r="C1875" t="s">
        <v>3</v>
      </c>
      <c r="D1875" t="s">
        <v>606</v>
      </c>
      <c r="E1875">
        <v>32.82</v>
      </c>
      <c r="F1875" t="s">
        <v>7</v>
      </c>
    </row>
    <row r="1876" spans="1:6">
      <c r="A1876" s="1">
        <v>45542</v>
      </c>
      <c r="B1876" s="2">
        <v>45542.412981631947</v>
      </c>
      <c r="C1876" t="s">
        <v>3</v>
      </c>
      <c r="D1876" t="s">
        <v>607</v>
      </c>
      <c r="E1876">
        <v>23.02</v>
      </c>
      <c r="F1876" t="s">
        <v>28</v>
      </c>
    </row>
    <row r="1877" spans="1:6">
      <c r="A1877" s="1">
        <v>45542</v>
      </c>
      <c r="B1877" s="2">
        <v>45542.432459699077</v>
      </c>
      <c r="C1877" t="s">
        <v>3</v>
      </c>
      <c r="D1877" t="s">
        <v>608</v>
      </c>
      <c r="E1877">
        <v>23.02</v>
      </c>
      <c r="F1877" t="s">
        <v>11</v>
      </c>
    </row>
    <row r="1878" spans="1:6">
      <c r="A1878" s="1">
        <v>45542</v>
      </c>
      <c r="B1878" s="2">
        <v>45542.442966840281</v>
      </c>
      <c r="C1878" t="s">
        <v>3</v>
      </c>
      <c r="D1878" t="s">
        <v>609</v>
      </c>
      <c r="E1878">
        <v>18.12</v>
      </c>
      <c r="F1878" t="s">
        <v>35</v>
      </c>
    </row>
    <row r="1879" spans="1:6">
      <c r="A1879" s="1">
        <v>45542</v>
      </c>
      <c r="B1879" s="2">
        <v>45542.444590358798</v>
      </c>
      <c r="C1879" t="s">
        <v>3</v>
      </c>
      <c r="D1879" t="s">
        <v>609</v>
      </c>
      <c r="E1879">
        <v>18.12</v>
      </c>
      <c r="F1879" t="s">
        <v>35</v>
      </c>
    </row>
    <row r="1880" spans="1:6">
      <c r="A1880" s="1">
        <v>45542</v>
      </c>
      <c r="B1880" s="2">
        <v>45542.453845150463</v>
      </c>
      <c r="C1880" t="s">
        <v>3</v>
      </c>
      <c r="D1880" t="s">
        <v>610</v>
      </c>
      <c r="E1880">
        <v>32.82</v>
      </c>
      <c r="F1880" t="s">
        <v>7</v>
      </c>
    </row>
    <row r="1881" spans="1:6">
      <c r="A1881" s="1">
        <v>45542</v>
      </c>
      <c r="B1881" s="2">
        <v>45542.663293206017</v>
      </c>
      <c r="C1881" t="s">
        <v>3</v>
      </c>
      <c r="D1881" t="s">
        <v>611</v>
      </c>
      <c r="E1881">
        <v>32.82</v>
      </c>
      <c r="F1881" t="s">
        <v>7</v>
      </c>
    </row>
    <row r="1882" spans="1:6">
      <c r="A1882" s="1">
        <v>45542</v>
      </c>
      <c r="B1882" s="2">
        <v>45542.842959166665</v>
      </c>
      <c r="C1882" t="s">
        <v>3</v>
      </c>
      <c r="D1882" t="s">
        <v>612</v>
      </c>
      <c r="E1882">
        <v>32.82</v>
      </c>
      <c r="F1882" t="s">
        <v>7</v>
      </c>
    </row>
    <row r="1883" spans="1:6">
      <c r="A1883" s="1">
        <v>45542</v>
      </c>
      <c r="B1883" s="2">
        <v>45542.843740879631</v>
      </c>
      <c r="C1883" t="s">
        <v>3</v>
      </c>
      <c r="D1883" t="s">
        <v>612</v>
      </c>
      <c r="E1883">
        <v>32.82</v>
      </c>
      <c r="F1883" t="s">
        <v>7</v>
      </c>
    </row>
    <row r="1884" spans="1:6">
      <c r="A1884" s="1">
        <v>45572</v>
      </c>
      <c r="B1884" s="2">
        <v>45572.903339293982</v>
      </c>
      <c r="C1884" t="s">
        <v>3</v>
      </c>
      <c r="D1884" t="s">
        <v>612</v>
      </c>
      <c r="E1884">
        <v>35.76</v>
      </c>
      <c r="F1884" t="s">
        <v>7</v>
      </c>
    </row>
    <row r="1885" spans="1:6">
      <c r="A1885" s="1">
        <v>45544</v>
      </c>
      <c r="B1885" s="2">
        <v>45544.327240324077</v>
      </c>
      <c r="C1885" t="s">
        <v>3</v>
      </c>
      <c r="D1885" t="s">
        <v>613</v>
      </c>
      <c r="E1885">
        <v>32.82</v>
      </c>
      <c r="F1885" t="s">
        <v>7</v>
      </c>
    </row>
    <row r="1886" spans="1:6">
      <c r="A1886" s="1">
        <v>45544</v>
      </c>
      <c r="B1886" s="2">
        <v>45544.330110925926</v>
      </c>
      <c r="C1886" t="s">
        <v>3</v>
      </c>
      <c r="D1886" t="s">
        <v>613</v>
      </c>
      <c r="E1886">
        <v>27.92</v>
      </c>
      <c r="F1886" t="s">
        <v>14</v>
      </c>
    </row>
    <row r="1887" spans="1:6">
      <c r="A1887" s="1">
        <v>45544</v>
      </c>
      <c r="B1887" s="2">
        <v>45544.466390300928</v>
      </c>
      <c r="C1887" t="s">
        <v>3</v>
      </c>
      <c r="D1887" t="s">
        <v>614</v>
      </c>
      <c r="E1887">
        <v>27.92</v>
      </c>
      <c r="F1887" t="s">
        <v>14</v>
      </c>
    </row>
    <row r="1888" spans="1:6">
      <c r="A1888" s="1">
        <v>45544</v>
      </c>
      <c r="B1888" s="2">
        <v>45544.46725277778</v>
      </c>
      <c r="C1888" t="s">
        <v>3</v>
      </c>
      <c r="D1888" t="s">
        <v>615</v>
      </c>
      <c r="E1888">
        <v>27.92</v>
      </c>
      <c r="F1888" t="s">
        <v>14</v>
      </c>
    </row>
    <row r="1889" spans="1:6">
      <c r="A1889" s="1">
        <v>45544</v>
      </c>
      <c r="B1889" s="2">
        <v>45544.479042164348</v>
      </c>
      <c r="C1889" t="s">
        <v>3</v>
      </c>
      <c r="D1889" t="s">
        <v>616</v>
      </c>
      <c r="E1889">
        <v>32.82</v>
      </c>
      <c r="F1889" t="s">
        <v>7</v>
      </c>
    </row>
    <row r="1890" spans="1:6">
      <c r="A1890" s="1">
        <v>45556</v>
      </c>
      <c r="B1890" s="2">
        <v>45556.856923321757</v>
      </c>
      <c r="C1890" t="s">
        <v>3</v>
      </c>
      <c r="D1890" t="s">
        <v>616</v>
      </c>
      <c r="E1890">
        <v>32.82</v>
      </c>
      <c r="F1890" t="s">
        <v>7</v>
      </c>
    </row>
    <row r="1891" spans="1:6">
      <c r="A1891" s="1">
        <v>45556</v>
      </c>
      <c r="B1891" s="2">
        <v>45556.857988067131</v>
      </c>
      <c r="C1891" t="s">
        <v>3</v>
      </c>
      <c r="D1891" t="s">
        <v>616</v>
      </c>
      <c r="E1891">
        <v>32.82</v>
      </c>
      <c r="F1891" t="s">
        <v>7</v>
      </c>
    </row>
    <row r="1892" spans="1:6">
      <c r="A1892" s="1">
        <v>45564</v>
      </c>
      <c r="B1892" s="2">
        <v>45564.537678067129</v>
      </c>
      <c r="C1892" t="s">
        <v>3</v>
      </c>
      <c r="D1892" t="s">
        <v>616</v>
      </c>
      <c r="E1892">
        <v>35.76</v>
      </c>
      <c r="F1892" t="s">
        <v>7</v>
      </c>
    </row>
    <row r="1893" spans="1:6">
      <c r="A1893" s="1">
        <v>45544</v>
      </c>
      <c r="B1893" s="2">
        <v>45544.504857141204</v>
      </c>
      <c r="C1893" t="s">
        <v>3</v>
      </c>
      <c r="D1893" t="s">
        <v>617</v>
      </c>
      <c r="E1893">
        <v>18.12</v>
      </c>
      <c r="F1893" t="s">
        <v>35</v>
      </c>
    </row>
    <row r="1894" spans="1:6">
      <c r="A1894" s="1">
        <v>45544</v>
      </c>
      <c r="B1894" s="2">
        <v>45544.63349266204</v>
      </c>
      <c r="C1894" t="s">
        <v>3</v>
      </c>
      <c r="D1894" t="s">
        <v>618</v>
      </c>
      <c r="E1894">
        <v>32.82</v>
      </c>
      <c r="F1894" t="s">
        <v>7</v>
      </c>
    </row>
    <row r="1895" spans="1:6">
      <c r="A1895" s="1">
        <v>45544</v>
      </c>
      <c r="B1895" s="2">
        <v>45544.634311539354</v>
      </c>
      <c r="C1895" t="s">
        <v>3</v>
      </c>
      <c r="D1895" t="s">
        <v>618</v>
      </c>
      <c r="E1895">
        <v>23.02</v>
      </c>
      <c r="F1895" t="s">
        <v>11</v>
      </c>
    </row>
    <row r="1896" spans="1:6">
      <c r="A1896" s="1">
        <v>45544</v>
      </c>
      <c r="B1896" s="2">
        <v>45544.72512023148</v>
      </c>
      <c r="C1896" t="s">
        <v>3</v>
      </c>
      <c r="D1896" t="s">
        <v>619</v>
      </c>
      <c r="E1896">
        <v>32.82</v>
      </c>
      <c r="F1896" t="s">
        <v>7</v>
      </c>
    </row>
    <row r="1897" spans="1:6">
      <c r="A1897" s="1">
        <v>45544</v>
      </c>
      <c r="B1897" s="2">
        <v>45544.842864861108</v>
      </c>
      <c r="C1897" t="s">
        <v>3</v>
      </c>
      <c r="D1897" t="s">
        <v>620</v>
      </c>
      <c r="E1897">
        <v>32.82</v>
      </c>
      <c r="F1897" t="s">
        <v>7</v>
      </c>
    </row>
    <row r="1898" spans="1:6">
      <c r="A1898" s="1">
        <v>45545</v>
      </c>
      <c r="B1898" s="2">
        <v>45545.341695023148</v>
      </c>
      <c r="C1898" t="s">
        <v>3</v>
      </c>
      <c r="D1898" t="s">
        <v>621</v>
      </c>
      <c r="E1898">
        <v>32.82</v>
      </c>
      <c r="F1898" t="s">
        <v>9</v>
      </c>
    </row>
    <row r="1899" spans="1:6">
      <c r="A1899" s="1">
        <v>45545</v>
      </c>
      <c r="B1899" s="2">
        <v>45545.397763726854</v>
      </c>
      <c r="C1899" t="s">
        <v>3</v>
      </c>
      <c r="D1899" t="s">
        <v>622</v>
      </c>
      <c r="E1899">
        <v>32.82</v>
      </c>
      <c r="F1899" t="s">
        <v>43</v>
      </c>
    </row>
    <row r="1900" spans="1:6">
      <c r="A1900" s="1">
        <v>45545</v>
      </c>
      <c r="B1900" s="2">
        <v>45545.780344444443</v>
      </c>
      <c r="C1900" t="s">
        <v>3</v>
      </c>
      <c r="D1900" t="s">
        <v>623</v>
      </c>
      <c r="E1900">
        <v>32.82</v>
      </c>
      <c r="F1900" t="s">
        <v>43</v>
      </c>
    </row>
    <row r="1901" spans="1:6">
      <c r="A1901" s="1">
        <v>45545</v>
      </c>
      <c r="B1901" s="2">
        <v>45545.781511851848</v>
      </c>
      <c r="C1901" t="s">
        <v>3</v>
      </c>
      <c r="D1901" t="s">
        <v>624</v>
      </c>
      <c r="E1901">
        <v>27.92</v>
      </c>
      <c r="F1901" t="s">
        <v>14</v>
      </c>
    </row>
    <row r="1902" spans="1:6">
      <c r="A1902" s="1">
        <v>45545</v>
      </c>
      <c r="B1902" s="2">
        <v>45545.793553553238</v>
      </c>
      <c r="C1902" t="s">
        <v>3</v>
      </c>
      <c r="D1902" t="s">
        <v>625</v>
      </c>
      <c r="E1902">
        <v>32.82</v>
      </c>
      <c r="F1902" t="s">
        <v>7</v>
      </c>
    </row>
    <row r="1903" spans="1:6">
      <c r="A1903" s="1">
        <v>45545</v>
      </c>
      <c r="B1903" s="2">
        <v>45545.794366400463</v>
      </c>
      <c r="C1903" t="s">
        <v>3</v>
      </c>
      <c r="D1903" t="s">
        <v>625</v>
      </c>
      <c r="E1903">
        <v>32.82</v>
      </c>
      <c r="F1903" t="s">
        <v>7</v>
      </c>
    </row>
    <row r="1904" spans="1:6">
      <c r="A1904" s="1">
        <v>45546</v>
      </c>
      <c r="B1904" s="2">
        <v>45546.366230381944</v>
      </c>
      <c r="C1904" t="s">
        <v>3</v>
      </c>
      <c r="D1904" t="s">
        <v>626</v>
      </c>
      <c r="E1904">
        <v>32.82</v>
      </c>
      <c r="F1904" t="s">
        <v>7</v>
      </c>
    </row>
    <row r="1905" spans="1:6">
      <c r="A1905" s="1">
        <v>45597</v>
      </c>
      <c r="B1905" s="2">
        <v>45597.454749710647</v>
      </c>
      <c r="C1905" t="s">
        <v>3</v>
      </c>
      <c r="D1905" t="s">
        <v>626</v>
      </c>
      <c r="E1905">
        <v>35.76</v>
      </c>
      <c r="F1905" t="s">
        <v>7</v>
      </c>
    </row>
    <row r="1906" spans="1:6">
      <c r="A1906" s="1">
        <v>45640</v>
      </c>
      <c r="B1906" s="2">
        <v>45640.673958136576</v>
      </c>
      <c r="C1906" t="s">
        <v>3</v>
      </c>
      <c r="D1906" t="s">
        <v>626</v>
      </c>
      <c r="E1906">
        <v>35.76</v>
      </c>
      <c r="F1906" t="s">
        <v>18</v>
      </c>
    </row>
    <row r="1907" spans="1:6">
      <c r="A1907" s="1">
        <v>45546</v>
      </c>
      <c r="B1907" s="2">
        <v>45546.452883993057</v>
      </c>
      <c r="C1907" t="s">
        <v>3</v>
      </c>
      <c r="D1907" t="s">
        <v>627</v>
      </c>
      <c r="E1907">
        <v>32.82</v>
      </c>
      <c r="F1907" t="s">
        <v>7</v>
      </c>
    </row>
    <row r="1908" spans="1:6">
      <c r="A1908" s="1">
        <v>45546</v>
      </c>
      <c r="B1908" s="2">
        <v>45546.828617326391</v>
      </c>
      <c r="C1908" t="s">
        <v>3</v>
      </c>
      <c r="D1908" t="s">
        <v>628</v>
      </c>
      <c r="E1908">
        <v>32.82</v>
      </c>
      <c r="F1908" t="s">
        <v>43</v>
      </c>
    </row>
    <row r="1909" spans="1:6">
      <c r="A1909" s="1">
        <v>45547</v>
      </c>
      <c r="B1909" s="2">
        <v>45547.477500752313</v>
      </c>
      <c r="C1909" t="s">
        <v>3</v>
      </c>
      <c r="D1909" t="s">
        <v>629</v>
      </c>
      <c r="E1909">
        <v>27.92</v>
      </c>
      <c r="F1909" t="s">
        <v>14</v>
      </c>
    </row>
    <row r="1910" spans="1:6">
      <c r="A1910" s="1">
        <v>45547</v>
      </c>
      <c r="B1910" s="2">
        <v>45547.521608761577</v>
      </c>
      <c r="C1910" t="s">
        <v>3</v>
      </c>
      <c r="D1910" t="s">
        <v>630</v>
      </c>
      <c r="E1910">
        <v>23.02</v>
      </c>
      <c r="F1910" t="s">
        <v>28</v>
      </c>
    </row>
    <row r="1911" spans="1:6">
      <c r="A1911" s="1">
        <v>45547</v>
      </c>
      <c r="B1911" s="2">
        <v>45547.522488206021</v>
      </c>
      <c r="C1911" t="s">
        <v>3</v>
      </c>
      <c r="D1911" t="s">
        <v>630</v>
      </c>
      <c r="E1911">
        <v>23.02</v>
      </c>
      <c r="F1911" t="s">
        <v>28</v>
      </c>
    </row>
    <row r="1912" spans="1:6">
      <c r="A1912" s="1">
        <v>45547</v>
      </c>
      <c r="B1912" s="2">
        <v>45547.70931972222</v>
      </c>
      <c r="C1912" t="s">
        <v>3</v>
      </c>
      <c r="D1912" t="s">
        <v>631</v>
      </c>
      <c r="E1912">
        <v>32.82</v>
      </c>
      <c r="F1912" t="s">
        <v>7</v>
      </c>
    </row>
    <row r="1913" spans="1:6">
      <c r="A1913" s="1">
        <v>45547</v>
      </c>
      <c r="B1913" s="2">
        <v>45547.881370509262</v>
      </c>
      <c r="C1913" t="s">
        <v>3</v>
      </c>
      <c r="D1913" t="s">
        <v>632</v>
      </c>
      <c r="E1913">
        <v>23.02</v>
      </c>
      <c r="F1913" t="s">
        <v>11</v>
      </c>
    </row>
    <row r="1914" spans="1:6">
      <c r="A1914" s="1">
        <v>45547</v>
      </c>
      <c r="B1914" s="2">
        <v>45547.882189340278</v>
      </c>
      <c r="C1914" t="s">
        <v>3</v>
      </c>
      <c r="D1914" t="s">
        <v>632</v>
      </c>
      <c r="E1914">
        <v>32.82</v>
      </c>
      <c r="F1914" t="s">
        <v>43</v>
      </c>
    </row>
    <row r="1915" spans="1:6">
      <c r="A1915" s="1">
        <v>45548</v>
      </c>
      <c r="B1915" s="2">
        <v>45548.41064105324</v>
      </c>
      <c r="C1915" t="s">
        <v>3</v>
      </c>
      <c r="D1915" t="s">
        <v>633</v>
      </c>
      <c r="E1915">
        <v>32.82</v>
      </c>
      <c r="F1915" t="s">
        <v>7</v>
      </c>
    </row>
    <row r="1916" spans="1:6">
      <c r="A1916" s="1">
        <v>45550</v>
      </c>
      <c r="B1916" s="2">
        <v>45550.409476168985</v>
      </c>
      <c r="C1916" t="s">
        <v>3</v>
      </c>
      <c r="D1916" t="s">
        <v>634</v>
      </c>
      <c r="E1916">
        <v>27.92</v>
      </c>
      <c r="F1916" t="s">
        <v>14</v>
      </c>
    </row>
    <row r="1917" spans="1:6">
      <c r="A1917" s="1">
        <v>45552</v>
      </c>
      <c r="B1917" s="2">
        <v>45552.399268055553</v>
      </c>
      <c r="C1917" t="s">
        <v>3</v>
      </c>
      <c r="D1917" t="s">
        <v>634</v>
      </c>
      <c r="E1917">
        <v>27.92</v>
      </c>
      <c r="F1917" t="s">
        <v>14</v>
      </c>
    </row>
    <row r="1918" spans="1:6">
      <c r="A1918" s="1">
        <v>45598</v>
      </c>
      <c r="B1918" s="2">
        <v>45598.762814583337</v>
      </c>
      <c r="C1918" t="s">
        <v>3</v>
      </c>
      <c r="D1918" t="s">
        <v>634</v>
      </c>
      <c r="E1918">
        <v>30.86</v>
      </c>
      <c r="F1918" t="s">
        <v>14</v>
      </c>
    </row>
    <row r="1919" spans="1:6">
      <c r="A1919" s="1">
        <v>45660</v>
      </c>
      <c r="B1919" s="2">
        <v>45660.926025000001</v>
      </c>
      <c r="C1919" t="s">
        <v>3</v>
      </c>
      <c r="D1919" t="s">
        <v>634</v>
      </c>
      <c r="E1919">
        <v>35.76</v>
      </c>
      <c r="F1919" t="s">
        <v>43</v>
      </c>
    </row>
    <row r="1920" spans="1:6">
      <c r="A1920" s="1">
        <v>45551</v>
      </c>
      <c r="B1920" s="2">
        <v>45551.564153645835</v>
      </c>
      <c r="C1920" t="s">
        <v>3</v>
      </c>
      <c r="D1920" t="s">
        <v>635</v>
      </c>
      <c r="E1920">
        <v>32.82</v>
      </c>
      <c r="F1920" t="s">
        <v>7</v>
      </c>
    </row>
    <row r="1921" spans="1:6">
      <c r="A1921" s="1">
        <v>45551</v>
      </c>
      <c r="B1921" s="2">
        <v>45551.641195138887</v>
      </c>
      <c r="C1921" t="s">
        <v>3</v>
      </c>
      <c r="D1921" t="s">
        <v>635</v>
      </c>
      <c r="E1921">
        <v>32.82</v>
      </c>
      <c r="F1921" t="s">
        <v>7</v>
      </c>
    </row>
    <row r="1922" spans="1:6">
      <c r="A1922" s="1">
        <v>45552</v>
      </c>
      <c r="B1922" s="2">
        <v>45552.339593703706</v>
      </c>
      <c r="C1922" t="s">
        <v>3</v>
      </c>
      <c r="D1922" t="s">
        <v>635</v>
      </c>
      <c r="E1922">
        <v>32.82</v>
      </c>
      <c r="F1922" t="s">
        <v>7</v>
      </c>
    </row>
    <row r="1923" spans="1:6">
      <c r="A1923" s="1">
        <v>45551</v>
      </c>
      <c r="B1923" s="2">
        <v>45551.719510810188</v>
      </c>
      <c r="C1923" t="s">
        <v>3</v>
      </c>
      <c r="D1923" t="s">
        <v>636</v>
      </c>
      <c r="E1923">
        <v>27.92</v>
      </c>
      <c r="F1923" t="s">
        <v>14</v>
      </c>
    </row>
    <row r="1924" spans="1:6">
      <c r="A1924" s="1">
        <v>45599</v>
      </c>
      <c r="B1924" s="2">
        <v>45599.677288252315</v>
      </c>
      <c r="C1924" t="s">
        <v>3</v>
      </c>
      <c r="D1924" t="s">
        <v>636</v>
      </c>
      <c r="E1924">
        <v>35.76</v>
      </c>
      <c r="F1924" t="s">
        <v>9</v>
      </c>
    </row>
    <row r="1925" spans="1:6">
      <c r="A1925" s="1">
        <v>45599</v>
      </c>
      <c r="B1925" s="2">
        <v>45599.678281793982</v>
      </c>
      <c r="C1925" t="s">
        <v>3</v>
      </c>
      <c r="D1925" t="s">
        <v>636</v>
      </c>
      <c r="E1925">
        <v>35.76</v>
      </c>
      <c r="F1925" t="s">
        <v>9</v>
      </c>
    </row>
    <row r="1926" spans="1:6">
      <c r="A1926" s="1">
        <v>45602</v>
      </c>
      <c r="B1926" s="2">
        <v>45602.655746469907</v>
      </c>
      <c r="C1926" t="s">
        <v>3</v>
      </c>
      <c r="D1926" t="s">
        <v>636</v>
      </c>
      <c r="E1926">
        <v>35.76</v>
      </c>
      <c r="F1926" t="s">
        <v>43</v>
      </c>
    </row>
    <row r="1927" spans="1:6">
      <c r="A1927" s="1">
        <v>45551</v>
      </c>
      <c r="B1927" s="2">
        <v>45551.720870960649</v>
      </c>
      <c r="C1927" t="s">
        <v>3</v>
      </c>
      <c r="D1927" t="s">
        <v>637</v>
      </c>
      <c r="E1927">
        <v>32.82</v>
      </c>
      <c r="F1927" t="s">
        <v>7</v>
      </c>
    </row>
    <row r="1928" spans="1:6">
      <c r="A1928" s="1">
        <v>45551</v>
      </c>
      <c r="B1928" s="2">
        <v>45551.788026018519</v>
      </c>
      <c r="C1928" t="s">
        <v>3</v>
      </c>
      <c r="D1928" t="s">
        <v>638</v>
      </c>
      <c r="E1928">
        <v>32.82</v>
      </c>
      <c r="F1928" t="s">
        <v>7</v>
      </c>
    </row>
    <row r="1929" spans="1:6">
      <c r="A1929" s="1">
        <v>45551</v>
      </c>
      <c r="B1929" s="2">
        <v>45551.788949942129</v>
      </c>
      <c r="C1929" t="s">
        <v>3</v>
      </c>
      <c r="D1929" t="s">
        <v>639</v>
      </c>
      <c r="E1929">
        <v>32.82</v>
      </c>
      <c r="F1929" t="s">
        <v>7</v>
      </c>
    </row>
    <row r="1930" spans="1:6">
      <c r="A1930" s="1">
        <v>45551</v>
      </c>
      <c r="B1930" s="2">
        <v>45551.88216079861</v>
      </c>
      <c r="C1930" t="s">
        <v>3</v>
      </c>
      <c r="D1930" t="s">
        <v>640</v>
      </c>
      <c r="E1930">
        <v>27.92</v>
      </c>
      <c r="F1930" t="s">
        <v>14</v>
      </c>
    </row>
    <row r="1931" spans="1:6">
      <c r="A1931" s="1">
        <v>45551</v>
      </c>
      <c r="B1931" s="2">
        <v>45551.883015046296</v>
      </c>
      <c r="C1931" t="s">
        <v>3</v>
      </c>
      <c r="D1931" t="s">
        <v>640</v>
      </c>
      <c r="E1931">
        <v>32.82</v>
      </c>
      <c r="F1931" t="s">
        <v>7</v>
      </c>
    </row>
    <row r="1932" spans="1:6">
      <c r="A1932" s="1">
        <v>45552</v>
      </c>
      <c r="B1932" s="2">
        <v>45552.329837118057</v>
      </c>
      <c r="C1932" t="s">
        <v>3</v>
      </c>
      <c r="D1932" t="s">
        <v>641</v>
      </c>
      <c r="E1932">
        <v>23.02</v>
      </c>
      <c r="F1932" t="s">
        <v>28</v>
      </c>
    </row>
    <row r="1933" spans="1:6">
      <c r="A1933" s="1">
        <v>45554</v>
      </c>
      <c r="B1933" s="2">
        <v>45554.354502858798</v>
      </c>
      <c r="C1933" t="s">
        <v>3</v>
      </c>
      <c r="D1933" t="s">
        <v>641</v>
      </c>
      <c r="E1933">
        <v>23.02</v>
      </c>
      <c r="F1933" t="s">
        <v>28</v>
      </c>
    </row>
    <row r="1934" spans="1:6">
      <c r="A1934" s="1">
        <v>45552</v>
      </c>
      <c r="B1934" s="2">
        <v>45552.526779722219</v>
      </c>
      <c r="C1934" t="s">
        <v>3</v>
      </c>
      <c r="D1934" t="s">
        <v>642</v>
      </c>
      <c r="E1934">
        <v>18.12</v>
      </c>
      <c r="F1934" t="s">
        <v>35</v>
      </c>
    </row>
    <row r="1935" spans="1:6">
      <c r="A1935" s="1">
        <v>45552</v>
      </c>
      <c r="B1935" s="2">
        <v>45552.5274731713</v>
      </c>
      <c r="C1935" t="s">
        <v>3</v>
      </c>
      <c r="D1935" t="s">
        <v>642</v>
      </c>
      <c r="E1935">
        <v>27.92</v>
      </c>
      <c r="F1935" t="s">
        <v>14</v>
      </c>
    </row>
    <row r="1936" spans="1:6">
      <c r="A1936" s="1">
        <v>45552</v>
      </c>
      <c r="B1936" s="2">
        <v>45552.530730925922</v>
      </c>
      <c r="C1936" t="s">
        <v>3</v>
      </c>
      <c r="D1936" t="s">
        <v>643</v>
      </c>
      <c r="E1936">
        <v>32.82</v>
      </c>
      <c r="F1936" t="s">
        <v>7</v>
      </c>
    </row>
    <row r="1937" spans="1:6">
      <c r="A1937" s="1">
        <v>45552</v>
      </c>
      <c r="B1937" s="2">
        <v>45552.580222696757</v>
      </c>
      <c r="C1937" t="s">
        <v>3</v>
      </c>
      <c r="D1937" t="s">
        <v>644</v>
      </c>
      <c r="E1937">
        <v>23.02</v>
      </c>
      <c r="F1937" t="s">
        <v>28</v>
      </c>
    </row>
    <row r="1938" spans="1:6">
      <c r="A1938" s="1">
        <v>45552</v>
      </c>
      <c r="B1938" s="2">
        <v>45552.688202731479</v>
      </c>
      <c r="C1938" t="s">
        <v>3</v>
      </c>
      <c r="D1938" t="s">
        <v>644</v>
      </c>
      <c r="E1938">
        <v>32.82</v>
      </c>
      <c r="F1938" t="s">
        <v>7</v>
      </c>
    </row>
    <row r="1939" spans="1:6">
      <c r="A1939" s="1">
        <v>45552</v>
      </c>
      <c r="B1939" s="2">
        <v>45552.787775266203</v>
      </c>
      <c r="C1939" t="s">
        <v>3</v>
      </c>
      <c r="D1939" t="s">
        <v>645</v>
      </c>
      <c r="E1939">
        <v>32.82</v>
      </c>
      <c r="F1939" t="s">
        <v>9</v>
      </c>
    </row>
    <row r="1940" spans="1:6">
      <c r="A1940" s="1">
        <v>45559</v>
      </c>
      <c r="B1940" s="2">
        <v>45559.878636458336</v>
      </c>
      <c r="C1940" t="s">
        <v>3</v>
      </c>
      <c r="D1940" t="s">
        <v>645</v>
      </c>
      <c r="E1940">
        <v>32.82</v>
      </c>
      <c r="F1940" t="s">
        <v>7</v>
      </c>
    </row>
    <row r="1941" spans="1:6">
      <c r="A1941" s="1">
        <v>45565</v>
      </c>
      <c r="B1941" s="2">
        <v>45565.832858715279</v>
      </c>
      <c r="C1941" t="s">
        <v>3</v>
      </c>
      <c r="D1941" t="s">
        <v>645</v>
      </c>
      <c r="E1941">
        <v>35.76</v>
      </c>
      <c r="F1941" t="s">
        <v>7</v>
      </c>
    </row>
    <row r="1942" spans="1:6">
      <c r="A1942" s="1">
        <v>45552</v>
      </c>
      <c r="B1942" s="2">
        <v>45552.792198067131</v>
      </c>
      <c r="C1942" t="s">
        <v>3</v>
      </c>
      <c r="D1942" t="s">
        <v>646</v>
      </c>
      <c r="E1942">
        <v>27.92</v>
      </c>
      <c r="F1942" t="s">
        <v>14</v>
      </c>
    </row>
    <row r="1943" spans="1:6">
      <c r="A1943" s="1">
        <v>45552</v>
      </c>
      <c r="B1943" s="2">
        <v>45552.79436659722</v>
      </c>
      <c r="C1943" t="s">
        <v>3</v>
      </c>
      <c r="D1943" t="s">
        <v>647</v>
      </c>
      <c r="E1943">
        <v>27.92</v>
      </c>
      <c r="F1943" t="s">
        <v>14</v>
      </c>
    </row>
    <row r="1944" spans="1:6">
      <c r="A1944" s="1">
        <v>45565</v>
      </c>
      <c r="B1944" s="2">
        <v>45565.834516099538</v>
      </c>
      <c r="C1944" t="s">
        <v>3</v>
      </c>
      <c r="D1944" t="s">
        <v>647</v>
      </c>
      <c r="E1944">
        <v>30.86</v>
      </c>
      <c r="F1944" t="s">
        <v>14</v>
      </c>
    </row>
    <row r="1945" spans="1:6">
      <c r="A1945" s="1">
        <v>45552</v>
      </c>
      <c r="B1945" s="2">
        <v>45552.800554456022</v>
      </c>
      <c r="C1945" t="s">
        <v>3</v>
      </c>
      <c r="D1945" t="s">
        <v>648</v>
      </c>
      <c r="E1945">
        <v>32.82</v>
      </c>
      <c r="F1945" t="s">
        <v>7</v>
      </c>
    </row>
    <row r="1946" spans="1:6">
      <c r="A1946" s="1">
        <v>45552</v>
      </c>
      <c r="B1946" s="2">
        <v>45552.801385902778</v>
      </c>
      <c r="C1946" t="s">
        <v>3</v>
      </c>
      <c r="D1946" t="s">
        <v>648</v>
      </c>
      <c r="E1946">
        <v>27.92</v>
      </c>
      <c r="F1946" t="s">
        <v>14</v>
      </c>
    </row>
    <row r="1947" spans="1:6">
      <c r="A1947" s="1">
        <v>45552</v>
      </c>
      <c r="B1947" s="2">
        <v>45552.802077696761</v>
      </c>
      <c r="C1947" t="s">
        <v>3</v>
      </c>
      <c r="D1947" t="s">
        <v>648</v>
      </c>
      <c r="E1947">
        <v>27.92</v>
      </c>
      <c r="F1947" t="s">
        <v>14</v>
      </c>
    </row>
    <row r="1948" spans="1:6">
      <c r="A1948" s="1">
        <v>45559</v>
      </c>
      <c r="B1948" s="2">
        <v>45559.516631516206</v>
      </c>
      <c r="C1948" t="s">
        <v>3</v>
      </c>
      <c r="D1948" t="s">
        <v>648</v>
      </c>
      <c r="E1948">
        <v>32.82</v>
      </c>
      <c r="F1948" t="s">
        <v>7</v>
      </c>
    </row>
    <row r="1949" spans="1:6">
      <c r="A1949" s="1">
        <v>45559</v>
      </c>
      <c r="B1949" s="2">
        <v>45559.517300347223</v>
      </c>
      <c r="C1949" t="s">
        <v>3</v>
      </c>
      <c r="D1949" t="s">
        <v>648</v>
      </c>
      <c r="E1949">
        <v>32.82</v>
      </c>
      <c r="F1949" t="s">
        <v>7</v>
      </c>
    </row>
    <row r="1950" spans="1:6">
      <c r="A1950" s="1">
        <v>45672</v>
      </c>
      <c r="B1950" s="2">
        <v>45672.649559293983</v>
      </c>
      <c r="C1950" t="s">
        <v>3</v>
      </c>
      <c r="D1950" t="s">
        <v>648</v>
      </c>
      <c r="E1950">
        <v>35.76</v>
      </c>
      <c r="F1950" t="s">
        <v>7</v>
      </c>
    </row>
    <row r="1951" spans="1:6">
      <c r="A1951" s="1">
        <v>45672</v>
      </c>
      <c r="B1951" s="2">
        <v>45672.651339432872</v>
      </c>
      <c r="C1951" t="s">
        <v>3</v>
      </c>
      <c r="D1951" t="s">
        <v>648</v>
      </c>
      <c r="E1951">
        <v>35.76</v>
      </c>
      <c r="F1951" t="s">
        <v>7</v>
      </c>
    </row>
    <row r="1952" spans="1:6">
      <c r="A1952" s="1">
        <v>45552</v>
      </c>
      <c r="B1952" s="2">
        <v>45552.813858425929</v>
      </c>
      <c r="C1952" t="s">
        <v>3</v>
      </c>
      <c r="D1952" t="s">
        <v>649</v>
      </c>
      <c r="E1952">
        <v>27.92</v>
      </c>
      <c r="F1952" t="s">
        <v>14</v>
      </c>
    </row>
    <row r="1953" spans="1:6">
      <c r="A1953" s="1">
        <v>45552</v>
      </c>
      <c r="B1953" s="2">
        <v>45552.930277557869</v>
      </c>
      <c r="C1953" t="s">
        <v>3</v>
      </c>
      <c r="D1953" t="s">
        <v>650</v>
      </c>
      <c r="E1953">
        <v>32.82</v>
      </c>
      <c r="F1953" t="s">
        <v>9</v>
      </c>
    </row>
    <row r="1954" spans="1:6">
      <c r="A1954" s="1">
        <v>45571</v>
      </c>
      <c r="B1954" s="2">
        <v>45571.882468217591</v>
      </c>
      <c r="C1954" t="s">
        <v>3</v>
      </c>
      <c r="D1954" t="s">
        <v>650</v>
      </c>
      <c r="E1954">
        <v>35.76</v>
      </c>
      <c r="F1954" t="s">
        <v>9</v>
      </c>
    </row>
    <row r="1955" spans="1:6">
      <c r="A1955" s="1">
        <v>45572</v>
      </c>
      <c r="B1955" s="2">
        <v>45572.885209837965</v>
      </c>
      <c r="C1955" t="s">
        <v>3</v>
      </c>
      <c r="D1955" t="s">
        <v>650</v>
      </c>
      <c r="E1955">
        <v>35.76</v>
      </c>
      <c r="F1955" t="s">
        <v>9</v>
      </c>
    </row>
    <row r="1956" spans="1:6">
      <c r="A1956" s="1">
        <v>45572</v>
      </c>
      <c r="B1956" s="2">
        <v>45572.885649560187</v>
      </c>
      <c r="C1956" t="s">
        <v>3</v>
      </c>
      <c r="D1956" t="s">
        <v>650</v>
      </c>
      <c r="E1956">
        <v>35.76</v>
      </c>
      <c r="F1956" t="s">
        <v>9</v>
      </c>
    </row>
    <row r="1957" spans="1:6">
      <c r="A1957" s="1">
        <v>45648</v>
      </c>
      <c r="B1957" s="2">
        <v>45648.851814027781</v>
      </c>
      <c r="C1957" t="s">
        <v>3</v>
      </c>
      <c r="D1957" t="s">
        <v>650</v>
      </c>
      <c r="E1957">
        <v>35.76</v>
      </c>
      <c r="F1957" t="s">
        <v>9</v>
      </c>
    </row>
    <row r="1958" spans="1:6">
      <c r="A1958" s="1">
        <v>45552</v>
      </c>
      <c r="B1958" s="2">
        <v>45552.930780671297</v>
      </c>
      <c r="C1958" t="s">
        <v>3</v>
      </c>
      <c r="D1958" t="s">
        <v>651</v>
      </c>
      <c r="E1958">
        <v>32.82</v>
      </c>
      <c r="F1958" t="s">
        <v>9</v>
      </c>
    </row>
    <row r="1959" spans="1:6">
      <c r="A1959" s="1">
        <v>45557</v>
      </c>
      <c r="B1959" s="2">
        <v>45557.912547430555</v>
      </c>
      <c r="C1959" t="s">
        <v>3</v>
      </c>
      <c r="D1959" t="s">
        <v>651</v>
      </c>
      <c r="E1959">
        <v>32.82</v>
      </c>
      <c r="F1959" t="s">
        <v>9</v>
      </c>
    </row>
    <row r="1960" spans="1:6">
      <c r="A1960" s="1">
        <v>45557</v>
      </c>
      <c r="B1960" s="2">
        <v>45557.913130752313</v>
      </c>
      <c r="C1960" t="s">
        <v>3</v>
      </c>
      <c r="D1960" t="s">
        <v>651</v>
      </c>
      <c r="E1960">
        <v>32.82</v>
      </c>
      <c r="F1960" t="s">
        <v>9</v>
      </c>
    </row>
    <row r="1961" spans="1:6">
      <c r="A1961" s="1">
        <v>45566</v>
      </c>
      <c r="B1961" s="2">
        <v>45566.67267359954</v>
      </c>
      <c r="C1961" t="s">
        <v>3</v>
      </c>
      <c r="D1961" t="s">
        <v>651</v>
      </c>
      <c r="E1961">
        <v>35.76</v>
      </c>
      <c r="F1961" t="s">
        <v>9</v>
      </c>
    </row>
    <row r="1962" spans="1:6">
      <c r="A1962" s="1">
        <v>45567</v>
      </c>
      <c r="B1962" s="2">
        <v>45567.929807627312</v>
      </c>
      <c r="C1962" t="s">
        <v>3</v>
      </c>
      <c r="D1962" t="s">
        <v>651</v>
      </c>
      <c r="E1962">
        <v>35.76</v>
      </c>
      <c r="F1962" t="s">
        <v>9</v>
      </c>
    </row>
    <row r="1963" spans="1:6">
      <c r="A1963" s="1">
        <v>45567</v>
      </c>
      <c r="B1963" s="2">
        <v>45567.93033210648</v>
      </c>
      <c r="C1963" t="s">
        <v>3</v>
      </c>
      <c r="D1963" t="s">
        <v>651</v>
      </c>
      <c r="E1963">
        <v>35.76</v>
      </c>
      <c r="F1963" t="s">
        <v>9</v>
      </c>
    </row>
    <row r="1964" spans="1:6">
      <c r="A1964" s="1">
        <v>45568</v>
      </c>
      <c r="B1964" s="2">
        <v>45568.889656203704</v>
      </c>
      <c r="C1964" t="s">
        <v>3</v>
      </c>
      <c r="D1964" t="s">
        <v>651</v>
      </c>
      <c r="E1964">
        <v>35.76</v>
      </c>
      <c r="F1964" t="s">
        <v>9</v>
      </c>
    </row>
    <row r="1965" spans="1:6">
      <c r="A1965" s="1">
        <v>45568</v>
      </c>
      <c r="B1965" s="2">
        <v>45568.890124745369</v>
      </c>
      <c r="C1965" t="s">
        <v>3</v>
      </c>
      <c r="D1965" t="s">
        <v>651</v>
      </c>
      <c r="E1965">
        <v>35.76</v>
      </c>
      <c r="F1965" t="s">
        <v>9</v>
      </c>
    </row>
    <row r="1966" spans="1:6">
      <c r="A1966" s="1">
        <v>45571</v>
      </c>
      <c r="B1966" s="2">
        <v>45571.886676805552</v>
      </c>
      <c r="C1966" t="s">
        <v>3</v>
      </c>
      <c r="D1966" t="s">
        <v>651</v>
      </c>
      <c r="E1966">
        <v>35.76</v>
      </c>
      <c r="F1966" t="s">
        <v>7</v>
      </c>
    </row>
    <row r="1967" spans="1:6">
      <c r="A1967" s="1">
        <v>45575</v>
      </c>
      <c r="B1967" s="2">
        <v>45575.939779814813</v>
      </c>
      <c r="C1967" t="s">
        <v>3</v>
      </c>
      <c r="D1967" t="s">
        <v>651</v>
      </c>
      <c r="E1967">
        <v>35.76</v>
      </c>
      <c r="F1967" t="s">
        <v>9</v>
      </c>
    </row>
    <row r="1968" spans="1:6">
      <c r="A1968" s="1">
        <v>45575</v>
      </c>
      <c r="B1968" s="2">
        <v>45575.940274641202</v>
      </c>
      <c r="C1968" t="s">
        <v>3</v>
      </c>
      <c r="D1968" t="s">
        <v>651</v>
      </c>
      <c r="E1968">
        <v>35.76</v>
      </c>
      <c r="F1968" t="s">
        <v>9</v>
      </c>
    </row>
    <row r="1969" spans="1:6">
      <c r="A1969" s="1">
        <v>45589</v>
      </c>
      <c r="B1969" s="2">
        <v>45589.914121099537</v>
      </c>
      <c r="C1969" t="s">
        <v>3</v>
      </c>
      <c r="D1969" t="s">
        <v>651</v>
      </c>
      <c r="E1969">
        <v>35.76</v>
      </c>
      <c r="F1969" t="s">
        <v>9</v>
      </c>
    </row>
    <row r="1970" spans="1:6">
      <c r="A1970" s="1">
        <v>45589</v>
      </c>
      <c r="B1970" s="2">
        <v>45589.914699398149</v>
      </c>
      <c r="C1970" t="s">
        <v>3</v>
      </c>
      <c r="D1970" t="s">
        <v>651</v>
      </c>
      <c r="E1970">
        <v>35.76</v>
      </c>
      <c r="F1970" t="s">
        <v>43</v>
      </c>
    </row>
    <row r="1971" spans="1:6">
      <c r="A1971" s="1">
        <v>45601</v>
      </c>
      <c r="B1971" s="2">
        <v>45601.92072454861</v>
      </c>
      <c r="C1971" t="s">
        <v>3</v>
      </c>
      <c r="D1971" t="s">
        <v>651</v>
      </c>
      <c r="E1971">
        <v>35.76</v>
      </c>
      <c r="F1971" t="s">
        <v>9</v>
      </c>
    </row>
    <row r="1972" spans="1:6">
      <c r="A1972" s="1">
        <v>45601</v>
      </c>
      <c r="B1972" s="2">
        <v>45601.92128440972</v>
      </c>
      <c r="C1972" t="s">
        <v>3</v>
      </c>
      <c r="D1972" t="s">
        <v>651</v>
      </c>
      <c r="E1972">
        <v>30.86</v>
      </c>
      <c r="F1972" t="s">
        <v>14</v>
      </c>
    </row>
    <row r="1973" spans="1:6">
      <c r="A1973" s="1">
        <v>45621</v>
      </c>
      <c r="B1973" s="2">
        <v>45621.904342766204</v>
      </c>
      <c r="C1973" t="s">
        <v>3</v>
      </c>
      <c r="D1973" t="s">
        <v>651</v>
      </c>
      <c r="E1973">
        <v>35.76</v>
      </c>
      <c r="F1973" t="s">
        <v>9</v>
      </c>
    </row>
    <row r="1974" spans="1:6">
      <c r="A1974" s="1">
        <v>45621</v>
      </c>
      <c r="B1974" s="2">
        <v>45621.904866319448</v>
      </c>
      <c r="C1974" t="s">
        <v>3</v>
      </c>
      <c r="D1974" t="s">
        <v>651</v>
      </c>
      <c r="E1974">
        <v>35.76</v>
      </c>
      <c r="F1974" t="s">
        <v>43</v>
      </c>
    </row>
    <row r="1975" spans="1:6">
      <c r="A1975" s="1">
        <v>45553</v>
      </c>
      <c r="B1975" s="2">
        <v>45553.604038171296</v>
      </c>
      <c r="C1975" t="s">
        <v>3</v>
      </c>
      <c r="D1975" t="s">
        <v>652</v>
      </c>
      <c r="E1975">
        <v>32.82</v>
      </c>
      <c r="F1975" t="s">
        <v>7</v>
      </c>
    </row>
    <row r="1976" spans="1:6">
      <c r="A1976" s="1">
        <v>45553</v>
      </c>
      <c r="B1976" s="2">
        <v>45553.732172048614</v>
      </c>
      <c r="C1976" t="s">
        <v>3</v>
      </c>
      <c r="D1976" t="s">
        <v>653</v>
      </c>
      <c r="E1976">
        <v>32.82</v>
      </c>
      <c r="F1976" t="s">
        <v>7</v>
      </c>
    </row>
    <row r="1977" spans="1:6">
      <c r="A1977" s="1">
        <v>45554</v>
      </c>
      <c r="B1977" s="2">
        <v>45554.573407025462</v>
      </c>
      <c r="C1977" t="s">
        <v>3</v>
      </c>
      <c r="D1977" t="s">
        <v>654</v>
      </c>
      <c r="E1977">
        <v>23.02</v>
      </c>
      <c r="F1977" t="s">
        <v>28</v>
      </c>
    </row>
    <row r="1978" spans="1:6">
      <c r="A1978" s="1">
        <v>45555</v>
      </c>
      <c r="B1978" s="2">
        <v>45555.407122685188</v>
      </c>
      <c r="C1978" t="s">
        <v>3</v>
      </c>
      <c r="D1978" t="s">
        <v>655</v>
      </c>
      <c r="E1978">
        <v>27.92</v>
      </c>
      <c r="F1978" t="s">
        <v>14</v>
      </c>
    </row>
    <row r="1979" spans="1:6">
      <c r="A1979" s="1">
        <v>45558</v>
      </c>
      <c r="B1979" s="2">
        <v>45558.926047604167</v>
      </c>
      <c r="C1979" t="s">
        <v>3</v>
      </c>
      <c r="D1979" t="s">
        <v>655</v>
      </c>
      <c r="E1979">
        <v>27.92</v>
      </c>
      <c r="F1979" t="s">
        <v>14</v>
      </c>
    </row>
    <row r="1980" spans="1:6">
      <c r="A1980" s="1">
        <v>45558</v>
      </c>
      <c r="B1980" s="2">
        <v>45558.92725645833</v>
      </c>
      <c r="C1980" t="s">
        <v>3</v>
      </c>
      <c r="D1980" t="s">
        <v>655</v>
      </c>
      <c r="E1980">
        <v>27.92</v>
      </c>
      <c r="F1980" t="s">
        <v>14</v>
      </c>
    </row>
    <row r="1981" spans="1:6">
      <c r="A1981" s="1">
        <v>45555</v>
      </c>
      <c r="B1981" s="2">
        <v>45555.669092719909</v>
      </c>
      <c r="C1981" t="s">
        <v>3</v>
      </c>
      <c r="D1981" t="s">
        <v>656</v>
      </c>
      <c r="E1981">
        <v>32.82</v>
      </c>
      <c r="F1981" t="s">
        <v>7</v>
      </c>
    </row>
    <row r="1982" spans="1:6">
      <c r="A1982" s="1">
        <v>45555</v>
      </c>
      <c r="B1982" s="2">
        <v>45555.860684363426</v>
      </c>
      <c r="C1982" t="s">
        <v>3</v>
      </c>
      <c r="D1982" t="s">
        <v>657</v>
      </c>
      <c r="E1982">
        <v>23.02</v>
      </c>
      <c r="F1982" t="s">
        <v>11</v>
      </c>
    </row>
    <row r="1983" spans="1:6">
      <c r="A1983" s="1">
        <v>45556</v>
      </c>
      <c r="B1983" s="2">
        <v>45556.459200787038</v>
      </c>
      <c r="C1983" t="s">
        <v>3</v>
      </c>
      <c r="D1983" t="s">
        <v>658</v>
      </c>
      <c r="E1983">
        <v>32.82</v>
      </c>
      <c r="F1983" t="s">
        <v>7</v>
      </c>
    </row>
    <row r="1984" spans="1:6">
      <c r="A1984" s="1">
        <v>45556</v>
      </c>
      <c r="B1984" s="2">
        <v>45556.459881967596</v>
      </c>
      <c r="C1984" t="s">
        <v>3</v>
      </c>
      <c r="D1984" t="s">
        <v>658</v>
      </c>
      <c r="E1984">
        <v>32.82</v>
      </c>
      <c r="F1984" t="s">
        <v>18</v>
      </c>
    </row>
    <row r="1985" spans="1:6">
      <c r="A1985" s="1">
        <v>45556</v>
      </c>
      <c r="B1985" s="2">
        <v>45556.632052870373</v>
      </c>
      <c r="C1985" t="s">
        <v>3</v>
      </c>
      <c r="D1985" t="s">
        <v>659</v>
      </c>
      <c r="E1985">
        <v>32.82</v>
      </c>
      <c r="F1985" t="s">
        <v>43</v>
      </c>
    </row>
    <row r="1986" spans="1:6">
      <c r="A1986" s="1">
        <v>45556</v>
      </c>
      <c r="B1986" s="2">
        <v>45556.650157511576</v>
      </c>
      <c r="C1986" t="s">
        <v>3</v>
      </c>
      <c r="D1986" t="s">
        <v>660</v>
      </c>
      <c r="E1986">
        <v>32.82</v>
      </c>
      <c r="F1986" t="s">
        <v>7</v>
      </c>
    </row>
    <row r="1987" spans="1:6">
      <c r="A1987" s="1">
        <v>45556</v>
      </c>
      <c r="B1987" s="2">
        <v>45556.929700092594</v>
      </c>
      <c r="C1987" t="s">
        <v>3</v>
      </c>
      <c r="D1987" t="s">
        <v>661</v>
      </c>
      <c r="E1987">
        <v>27.92</v>
      </c>
      <c r="F1987" t="s">
        <v>14</v>
      </c>
    </row>
    <row r="1988" spans="1:6">
      <c r="A1988" s="1">
        <v>45556</v>
      </c>
      <c r="B1988" s="2">
        <v>45556.930441296296</v>
      </c>
      <c r="C1988" t="s">
        <v>3</v>
      </c>
      <c r="D1988" t="s">
        <v>661</v>
      </c>
      <c r="E1988">
        <v>23.02</v>
      </c>
      <c r="F1988" t="s">
        <v>11</v>
      </c>
    </row>
    <row r="1989" spans="1:6">
      <c r="A1989" s="1">
        <v>45556</v>
      </c>
      <c r="B1989" s="2">
        <v>45556.931115277781</v>
      </c>
      <c r="C1989" t="s">
        <v>3</v>
      </c>
      <c r="D1989" t="s">
        <v>661</v>
      </c>
      <c r="E1989">
        <v>23.02</v>
      </c>
      <c r="F1989" t="s">
        <v>11</v>
      </c>
    </row>
    <row r="1990" spans="1:6">
      <c r="A1990" s="1">
        <v>45557</v>
      </c>
      <c r="B1990" s="2">
        <v>45557.356182546297</v>
      </c>
      <c r="C1990" t="s">
        <v>3</v>
      </c>
      <c r="D1990" t="s">
        <v>662</v>
      </c>
      <c r="E1990">
        <v>23.02</v>
      </c>
      <c r="F1990" t="s">
        <v>11</v>
      </c>
    </row>
    <row r="1991" spans="1:6">
      <c r="A1991" s="1">
        <v>45557</v>
      </c>
      <c r="B1991" s="2">
        <v>45557.42511300926</v>
      </c>
      <c r="C1991" t="s">
        <v>3</v>
      </c>
      <c r="D1991" t="s">
        <v>663</v>
      </c>
      <c r="E1991">
        <v>27.92</v>
      </c>
      <c r="F1991" t="s">
        <v>14</v>
      </c>
    </row>
    <row r="1992" spans="1:6">
      <c r="A1992" s="1">
        <v>45557</v>
      </c>
      <c r="B1992" s="2">
        <v>45557.425793819442</v>
      </c>
      <c r="C1992" t="s">
        <v>3</v>
      </c>
      <c r="D1992" t="s">
        <v>663</v>
      </c>
      <c r="E1992">
        <v>32.82</v>
      </c>
      <c r="F1992" t="s">
        <v>7</v>
      </c>
    </row>
    <row r="1993" spans="1:6">
      <c r="A1993" s="1">
        <v>45557</v>
      </c>
      <c r="B1993" s="2">
        <v>45557.462804479168</v>
      </c>
      <c r="C1993" t="s">
        <v>3</v>
      </c>
      <c r="D1993" t="s">
        <v>664</v>
      </c>
      <c r="E1993">
        <v>23.02</v>
      </c>
      <c r="F1993" t="s">
        <v>28</v>
      </c>
    </row>
    <row r="1994" spans="1:6">
      <c r="A1994" s="1">
        <v>45557</v>
      </c>
      <c r="B1994" s="2">
        <v>45557.463615509259</v>
      </c>
      <c r="C1994" t="s">
        <v>3</v>
      </c>
      <c r="D1994" t="s">
        <v>664</v>
      </c>
      <c r="E1994">
        <v>23.02</v>
      </c>
      <c r="F1994" t="s">
        <v>28</v>
      </c>
    </row>
    <row r="1995" spans="1:6">
      <c r="A1995" s="1">
        <v>45569</v>
      </c>
      <c r="B1995" s="2">
        <v>45569.41248353009</v>
      </c>
      <c r="C1995" t="s">
        <v>3</v>
      </c>
      <c r="D1995" t="s">
        <v>664</v>
      </c>
      <c r="E1995">
        <v>25.96</v>
      </c>
      <c r="F1995" t="s">
        <v>28</v>
      </c>
    </row>
    <row r="1996" spans="1:6">
      <c r="A1996" s="1">
        <v>45569</v>
      </c>
      <c r="B1996" s="2">
        <v>45569.413247187498</v>
      </c>
      <c r="C1996" t="s">
        <v>3</v>
      </c>
      <c r="D1996" t="s">
        <v>664</v>
      </c>
      <c r="E1996">
        <v>25.96</v>
      </c>
      <c r="F1996" t="s">
        <v>28</v>
      </c>
    </row>
    <row r="1997" spans="1:6">
      <c r="A1997" s="1">
        <v>45577</v>
      </c>
      <c r="B1997" s="2">
        <v>45577.438644664355</v>
      </c>
      <c r="C1997" t="s">
        <v>3</v>
      </c>
      <c r="D1997" t="s">
        <v>664</v>
      </c>
      <c r="E1997">
        <v>25.96</v>
      </c>
      <c r="F1997" t="s">
        <v>28</v>
      </c>
    </row>
    <row r="1998" spans="1:6">
      <c r="A1998" s="1">
        <v>45577</v>
      </c>
      <c r="B1998" s="2">
        <v>45577.439531504628</v>
      </c>
      <c r="C1998" t="s">
        <v>3</v>
      </c>
      <c r="D1998" t="s">
        <v>664</v>
      </c>
      <c r="E1998">
        <v>25.96</v>
      </c>
      <c r="F1998" t="s">
        <v>28</v>
      </c>
    </row>
    <row r="1999" spans="1:6">
      <c r="A1999" s="1">
        <v>45578</v>
      </c>
      <c r="B1999" s="2">
        <v>45578.564230555552</v>
      </c>
      <c r="C1999" t="s">
        <v>3</v>
      </c>
      <c r="D1999" t="s">
        <v>664</v>
      </c>
      <c r="E1999">
        <v>25.96</v>
      </c>
      <c r="F1999" t="s">
        <v>28</v>
      </c>
    </row>
    <row r="2000" spans="1:6">
      <c r="A2000" s="1">
        <v>45578</v>
      </c>
      <c r="B2000" s="2">
        <v>45578.564923437501</v>
      </c>
      <c r="C2000" t="s">
        <v>3</v>
      </c>
      <c r="D2000" t="s">
        <v>664</v>
      </c>
      <c r="E2000">
        <v>21.06</v>
      </c>
      <c r="F2000" t="s">
        <v>35</v>
      </c>
    </row>
    <row r="2001" spans="1:6">
      <c r="A2001" s="1">
        <v>45578</v>
      </c>
      <c r="B2001" s="2">
        <v>45578.565577627312</v>
      </c>
      <c r="C2001" t="s">
        <v>3</v>
      </c>
      <c r="D2001" t="s">
        <v>664</v>
      </c>
      <c r="E2001">
        <v>25.96</v>
      </c>
      <c r="F2001" t="s">
        <v>28</v>
      </c>
    </row>
    <row r="2002" spans="1:6">
      <c r="A2002" s="1">
        <v>45585</v>
      </c>
      <c r="B2002" s="2">
        <v>45585.603310694445</v>
      </c>
      <c r="C2002" t="s">
        <v>3</v>
      </c>
      <c r="D2002" t="s">
        <v>664</v>
      </c>
      <c r="E2002">
        <v>35.76</v>
      </c>
      <c r="F2002" t="s">
        <v>9</v>
      </c>
    </row>
    <row r="2003" spans="1:6">
      <c r="A2003" s="1">
        <v>45585</v>
      </c>
      <c r="B2003" s="2">
        <v>45585.60397621528</v>
      </c>
      <c r="C2003" t="s">
        <v>3</v>
      </c>
      <c r="D2003" t="s">
        <v>664</v>
      </c>
      <c r="E2003">
        <v>25.96</v>
      </c>
      <c r="F2003" t="s">
        <v>28</v>
      </c>
    </row>
    <row r="2004" spans="1:6">
      <c r="A2004" s="1">
        <v>45557</v>
      </c>
      <c r="B2004" s="2">
        <v>45557.494443148149</v>
      </c>
      <c r="C2004" t="s">
        <v>3</v>
      </c>
      <c r="D2004" t="s">
        <v>665</v>
      </c>
      <c r="E2004">
        <v>27.92</v>
      </c>
      <c r="F2004" t="s">
        <v>14</v>
      </c>
    </row>
    <row r="2005" spans="1:6">
      <c r="A2005" s="1">
        <v>45557</v>
      </c>
      <c r="B2005" s="2">
        <v>45557.648727997686</v>
      </c>
      <c r="C2005" t="s">
        <v>3</v>
      </c>
      <c r="D2005" t="s">
        <v>666</v>
      </c>
      <c r="E2005">
        <v>32.82</v>
      </c>
      <c r="F2005" t="s">
        <v>7</v>
      </c>
    </row>
    <row r="2006" spans="1:6">
      <c r="A2006" s="1">
        <v>45557</v>
      </c>
      <c r="B2006" s="2">
        <v>45557.649586041669</v>
      </c>
      <c r="C2006" t="s">
        <v>3</v>
      </c>
      <c r="D2006" t="s">
        <v>666</v>
      </c>
      <c r="E2006">
        <v>27.92</v>
      </c>
      <c r="F2006" t="s">
        <v>14</v>
      </c>
    </row>
    <row r="2007" spans="1:6">
      <c r="A2007" s="1">
        <v>45557</v>
      </c>
      <c r="B2007" s="2">
        <v>45557.684067916663</v>
      </c>
      <c r="C2007" t="s">
        <v>3</v>
      </c>
      <c r="D2007" t="s">
        <v>667</v>
      </c>
      <c r="E2007">
        <v>32.82</v>
      </c>
      <c r="F2007" t="s">
        <v>18</v>
      </c>
    </row>
    <row r="2008" spans="1:6">
      <c r="A2008" s="1">
        <v>45557</v>
      </c>
      <c r="B2008" s="2">
        <v>45557.846644467594</v>
      </c>
      <c r="C2008" t="s">
        <v>3</v>
      </c>
      <c r="D2008" t="s">
        <v>668</v>
      </c>
      <c r="E2008">
        <v>32.82</v>
      </c>
      <c r="F2008" t="s">
        <v>7</v>
      </c>
    </row>
    <row r="2009" spans="1:6">
      <c r="A2009" s="1">
        <v>45557</v>
      </c>
      <c r="B2009" s="2">
        <v>45557.847634131947</v>
      </c>
      <c r="C2009" t="s">
        <v>3</v>
      </c>
      <c r="D2009" t="s">
        <v>668</v>
      </c>
      <c r="E2009">
        <v>32.82</v>
      </c>
      <c r="F2009" t="s">
        <v>43</v>
      </c>
    </row>
    <row r="2010" spans="1:6">
      <c r="A2010" s="1">
        <v>45557</v>
      </c>
      <c r="B2010" s="2">
        <v>45557.879916597223</v>
      </c>
      <c r="C2010" t="s">
        <v>3</v>
      </c>
      <c r="D2010" t="s">
        <v>669</v>
      </c>
      <c r="E2010">
        <v>27.92</v>
      </c>
      <c r="F2010" t="s">
        <v>14</v>
      </c>
    </row>
    <row r="2011" spans="1:6">
      <c r="A2011" s="1">
        <v>45557</v>
      </c>
      <c r="B2011" s="2">
        <v>45557.880726828706</v>
      </c>
      <c r="C2011" t="s">
        <v>3</v>
      </c>
      <c r="D2011" t="s">
        <v>669</v>
      </c>
      <c r="E2011">
        <v>27.92</v>
      </c>
      <c r="F2011" t="s">
        <v>14</v>
      </c>
    </row>
    <row r="2012" spans="1:6">
      <c r="A2012" s="1">
        <v>45557</v>
      </c>
      <c r="B2012" s="2">
        <v>45557.942388703705</v>
      </c>
      <c r="C2012" t="s">
        <v>3</v>
      </c>
      <c r="D2012" t="s">
        <v>670</v>
      </c>
      <c r="E2012">
        <v>23.02</v>
      </c>
      <c r="F2012" t="s">
        <v>11</v>
      </c>
    </row>
    <row r="2013" spans="1:6">
      <c r="A2013" s="1">
        <v>45557</v>
      </c>
      <c r="B2013" s="2">
        <v>45557.943037106481</v>
      </c>
      <c r="C2013" t="s">
        <v>3</v>
      </c>
      <c r="D2013" t="s">
        <v>671</v>
      </c>
      <c r="E2013">
        <v>27.92</v>
      </c>
      <c r="F2013" t="s">
        <v>14</v>
      </c>
    </row>
    <row r="2014" spans="1:6">
      <c r="A2014" s="1">
        <v>45558</v>
      </c>
      <c r="B2014" s="2">
        <v>45558.72763415509</v>
      </c>
      <c r="C2014" t="s">
        <v>3</v>
      </c>
      <c r="D2014" t="s">
        <v>672</v>
      </c>
      <c r="E2014">
        <v>32.82</v>
      </c>
      <c r="F2014" t="s">
        <v>43</v>
      </c>
    </row>
    <row r="2015" spans="1:6">
      <c r="A2015" s="1">
        <v>45574</v>
      </c>
      <c r="B2015" s="2">
        <v>45574.726902442133</v>
      </c>
      <c r="C2015" t="s">
        <v>3</v>
      </c>
      <c r="D2015" t="s">
        <v>672</v>
      </c>
      <c r="E2015">
        <v>35.76</v>
      </c>
      <c r="F2015" t="s">
        <v>43</v>
      </c>
    </row>
    <row r="2016" spans="1:6">
      <c r="A2016" s="1">
        <v>45574</v>
      </c>
      <c r="B2016" s="2">
        <v>45574.727649074077</v>
      </c>
      <c r="C2016" t="s">
        <v>3</v>
      </c>
      <c r="D2016" t="s">
        <v>672</v>
      </c>
      <c r="E2016">
        <v>25.96</v>
      </c>
      <c r="F2016" t="s">
        <v>11</v>
      </c>
    </row>
    <row r="2017" spans="1:6">
      <c r="A2017" s="1">
        <v>45558</v>
      </c>
      <c r="B2017" s="2">
        <v>45558.783685601855</v>
      </c>
      <c r="C2017" t="s">
        <v>3</v>
      </c>
      <c r="D2017" t="s">
        <v>673</v>
      </c>
      <c r="E2017">
        <v>23.02</v>
      </c>
      <c r="F2017" t="s">
        <v>11</v>
      </c>
    </row>
    <row r="2018" spans="1:6">
      <c r="A2018" s="1">
        <v>45559</v>
      </c>
      <c r="B2018" s="2">
        <v>45559.532458368056</v>
      </c>
      <c r="C2018" t="s">
        <v>3</v>
      </c>
      <c r="D2018" t="s">
        <v>674</v>
      </c>
      <c r="E2018">
        <v>32.82</v>
      </c>
      <c r="F2018" t="s">
        <v>7</v>
      </c>
    </row>
    <row r="2019" spans="1:6">
      <c r="A2019" s="1">
        <v>45559</v>
      </c>
      <c r="B2019" s="2">
        <v>45559.533210925925</v>
      </c>
      <c r="C2019" t="s">
        <v>3</v>
      </c>
      <c r="D2019" t="s">
        <v>674</v>
      </c>
      <c r="E2019">
        <v>32.82</v>
      </c>
      <c r="F2019" t="s">
        <v>7</v>
      </c>
    </row>
    <row r="2020" spans="1:6">
      <c r="A2020" s="1">
        <v>45559</v>
      </c>
      <c r="B2020" s="2">
        <v>45559.591427534724</v>
      </c>
      <c r="C2020" t="s">
        <v>3</v>
      </c>
      <c r="D2020" t="s">
        <v>675</v>
      </c>
      <c r="E2020">
        <v>32.82</v>
      </c>
      <c r="F2020" t="s">
        <v>7</v>
      </c>
    </row>
    <row r="2021" spans="1:6">
      <c r="A2021" s="1">
        <v>45559</v>
      </c>
      <c r="B2021" s="2">
        <v>45559.605193761578</v>
      </c>
      <c r="C2021" t="s">
        <v>3</v>
      </c>
      <c r="D2021" t="s">
        <v>676</v>
      </c>
      <c r="E2021">
        <v>23.02</v>
      </c>
      <c r="F2021" t="s">
        <v>28</v>
      </c>
    </row>
    <row r="2022" spans="1:6">
      <c r="A2022" s="1">
        <v>45559</v>
      </c>
      <c r="B2022" s="2">
        <v>45559.844333287037</v>
      </c>
      <c r="C2022" t="s">
        <v>3</v>
      </c>
      <c r="D2022" t="s">
        <v>677</v>
      </c>
      <c r="E2022">
        <v>32.82</v>
      </c>
      <c r="F2022" t="s">
        <v>9</v>
      </c>
    </row>
    <row r="2023" spans="1:6">
      <c r="A2023" s="1">
        <v>45560</v>
      </c>
      <c r="B2023" s="2">
        <v>45560.3273275463</v>
      </c>
      <c r="C2023" t="s">
        <v>3</v>
      </c>
      <c r="D2023" t="s">
        <v>678</v>
      </c>
      <c r="E2023">
        <v>32.82</v>
      </c>
      <c r="F2023" t="s">
        <v>43</v>
      </c>
    </row>
    <row r="2024" spans="1:6">
      <c r="A2024" s="1">
        <v>45640</v>
      </c>
      <c r="B2024" s="2">
        <v>45640.487474768517</v>
      </c>
      <c r="C2024" t="s">
        <v>3</v>
      </c>
      <c r="D2024" t="s">
        <v>678</v>
      </c>
      <c r="E2024">
        <v>35.76</v>
      </c>
      <c r="F2024" t="s">
        <v>43</v>
      </c>
    </row>
    <row r="2025" spans="1:6">
      <c r="A2025" s="1">
        <v>45643</v>
      </c>
      <c r="B2025" s="2">
        <v>45643.718310937496</v>
      </c>
      <c r="C2025" t="s">
        <v>3</v>
      </c>
      <c r="D2025" t="s">
        <v>678</v>
      </c>
      <c r="E2025">
        <v>35.76</v>
      </c>
      <c r="F2025" t="s">
        <v>43</v>
      </c>
    </row>
    <row r="2026" spans="1:6">
      <c r="A2026" s="1">
        <v>45560</v>
      </c>
      <c r="B2026" s="2">
        <v>45560.493926064817</v>
      </c>
      <c r="C2026" t="s">
        <v>3</v>
      </c>
      <c r="D2026" t="s">
        <v>679</v>
      </c>
      <c r="E2026">
        <v>27.92</v>
      </c>
      <c r="F2026" t="s">
        <v>14</v>
      </c>
    </row>
    <row r="2027" spans="1:6">
      <c r="A2027" s="1">
        <v>45560</v>
      </c>
      <c r="B2027" s="2">
        <v>45560.495062164351</v>
      </c>
      <c r="C2027" t="s">
        <v>3</v>
      </c>
      <c r="D2027" t="s">
        <v>679</v>
      </c>
      <c r="E2027">
        <v>32.82</v>
      </c>
      <c r="F2027" t="s">
        <v>7</v>
      </c>
    </row>
    <row r="2028" spans="1:6">
      <c r="A2028" s="1">
        <v>45571</v>
      </c>
      <c r="B2028" s="2">
        <v>45571.506294583334</v>
      </c>
      <c r="C2028" t="s">
        <v>3</v>
      </c>
      <c r="D2028" t="s">
        <v>679</v>
      </c>
      <c r="E2028">
        <v>35.76</v>
      </c>
      <c r="F2028" t="s">
        <v>7</v>
      </c>
    </row>
    <row r="2029" spans="1:6">
      <c r="A2029" s="1">
        <v>45571</v>
      </c>
      <c r="B2029" s="2">
        <v>45571.507145173608</v>
      </c>
      <c r="C2029" t="s">
        <v>3</v>
      </c>
      <c r="D2029" t="s">
        <v>679</v>
      </c>
      <c r="E2029">
        <v>35.76</v>
      </c>
      <c r="F2029" t="s">
        <v>43</v>
      </c>
    </row>
    <row r="2030" spans="1:6">
      <c r="A2030" s="1">
        <v>45571</v>
      </c>
      <c r="B2030" s="2">
        <v>45571.508140740742</v>
      </c>
      <c r="C2030" t="s">
        <v>3</v>
      </c>
      <c r="D2030" t="s">
        <v>679</v>
      </c>
      <c r="E2030">
        <v>30.86</v>
      </c>
      <c r="F2030" t="s">
        <v>14</v>
      </c>
    </row>
    <row r="2031" spans="1:6">
      <c r="A2031" s="1">
        <v>45560</v>
      </c>
      <c r="B2031" s="2">
        <v>45560.579762199071</v>
      </c>
      <c r="C2031" t="s">
        <v>3</v>
      </c>
      <c r="D2031" t="s">
        <v>680</v>
      </c>
      <c r="E2031">
        <v>27.92</v>
      </c>
      <c r="F2031" t="s">
        <v>14</v>
      </c>
    </row>
    <row r="2032" spans="1:6">
      <c r="A2032" s="1">
        <v>45560</v>
      </c>
      <c r="B2032" s="2">
        <v>45560.580546967591</v>
      </c>
      <c r="C2032" t="s">
        <v>3</v>
      </c>
      <c r="D2032" t="s">
        <v>680</v>
      </c>
      <c r="E2032">
        <v>27.92</v>
      </c>
      <c r="F2032" t="s">
        <v>14</v>
      </c>
    </row>
    <row r="2033" spans="1:6">
      <c r="A2033" s="1">
        <v>45563</v>
      </c>
      <c r="B2033" s="2">
        <v>45563.338026261576</v>
      </c>
      <c r="C2033" t="s">
        <v>3</v>
      </c>
      <c r="D2033" t="s">
        <v>680</v>
      </c>
      <c r="E2033">
        <v>27.92</v>
      </c>
      <c r="F2033" t="s">
        <v>14</v>
      </c>
    </row>
    <row r="2034" spans="1:6">
      <c r="A2034" s="1">
        <v>45560</v>
      </c>
      <c r="B2034" s="2">
        <v>45560.733763680553</v>
      </c>
      <c r="C2034" t="s">
        <v>3</v>
      </c>
      <c r="D2034" t="s">
        <v>681</v>
      </c>
      <c r="E2034">
        <v>27.92</v>
      </c>
      <c r="F2034" t="s">
        <v>14</v>
      </c>
    </row>
    <row r="2035" spans="1:6">
      <c r="A2035" s="1">
        <v>45560</v>
      </c>
      <c r="B2035" s="2">
        <v>45560.734396296299</v>
      </c>
      <c r="C2035" t="s">
        <v>3</v>
      </c>
      <c r="D2035" t="s">
        <v>681</v>
      </c>
      <c r="E2035">
        <v>27.92</v>
      </c>
      <c r="F2035" t="s">
        <v>14</v>
      </c>
    </row>
    <row r="2036" spans="1:6">
      <c r="A2036" s="1">
        <v>45560</v>
      </c>
      <c r="B2036" s="2">
        <v>45560.899088993057</v>
      </c>
      <c r="C2036" t="s">
        <v>3</v>
      </c>
      <c r="D2036" t="s">
        <v>682</v>
      </c>
      <c r="E2036">
        <v>23.02</v>
      </c>
      <c r="F2036" t="s">
        <v>11</v>
      </c>
    </row>
    <row r="2037" spans="1:6">
      <c r="A2037" s="1">
        <v>45561</v>
      </c>
      <c r="B2037" s="2">
        <v>45561.455467673608</v>
      </c>
      <c r="C2037" t="s">
        <v>3</v>
      </c>
      <c r="D2037" t="s">
        <v>683</v>
      </c>
      <c r="E2037">
        <v>18.12</v>
      </c>
      <c r="F2037" t="s">
        <v>35</v>
      </c>
    </row>
    <row r="2038" spans="1:6">
      <c r="A2038" s="1">
        <v>45561</v>
      </c>
      <c r="B2038" s="2">
        <v>45561.482506608794</v>
      </c>
      <c r="C2038" t="s">
        <v>3</v>
      </c>
      <c r="D2038" t="s">
        <v>684</v>
      </c>
      <c r="E2038">
        <v>32.82</v>
      </c>
      <c r="F2038" t="s">
        <v>43</v>
      </c>
    </row>
    <row r="2039" spans="1:6">
      <c r="A2039" s="1">
        <v>45561</v>
      </c>
      <c r="B2039" s="2">
        <v>45561.533349166668</v>
      </c>
      <c r="C2039" t="s">
        <v>3</v>
      </c>
      <c r="D2039" t="s">
        <v>685</v>
      </c>
      <c r="E2039">
        <v>32.82</v>
      </c>
      <c r="F2039" t="s">
        <v>7</v>
      </c>
    </row>
    <row r="2040" spans="1:6">
      <c r="A2040" s="1">
        <v>45561</v>
      </c>
      <c r="B2040" s="2">
        <v>45561.765228391203</v>
      </c>
      <c r="C2040" t="s">
        <v>3</v>
      </c>
      <c r="D2040" t="s">
        <v>686</v>
      </c>
      <c r="E2040">
        <v>32.82</v>
      </c>
      <c r="F2040" t="s">
        <v>7</v>
      </c>
    </row>
    <row r="2041" spans="1:6">
      <c r="A2041" s="1">
        <v>45561</v>
      </c>
      <c r="B2041" s="2">
        <v>45561.948091215279</v>
      </c>
      <c r="C2041" t="s">
        <v>3</v>
      </c>
      <c r="D2041" t="s">
        <v>687</v>
      </c>
      <c r="E2041">
        <v>32.82</v>
      </c>
      <c r="F2041" t="s">
        <v>7</v>
      </c>
    </row>
    <row r="2042" spans="1:6">
      <c r="A2042" s="1">
        <v>45561</v>
      </c>
      <c r="B2042" s="2">
        <v>45561.948815243057</v>
      </c>
      <c r="C2042" t="s">
        <v>3</v>
      </c>
      <c r="D2042" t="s">
        <v>687</v>
      </c>
      <c r="E2042">
        <v>23.02</v>
      </c>
      <c r="F2042" t="s">
        <v>28</v>
      </c>
    </row>
    <row r="2043" spans="1:6">
      <c r="A2043" s="1">
        <v>45562</v>
      </c>
      <c r="B2043" s="2">
        <v>45562.40352699074</v>
      </c>
      <c r="C2043" t="s">
        <v>3</v>
      </c>
      <c r="D2043" t="s">
        <v>688</v>
      </c>
      <c r="E2043">
        <v>32.82</v>
      </c>
      <c r="F2043" t="s">
        <v>43</v>
      </c>
    </row>
    <row r="2044" spans="1:6">
      <c r="A2044" s="1">
        <v>45562</v>
      </c>
      <c r="B2044" s="2">
        <v>45562.555914988428</v>
      </c>
      <c r="C2044" t="s">
        <v>3</v>
      </c>
      <c r="D2044" t="s">
        <v>689</v>
      </c>
      <c r="E2044">
        <v>32.82</v>
      </c>
      <c r="F2044" t="s">
        <v>43</v>
      </c>
    </row>
    <row r="2045" spans="1:6">
      <c r="A2045" s="1">
        <v>45562</v>
      </c>
      <c r="B2045" s="2">
        <v>45562.559088796297</v>
      </c>
      <c r="C2045" t="s">
        <v>3</v>
      </c>
      <c r="D2045" t="s">
        <v>690</v>
      </c>
      <c r="E2045">
        <v>32.82</v>
      </c>
      <c r="F2045" t="s">
        <v>43</v>
      </c>
    </row>
    <row r="2046" spans="1:6">
      <c r="A2046" s="1">
        <v>45562</v>
      </c>
      <c r="B2046" s="2">
        <v>45562.561494293979</v>
      </c>
      <c r="C2046" t="s">
        <v>3</v>
      </c>
      <c r="D2046" t="s">
        <v>690</v>
      </c>
      <c r="E2046">
        <v>23.02</v>
      </c>
      <c r="F2046" t="s">
        <v>11</v>
      </c>
    </row>
    <row r="2047" spans="1:6">
      <c r="A2047" s="1">
        <v>45562</v>
      </c>
      <c r="B2047" s="2">
        <v>45562.565190451387</v>
      </c>
      <c r="C2047" t="s">
        <v>3</v>
      </c>
      <c r="D2047" t="s">
        <v>691</v>
      </c>
      <c r="E2047">
        <v>27.92</v>
      </c>
      <c r="F2047" t="s">
        <v>14</v>
      </c>
    </row>
    <row r="2048" spans="1:6">
      <c r="A2048" s="1">
        <v>45562</v>
      </c>
      <c r="B2048" s="2">
        <v>45562.755366956022</v>
      </c>
      <c r="C2048" t="s">
        <v>3</v>
      </c>
      <c r="D2048" t="s">
        <v>692</v>
      </c>
      <c r="E2048">
        <v>32.82</v>
      </c>
      <c r="F2048" t="s">
        <v>7</v>
      </c>
    </row>
    <row r="2049" spans="1:6">
      <c r="A2049" s="1">
        <v>45562</v>
      </c>
      <c r="B2049" s="2">
        <v>45562.756229618055</v>
      </c>
      <c r="C2049" t="s">
        <v>3</v>
      </c>
      <c r="D2049" t="s">
        <v>692</v>
      </c>
      <c r="E2049">
        <v>32.82</v>
      </c>
      <c r="F2049" t="s">
        <v>7</v>
      </c>
    </row>
    <row r="2050" spans="1:6">
      <c r="A2050" s="1">
        <v>45562</v>
      </c>
      <c r="B2050" s="2">
        <v>45562.776225590278</v>
      </c>
      <c r="C2050" t="s">
        <v>3</v>
      </c>
      <c r="D2050" t="s">
        <v>693</v>
      </c>
      <c r="E2050">
        <v>32.82</v>
      </c>
      <c r="F2050" t="s">
        <v>43</v>
      </c>
    </row>
    <row r="2051" spans="1:6">
      <c r="A2051" s="1">
        <v>45562</v>
      </c>
      <c r="B2051" s="2">
        <v>45562.778399965275</v>
      </c>
      <c r="C2051" t="s">
        <v>3</v>
      </c>
      <c r="D2051" t="s">
        <v>694</v>
      </c>
      <c r="E2051">
        <v>32.82</v>
      </c>
      <c r="F2051" t="s">
        <v>43</v>
      </c>
    </row>
    <row r="2052" spans="1:6">
      <c r="A2052" s="1">
        <v>45562</v>
      </c>
      <c r="B2052" s="2">
        <v>45562.873784340278</v>
      </c>
      <c r="C2052" t="s">
        <v>3</v>
      </c>
      <c r="D2052" t="s">
        <v>695</v>
      </c>
      <c r="E2052">
        <v>27.92</v>
      </c>
      <c r="F2052" t="s">
        <v>14</v>
      </c>
    </row>
    <row r="2053" spans="1:6">
      <c r="A2053" s="1">
        <v>45563</v>
      </c>
      <c r="B2053" s="2">
        <v>45563.396698599536</v>
      </c>
      <c r="C2053" t="s">
        <v>3</v>
      </c>
      <c r="D2053" t="s">
        <v>696</v>
      </c>
      <c r="E2053">
        <v>27.92</v>
      </c>
      <c r="F2053" t="s">
        <v>14</v>
      </c>
    </row>
    <row r="2054" spans="1:6">
      <c r="A2054" s="1">
        <v>45591</v>
      </c>
      <c r="B2054" s="2">
        <v>45591.326379930557</v>
      </c>
      <c r="C2054" t="s">
        <v>3</v>
      </c>
      <c r="D2054" t="s">
        <v>696</v>
      </c>
      <c r="E2054">
        <v>35.76</v>
      </c>
      <c r="F2054" t="s">
        <v>43</v>
      </c>
    </row>
    <row r="2055" spans="1:6">
      <c r="A2055" s="1">
        <v>45671</v>
      </c>
      <c r="B2055" s="2">
        <v>45671.31785255787</v>
      </c>
      <c r="C2055" t="s">
        <v>3</v>
      </c>
      <c r="D2055" t="s">
        <v>696</v>
      </c>
      <c r="E2055">
        <v>35.76</v>
      </c>
      <c r="F2055" t="s">
        <v>7</v>
      </c>
    </row>
    <row r="2056" spans="1:6">
      <c r="A2056" s="1">
        <v>45563</v>
      </c>
      <c r="B2056" s="2">
        <v>45563.706482847221</v>
      </c>
      <c r="C2056" t="s">
        <v>3</v>
      </c>
      <c r="D2056" t="s">
        <v>697</v>
      </c>
      <c r="E2056">
        <v>35.76</v>
      </c>
      <c r="F2056" t="s">
        <v>7</v>
      </c>
    </row>
    <row r="2057" spans="1:6">
      <c r="A2057" s="1">
        <v>45564</v>
      </c>
      <c r="B2057" s="2">
        <v>45564.52480835648</v>
      </c>
      <c r="C2057" t="s">
        <v>3</v>
      </c>
      <c r="D2057" t="s">
        <v>697</v>
      </c>
      <c r="E2057">
        <v>35.76</v>
      </c>
      <c r="F2057" t="s">
        <v>7</v>
      </c>
    </row>
    <row r="2058" spans="1:6">
      <c r="A2058" s="1">
        <v>45573</v>
      </c>
      <c r="B2058" s="2">
        <v>45573.435518715276</v>
      </c>
      <c r="C2058" t="s">
        <v>3</v>
      </c>
      <c r="D2058" t="s">
        <v>697</v>
      </c>
      <c r="E2058">
        <v>35.76</v>
      </c>
      <c r="F2058" t="s">
        <v>7</v>
      </c>
    </row>
    <row r="2059" spans="1:6">
      <c r="A2059" s="1">
        <v>45580</v>
      </c>
      <c r="B2059" s="2">
        <v>45580.647352754633</v>
      </c>
      <c r="C2059" t="s">
        <v>3</v>
      </c>
      <c r="D2059" t="s">
        <v>697</v>
      </c>
      <c r="E2059">
        <v>35.76</v>
      </c>
      <c r="F2059" t="s">
        <v>7</v>
      </c>
    </row>
    <row r="2060" spans="1:6">
      <c r="A2060" s="1">
        <v>45583</v>
      </c>
      <c r="B2060" s="2">
        <v>45583.652314467596</v>
      </c>
      <c r="C2060" t="s">
        <v>3</v>
      </c>
      <c r="D2060" t="s">
        <v>697</v>
      </c>
      <c r="E2060">
        <v>25.96</v>
      </c>
      <c r="F2060" t="s">
        <v>11</v>
      </c>
    </row>
    <row r="2061" spans="1:6">
      <c r="A2061" s="1">
        <v>45590</v>
      </c>
      <c r="B2061" s="2">
        <v>45590.419077592589</v>
      </c>
      <c r="C2061" t="s">
        <v>3</v>
      </c>
      <c r="D2061" t="s">
        <v>697</v>
      </c>
      <c r="E2061">
        <v>25.96</v>
      </c>
      <c r="F2061" t="s">
        <v>11</v>
      </c>
    </row>
    <row r="2062" spans="1:6">
      <c r="A2062" s="1">
        <v>45590</v>
      </c>
      <c r="B2062" s="2">
        <v>45590.420382083335</v>
      </c>
      <c r="C2062" t="s">
        <v>3</v>
      </c>
      <c r="D2062" t="s">
        <v>697</v>
      </c>
      <c r="E2062">
        <v>25.96</v>
      </c>
      <c r="F2062" t="s">
        <v>11</v>
      </c>
    </row>
    <row r="2063" spans="1:6">
      <c r="A2063" s="1">
        <v>45593</v>
      </c>
      <c r="B2063" s="2">
        <v>45593.357672465281</v>
      </c>
      <c r="C2063" t="s">
        <v>3</v>
      </c>
      <c r="D2063" t="s">
        <v>697</v>
      </c>
      <c r="E2063">
        <v>35.76</v>
      </c>
      <c r="F2063" t="s">
        <v>7</v>
      </c>
    </row>
    <row r="2064" spans="1:6">
      <c r="A2064" s="1">
        <v>45594</v>
      </c>
      <c r="B2064" s="2">
        <v>45594.366037569445</v>
      </c>
      <c r="C2064" t="s">
        <v>3</v>
      </c>
      <c r="D2064" t="s">
        <v>697</v>
      </c>
      <c r="E2064">
        <v>35.76</v>
      </c>
      <c r="F2064" t="s">
        <v>7</v>
      </c>
    </row>
    <row r="2065" spans="1:6">
      <c r="A2065" s="1">
        <v>45596</v>
      </c>
      <c r="B2065" s="2">
        <v>45596.360346041663</v>
      </c>
      <c r="C2065" t="s">
        <v>3</v>
      </c>
      <c r="D2065" t="s">
        <v>697</v>
      </c>
      <c r="E2065">
        <v>35.76</v>
      </c>
      <c r="F2065" t="s">
        <v>7</v>
      </c>
    </row>
    <row r="2066" spans="1:6">
      <c r="A2066" s="1">
        <v>45619</v>
      </c>
      <c r="B2066" s="2">
        <v>45619.420321226855</v>
      </c>
      <c r="C2066" t="s">
        <v>3</v>
      </c>
      <c r="D2066" t="s">
        <v>697</v>
      </c>
      <c r="E2066">
        <v>35.76</v>
      </c>
      <c r="F2066" t="s">
        <v>7</v>
      </c>
    </row>
    <row r="2067" spans="1:6">
      <c r="A2067" s="1">
        <v>45563</v>
      </c>
      <c r="B2067" s="2">
        <v>45563.726582222225</v>
      </c>
      <c r="C2067" t="s">
        <v>3</v>
      </c>
      <c r="D2067" t="s">
        <v>698</v>
      </c>
      <c r="E2067">
        <v>30.86</v>
      </c>
      <c r="F2067" t="s">
        <v>14</v>
      </c>
    </row>
    <row r="2068" spans="1:6">
      <c r="A2068" s="1">
        <v>45563</v>
      </c>
      <c r="B2068" s="2">
        <v>45563.860144699072</v>
      </c>
      <c r="C2068" t="s">
        <v>3</v>
      </c>
      <c r="D2068" t="s">
        <v>699</v>
      </c>
      <c r="E2068">
        <v>35.76</v>
      </c>
      <c r="F2068" t="s">
        <v>7</v>
      </c>
    </row>
    <row r="2069" spans="1:6">
      <c r="A2069" s="1">
        <v>45629</v>
      </c>
      <c r="B2069" s="2">
        <v>45629.898111886578</v>
      </c>
      <c r="C2069" t="s">
        <v>3</v>
      </c>
      <c r="D2069" t="s">
        <v>699</v>
      </c>
      <c r="E2069">
        <v>35.76</v>
      </c>
      <c r="F2069" t="s">
        <v>7</v>
      </c>
    </row>
    <row r="2070" spans="1:6">
      <c r="A2070" s="1">
        <v>45629</v>
      </c>
      <c r="B2070" s="2">
        <v>45629.898763020836</v>
      </c>
      <c r="C2070" t="s">
        <v>3</v>
      </c>
      <c r="D2070" t="s">
        <v>699</v>
      </c>
      <c r="E2070">
        <v>35.76</v>
      </c>
      <c r="F2070" t="s">
        <v>43</v>
      </c>
    </row>
    <row r="2071" spans="1:6">
      <c r="A2071" s="1">
        <v>45629</v>
      </c>
      <c r="B2071" s="2">
        <v>45629.899523761575</v>
      </c>
      <c r="C2071" t="s">
        <v>3</v>
      </c>
      <c r="D2071" t="s">
        <v>699</v>
      </c>
      <c r="E2071">
        <v>35.76</v>
      </c>
      <c r="F2071" t="s">
        <v>9</v>
      </c>
    </row>
    <row r="2072" spans="1:6">
      <c r="A2072" s="1">
        <v>45563</v>
      </c>
      <c r="B2072" s="2">
        <v>45563.928203437499</v>
      </c>
      <c r="C2072" t="s">
        <v>3</v>
      </c>
      <c r="D2072" t="s">
        <v>700</v>
      </c>
      <c r="E2072">
        <v>35.76</v>
      </c>
      <c r="F2072" t="s">
        <v>43</v>
      </c>
    </row>
    <row r="2073" spans="1:6">
      <c r="A2073" s="1">
        <v>45563</v>
      </c>
      <c r="B2073" s="2">
        <v>45563.928814664352</v>
      </c>
      <c r="C2073" t="s">
        <v>3</v>
      </c>
      <c r="D2073" t="s">
        <v>700</v>
      </c>
      <c r="E2073">
        <v>35.76</v>
      </c>
      <c r="F2073" t="s">
        <v>18</v>
      </c>
    </row>
    <row r="2074" spans="1:6">
      <c r="A2074" s="1">
        <v>45563</v>
      </c>
      <c r="B2074" s="2">
        <v>45563.929352685183</v>
      </c>
      <c r="C2074" t="s">
        <v>3</v>
      </c>
      <c r="D2074" t="s">
        <v>701</v>
      </c>
      <c r="E2074">
        <v>25.96</v>
      </c>
      <c r="F2074" t="s">
        <v>28</v>
      </c>
    </row>
    <row r="2075" spans="1:6">
      <c r="A2075" s="1">
        <v>45563</v>
      </c>
      <c r="B2075" s="2">
        <v>45563.930011909724</v>
      </c>
      <c r="C2075" t="s">
        <v>3</v>
      </c>
      <c r="D2075" t="s">
        <v>701</v>
      </c>
      <c r="E2075">
        <v>35.76</v>
      </c>
      <c r="F2075" t="s">
        <v>9</v>
      </c>
    </row>
    <row r="2076" spans="1:6">
      <c r="A2076" s="1">
        <v>45564</v>
      </c>
      <c r="B2076" s="2">
        <v>45564.538444872684</v>
      </c>
      <c r="C2076" t="s">
        <v>3</v>
      </c>
      <c r="D2076" t="s">
        <v>702</v>
      </c>
      <c r="E2076">
        <v>35.76</v>
      </c>
      <c r="F2076" t="s">
        <v>7</v>
      </c>
    </row>
    <row r="2077" spans="1:6">
      <c r="A2077" s="1">
        <v>45564</v>
      </c>
      <c r="B2077" s="2">
        <v>45564.751704814815</v>
      </c>
      <c r="C2077" t="s">
        <v>3</v>
      </c>
      <c r="D2077" t="s">
        <v>703</v>
      </c>
      <c r="E2077">
        <v>35.76</v>
      </c>
      <c r="F2077" t="s">
        <v>43</v>
      </c>
    </row>
    <row r="2078" spans="1:6">
      <c r="A2078" s="1">
        <v>45564</v>
      </c>
      <c r="B2078" s="2">
        <v>45564.938227025465</v>
      </c>
      <c r="C2078" t="s">
        <v>3</v>
      </c>
      <c r="D2078" t="s">
        <v>704</v>
      </c>
      <c r="E2078">
        <v>35.76</v>
      </c>
      <c r="F2078" t="s">
        <v>7</v>
      </c>
    </row>
    <row r="2079" spans="1:6">
      <c r="A2079" s="1">
        <v>45576</v>
      </c>
      <c r="B2079" s="2">
        <v>45576.908769907408</v>
      </c>
      <c r="C2079" t="s">
        <v>3</v>
      </c>
      <c r="D2079" t="s">
        <v>704</v>
      </c>
      <c r="E2079">
        <v>35.76</v>
      </c>
      <c r="F2079" t="s">
        <v>7</v>
      </c>
    </row>
    <row r="2080" spans="1:6">
      <c r="A2080" s="1">
        <v>45580</v>
      </c>
      <c r="B2080" s="2">
        <v>45580.927310798608</v>
      </c>
      <c r="C2080" t="s">
        <v>3</v>
      </c>
      <c r="D2080" t="s">
        <v>704</v>
      </c>
      <c r="E2080">
        <v>35.76</v>
      </c>
      <c r="F2080" t="s">
        <v>7</v>
      </c>
    </row>
    <row r="2081" spans="1:6">
      <c r="A2081" s="1">
        <v>45583</v>
      </c>
      <c r="B2081" s="2">
        <v>45583.919062083332</v>
      </c>
      <c r="C2081" t="s">
        <v>3</v>
      </c>
      <c r="D2081" t="s">
        <v>704</v>
      </c>
      <c r="E2081">
        <v>35.76</v>
      </c>
      <c r="F2081" t="s">
        <v>7</v>
      </c>
    </row>
    <row r="2082" spans="1:6">
      <c r="A2082" s="1">
        <v>45584</v>
      </c>
      <c r="B2082" s="2">
        <v>45584.907471261577</v>
      </c>
      <c r="C2082" t="s">
        <v>3</v>
      </c>
      <c r="D2082" t="s">
        <v>704</v>
      </c>
      <c r="E2082">
        <v>35.76</v>
      </c>
      <c r="F2082" t="s">
        <v>18</v>
      </c>
    </row>
    <row r="2083" spans="1:6">
      <c r="A2083" s="1">
        <v>45604</v>
      </c>
      <c r="B2083" s="2">
        <v>45604.935528553244</v>
      </c>
      <c r="C2083" t="s">
        <v>3</v>
      </c>
      <c r="D2083" t="s">
        <v>704</v>
      </c>
      <c r="E2083">
        <v>35.76</v>
      </c>
      <c r="F2083" t="s">
        <v>7</v>
      </c>
    </row>
    <row r="2084" spans="1:6">
      <c r="A2084" s="1">
        <v>45637</v>
      </c>
      <c r="B2084" s="2">
        <v>45637.875782164352</v>
      </c>
      <c r="C2084" t="s">
        <v>3</v>
      </c>
      <c r="D2084" t="s">
        <v>704</v>
      </c>
      <c r="E2084">
        <v>35.76</v>
      </c>
      <c r="F2084" t="s">
        <v>7</v>
      </c>
    </row>
    <row r="2085" spans="1:6">
      <c r="A2085" s="1">
        <v>45660</v>
      </c>
      <c r="B2085" s="2">
        <v>45660.931550370369</v>
      </c>
      <c r="C2085" t="s">
        <v>3</v>
      </c>
      <c r="D2085" t="s">
        <v>704</v>
      </c>
      <c r="E2085">
        <v>35.76</v>
      </c>
      <c r="F2085" t="s">
        <v>7</v>
      </c>
    </row>
    <row r="2086" spans="1:6">
      <c r="A2086" s="1">
        <v>45565</v>
      </c>
      <c r="B2086" s="2">
        <v>45565.374243854167</v>
      </c>
      <c r="C2086" t="s">
        <v>3</v>
      </c>
      <c r="D2086" t="s">
        <v>705</v>
      </c>
      <c r="E2086">
        <v>25.96</v>
      </c>
      <c r="F2086" t="s">
        <v>28</v>
      </c>
    </row>
    <row r="2087" spans="1:6">
      <c r="A2087" s="1">
        <v>45608</v>
      </c>
      <c r="B2087" s="2">
        <v>45608.610588981479</v>
      </c>
      <c r="C2087" t="s">
        <v>3</v>
      </c>
      <c r="D2087" t="s">
        <v>705</v>
      </c>
      <c r="E2087">
        <v>35.76</v>
      </c>
      <c r="F2087" t="s">
        <v>7</v>
      </c>
    </row>
    <row r="2088" spans="1:6">
      <c r="A2088" s="1">
        <v>45565</v>
      </c>
      <c r="B2088" s="2">
        <v>45565.375056909725</v>
      </c>
      <c r="C2088" t="s">
        <v>3</v>
      </c>
      <c r="D2088" t="s">
        <v>706</v>
      </c>
      <c r="E2088">
        <v>35.76</v>
      </c>
      <c r="F2088" t="s">
        <v>9</v>
      </c>
    </row>
    <row r="2089" spans="1:6">
      <c r="A2089" s="1">
        <v>45565</v>
      </c>
      <c r="B2089" s="2">
        <v>45565.481187013887</v>
      </c>
      <c r="C2089" t="s">
        <v>3</v>
      </c>
      <c r="D2089" t="s">
        <v>707</v>
      </c>
      <c r="E2089">
        <v>30.86</v>
      </c>
      <c r="F2089" t="s">
        <v>14</v>
      </c>
    </row>
    <row r="2090" spans="1:6">
      <c r="A2090" s="1">
        <v>45565</v>
      </c>
      <c r="B2090" s="2">
        <v>45565.828635324076</v>
      </c>
      <c r="C2090" t="s">
        <v>3</v>
      </c>
      <c r="D2090" t="s">
        <v>708</v>
      </c>
      <c r="E2090">
        <v>30.86</v>
      </c>
      <c r="F2090" t="s">
        <v>14</v>
      </c>
    </row>
    <row r="2091" spans="1:6">
      <c r="A2091" s="1">
        <v>45565</v>
      </c>
      <c r="B2091" s="2">
        <v>45565.829370601852</v>
      </c>
      <c r="C2091" t="s">
        <v>3</v>
      </c>
      <c r="D2091" t="s">
        <v>708</v>
      </c>
      <c r="E2091">
        <v>25.96</v>
      </c>
      <c r="F2091" t="s">
        <v>28</v>
      </c>
    </row>
    <row r="2092" spans="1:6">
      <c r="A2092" s="1">
        <v>45565</v>
      </c>
      <c r="B2092" s="2">
        <v>45565.90355934028</v>
      </c>
      <c r="C2092" t="s">
        <v>3</v>
      </c>
      <c r="D2092" t="s">
        <v>709</v>
      </c>
      <c r="E2092">
        <v>30.86</v>
      </c>
      <c r="F2092" t="s">
        <v>14</v>
      </c>
    </row>
    <row r="2093" spans="1:6">
      <c r="A2093" s="1">
        <v>45593</v>
      </c>
      <c r="B2093" s="2">
        <v>45593.92072652778</v>
      </c>
      <c r="C2093" t="s">
        <v>3</v>
      </c>
      <c r="D2093" t="s">
        <v>709</v>
      </c>
      <c r="E2093">
        <v>30.86</v>
      </c>
      <c r="F2093" t="s">
        <v>14</v>
      </c>
    </row>
    <row r="2094" spans="1:6">
      <c r="A2094" s="1">
        <v>45597</v>
      </c>
      <c r="B2094" s="2">
        <v>45597.945785833334</v>
      </c>
      <c r="C2094" t="s">
        <v>3</v>
      </c>
      <c r="D2094" t="s">
        <v>709</v>
      </c>
      <c r="E2094">
        <v>30.86</v>
      </c>
      <c r="F2094" t="s">
        <v>14</v>
      </c>
    </row>
    <row r="2095" spans="1:6">
      <c r="A2095" s="1">
        <v>45566</v>
      </c>
      <c r="B2095" s="2">
        <v>45566.324403344908</v>
      </c>
      <c r="C2095" t="s">
        <v>3</v>
      </c>
      <c r="D2095" t="s">
        <v>710</v>
      </c>
      <c r="E2095">
        <v>35.76</v>
      </c>
      <c r="F2095" t="s">
        <v>7</v>
      </c>
    </row>
    <row r="2096" spans="1:6">
      <c r="A2096" s="1">
        <v>45581</v>
      </c>
      <c r="B2096" s="2">
        <v>45581.35860634259</v>
      </c>
      <c r="C2096" t="s">
        <v>3</v>
      </c>
      <c r="D2096" t="s">
        <v>710</v>
      </c>
      <c r="E2096">
        <v>35.76</v>
      </c>
      <c r="F2096" t="s">
        <v>9</v>
      </c>
    </row>
    <row r="2097" spans="1:6">
      <c r="A2097" s="1">
        <v>45582</v>
      </c>
      <c r="B2097" s="2">
        <v>45582.324316215279</v>
      </c>
      <c r="C2097" t="s">
        <v>3</v>
      </c>
      <c r="D2097" t="s">
        <v>710</v>
      </c>
      <c r="E2097">
        <v>35.76</v>
      </c>
      <c r="F2097" t="s">
        <v>7</v>
      </c>
    </row>
    <row r="2098" spans="1:6">
      <c r="A2098" s="1">
        <v>45584</v>
      </c>
      <c r="B2098" s="2">
        <v>45584.678964293984</v>
      </c>
      <c r="C2098" t="s">
        <v>3</v>
      </c>
      <c r="D2098" t="s">
        <v>710</v>
      </c>
      <c r="E2098">
        <v>35.76</v>
      </c>
      <c r="F2098" t="s">
        <v>7</v>
      </c>
    </row>
    <row r="2099" spans="1:6">
      <c r="A2099" s="1">
        <v>45586</v>
      </c>
      <c r="B2099" s="2">
        <v>45586.325498692131</v>
      </c>
      <c r="C2099" t="s">
        <v>3</v>
      </c>
      <c r="D2099" t="s">
        <v>710</v>
      </c>
      <c r="E2099">
        <v>35.76</v>
      </c>
      <c r="F2099" t="s">
        <v>7</v>
      </c>
    </row>
    <row r="2100" spans="1:6">
      <c r="A2100" s="1">
        <v>45587</v>
      </c>
      <c r="B2100" s="2">
        <v>45587.314577893521</v>
      </c>
      <c r="C2100" t="s">
        <v>3</v>
      </c>
      <c r="D2100" t="s">
        <v>710</v>
      </c>
      <c r="E2100">
        <v>35.76</v>
      </c>
      <c r="F2100" t="s">
        <v>7</v>
      </c>
    </row>
    <row r="2101" spans="1:6">
      <c r="A2101" s="1">
        <v>45587</v>
      </c>
      <c r="B2101" s="2">
        <v>45587.315278287038</v>
      </c>
      <c r="C2101" t="s">
        <v>3</v>
      </c>
      <c r="D2101" t="s">
        <v>710</v>
      </c>
      <c r="E2101">
        <v>35.76</v>
      </c>
      <c r="F2101" t="s">
        <v>43</v>
      </c>
    </row>
    <row r="2102" spans="1:6">
      <c r="A2102" s="1">
        <v>45588</v>
      </c>
      <c r="B2102" s="2">
        <v>45588.332022766204</v>
      </c>
      <c r="C2102" t="s">
        <v>3</v>
      </c>
      <c r="D2102" t="s">
        <v>710</v>
      </c>
      <c r="E2102">
        <v>35.76</v>
      </c>
      <c r="F2102" t="s">
        <v>7</v>
      </c>
    </row>
    <row r="2103" spans="1:6">
      <c r="A2103" s="1">
        <v>45590</v>
      </c>
      <c r="B2103" s="2">
        <v>45590.318184548611</v>
      </c>
      <c r="C2103" t="s">
        <v>3</v>
      </c>
      <c r="D2103" t="s">
        <v>710</v>
      </c>
      <c r="E2103">
        <v>35.76</v>
      </c>
      <c r="F2103" t="s">
        <v>43</v>
      </c>
    </row>
    <row r="2104" spans="1:6">
      <c r="A2104" s="1">
        <v>45593</v>
      </c>
      <c r="B2104" s="2">
        <v>45593.323937349538</v>
      </c>
      <c r="C2104" t="s">
        <v>3</v>
      </c>
      <c r="D2104" t="s">
        <v>710</v>
      </c>
      <c r="E2104">
        <v>35.76</v>
      </c>
      <c r="F2104" t="s">
        <v>43</v>
      </c>
    </row>
    <row r="2105" spans="1:6">
      <c r="A2105" s="1">
        <v>45600</v>
      </c>
      <c r="B2105" s="2">
        <v>45600.321954618055</v>
      </c>
      <c r="C2105" t="s">
        <v>3</v>
      </c>
      <c r="D2105" t="s">
        <v>710</v>
      </c>
      <c r="E2105">
        <v>35.76</v>
      </c>
      <c r="F2105" t="s">
        <v>7</v>
      </c>
    </row>
    <row r="2106" spans="1:6">
      <c r="A2106" s="1">
        <v>45601</v>
      </c>
      <c r="B2106" s="2">
        <v>45601.326060347223</v>
      </c>
      <c r="C2106" t="s">
        <v>3</v>
      </c>
      <c r="D2106" t="s">
        <v>710</v>
      </c>
      <c r="E2106">
        <v>35.76</v>
      </c>
      <c r="F2106" t="s">
        <v>18</v>
      </c>
    </row>
    <row r="2107" spans="1:6">
      <c r="A2107" s="1">
        <v>45607</v>
      </c>
      <c r="B2107" s="2">
        <v>45607.325310231485</v>
      </c>
      <c r="C2107" t="s">
        <v>3</v>
      </c>
      <c r="D2107" t="s">
        <v>710</v>
      </c>
      <c r="E2107">
        <v>35.76</v>
      </c>
      <c r="F2107" t="s">
        <v>43</v>
      </c>
    </row>
    <row r="2108" spans="1:6">
      <c r="A2108" s="1">
        <v>45608</v>
      </c>
      <c r="B2108" s="2">
        <v>45608.781416006947</v>
      </c>
      <c r="C2108" t="s">
        <v>3</v>
      </c>
      <c r="D2108" t="s">
        <v>710</v>
      </c>
      <c r="E2108">
        <v>35.76</v>
      </c>
      <c r="F2108" t="s">
        <v>43</v>
      </c>
    </row>
    <row r="2109" spans="1:6">
      <c r="A2109" s="1">
        <v>45615</v>
      </c>
      <c r="B2109" s="2">
        <v>45615.325701712965</v>
      </c>
      <c r="C2109" t="s">
        <v>3</v>
      </c>
      <c r="D2109" t="s">
        <v>710</v>
      </c>
      <c r="E2109">
        <v>35.76</v>
      </c>
      <c r="F2109" t="s">
        <v>18</v>
      </c>
    </row>
    <row r="2110" spans="1:6">
      <c r="A2110" s="1">
        <v>45618</v>
      </c>
      <c r="B2110" s="2">
        <v>45618.419241944444</v>
      </c>
      <c r="C2110" t="s">
        <v>3</v>
      </c>
      <c r="D2110" t="s">
        <v>710</v>
      </c>
      <c r="E2110">
        <v>35.76</v>
      </c>
      <c r="F2110" t="s">
        <v>43</v>
      </c>
    </row>
    <row r="2111" spans="1:6">
      <c r="A2111" s="1">
        <v>45621</v>
      </c>
      <c r="B2111" s="2">
        <v>45621.325902245371</v>
      </c>
      <c r="C2111" t="s">
        <v>3</v>
      </c>
      <c r="D2111" t="s">
        <v>710</v>
      </c>
      <c r="E2111">
        <v>35.76</v>
      </c>
      <c r="F2111" t="s">
        <v>43</v>
      </c>
    </row>
    <row r="2112" spans="1:6">
      <c r="A2112" s="1">
        <v>45625</v>
      </c>
      <c r="B2112" s="2">
        <v>45625.328655532408</v>
      </c>
      <c r="C2112" t="s">
        <v>3</v>
      </c>
      <c r="D2112" t="s">
        <v>710</v>
      </c>
      <c r="E2112">
        <v>35.76</v>
      </c>
      <c r="F2112" t="s">
        <v>18</v>
      </c>
    </row>
    <row r="2113" spans="1:6">
      <c r="A2113" s="1">
        <v>45628</v>
      </c>
      <c r="B2113" s="2">
        <v>45628.326812175925</v>
      </c>
      <c r="C2113" t="s">
        <v>3</v>
      </c>
      <c r="D2113" t="s">
        <v>710</v>
      </c>
      <c r="E2113">
        <v>35.76</v>
      </c>
      <c r="F2113" t="s">
        <v>7</v>
      </c>
    </row>
    <row r="2114" spans="1:6">
      <c r="A2114" s="1">
        <v>45566</v>
      </c>
      <c r="B2114" s="2">
        <v>45566.496896446763</v>
      </c>
      <c r="C2114" t="s">
        <v>3</v>
      </c>
      <c r="D2114" t="s">
        <v>711</v>
      </c>
      <c r="E2114">
        <v>30.86</v>
      </c>
      <c r="F2114" t="s">
        <v>14</v>
      </c>
    </row>
    <row r="2115" spans="1:6">
      <c r="A2115" s="1">
        <v>45566</v>
      </c>
      <c r="B2115" s="2">
        <v>45566.508894050923</v>
      </c>
      <c r="C2115" t="s">
        <v>3</v>
      </c>
      <c r="D2115" t="s">
        <v>712</v>
      </c>
      <c r="E2115">
        <v>30.86</v>
      </c>
      <c r="F2115" t="s">
        <v>14</v>
      </c>
    </row>
    <row r="2116" spans="1:6">
      <c r="A2116" s="1">
        <v>45566</v>
      </c>
      <c r="B2116" s="2">
        <v>45566.509992847219</v>
      </c>
      <c r="C2116" t="s">
        <v>3</v>
      </c>
      <c r="D2116" t="s">
        <v>712</v>
      </c>
      <c r="E2116">
        <v>30.86</v>
      </c>
      <c r="F2116" t="s">
        <v>14</v>
      </c>
    </row>
    <row r="2117" spans="1:6">
      <c r="A2117" s="1">
        <v>45566</v>
      </c>
      <c r="B2117" s="2">
        <v>45566.595543483796</v>
      </c>
      <c r="C2117" t="s">
        <v>3</v>
      </c>
      <c r="D2117" t="s">
        <v>713</v>
      </c>
      <c r="E2117">
        <v>25.96</v>
      </c>
      <c r="F2117" t="s">
        <v>11</v>
      </c>
    </row>
    <row r="2118" spans="1:6">
      <c r="A2118" s="1">
        <v>45566</v>
      </c>
      <c r="B2118" s="2">
        <v>45566.596441643516</v>
      </c>
      <c r="C2118" t="s">
        <v>3</v>
      </c>
      <c r="D2118" t="s">
        <v>713</v>
      </c>
      <c r="E2118">
        <v>30.86</v>
      </c>
      <c r="F2118" t="s">
        <v>14</v>
      </c>
    </row>
    <row r="2119" spans="1:6">
      <c r="A2119" s="1">
        <v>45566</v>
      </c>
      <c r="B2119" s="2">
        <v>45566.695769456019</v>
      </c>
      <c r="C2119" t="s">
        <v>3</v>
      </c>
      <c r="D2119" t="s">
        <v>714</v>
      </c>
      <c r="E2119">
        <v>25.96</v>
      </c>
      <c r="F2119" t="s">
        <v>11</v>
      </c>
    </row>
    <row r="2120" spans="1:6">
      <c r="A2120" s="1">
        <v>45573</v>
      </c>
      <c r="B2120" s="2">
        <v>45573.432307569441</v>
      </c>
      <c r="C2120" t="s">
        <v>3</v>
      </c>
      <c r="D2120" t="s">
        <v>714</v>
      </c>
      <c r="E2120">
        <v>25.96</v>
      </c>
      <c r="F2120" t="s">
        <v>11</v>
      </c>
    </row>
    <row r="2121" spans="1:6">
      <c r="A2121" s="1">
        <v>45586</v>
      </c>
      <c r="B2121" s="2">
        <v>45586.434135925927</v>
      </c>
      <c r="C2121" t="s">
        <v>3</v>
      </c>
      <c r="D2121" t="s">
        <v>714</v>
      </c>
      <c r="E2121">
        <v>25.96</v>
      </c>
      <c r="F2121" t="s">
        <v>11</v>
      </c>
    </row>
    <row r="2122" spans="1:6">
      <c r="A2122" s="1">
        <v>45566</v>
      </c>
      <c r="B2122" s="2">
        <v>45566.755862789352</v>
      </c>
      <c r="C2122" t="s">
        <v>3</v>
      </c>
      <c r="D2122" t="s">
        <v>715</v>
      </c>
      <c r="E2122">
        <v>35.76</v>
      </c>
      <c r="F2122" t="s">
        <v>7</v>
      </c>
    </row>
    <row r="2123" spans="1:6">
      <c r="A2123" s="1">
        <v>45653</v>
      </c>
      <c r="B2123" s="2">
        <v>45653.954547372683</v>
      </c>
      <c r="C2123" t="s">
        <v>3</v>
      </c>
      <c r="D2123" t="s">
        <v>715</v>
      </c>
      <c r="E2123">
        <v>35.76</v>
      </c>
      <c r="F2123" t="s">
        <v>18</v>
      </c>
    </row>
    <row r="2124" spans="1:6">
      <c r="A2124" s="1">
        <v>45566</v>
      </c>
      <c r="B2124" s="2">
        <v>45566.766104861112</v>
      </c>
      <c r="C2124" t="s">
        <v>3</v>
      </c>
      <c r="D2124" t="s">
        <v>716</v>
      </c>
      <c r="E2124">
        <v>35.76</v>
      </c>
      <c r="F2124" t="s">
        <v>7</v>
      </c>
    </row>
    <row r="2125" spans="1:6">
      <c r="A2125" s="1">
        <v>45566</v>
      </c>
      <c r="B2125" s="2">
        <v>45566.766831620371</v>
      </c>
      <c r="C2125" t="s">
        <v>3</v>
      </c>
      <c r="D2125" t="s">
        <v>716</v>
      </c>
      <c r="E2125">
        <v>35.76</v>
      </c>
      <c r="F2125" t="s">
        <v>9</v>
      </c>
    </row>
    <row r="2126" spans="1:6">
      <c r="A2126" s="1">
        <v>45582</v>
      </c>
      <c r="B2126" s="2">
        <v>45582.692506782405</v>
      </c>
      <c r="C2126" t="s">
        <v>3</v>
      </c>
      <c r="D2126" t="s">
        <v>716</v>
      </c>
      <c r="E2126">
        <v>35.76</v>
      </c>
      <c r="F2126" t="s">
        <v>9</v>
      </c>
    </row>
    <row r="2127" spans="1:6">
      <c r="A2127" s="1">
        <v>45582</v>
      </c>
      <c r="B2127" s="2">
        <v>45582.693263530091</v>
      </c>
      <c r="C2127" t="s">
        <v>3</v>
      </c>
      <c r="D2127" t="s">
        <v>716</v>
      </c>
      <c r="E2127">
        <v>35.76</v>
      </c>
      <c r="F2127" t="s">
        <v>9</v>
      </c>
    </row>
    <row r="2128" spans="1:6">
      <c r="A2128" s="1">
        <v>45582</v>
      </c>
      <c r="B2128" s="2">
        <v>45582.693861180553</v>
      </c>
      <c r="C2128" t="s">
        <v>3</v>
      </c>
      <c r="D2128" t="s">
        <v>716</v>
      </c>
      <c r="E2128">
        <v>35.76</v>
      </c>
      <c r="F2128" t="s">
        <v>7</v>
      </c>
    </row>
    <row r="2129" spans="1:6">
      <c r="A2129" s="1">
        <v>45567</v>
      </c>
      <c r="B2129" s="2">
        <v>45567.331467511576</v>
      </c>
      <c r="C2129" t="s">
        <v>3</v>
      </c>
      <c r="D2129" t="s">
        <v>717</v>
      </c>
      <c r="E2129">
        <v>35.76</v>
      </c>
      <c r="F2129" t="s">
        <v>7</v>
      </c>
    </row>
    <row r="2130" spans="1:6">
      <c r="A2130" s="1">
        <v>45573</v>
      </c>
      <c r="B2130" s="2">
        <v>45573.341561157409</v>
      </c>
      <c r="C2130" t="s">
        <v>3</v>
      </c>
      <c r="D2130" t="s">
        <v>717</v>
      </c>
      <c r="E2130">
        <v>35.76</v>
      </c>
      <c r="F2130" t="s">
        <v>7</v>
      </c>
    </row>
    <row r="2131" spans="1:6">
      <c r="A2131" s="1">
        <v>45576</v>
      </c>
      <c r="B2131" s="2">
        <v>45576.333922893522</v>
      </c>
      <c r="C2131" t="s">
        <v>3</v>
      </c>
      <c r="D2131" t="s">
        <v>717</v>
      </c>
      <c r="E2131">
        <v>35.76</v>
      </c>
      <c r="F2131" t="s">
        <v>7</v>
      </c>
    </row>
    <row r="2132" spans="1:6">
      <c r="A2132" s="1">
        <v>45595</v>
      </c>
      <c r="B2132" s="2">
        <v>45595.327841307873</v>
      </c>
      <c r="C2132" t="s">
        <v>3</v>
      </c>
      <c r="D2132" t="s">
        <v>717</v>
      </c>
      <c r="E2132">
        <v>35.76</v>
      </c>
      <c r="F2132" t="s">
        <v>7</v>
      </c>
    </row>
    <row r="2133" spans="1:6">
      <c r="A2133" s="1">
        <v>45596</v>
      </c>
      <c r="B2133" s="2">
        <v>45596.329367256942</v>
      </c>
      <c r="C2133" t="s">
        <v>3</v>
      </c>
      <c r="D2133" t="s">
        <v>717</v>
      </c>
      <c r="E2133">
        <v>35.76</v>
      </c>
      <c r="F2133" t="s">
        <v>7</v>
      </c>
    </row>
    <row r="2134" spans="1:6">
      <c r="A2134" s="1">
        <v>45567</v>
      </c>
      <c r="B2134" s="2">
        <v>45567.433278611112</v>
      </c>
      <c r="C2134" t="s">
        <v>3</v>
      </c>
      <c r="D2134" t="s">
        <v>718</v>
      </c>
      <c r="E2134">
        <v>30.86</v>
      </c>
      <c r="F2134" t="s">
        <v>14</v>
      </c>
    </row>
    <row r="2135" spans="1:6">
      <c r="A2135" s="1">
        <v>45567</v>
      </c>
      <c r="B2135" s="2">
        <v>45567.478401539352</v>
      </c>
      <c r="C2135" t="s">
        <v>3</v>
      </c>
      <c r="D2135" t="s">
        <v>719</v>
      </c>
      <c r="E2135">
        <v>35.76</v>
      </c>
      <c r="F2135" t="s">
        <v>43</v>
      </c>
    </row>
    <row r="2136" spans="1:6">
      <c r="A2136" s="1">
        <v>45567</v>
      </c>
      <c r="B2136" s="2">
        <v>45567.634515532409</v>
      </c>
      <c r="C2136" t="s">
        <v>3</v>
      </c>
      <c r="D2136" t="s">
        <v>720</v>
      </c>
      <c r="E2136">
        <v>35.76</v>
      </c>
      <c r="F2136" t="s">
        <v>43</v>
      </c>
    </row>
    <row r="2137" spans="1:6">
      <c r="A2137" s="1">
        <v>45567</v>
      </c>
      <c r="B2137" s="2">
        <v>45567.930829293982</v>
      </c>
      <c r="C2137" t="s">
        <v>3</v>
      </c>
      <c r="D2137" t="s">
        <v>721</v>
      </c>
      <c r="E2137">
        <v>35.76</v>
      </c>
      <c r="F2137" t="s">
        <v>9</v>
      </c>
    </row>
    <row r="2138" spans="1:6">
      <c r="A2138" s="1">
        <v>45593</v>
      </c>
      <c r="B2138" s="2">
        <v>45593.501111736114</v>
      </c>
      <c r="C2138" t="s">
        <v>3</v>
      </c>
      <c r="D2138" t="s">
        <v>721</v>
      </c>
      <c r="E2138">
        <v>35.76</v>
      </c>
      <c r="F2138" t="s">
        <v>9</v>
      </c>
    </row>
    <row r="2139" spans="1:6">
      <c r="A2139" s="1">
        <v>45568</v>
      </c>
      <c r="B2139" s="2">
        <v>45568.574721319441</v>
      </c>
      <c r="C2139" t="s">
        <v>3</v>
      </c>
      <c r="D2139" t="s">
        <v>722</v>
      </c>
      <c r="E2139">
        <v>35.76</v>
      </c>
      <c r="F2139" t="s">
        <v>18</v>
      </c>
    </row>
    <row r="2140" spans="1:6">
      <c r="A2140" s="1">
        <v>45568</v>
      </c>
      <c r="B2140" s="2">
        <v>45568.633393055556</v>
      </c>
      <c r="C2140" t="s">
        <v>3</v>
      </c>
      <c r="D2140" t="s">
        <v>723</v>
      </c>
      <c r="E2140">
        <v>30.86</v>
      </c>
      <c r="F2140" t="s">
        <v>14</v>
      </c>
    </row>
    <row r="2141" spans="1:6">
      <c r="A2141" s="1">
        <v>45568</v>
      </c>
      <c r="B2141" s="2">
        <v>45568.842335196758</v>
      </c>
      <c r="C2141" t="s">
        <v>3</v>
      </c>
      <c r="D2141" t="s">
        <v>724</v>
      </c>
      <c r="E2141">
        <v>25.96</v>
      </c>
      <c r="F2141" t="s">
        <v>28</v>
      </c>
    </row>
    <row r="2142" spans="1:6">
      <c r="A2142" s="1">
        <v>45568</v>
      </c>
      <c r="B2142" s="2">
        <v>45568.843110891205</v>
      </c>
      <c r="C2142" t="s">
        <v>3</v>
      </c>
      <c r="D2142" t="s">
        <v>724</v>
      </c>
      <c r="E2142">
        <v>35.76</v>
      </c>
      <c r="F2142" t="s">
        <v>9</v>
      </c>
    </row>
    <row r="2143" spans="1:6">
      <c r="A2143" s="1">
        <v>45568</v>
      </c>
      <c r="B2143" s="2">
        <v>45568.895178125</v>
      </c>
      <c r="C2143" t="s">
        <v>3</v>
      </c>
      <c r="D2143" t="s">
        <v>725</v>
      </c>
      <c r="E2143">
        <v>35.76</v>
      </c>
      <c r="F2143" t="s">
        <v>43</v>
      </c>
    </row>
    <row r="2144" spans="1:6">
      <c r="A2144" s="1">
        <v>45568</v>
      </c>
      <c r="B2144" s="2">
        <v>45568.896532997685</v>
      </c>
      <c r="C2144" t="s">
        <v>3</v>
      </c>
      <c r="D2144" t="s">
        <v>726</v>
      </c>
      <c r="E2144">
        <v>35.76</v>
      </c>
      <c r="F2144" t="s">
        <v>9</v>
      </c>
    </row>
    <row r="2145" spans="1:6">
      <c r="A2145" s="1">
        <v>45569</v>
      </c>
      <c r="B2145" s="2">
        <v>45569.732810289352</v>
      </c>
      <c r="C2145" t="s">
        <v>3</v>
      </c>
      <c r="D2145" t="s">
        <v>727</v>
      </c>
      <c r="E2145">
        <v>35.76</v>
      </c>
      <c r="F2145" t="s">
        <v>7</v>
      </c>
    </row>
    <row r="2146" spans="1:6">
      <c r="A2146" s="1">
        <v>45575</v>
      </c>
      <c r="B2146" s="2">
        <v>45575.789244189815</v>
      </c>
      <c r="C2146" t="s">
        <v>3</v>
      </c>
      <c r="D2146" t="s">
        <v>727</v>
      </c>
      <c r="E2146">
        <v>30.86</v>
      </c>
      <c r="F2146" t="s">
        <v>14</v>
      </c>
    </row>
    <row r="2147" spans="1:6">
      <c r="A2147" s="1">
        <v>45575</v>
      </c>
      <c r="B2147" s="2">
        <v>45575.789991307873</v>
      </c>
      <c r="C2147" t="s">
        <v>3</v>
      </c>
      <c r="D2147" t="s">
        <v>727</v>
      </c>
      <c r="E2147">
        <v>35.76</v>
      </c>
      <c r="F2147" t="s">
        <v>7</v>
      </c>
    </row>
    <row r="2148" spans="1:6">
      <c r="A2148" s="1">
        <v>45569</v>
      </c>
      <c r="B2148" s="2">
        <v>45569.737756724535</v>
      </c>
      <c r="C2148" t="s">
        <v>3</v>
      </c>
      <c r="D2148" t="s">
        <v>728</v>
      </c>
      <c r="E2148">
        <v>35.76</v>
      </c>
      <c r="F2148" t="s">
        <v>9</v>
      </c>
    </row>
    <row r="2149" spans="1:6">
      <c r="A2149" s="1">
        <v>45569</v>
      </c>
      <c r="B2149" s="2">
        <v>45569.739309837962</v>
      </c>
      <c r="C2149" t="s">
        <v>3</v>
      </c>
      <c r="D2149" t="s">
        <v>728</v>
      </c>
      <c r="E2149">
        <v>35.76</v>
      </c>
      <c r="F2149" t="s">
        <v>18</v>
      </c>
    </row>
    <row r="2150" spans="1:6">
      <c r="A2150" s="1">
        <v>45576</v>
      </c>
      <c r="B2150" s="2">
        <v>45576.618156956021</v>
      </c>
      <c r="C2150" t="s">
        <v>3</v>
      </c>
      <c r="D2150" t="s">
        <v>728</v>
      </c>
      <c r="E2150">
        <v>35.76</v>
      </c>
      <c r="F2150" t="s">
        <v>43</v>
      </c>
    </row>
    <row r="2151" spans="1:6">
      <c r="A2151" s="1">
        <v>45642</v>
      </c>
      <c r="B2151" s="2">
        <v>45642.365900763885</v>
      </c>
      <c r="C2151" t="s">
        <v>3</v>
      </c>
      <c r="D2151" t="s">
        <v>728</v>
      </c>
      <c r="E2151">
        <v>35.76</v>
      </c>
      <c r="F2151" t="s">
        <v>18</v>
      </c>
    </row>
    <row r="2152" spans="1:6">
      <c r="A2152" s="1">
        <v>45570</v>
      </c>
      <c r="B2152" s="2">
        <v>45570.399825266206</v>
      </c>
      <c r="C2152" t="s">
        <v>3</v>
      </c>
      <c r="D2152" t="s">
        <v>729</v>
      </c>
      <c r="E2152">
        <v>35.76</v>
      </c>
      <c r="F2152" t="s">
        <v>18</v>
      </c>
    </row>
    <row r="2153" spans="1:6">
      <c r="A2153" s="1">
        <v>45591</v>
      </c>
      <c r="B2153" s="2">
        <v>45591.80510769676</v>
      </c>
      <c r="C2153" t="s">
        <v>3</v>
      </c>
      <c r="D2153" t="s">
        <v>729</v>
      </c>
      <c r="E2153">
        <v>35.76</v>
      </c>
      <c r="F2153" t="s">
        <v>43</v>
      </c>
    </row>
    <row r="2154" spans="1:6">
      <c r="A2154" s="1">
        <v>45571</v>
      </c>
      <c r="B2154" s="2">
        <v>45571.496861643522</v>
      </c>
      <c r="C2154" t="s">
        <v>3</v>
      </c>
      <c r="D2154" t="s">
        <v>730</v>
      </c>
      <c r="E2154">
        <v>35.76</v>
      </c>
      <c r="F2154" t="s">
        <v>7</v>
      </c>
    </row>
    <row r="2155" spans="1:6">
      <c r="A2155" s="1">
        <v>45571</v>
      </c>
      <c r="B2155" s="2">
        <v>45571.573653645835</v>
      </c>
      <c r="C2155" t="s">
        <v>3</v>
      </c>
      <c r="D2155" t="s">
        <v>731</v>
      </c>
      <c r="E2155">
        <v>25.96</v>
      </c>
      <c r="F2155" t="s">
        <v>11</v>
      </c>
    </row>
    <row r="2156" spans="1:6">
      <c r="A2156" s="1">
        <v>45571</v>
      </c>
      <c r="B2156" s="2">
        <v>45571.574328159724</v>
      </c>
      <c r="C2156" t="s">
        <v>3</v>
      </c>
      <c r="D2156" t="s">
        <v>731</v>
      </c>
      <c r="E2156">
        <v>35.76</v>
      </c>
      <c r="F2156" t="s">
        <v>43</v>
      </c>
    </row>
    <row r="2157" spans="1:6">
      <c r="A2157" s="1">
        <v>45571</v>
      </c>
      <c r="B2157" s="2">
        <v>45571.576390509261</v>
      </c>
      <c r="C2157" t="s">
        <v>3</v>
      </c>
      <c r="D2157" t="s">
        <v>732</v>
      </c>
      <c r="E2157">
        <v>30.86</v>
      </c>
      <c r="F2157" t="s">
        <v>14</v>
      </c>
    </row>
    <row r="2158" spans="1:6">
      <c r="A2158" s="1">
        <v>45571</v>
      </c>
      <c r="B2158" s="2">
        <v>45571.577132523147</v>
      </c>
      <c r="C2158" t="s">
        <v>3</v>
      </c>
      <c r="D2158" t="s">
        <v>732</v>
      </c>
      <c r="E2158">
        <v>35.76</v>
      </c>
      <c r="F2158" t="s">
        <v>7</v>
      </c>
    </row>
    <row r="2159" spans="1:6">
      <c r="A2159" s="1">
        <v>45571</v>
      </c>
      <c r="B2159" s="2">
        <v>45571.577734756946</v>
      </c>
      <c r="C2159" t="s">
        <v>3</v>
      </c>
      <c r="D2159" t="s">
        <v>732</v>
      </c>
      <c r="E2159">
        <v>35.76</v>
      </c>
      <c r="F2159" t="s">
        <v>43</v>
      </c>
    </row>
    <row r="2160" spans="1:6">
      <c r="A2160" s="1">
        <v>45571</v>
      </c>
      <c r="B2160" s="2">
        <v>45571.688583194446</v>
      </c>
      <c r="C2160" t="s">
        <v>3</v>
      </c>
      <c r="D2160" t="s">
        <v>733</v>
      </c>
      <c r="E2160">
        <v>35.76</v>
      </c>
      <c r="F2160" t="s">
        <v>43</v>
      </c>
    </row>
    <row r="2161" spans="1:6">
      <c r="A2161" s="1">
        <v>45571</v>
      </c>
      <c r="B2161" s="2">
        <v>45571.691500289351</v>
      </c>
      <c r="C2161" t="s">
        <v>3</v>
      </c>
      <c r="D2161" t="s">
        <v>734</v>
      </c>
      <c r="E2161">
        <v>21.06</v>
      </c>
      <c r="F2161" t="s">
        <v>35</v>
      </c>
    </row>
    <row r="2162" spans="1:6">
      <c r="A2162" s="1">
        <v>45571</v>
      </c>
      <c r="B2162" s="2">
        <v>45571.762326099539</v>
      </c>
      <c r="C2162" t="s">
        <v>3</v>
      </c>
      <c r="D2162" t="s">
        <v>735</v>
      </c>
      <c r="E2162">
        <v>30.86</v>
      </c>
      <c r="F2162" t="s">
        <v>14</v>
      </c>
    </row>
    <row r="2163" spans="1:6">
      <c r="A2163" s="1">
        <v>45571</v>
      </c>
      <c r="B2163" s="2">
        <v>45571.774496157406</v>
      </c>
      <c r="C2163" t="s">
        <v>3</v>
      </c>
      <c r="D2163" t="s">
        <v>736</v>
      </c>
      <c r="E2163">
        <v>35.76</v>
      </c>
      <c r="F2163" t="s">
        <v>9</v>
      </c>
    </row>
    <row r="2164" spans="1:6">
      <c r="A2164" s="1">
        <v>45601</v>
      </c>
      <c r="B2164" s="2">
        <v>45601.912727395837</v>
      </c>
      <c r="C2164" t="s">
        <v>3</v>
      </c>
      <c r="D2164" t="s">
        <v>736</v>
      </c>
      <c r="E2164">
        <v>35.76</v>
      </c>
      <c r="F2164" t="s">
        <v>9</v>
      </c>
    </row>
    <row r="2165" spans="1:6">
      <c r="A2165" s="1">
        <v>45571</v>
      </c>
      <c r="B2165" s="2">
        <v>45571.881399178237</v>
      </c>
      <c r="C2165" t="s">
        <v>3</v>
      </c>
      <c r="D2165" t="s">
        <v>737</v>
      </c>
      <c r="E2165">
        <v>35.76</v>
      </c>
      <c r="F2165" t="s">
        <v>9</v>
      </c>
    </row>
    <row r="2166" spans="1:6">
      <c r="A2166" s="1">
        <v>45571</v>
      </c>
      <c r="B2166" s="2">
        <v>45571.881949953706</v>
      </c>
      <c r="C2166" t="s">
        <v>3</v>
      </c>
      <c r="D2166" t="s">
        <v>737</v>
      </c>
      <c r="E2166">
        <v>35.76</v>
      </c>
      <c r="F2166" t="s">
        <v>9</v>
      </c>
    </row>
    <row r="2167" spans="1:6">
      <c r="A2167" s="1">
        <v>45572</v>
      </c>
      <c r="B2167" s="2">
        <v>45572.356671562498</v>
      </c>
      <c r="C2167" t="s">
        <v>3</v>
      </c>
      <c r="D2167" t="s">
        <v>738</v>
      </c>
      <c r="E2167">
        <v>35.76</v>
      </c>
      <c r="F2167" t="s">
        <v>7</v>
      </c>
    </row>
    <row r="2168" spans="1:6">
      <c r="A2168" s="1">
        <v>45572</v>
      </c>
      <c r="B2168" s="2">
        <v>45572.378797349535</v>
      </c>
      <c r="C2168" t="s">
        <v>3</v>
      </c>
      <c r="D2168" t="s">
        <v>739</v>
      </c>
      <c r="E2168">
        <v>35.76</v>
      </c>
      <c r="F2168" t="s">
        <v>18</v>
      </c>
    </row>
    <row r="2169" spans="1:6">
      <c r="A2169" s="1">
        <v>45576</v>
      </c>
      <c r="B2169" s="2">
        <v>45576.372034571759</v>
      </c>
      <c r="C2169" t="s">
        <v>3</v>
      </c>
      <c r="D2169" t="s">
        <v>739</v>
      </c>
      <c r="E2169">
        <v>35.76</v>
      </c>
      <c r="F2169" t="s">
        <v>18</v>
      </c>
    </row>
    <row r="2170" spans="1:6">
      <c r="A2170" s="1">
        <v>45572</v>
      </c>
      <c r="B2170" s="2">
        <v>45572.381925034722</v>
      </c>
      <c r="C2170" t="s">
        <v>3</v>
      </c>
      <c r="D2170" t="s">
        <v>740</v>
      </c>
      <c r="E2170">
        <v>35.76</v>
      </c>
      <c r="F2170" t="s">
        <v>7</v>
      </c>
    </row>
    <row r="2171" spans="1:6">
      <c r="A2171" s="1">
        <v>45573</v>
      </c>
      <c r="B2171" s="2">
        <v>45573.479285335648</v>
      </c>
      <c r="C2171" t="s">
        <v>3</v>
      </c>
      <c r="D2171" t="s">
        <v>740</v>
      </c>
      <c r="E2171">
        <v>35.76</v>
      </c>
      <c r="F2171" t="s">
        <v>7</v>
      </c>
    </row>
    <row r="2172" spans="1:6">
      <c r="A2172" s="1">
        <v>45574</v>
      </c>
      <c r="B2172" s="2">
        <v>45574.543848541667</v>
      </c>
      <c r="C2172" t="s">
        <v>3</v>
      </c>
      <c r="D2172" t="s">
        <v>740</v>
      </c>
      <c r="E2172">
        <v>35.76</v>
      </c>
      <c r="F2172" t="s">
        <v>7</v>
      </c>
    </row>
    <row r="2173" spans="1:6">
      <c r="A2173" s="1">
        <v>45576</v>
      </c>
      <c r="B2173" s="2">
        <v>45576.372902523151</v>
      </c>
      <c r="C2173" t="s">
        <v>3</v>
      </c>
      <c r="D2173" t="s">
        <v>740</v>
      </c>
      <c r="E2173">
        <v>30.86</v>
      </c>
      <c r="F2173" t="s">
        <v>14</v>
      </c>
    </row>
    <row r="2174" spans="1:6">
      <c r="A2174" s="1">
        <v>45586</v>
      </c>
      <c r="B2174" s="2">
        <v>45586.613866284722</v>
      </c>
      <c r="C2174" t="s">
        <v>3</v>
      </c>
      <c r="D2174" t="s">
        <v>740</v>
      </c>
      <c r="E2174">
        <v>35.76</v>
      </c>
      <c r="F2174" t="s">
        <v>7</v>
      </c>
    </row>
    <row r="2175" spans="1:6">
      <c r="A2175" s="1">
        <v>45572</v>
      </c>
      <c r="B2175" s="2">
        <v>45572.512462002313</v>
      </c>
      <c r="C2175" t="s">
        <v>3</v>
      </c>
      <c r="D2175" t="s">
        <v>741</v>
      </c>
      <c r="E2175">
        <v>30.86</v>
      </c>
      <c r="F2175" t="s">
        <v>14</v>
      </c>
    </row>
    <row r="2176" spans="1:6">
      <c r="A2176" s="1">
        <v>45654</v>
      </c>
      <c r="B2176" s="2">
        <v>45654.429678541666</v>
      </c>
      <c r="C2176" t="s">
        <v>3</v>
      </c>
      <c r="D2176" t="s">
        <v>741</v>
      </c>
      <c r="E2176">
        <v>30.86</v>
      </c>
      <c r="F2176" t="s">
        <v>14</v>
      </c>
    </row>
    <row r="2177" spans="1:6">
      <c r="A2177" s="1">
        <v>45572</v>
      </c>
      <c r="B2177" s="2">
        <v>45572.605384930554</v>
      </c>
      <c r="C2177" t="s">
        <v>3</v>
      </c>
      <c r="D2177" t="s">
        <v>742</v>
      </c>
      <c r="E2177">
        <v>25.96</v>
      </c>
      <c r="F2177" t="s">
        <v>11</v>
      </c>
    </row>
    <row r="2178" spans="1:6">
      <c r="A2178" s="1">
        <v>45572</v>
      </c>
      <c r="B2178" s="2">
        <v>45572.606004224537</v>
      </c>
      <c r="C2178" t="s">
        <v>3</v>
      </c>
      <c r="D2178" t="s">
        <v>742</v>
      </c>
      <c r="E2178">
        <v>25.96</v>
      </c>
      <c r="F2178" t="s">
        <v>11</v>
      </c>
    </row>
    <row r="2179" spans="1:6">
      <c r="A2179" s="1">
        <v>45573</v>
      </c>
      <c r="B2179" s="2">
        <v>45573.544454918978</v>
      </c>
      <c r="C2179" t="s">
        <v>3</v>
      </c>
      <c r="D2179" t="s">
        <v>743</v>
      </c>
      <c r="E2179">
        <v>35.76</v>
      </c>
      <c r="F2179" t="s">
        <v>7</v>
      </c>
    </row>
    <row r="2180" spans="1:6">
      <c r="A2180" s="1">
        <v>45573</v>
      </c>
      <c r="B2180" s="2">
        <v>45573.545132453706</v>
      </c>
      <c r="C2180" t="s">
        <v>3</v>
      </c>
      <c r="D2180" t="s">
        <v>743</v>
      </c>
      <c r="E2180">
        <v>35.76</v>
      </c>
      <c r="F2180" t="s">
        <v>7</v>
      </c>
    </row>
    <row r="2181" spans="1:6">
      <c r="A2181" s="1">
        <v>45655</v>
      </c>
      <c r="B2181" s="2">
        <v>45655.887029282407</v>
      </c>
      <c r="C2181" t="s">
        <v>3</v>
      </c>
      <c r="D2181" t="s">
        <v>743</v>
      </c>
      <c r="E2181">
        <v>35.76</v>
      </c>
      <c r="F2181" t="s">
        <v>7</v>
      </c>
    </row>
    <row r="2182" spans="1:6">
      <c r="A2182" s="1">
        <v>45573</v>
      </c>
      <c r="B2182" s="2">
        <v>45573.660221319442</v>
      </c>
      <c r="C2182" t="s">
        <v>3</v>
      </c>
      <c r="D2182" t="s">
        <v>744</v>
      </c>
      <c r="E2182">
        <v>30.86</v>
      </c>
      <c r="F2182" t="s">
        <v>14</v>
      </c>
    </row>
    <row r="2183" spans="1:6">
      <c r="A2183" s="1">
        <v>45573</v>
      </c>
      <c r="B2183" s="2">
        <v>45573.861579386576</v>
      </c>
      <c r="C2183" t="s">
        <v>3</v>
      </c>
      <c r="D2183" t="s">
        <v>745</v>
      </c>
      <c r="E2183">
        <v>35.76</v>
      </c>
      <c r="F2183" t="s">
        <v>9</v>
      </c>
    </row>
    <row r="2184" spans="1:6">
      <c r="A2184" s="1">
        <v>45573</v>
      </c>
      <c r="B2184" s="2">
        <v>45573.862192870372</v>
      </c>
      <c r="C2184" t="s">
        <v>3</v>
      </c>
      <c r="D2184" t="s">
        <v>745</v>
      </c>
      <c r="E2184">
        <v>35.76</v>
      </c>
      <c r="F2184" t="s">
        <v>43</v>
      </c>
    </row>
    <row r="2185" spans="1:6">
      <c r="A2185" s="1">
        <v>45601</v>
      </c>
      <c r="B2185" s="2">
        <v>45601.383475972223</v>
      </c>
      <c r="C2185" t="s">
        <v>3</v>
      </c>
      <c r="D2185" t="s">
        <v>745</v>
      </c>
      <c r="E2185">
        <v>35.76</v>
      </c>
      <c r="F2185" t="s">
        <v>43</v>
      </c>
    </row>
    <row r="2186" spans="1:6">
      <c r="A2186" s="1">
        <v>45601</v>
      </c>
      <c r="B2186" s="2">
        <v>45601.384494861108</v>
      </c>
      <c r="C2186" t="s">
        <v>3</v>
      </c>
      <c r="D2186" t="s">
        <v>745</v>
      </c>
      <c r="E2186">
        <v>30.86</v>
      </c>
      <c r="F2186" t="s">
        <v>14</v>
      </c>
    </row>
    <row r="2187" spans="1:6">
      <c r="A2187" s="1">
        <v>45632</v>
      </c>
      <c r="B2187" s="2">
        <v>45632.93788513889</v>
      </c>
      <c r="C2187" t="s">
        <v>3</v>
      </c>
      <c r="D2187" t="s">
        <v>745</v>
      </c>
      <c r="E2187">
        <v>35.76</v>
      </c>
      <c r="F2187" t="s">
        <v>7</v>
      </c>
    </row>
    <row r="2188" spans="1:6">
      <c r="A2188" s="1">
        <v>45632</v>
      </c>
      <c r="B2188" s="2">
        <v>45632.938541689815</v>
      </c>
      <c r="C2188" t="s">
        <v>3</v>
      </c>
      <c r="D2188" t="s">
        <v>745</v>
      </c>
      <c r="E2188">
        <v>35.76</v>
      </c>
      <c r="F2188" t="s">
        <v>9</v>
      </c>
    </row>
    <row r="2189" spans="1:6">
      <c r="A2189" s="1">
        <v>45672</v>
      </c>
      <c r="B2189" s="2">
        <v>45672.903637314812</v>
      </c>
      <c r="C2189" t="s">
        <v>3</v>
      </c>
      <c r="D2189" t="s">
        <v>745</v>
      </c>
      <c r="E2189">
        <v>35.76</v>
      </c>
      <c r="F2189" t="s">
        <v>43</v>
      </c>
    </row>
    <row r="2190" spans="1:6">
      <c r="A2190" s="1">
        <v>45573</v>
      </c>
      <c r="B2190" s="2">
        <v>45573.868850949075</v>
      </c>
      <c r="C2190" t="s">
        <v>3</v>
      </c>
      <c r="D2190" t="s">
        <v>746</v>
      </c>
      <c r="E2190">
        <v>35.76</v>
      </c>
      <c r="F2190" t="s">
        <v>7</v>
      </c>
    </row>
    <row r="2191" spans="1:6">
      <c r="A2191" s="1">
        <v>45574</v>
      </c>
      <c r="B2191" s="2">
        <v>45574.443019976854</v>
      </c>
      <c r="C2191" t="s">
        <v>3</v>
      </c>
      <c r="D2191" t="s">
        <v>747</v>
      </c>
      <c r="E2191">
        <v>21.06</v>
      </c>
      <c r="F2191" t="s">
        <v>35</v>
      </c>
    </row>
    <row r="2192" spans="1:6">
      <c r="A2192" s="1">
        <v>45574</v>
      </c>
      <c r="B2192" s="2">
        <v>45574.470858078705</v>
      </c>
      <c r="C2192" t="s">
        <v>3</v>
      </c>
      <c r="D2192" t="s">
        <v>748</v>
      </c>
      <c r="E2192">
        <v>25.96</v>
      </c>
      <c r="F2192" t="s">
        <v>11</v>
      </c>
    </row>
    <row r="2193" spans="1:6">
      <c r="A2193" s="1">
        <v>45595</v>
      </c>
      <c r="B2193" s="2">
        <v>45595.507620266202</v>
      </c>
      <c r="C2193" t="s">
        <v>3</v>
      </c>
      <c r="D2193" t="s">
        <v>748</v>
      </c>
      <c r="E2193">
        <v>30.86</v>
      </c>
      <c r="F2193" t="s">
        <v>14</v>
      </c>
    </row>
    <row r="2194" spans="1:6">
      <c r="A2194" s="1">
        <v>45574</v>
      </c>
      <c r="B2194" s="2">
        <v>45574.578179814816</v>
      </c>
      <c r="C2194" t="s">
        <v>3</v>
      </c>
      <c r="D2194" t="s">
        <v>749</v>
      </c>
      <c r="E2194">
        <v>30.86</v>
      </c>
      <c r="F2194" t="s">
        <v>14</v>
      </c>
    </row>
    <row r="2195" spans="1:6">
      <c r="A2195" s="1">
        <v>45574</v>
      </c>
      <c r="B2195" s="2">
        <v>45574.743050370373</v>
      </c>
      <c r="C2195" t="s">
        <v>3</v>
      </c>
      <c r="D2195" t="s">
        <v>750</v>
      </c>
      <c r="E2195">
        <v>21.06</v>
      </c>
      <c r="F2195" t="s">
        <v>35</v>
      </c>
    </row>
    <row r="2196" spans="1:6">
      <c r="A2196" s="1">
        <v>45580</v>
      </c>
      <c r="B2196" s="2">
        <v>45580.468988680557</v>
      </c>
      <c r="C2196" t="s">
        <v>3</v>
      </c>
      <c r="D2196" t="s">
        <v>750</v>
      </c>
      <c r="E2196">
        <v>35.76</v>
      </c>
      <c r="F2196" t="s">
        <v>7</v>
      </c>
    </row>
    <row r="2197" spans="1:6">
      <c r="A2197" s="1">
        <v>45580</v>
      </c>
      <c r="B2197" s="2">
        <v>45580.469762372682</v>
      </c>
      <c r="C2197" t="s">
        <v>3</v>
      </c>
      <c r="D2197" t="s">
        <v>750</v>
      </c>
      <c r="E2197">
        <v>35.76</v>
      </c>
      <c r="F2197" t="s">
        <v>9</v>
      </c>
    </row>
    <row r="2198" spans="1:6">
      <c r="A2198" s="1">
        <v>45574</v>
      </c>
      <c r="B2198" s="2">
        <v>45574.867505787035</v>
      </c>
      <c r="C2198" t="s">
        <v>3</v>
      </c>
      <c r="D2198" t="s">
        <v>751</v>
      </c>
      <c r="E2198">
        <v>35.76</v>
      </c>
      <c r="F2198" t="s">
        <v>43</v>
      </c>
    </row>
    <row r="2199" spans="1:6">
      <c r="A2199" s="1">
        <v>45575</v>
      </c>
      <c r="B2199" s="2">
        <v>45575.410928368059</v>
      </c>
      <c r="C2199" t="s">
        <v>3</v>
      </c>
      <c r="D2199" t="s">
        <v>752</v>
      </c>
      <c r="E2199">
        <v>35.76</v>
      </c>
      <c r="F2199" t="s">
        <v>9</v>
      </c>
    </row>
    <row r="2200" spans="1:6">
      <c r="A2200" s="1">
        <v>45575</v>
      </c>
      <c r="B2200" s="2">
        <v>45575.45523861111</v>
      </c>
      <c r="C2200" t="s">
        <v>3</v>
      </c>
      <c r="D2200" t="s">
        <v>753</v>
      </c>
      <c r="E2200">
        <v>35.76</v>
      </c>
      <c r="F2200" t="s">
        <v>7</v>
      </c>
    </row>
    <row r="2201" spans="1:6">
      <c r="A2201" s="1">
        <v>45575</v>
      </c>
      <c r="B2201" s="2">
        <v>45575.461335057873</v>
      </c>
      <c r="C2201" t="s">
        <v>3</v>
      </c>
      <c r="D2201" t="s">
        <v>754</v>
      </c>
      <c r="E2201">
        <v>35.76</v>
      </c>
      <c r="F2201" t="s">
        <v>7</v>
      </c>
    </row>
    <row r="2202" spans="1:6">
      <c r="A2202" s="1">
        <v>45576</v>
      </c>
      <c r="B2202" s="2">
        <v>45576.545155127315</v>
      </c>
      <c r="C2202" t="s">
        <v>3</v>
      </c>
      <c r="D2202" t="s">
        <v>754</v>
      </c>
      <c r="E2202">
        <v>35.76</v>
      </c>
      <c r="F2202" t="s">
        <v>7</v>
      </c>
    </row>
    <row r="2203" spans="1:6">
      <c r="A2203" s="1">
        <v>45575</v>
      </c>
      <c r="B2203" s="2">
        <v>45575.736624814817</v>
      </c>
      <c r="C2203" t="s">
        <v>3</v>
      </c>
      <c r="D2203" t="s">
        <v>755</v>
      </c>
      <c r="E2203">
        <v>35.76</v>
      </c>
      <c r="F2203" t="s">
        <v>7</v>
      </c>
    </row>
    <row r="2204" spans="1:6">
      <c r="A2204" s="1">
        <v>45575</v>
      </c>
      <c r="B2204" s="2">
        <v>45575.76287859954</v>
      </c>
      <c r="C2204" t="s">
        <v>3</v>
      </c>
      <c r="D2204" t="s">
        <v>756</v>
      </c>
      <c r="E2204">
        <v>25.96</v>
      </c>
      <c r="F2204" t="s">
        <v>11</v>
      </c>
    </row>
    <row r="2205" spans="1:6">
      <c r="A2205" s="1">
        <v>45602</v>
      </c>
      <c r="B2205" s="2">
        <v>45602.552463680557</v>
      </c>
      <c r="C2205" t="s">
        <v>3</v>
      </c>
      <c r="D2205" t="s">
        <v>756</v>
      </c>
      <c r="E2205">
        <v>25.96</v>
      </c>
      <c r="F2205" t="s">
        <v>11</v>
      </c>
    </row>
    <row r="2206" spans="1:6">
      <c r="A2206" s="1">
        <v>45576</v>
      </c>
      <c r="B2206" s="2">
        <v>45576.373716458336</v>
      </c>
      <c r="C2206" t="s">
        <v>3</v>
      </c>
      <c r="D2206" t="s">
        <v>757</v>
      </c>
      <c r="E2206">
        <v>35.76</v>
      </c>
      <c r="F2206" t="s">
        <v>9</v>
      </c>
    </row>
    <row r="2207" spans="1:6">
      <c r="A2207" s="1">
        <v>45576</v>
      </c>
      <c r="B2207" s="2">
        <v>45576.397017800926</v>
      </c>
      <c r="C2207" t="s">
        <v>3</v>
      </c>
      <c r="D2207" t="s">
        <v>758</v>
      </c>
      <c r="E2207">
        <v>30.86</v>
      </c>
      <c r="F2207" t="s">
        <v>14</v>
      </c>
    </row>
    <row r="2208" spans="1:6">
      <c r="A2208" s="1">
        <v>45576</v>
      </c>
      <c r="B2208" s="2">
        <v>45576.60671915509</v>
      </c>
      <c r="C2208" t="s">
        <v>3</v>
      </c>
      <c r="D2208" t="s">
        <v>759</v>
      </c>
      <c r="E2208">
        <v>35.76</v>
      </c>
      <c r="F2208" t="s">
        <v>18</v>
      </c>
    </row>
    <row r="2209" spans="1:6">
      <c r="A2209" s="1">
        <v>45576</v>
      </c>
      <c r="B2209" s="2">
        <v>45576.607978148146</v>
      </c>
      <c r="C2209" t="s">
        <v>3</v>
      </c>
      <c r="D2209" t="s">
        <v>759</v>
      </c>
      <c r="E2209">
        <v>25.96</v>
      </c>
      <c r="F2209" t="s">
        <v>11</v>
      </c>
    </row>
    <row r="2210" spans="1:6">
      <c r="A2210" s="1">
        <v>45576</v>
      </c>
      <c r="B2210" s="2">
        <v>45576.716751539352</v>
      </c>
      <c r="C2210" t="s">
        <v>3</v>
      </c>
      <c r="D2210" t="s">
        <v>760</v>
      </c>
      <c r="E2210">
        <v>35.76</v>
      </c>
      <c r="F2210" t="s">
        <v>7</v>
      </c>
    </row>
    <row r="2211" spans="1:6">
      <c r="A2211" s="1">
        <v>45576</v>
      </c>
      <c r="B2211" s="2">
        <v>45576.71761107639</v>
      </c>
      <c r="C2211" t="s">
        <v>3</v>
      </c>
      <c r="D2211" t="s">
        <v>760</v>
      </c>
      <c r="E2211">
        <v>35.76</v>
      </c>
      <c r="F2211" t="s">
        <v>9</v>
      </c>
    </row>
    <row r="2212" spans="1:6">
      <c r="A2212" s="1">
        <v>45576</v>
      </c>
      <c r="B2212" s="2">
        <v>45576.726518124997</v>
      </c>
      <c r="C2212" t="s">
        <v>3</v>
      </c>
      <c r="D2212" t="s">
        <v>761</v>
      </c>
      <c r="E2212">
        <v>35.76</v>
      </c>
      <c r="F2212" t="s">
        <v>9</v>
      </c>
    </row>
    <row r="2213" spans="1:6">
      <c r="A2213" s="1">
        <v>45576</v>
      </c>
      <c r="B2213" s="2">
        <v>45576.912426006944</v>
      </c>
      <c r="C2213" t="s">
        <v>3</v>
      </c>
      <c r="D2213" t="s">
        <v>762</v>
      </c>
      <c r="E2213">
        <v>30.86</v>
      </c>
      <c r="F2213" t="s">
        <v>14</v>
      </c>
    </row>
    <row r="2214" spans="1:6">
      <c r="A2214" s="1">
        <v>45624</v>
      </c>
      <c r="B2214" s="2">
        <v>45624.916848310182</v>
      </c>
      <c r="C2214" t="s">
        <v>3</v>
      </c>
      <c r="D2214" t="s">
        <v>762</v>
      </c>
      <c r="E2214">
        <v>35.76</v>
      </c>
      <c r="F2214" t="s">
        <v>43</v>
      </c>
    </row>
    <row r="2215" spans="1:6">
      <c r="A2215" s="1">
        <v>45639</v>
      </c>
      <c r="B2215" s="2">
        <v>45639.899791145835</v>
      </c>
      <c r="C2215" t="s">
        <v>3</v>
      </c>
      <c r="D2215" t="s">
        <v>762</v>
      </c>
      <c r="E2215">
        <v>35.76</v>
      </c>
      <c r="F2215" t="s">
        <v>7</v>
      </c>
    </row>
    <row r="2216" spans="1:6">
      <c r="A2216" s="1">
        <v>45576</v>
      </c>
      <c r="B2216" s="2">
        <v>45576.941986493053</v>
      </c>
      <c r="C2216" t="s">
        <v>3</v>
      </c>
      <c r="D2216" t="s">
        <v>763</v>
      </c>
      <c r="E2216">
        <v>35.76</v>
      </c>
      <c r="F2216" t="s">
        <v>9</v>
      </c>
    </row>
    <row r="2217" spans="1:6">
      <c r="A2217" s="1">
        <v>45576</v>
      </c>
      <c r="B2217" s="2">
        <v>45576.942670150464</v>
      </c>
      <c r="C2217" t="s">
        <v>3</v>
      </c>
      <c r="D2217" t="s">
        <v>763</v>
      </c>
      <c r="E2217">
        <v>35.76</v>
      </c>
      <c r="F2217" t="s">
        <v>9</v>
      </c>
    </row>
    <row r="2218" spans="1:6">
      <c r="A2218" s="1">
        <v>45577</v>
      </c>
      <c r="B2218" s="2">
        <v>45577.495614502317</v>
      </c>
      <c r="C2218" t="s">
        <v>3</v>
      </c>
      <c r="D2218" t="s">
        <v>764</v>
      </c>
      <c r="E2218">
        <v>30.86</v>
      </c>
      <c r="F2218" t="s">
        <v>14</v>
      </c>
    </row>
    <row r="2219" spans="1:6">
      <c r="A2219" s="1">
        <v>45577</v>
      </c>
      <c r="B2219" s="2">
        <v>45577.55471128472</v>
      </c>
      <c r="C2219" t="s">
        <v>3</v>
      </c>
      <c r="D2219" t="s">
        <v>765</v>
      </c>
      <c r="E2219">
        <v>35.76</v>
      </c>
      <c r="F2219" t="s">
        <v>43</v>
      </c>
    </row>
    <row r="2220" spans="1:6">
      <c r="A2220" s="1">
        <v>45586</v>
      </c>
      <c r="B2220" s="2">
        <v>45586.528058958334</v>
      </c>
      <c r="C2220" t="s">
        <v>3</v>
      </c>
      <c r="D2220" t="s">
        <v>765</v>
      </c>
      <c r="E2220">
        <v>35.76</v>
      </c>
      <c r="F2220" t="s">
        <v>43</v>
      </c>
    </row>
    <row r="2221" spans="1:6">
      <c r="A2221" s="1">
        <v>45578</v>
      </c>
      <c r="B2221" s="2">
        <v>45578.514428182869</v>
      </c>
      <c r="C2221" t="s">
        <v>3</v>
      </c>
      <c r="D2221" t="s">
        <v>766</v>
      </c>
      <c r="E2221">
        <v>30.86</v>
      </c>
      <c r="F2221" t="s">
        <v>14</v>
      </c>
    </row>
    <row r="2222" spans="1:6">
      <c r="A2222" s="1">
        <v>45578</v>
      </c>
      <c r="B2222" s="2">
        <v>45578.765958553238</v>
      </c>
      <c r="C2222" t="s">
        <v>3</v>
      </c>
      <c r="D2222" t="s">
        <v>767</v>
      </c>
      <c r="E2222">
        <v>35.76</v>
      </c>
      <c r="F2222" t="s">
        <v>43</v>
      </c>
    </row>
    <row r="2223" spans="1:6">
      <c r="A2223" s="1">
        <v>45579</v>
      </c>
      <c r="B2223" s="2">
        <v>45579.409659155092</v>
      </c>
      <c r="C2223" t="s">
        <v>3</v>
      </c>
      <c r="D2223" t="s">
        <v>768</v>
      </c>
      <c r="E2223">
        <v>35.76</v>
      </c>
      <c r="F2223" t="s">
        <v>18</v>
      </c>
    </row>
    <row r="2224" spans="1:6">
      <c r="A2224" s="1">
        <v>45579</v>
      </c>
      <c r="B2224" s="2">
        <v>45579.474890925929</v>
      </c>
      <c r="C2224" t="s">
        <v>3</v>
      </c>
      <c r="D2224" t="s">
        <v>769</v>
      </c>
      <c r="E2224">
        <v>35.76</v>
      </c>
      <c r="F2224" t="s">
        <v>43</v>
      </c>
    </row>
    <row r="2225" spans="1:6">
      <c r="A2225" s="1">
        <v>45579</v>
      </c>
      <c r="B2225" s="2">
        <v>45579.608415925926</v>
      </c>
      <c r="C2225" t="s">
        <v>3</v>
      </c>
      <c r="D2225" t="s">
        <v>770</v>
      </c>
      <c r="E2225">
        <v>35.76</v>
      </c>
      <c r="F2225" t="s">
        <v>7</v>
      </c>
    </row>
    <row r="2226" spans="1:6">
      <c r="A2226" s="1">
        <v>45579</v>
      </c>
      <c r="B2226" s="2">
        <v>45579.692910486112</v>
      </c>
      <c r="C2226" t="s">
        <v>3</v>
      </c>
      <c r="D2226" t="s">
        <v>771</v>
      </c>
      <c r="E2226">
        <v>25.96</v>
      </c>
      <c r="F2226" t="s">
        <v>11</v>
      </c>
    </row>
    <row r="2227" spans="1:6">
      <c r="A2227" s="1">
        <v>45579</v>
      </c>
      <c r="B2227" s="2">
        <v>45579.763416562499</v>
      </c>
      <c r="C2227" t="s">
        <v>3</v>
      </c>
      <c r="D2227" t="s">
        <v>772</v>
      </c>
      <c r="E2227">
        <v>35.76</v>
      </c>
      <c r="F2227" t="s">
        <v>7</v>
      </c>
    </row>
    <row r="2228" spans="1:6">
      <c r="A2228" s="1">
        <v>45579</v>
      </c>
      <c r="B2228" s="2">
        <v>45579.764127129631</v>
      </c>
      <c r="C2228" t="s">
        <v>3</v>
      </c>
      <c r="D2228" t="s">
        <v>772</v>
      </c>
      <c r="E2228">
        <v>35.76</v>
      </c>
      <c r="F2228" t="s">
        <v>43</v>
      </c>
    </row>
    <row r="2229" spans="1:6">
      <c r="A2229" s="1">
        <v>45579</v>
      </c>
      <c r="B2229" s="2">
        <v>45579.922844097222</v>
      </c>
      <c r="C2229" t="s">
        <v>3</v>
      </c>
      <c r="D2229" t="s">
        <v>773</v>
      </c>
      <c r="E2229">
        <v>35.76</v>
      </c>
      <c r="F2229" t="s">
        <v>7</v>
      </c>
    </row>
    <row r="2230" spans="1:6">
      <c r="A2230" s="1">
        <v>45579</v>
      </c>
      <c r="B2230" s="2">
        <v>45579.92388509259</v>
      </c>
      <c r="C2230" t="s">
        <v>3</v>
      </c>
      <c r="D2230" t="s">
        <v>774</v>
      </c>
      <c r="E2230">
        <v>35.76</v>
      </c>
      <c r="F2230" t="s">
        <v>7</v>
      </c>
    </row>
    <row r="2231" spans="1:6">
      <c r="A2231" s="1">
        <v>45580</v>
      </c>
      <c r="B2231" s="2">
        <v>45580.357151238422</v>
      </c>
      <c r="C2231" t="s">
        <v>3</v>
      </c>
      <c r="D2231" t="s">
        <v>775</v>
      </c>
      <c r="E2231">
        <v>21.06</v>
      </c>
      <c r="F2231" t="s">
        <v>35</v>
      </c>
    </row>
    <row r="2232" spans="1:6">
      <c r="A2232" s="1">
        <v>45580</v>
      </c>
      <c r="B2232" s="2">
        <v>45580.467615312496</v>
      </c>
      <c r="C2232" t="s">
        <v>3</v>
      </c>
      <c r="D2232" t="s">
        <v>776</v>
      </c>
      <c r="E2232">
        <v>35.76</v>
      </c>
      <c r="F2232" t="s">
        <v>9</v>
      </c>
    </row>
    <row r="2233" spans="1:6">
      <c r="A2233" s="1">
        <v>45580</v>
      </c>
      <c r="B2233" s="2">
        <v>45580.54216704861</v>
      </c>
      <c r="C2233" t="s">
        <v>3</v>
      </c>
      <c r="D2233" t="s">
        <v>777</v>
      </c>
      <c r="E2233">
        <v>35.76</v>
      </c>
      <c r="F2233" t="s">
        <v>7</v>
      </c>
    </row>
    <row r="2234" spans="1:6">
      <c r="A2234" s="1">
        <v>45580</v>
      </c>
      <c r="B2234" s="2">
        <v>45580.552602268515</v>
      </c>
      <c r="C2234" t="s">
        <v>3</v>
      </c>
      <c r="D2234" t="s">
        <v>778</v>
      </c>
      <c r="E2234">
        <v>30.86</v>
      </c>
      <c r="F2234" t="s">
        <v>14</v>
      </c>
    </row>
    <row r="2235" spans="1:6">
      <c r="A2235" s="1">
        <v>45581</v>
      </c>
      <c r="B2235" s="2">
        <v>45581.555676736112</v>
      </c>
      <c r="C2235" t="s">
        <v>3</v>
      </c>
      <c r="D2235" t="s">
        <v>778</v>
      </c>
      <c r="E2235">
        <v>25.96</v>
      </c>
      <c r="F2235" t="s">
        <v>11</v>
      </c>
    </row>
    <row r="2236" spans="1:6">
      <c r="A2236" s="1">
        <v>45580</v>
      </c>
      <c r="B2236" s="2">
        <v>45580.662691122685</v>
      </c>
      <c r="C2236" t="s">
        <v>3</v>
      </c>
      <c r="D2236" t="s">
        <v>779</v>
      </c>
      <c r="E2236">
        <v>25.96</v>
      </c>
      <c r="F2236" t="s">
        <v>11</v>
      </c>
    </row>
    <row r="2237" spans="1:6">
      <c r="A2237" s="1">
        <v>45580</v>
      </c>
      <c r="B2237" s="2">
        <v>45580.663414803239</v>
      </c>
      <c r="C2237" t="s">
        <v>3</v>
      </c>
      <c r="D2237" t="s">
        <v>779</v>
      </c>
      <c r="E2237">
        <v>21.06</v>
      </c>
      <c r="F2237" t="s">
        <v>35</v>
      </c>
    </row>
    <row r="2238" spans="1:6">
      <c r="A2238" s="1">
        <v>45580</v>
      </c>
      <c r="B2238" s="2">
        <v>45580.711242303238</v>
      </c>
      <c r="C2238" t="s">
        <v>3</v>
      </c>
      <c r="D2238" t="s">
        <v>780</v>
      </c>
      <c r="E2238">
        <v>35.76</v>
      </c>
      <c r="F2238" t="s">
        <v>9</v>
      </c>
    </row>
    <row r="2239" spans="1:6">
      <c r="A2239" s="1">
        <v>45580</v>
      </c>
      <c r="B2239" s="2">
        <v>45580.807191886575</v>
      </c>
      <c r="C2239" t="s">
        <v>3</v>
      </c>
      <c r="D2239" t="s">
        <v>781</v>
      </c>
      <c r="E2239">
        <v>25.96</v>
      </c>
      <c r="F2239" t="s">
        <v>11</v>
      </c>
    </row>
    <row r="2240" spans="1:6">
      <c r="A2240" s="1">
        <v>45580</v>
      </c>
      <c r="B2240" s="2">
        <v>45580.807839733796</v>
      </c>
      <c r="C2240" t="s">
        <v>3</v>
      </c>
      <c r="D2240" t="s">
        <v>781</v>
      </c>
      <c r="E2240">
        <v>35.76</v>
      </c>
      <c r="F2240" t="s">
        <v>18</v>
      </c>
    </row>
    <row r="2241" spans="1:6">
      <c r="A2241" s="1">
        <v>45581</v>
      </c>
      <c r="B2241" s="2">
        <v>45581.492877696757</v>
      </c>
      <c r="C2241" t="s">
        <v>3</v>
      </c>
      <c r="D2241" t="s">
        <v>782</v>
      </c>
      <c r="E2241">
        <v>25.96</v>
      </c>
      <c r="F2241" t="s">
        <v>11</v>
      </c>
    </row>
    <row r="2242" spans="1:6">
      <c r="A2242" s="1">
        <v>45581</v>
      </c>
      <c r="B2242" s="2">
        <v>45581.520651087965</v>
      </c>
      <c r="C2242" t="s">
        <v>3</v>
      </c>
      <c r="D2242" t="s">
        <v>783</v>
      </c>
      <c r="E2242">
        <v>30.86</v>
      </c>
      <c r="F2242" t="s">
        <v>14</v>
      </c>
    </row>
    <row r="2243" spans="1:6">
      <c r="A2243" s="1">
        <v>45611</v>
      </c>
      <c r="B2243" s="2">
        <v>45611.462419386575</v>
      </c>
      <c r="C2243" t="s">
        <v>3</v>
      </c>
      <c r="D2243" t="s">
        <v>783</v>
      </c>
      <c r="E2243">
        <v>30.86</v>
      </c>
      <c r="F2243" t="s">
        <v>14</v>
      </c>
    </row>
    <row r="2244" spans="1:6">
      <c r="A2244" s="1">
        <v>45614</v>
      </c>
      <c r="B2244" s="2">
        <v>45614.328004849536</v>
      </c>
      <c r="C2244" t="s">
        <v>3</v>
      </c>
      <c r="D2244" t="s">
        <v>783</v>
      </c>
      <c r="E2244">
        <v>30.86</v>
      </c>
      <c r="F2244" t="s">
        <v>14</v>
      </c>
    </row>
    <row r="2245" spans="1:6">
      <c r="A2245" s="1">
        <v>45581</v>
      </c>
      <c r="B2245" s="2">
        <v>45581.698258530094</v>
      </c>
      <c r="C2245" t="s">
        <v>3</v>
      </c>
      <c r="D2245" t="s">
        <v>784</v>
      </c>
      <c r="E2245">
        <v>35.76</v>
      </c>
      <c r="F2245" t="s">
        <v>7</v>
      </c>
    </row>
    <row r="2246" spans="1:6">
      <c r="A2246" s="1">
        <v>45581</v>
      </c>
      <c r="B2246" s="2">
        <v>45581.817851979169</v>
      </c>
      <c r="C2246" t="s">
        <v>3</v>
      </c>
      <c r="D2246" t="s">
        <v>785</v>
      </c>
      <c r="E2246">
        <v>30.86</v>
      </c>
      <c r="F2246" t="s">
        <v>14</v>
      </c>
    </row>
    <row r="2247" spans="1:6">
      <c r="A2247" s="1">
        <v>45581</v>
      </c>
      <c r="B2247" s="2">
        <v>45581.81847972222</v>
      </c>
      <c r="C2247" t="s">
        <v>3</v>
      </c>
      <c r="D2247" t="s">
        <v>785</v>
      </c>
      <c r="E2247">
        <v>30.86</v>
      </c>
      <c r="F2247" t="s">
        <v>14</v>
      </c>
    </row>
    <row r="2248" spans="1:6">
      <c r="A2248" s="1">
        <v>45631</v>
      </c>
      <c r="B2248" s="2">
        <v>45631.668171469908</v>
      </c>
      <c r="C2248" t="s">
        <v>3</v>
      </c>
      <c r="D2248" t="s">
        <v>785</v>
      </c>
      <c r="E2248">
        <v>35.76</v>
      </c>
      <c r="F2248" t="s">
        <v>7</v>
      </c>
    </row>
    <row r="2249" spans="1:6">
      <c r="A2249" s="1">
        <v>45581</v>
      </c>
      <c r="B2249" s="2">
        <v>45581.889219131946</v>
      </c>
      <c r="C2249" t="s">
        <v>3</v>
      </c>
      <c r="D2249" t="s">
        <v>786</v>
      </c>
      <c r="E2249">
        <v>35.76</v>
      </c>
      <c r="F2249" t="s">
        <v>9</v>
      </c>
    </row>
    <row r="2250" spans="1:6">
      <c r="A2250" s="1">
        <v>45582</v>
      </c>
      <c r="B2250" s="2">
        <v>45582.39198104167</v>
      </c>
      <c r="C2250" t="s">
        <v>3</v>
      </c>
      <c r="D2250" t="s">
        <v>787</v>
      </c>
      <c r="E2250">
        <v>30.86</v>
      </c>
      <c r="F2250" t="s">
        <v>14</v>
      </c>
    </row>
    <row r="2251" spans="1:6">
      <c r="A2251" s="1">
        <v>45582</v>
      </c>
      <c r="B2251" s="2">
        <v>45582.499616354165</v>
      </c>
      <c r="C2251" t="s">
        <v>3</v>
      </c>
      <c r="D2251" t="s">
        <v>788</v>
      </c>
      <c r="E2251">
        <v>30.86</v>
      </c>
      <c r="F2251" t="s">
        <v>14</v>
      </c>
    </row>
    <row r="2252" spans="1:6">
      <c r="A2252" s="1">
        <v>45582</v>
      </c>
      <c r="B2252" s="2">
        <v>45582.581538136576</v>
      </c>
      <c r="C2252" t="s">
        <v>3</v>
      </c>
      <c r="D2252" t="s">
        <v>789</v>
      </c>
      <c r="E2252">
        <v>35.76</v>
      </c>
      <c r="F2252" t="s">
        <v>7</v>
      </c>
    </row>
    <row r="2253" spans="1:6">
      <c r="A2253" s="1">
        <v>45582</v>
      </c>
      <c r="B2253" s="2">
        <v>45582.60743747685</v>
      </c>
      <c r="C2253" t="s">
        <v>3</v>
      </c>
      <c r="D2253" t="s">
        <v>790</v>
      </c>
      <c r="E2253">
        <v>25.96</v>
      </c>
      <c r="F2253" t="s">
        <v>11</v>
      </c>
    </row>
    <row r="2254" spans="1:6">
      <c r="A2254" s="1">
        <v>45582</v>
      </c>
      <c r="B2254" s="2">
        <v>45582.700415011575</v>
      </c>
      <c r="C2254" t="s">
        <v>3</v>
      </c>
      <c r="D2254" t="s">
        <v>791</v>
      </c>
      <c r="E2254">
        <v>35.76</v>
      </c>
      <c r="F2254" t="s">
        <v>9</v>
      </c>
    </row>
    <row r="2255" spans="1:6">
      <c r="A2255" s="1">
        <v>45582</v>
      </c>
      <c r="B2255" s="2">
        <v>45582.701078194441</v>
      </c>
      <c r="C2255" t="s">
        <v>3</v>
      </c>
      <c r="D2255" t="s">
        <v>791</v>
      </c>
      <c r="E2255">
        <v>35.76</v>
      </c>
      <c r="F2255" t="s">
        <v>9</v>
      </c>
    </row>
    <row r="2256" spans="1:6">
      <c r="A2256" s="1">
        <v>45582</v>
      </c>
      <c r="B2256" s="2">
        <v>45582.841393564813</v>
      </c>
      <c r="C2256" t="s">
        <v>3</v>
      </c>
      <c r="D2256" t="s">
        <v>792</v>
      </c>
      <c r="E2256">
        <v>30.86</v>
      </c>
      <c r="F2256" t="s">
        <v>14</v>
      </c>
    </row>
    <row r="2257" spans="1:6">
      <c r="A2257" s="1">
        <v>45582</v>
      </c>
      <c r="B2257" s="2">
        <v>45582.907094270835</v>
      </c>
      <c r="C2257" t="s">
        <v>3</v>
      </c>
      <c r="D2257" t="s">
        <v>793</v>
      </c>
      <c r="E2257">
        <v>35.76</v>
      </c>
      <c r="F2257" t="s">
        <v>7</v>
      </c>
    </row>
    <row r="2258" spans="1:6">
      <c r="A2258" s="1">
        <v>45582</v>
      </c>
      <c r="B2258" s="2">
        <v>45582.90787570602</v>
      </c>
      <c r="C2258" t="s">
        <v>3</v>
      </c>
      <c r="D2258" t="s">
        <v>793</v>
      </c>
      <c r="E2258">
        <v>35.76</v>
      </c>
      <c r="F2258" t="s">
        <v>7</v>
      </c>
    </row>
    <row r="2259" spans="1:6">
      <c r="A2259" s="1">
        <v>45582</v>
      </c>
      <c r="B2259" s="2">
        <v>45582.908700219908</v>
      </c>
      <c r="C2259" t="s">
        <v>3</v>
      </c>
      <c r="D2259" t="s">
        <v>793</v>
      </c>
      <c r="E2259">
        <v>35.76</v>
      </c>
      <c r="F2259" t="s">
        <v>7</v>
      </c>
    </row>
    <row r="2260" spans="1:6">
      <c r="A2260" s="1">
        <v>45582</v>
      </c>
      <c r="B2260" s="2">
        <v>45582.909659942132</v>
      </c>
      <c r="C2260" t="s">
        <v>3</v>
      </c>
      <c r="D2260" t="s">
        <v>793</v>
      </c>
      <c r="E2260">
        <v>35.76</v>
      </c>
      <c r="F2260" t="s">
        <v>9</v>
      </c>
    </row>
    <row r="2261" spans="1:6">
      <c r="A2261" s="1">
        <v>45583</v>
      </c>
      <c r="B2261" s="2">
        <v>45583.413428576387</v>
      </c>
      <c r="C2261" t="s">
        <v>3</v>
      </c>
      <c r="D2261" t="s">
        <v>794</v>
      </c>
      <c r="E2261">
        <v>35.76</v>
      </c>
      <c r="F2261" t="s">
        <v>43</v>
      </c>
    </row>
    <row r="2262" spans="1:6">
      <c r="A2262" s="1">
        <v>45583</v>
      </c>
      <c r="B2262" s="2">
        <v>45583.496514074075</v>
      </c>
      <c r="C2262" t="s">
        <v>3</v>
      </c>
      <c r="D2262" t="s">
        <v>794</v>
      </c>
      <c r="E2262">
        <v>35.76</v>
      </c>
      <c r="F2262" t="s">
        <v>43</v>
      </c>
    </row>
    <row r="2263" spans="1:6">
      <c r="A2263" s="1">
        <v>45583</v>
      </c>
      <c r="B2263" s="2">
        <v>45583.618797650466</v>
      </c>
      <c r="C2263" t="s">
        <v>3</v>
      </c>
      <c r="D2263" t="s">
        <v>795</v>
      </c>
      <c r="E2263">
        <v>35.76</v>
      </c>
      <c r="F2263" t="s">
        <v>7</v>
      </c>
    </row>
    <row r="2264" spans="1:6">
      <c r="A2264" s="1">
        <v>45583</v>
      </c>
      <c r="B2264" s="2">
        <v>45583.619621817132</v>
      </c>
      <c r="C2264" t="s">
        <v>3</v>
      </c>
      <c r="D2264" t="s">
        <v>795</v>
      </c>
      <c r="E2264">
        <v>35.76</v>
      </c>
      <c r="F2264" t="s">
        <v>43</v>
      </c>
    </row>
    <row r="2265" spans="1:6">
      <c r="A2265" s="1">
        <v>45583</v>
      </c>
      <c r="B2265" s="2">
        <v>45583.673586527781</v>
      </c>
      <c r="C2265" t="s">
        <v>3</v>
      </c>
      <c r="D2265" t="s">
        <v>796</v>
      </c>
      <c r="E2265">
        <v>35.76</v>
      </c>
      <c r="F2265" t="s">
        <v>7</v>
      </c>
    </row>
    <row r="2266" spans="1:6">
      <c r="A2266" s="1">
        <v>45583</v>
      </c>
      <c r="B2266" s="2">
        <v>45583.740034467592</v>
      </c>
      <c r="C2266" t="s">
        <v>3</v>
      </c>
      <c r="D2266" t="s">
        <v>797</v>
      </c>
      <c r="E2266">
        <v>35.76</v>
      </c>
      <c r="F2266" t="s">
        <v>9</v>
      </c>
    </row>
    <row r="2267" spans="1:6">
      <c r="A2267" s="1">
        <v>45630</v>
      </c>
      <c r="B2267" s="2">
        <v>45630.437356446761</v>
      </c>
      <c r="C2267" t="s">
        <v>3</v>
      </c>
      <c r="D2267" t="s">
        <v>797</v>
      </c>
      <c r="E2267">
        <v>35.76</v>
      </c>
      <c r="F2267" t="s">
        <v>9</v>
      </c>
    </row>
    <row r="2268" spans="1:6">
      <c r="A2268" s="1">
        <v>45583</v>
      </c>
      <c r="B2268" s="2">
        <v>45583.91138203704</v>
      </c>
      <c r="C2268" t="s">
        <v>3</v>
      </c>
      <c r="D2268" t="s">
        <v>798</v>
      </c>
      <c r="E2268">
        <v>30.86</v>
      </c>
      <c r="F2268" t="s">
        <v>14</v>
      </c>
    </row>
    <row r="2269" spans="1:6">
      <c r="A2269" s="1">
        <v>45584</v>
      </c>
      <c r="B2269" s="2">
        <v>45584.357102476853</v>
      </c>
      <c r="C2269" t="s">
        <v>3</v>
      </c>
      <c r="D2269" t="s">
        <v>799</v>
      </c>
      <c r="E2269">
        <v>30.86</v>
      </c>
      <c r="F2269" t="s">
        <v>14</v>
      </c>
    </row>
    <row r="2270" spans="1:6">
      <c r="A2270" s="1">
        <v>45584</v>
      </c>
      <c r="B2270" s="2">
        <v>45584.949047418981</v>
      </c>
      <c r="C2270" t="s">
        <v>3</v>
      </c>
      <c r="D2270" t="s">
        <v>800</v>
      </c>
      <c r="E2270">
        <v>35.76</v>
      </c>
      <c r="F2270" t="s">
        <v>43</v>
      </c>
    </row>
    <row r="2271" spans="1:6">
      <c r="A2271" s="1">
        <v>45585</v>
      </c>
      <c r="B2271" s="2">
        <v>45585.470044456022</v>
      </c>
      <c r="C2271" t="s">
        <v>3</v>
      </c>
      <c r="D2271" t="s">
        <v>801</v>
      </c>
      <c r="E2271">
        <v>35.76</v>
      </c>
      <c r="F2271" t="s">
        <v>7</v>
      </c>
    </row>
    <row r="2272" spans="1:6">
      <c r="A2272" s="1">
        <v>45634</v>
      </c>
      <c r="B2272" s="2">
        <v>45634.446275000002</v>
      </c>
      <c r="C2272" t="s">
        <v>3</v>
      </c>
      <c r="D2272" t="s">
        <v>801</v>
      </c>
      <c r="E2272">
        <v>35.76</v>
      </c>
      <c r="F2272" t="s">
        <v>7</v>
      </c>
    </row>
    <row r="2273" spans="1:6">
      <c r="A2273" s="1">
        <v>45634</v>
      </c>
      <c r="B2273" s="2">
        <v>45634.447022291664</v>
      </c>
      <c r="C2273" t="s">
        <v>3</v>
      </c>
      <c r="D2273" t="s">
        <v>801</v>
      </c>
      <c r="E2273">
        <v>35.76</v>
      </c>
      <c r="F2273" t="s">
        <v>43</v>
      </c>
    </row>
    <row r="2274" spans="1:6">
      <c r="A2274" s="1">
        <v>45585</v>
      </c>
      <c r="B2274" s="2">
        <v>45585.698029895837</v>
      </c>
      <c r="C2274" t="s">
        <v>3</v>
      </c>
      <c r="D2274" t="s">
        <v>802</v>
      </c>
      <c r="E2274">
        <v>35.76</v>
      </c>
      <c r="F2274" t="s">
        <v>7</v>
      </c>
    </row>
    <row r="2275" spans="1:6">
      <c r="A2275" s="1">
        <v>45585</v>
      </c>
      <c r="B2275" s="2">
        <v>45585.698666840275</v>
      </c>
      <c r="C2275" t="s">
        <v>3</v>
      </c>
      <c r="D2275" t="s">
        <v>802</v>
      </c>
      <c r="E2275">
        <v>35.76</v>
      </c>
      <c r="F2275" t="s">
        <v>7</v>
      </c>
    </row>
    <row r="2276" spans="1:6">
      <c r="A2276" s="1">
        <v>45589</v>
      </c>
      <c r="B2276" s="2">
        <v>45589.658018425929</v>
      </c>
      <c r="C2276" t="s">
        <v>3</v>
      </c>
      <c r="D2276" t="s">
        <v>802</v>
      </c>
      <c r="E2276">
        <v>35.76</v>
      </c>
      <c r="F2276" t="s">
        <v>7</v>
      </c>
    </row>
    <row r="2277" spans="1:6">
      <c r="A2277" s="1">
        <v>45589</v>
      </c>
      <c r="B2277" s="2">
        <v>45589.658679826389</v>
      </c>
      <c r="C2277" t="s">
        <v>3</v>
      </c>
      <c r="D2277" t="s">
        <v>802</v>
      </c>
      <c r="E2277">
        <v>35.76</v>
      </c>
      <c r="F2277" t="s">
        <v>7</v>
      </c>
    </row>
    <row r="2278" spans="1:6">
      <c r="A2278" s="1">
        <v>45585</v>
      </c>
      <c r="B2278" s="2">
        <v>45585.884931076391</v>
      </c>
      <c r="C2278" t="s">
        <v>3</v>
      </c>
      <c r="D2278" t="s">
        <v>803</v>
      </c>
      <c r="E2278">
        <v>35.76</v>
      </c>
      <c r="F2278" t="s">
        <v>9</v>
      </c>
    </row>
    <row r="2279" spans="1:6">
      <c r="A2279" s="1">
        <v>45586</v>
      </c>
      <c r="B2279" s="2">
        <v>45586.938014467596</v>
      </c>
      <c r="C2279" t="s">
        <v>3</v>
      </c>
      <c r="D2279" t="s">
        <v>803</v>
      </c>
      <c r="E2279">
        <v>35.76</v>
      </c>
      <c r="F2279" t="s">
        <v>18</v>
      </c>
    </row>
    <row r="2280" spans="1:6">
      <c r="A2280" s="1">
        <v>45585</v>
      </c>
      <c r="B2280" s="2">
        <v>45585.885622453701</v>
      </c>
      <c r="C2280" t="s">
        <v>3</v>
      </c>
      <c r="D2280" t="s">
        <v>804</v>
      </c>
      <c r="E2280">
        <v>25.96</v>
      </c>
      <c r="F2280" t="s">
        <v>28</v>
      </c>
    </row>
    <row r="2281" spans="1:6">
      <c r="A2281" s="1">
        <v>45585</v>
      </c>
      <c r="B2281" s="2">
        <v>45585.887116493053</v>
      </c>
      <c r="C2281" t="s">
        <v>3</v>
      </c>
      <c r="D2281" t="s">
        <v>805</v>
      </c>
      <c r="E2281">
        <v>35.76</v>
      </c>
      <c r="F2281" t="s">
        <v>18</v>
      </c>
    </row>
    <row r="2282" spans="1:6">
      <c r="A2282" s="1">
        <v>45586</v>
      </c>
      <c r="B2282" s="2">
        <v>45586.938587569442</v>
      </c>
      <c r="C2282" t="s">
        <v>3</v>
      </c>
      <c r="D2282" t="s">
        <v>805</v>
      </c>
      <c r="E2282">
        <v>35.76</v>
      </c>
      <c r="F2282" t="s">
        <v>9</v>
      </c>
    </row>
    <row r="2283" spans="1:6">
      <c r="A2283" s="1">
        <v>45585</v>
      </c>
      <c r="B2283" s="2">
        <v>45585.892362094906</v>
      </c>
      <c r="C2283" t="s">
        <v>3</v>
      </c>
      <c r="D2283" t="s">
        <v>806</v>
      </c>
      <c r="E2283">
        <v>35.76</v>
      </c>
      <c r="F2283" t="s">
        <v>7</v>
      </c>
    </row>
    <row r="2284" spans="1:6">
      <c r="A2284" s="1">
        <v>45586</v>
      </c>
      <c r="B2284" s="2">
        <v>45586.398906793984</v>
      </c>
      <c r="C2284" t="s">
        <v>3</v>
      </c>
      <c r="D2284" t="s">
        <v>807</v>
      </c>
      <c r="E2284">
        <v>35.76</v>
      </c>
      <c r="F2284" t="s">
        <v>7</v>
      </c>
    </row>
    <row r="2285" spans="1:6">
      <c r="A2285" s="1">
        <v>45586</v>
      </c>
      <c r="B2285" s="2">
        <v>45586.613148715274</v>
      </c>
      <c r="C2285" t="s">
        <v>3</v>
      </c>
      <c r="D2285" t="s">
        <v>808</v>
      </c>
      <c r="E2285">
        <v>35.76</v>
      </c>
      <c r="F2285" t="s">
        <v>7</v>
      </c>
    </row>
    <row r="2286" spans="1:6">
      <c r="A2286" s="1">
        <v>45586</v>
      </c>
      <c r="B2286" s="2">
        <v>45586.643778252313</v>
      </c>
      <c r="C2286" t="s">
        <v>3</v>
      </c>
      <c r="D2286" t="s">
        <v>809</v>
      </c>
      <c r="E2286">
        <v>30.86</v>
      </c>
      <c r="F2286" t="s">
        <v>14</v>
      </c>
    </row>
    <row r="2287" spans="1:6">
      <c r="A2287" s="1">
        <v>45586</v>
      </c>
      <c r="B2287" s="2">
        <v>45586.652137569443</v>
      </c>
      <c r="C2287" t="s">
        <v>3</v>
      </c>
      <c r="D2287" t="s">
        <v>810</v>
      </c>
      <c r="E2287">
        <v>25.96</v>
      </c>
      <c r="F2287" t="s">
        <v>28</v>
      </c>
    </row>
    <row r="2288" spans="1:6">
      <c r="A2288" s="1">
        <v>45586</v>
      </c>
      <c r="B2288" s="2">
        <v>45586.705122094907</v>
      </c>
      <c r="C2288" t="s">
        <v>3</v>
      </c>
      <c r="D2288" t="s">
        <v>811</v>
      </c>
      <c r="E2288">
        <v>35.76</v>
      </c>
      <c r="F2288" t="s">
        <v>7</v>
      </c>
    </row>
    <row r="2289" spans="1:6">
      <c r="A2289" s="1">
        <v>45586</v>
      </c>
      <c r="B2289" s="2">
        <v>45586.806404537034</v>
      </c>
      <c r="C2289" t="s">
        <v>3</v>
      </c>
      <c r="D2289" t="s">
        <v>812</v>
      </c>
      <c r="E2289">
        <v>35.76</v>
      </c>
      <c r="F2289" t="s">
        <v>9</v>
      </c>
    </row>
    <row r="2290" spans="1:6">
      <c r="A2290" s="1">
        <v>45641</v>
      </c>
      <c r="B2290" s="2">
        <v>45641.748673449074</v>
      </c>
      <c r="C2290" t="s">
        <v>3</v>
      </c>
      <c r="D2290" t="s">
        <v>812</v>
      </c>
      <c r="E2290">
        <v>35.76</v>
      </c>
      <c r="F2290" t="s">
        <v>9</v>
      </c>
    </row>
    <row r="2291" spans="1:6">
      <c r="A2291" s="1">
        <v>45586</v>
      </c>
      <c r="B2291" s="2">
        <v>45586.878890115739</v>
      </c>
      <c r="C2291" t="s">
        <v>3</v>
      </c>
      <c r="D2291" t="s">
        <v>813</v>
      </c>
      <c r="E2291">
        <v>35.76</v>
      </c>
      <c r="F2291" t="s">
        <v>7</v>
      </c>
    </row>
    <row r="2292" spans="1:6">
      <c r="A2292" s="1">
        <v>45594</v>
      </c>
      <c r="B2292" s="2">
        <v>45594.838607164354</v>
      </c>
      <c r="C2292" t="s">
        <v>3</v>
      </c>
      <c r="D2292" t="s">
        <v>813</v>
      </c>
      <c r="E2292">
        <v>35.76</v>
      </c>
      <c r="F2292" t="s">
        <v>7</v>
      </c>
    </row>
    <row r="2293" spans="1:6">
      <c r="A2293" s="1">
        <v>45587</v>
      </c>
      <c r="B2293" s="2">
        <v>45587.38738896991</v>
      </c>
      <c r="C2293" t="s">
        <v>3</v>
      </c>
      <c r="D2293" t="s">
        <v>814</v>
      </c>
      <c r="E2293">
        <v>25.96</v>
      </c>
      <c r="F2293" t="s">
        <v>28</v>
      </c>
    </row>
    <row r="2294" spans="1:6">
      <c r="A2294" s="1">
        <v>45587</v>
      </c>
      <c r="B2294" s="2">
        <v>45587.754890902776</v>
      </c>
      <c r="C2294" t="s">
        <v>3</v>
      </c>
      <c r="D2294" t="s">
        <v>815</v>
      </c>
      <c r="E2294">
        <v>25.96</v>
      </c>
      <c r="F2294" t="s">
        <v>11</v>
      </c>
    </row>
    <row r="2295" spans="1:6">
      <c r="A2295" s="1">
        <v>45588</v>
      </c>
      <c r="B2295" s="2">
        <v>45588.521590567128</v>
      </c>
      <c r="C2295" t="s">
        <v>3</v>
      </c>
      <c r="D2295" t="s">
        <v>816</v>
      </c>
      <c r="E2295">
        <v>30.86</v>
      </c>
      <c r="F2295" t="s">
        <v>14</v>
      </c>
    </row>
    <row r="2296" spans="1:6">
      <c r="A2296" s="1">
        <v>45635</v>
      </c>
      <c r="B2296" s="2">
        <v>45635.542302233793</v>
      </c>
      <c r="C2296" t="s">
        <v>3</v>
      </c>
      <c r="D2296" t="s">
        <v>816</v>
      </c>
      <c r="E2296">
        <v>25.96</v>
      </c>
      <c r="F2296" t="s">
        <v>28</v>
      </c>
    </row>
    <row r="2297" spans="1:6">
      <c r="A2297" s="1">
        <v>45588</v>
      </c>
      <c r="B2297" s="2">
        <v>45588.680581736109</v>
      </c>
      <c r="C2297" t="s">
        <v>3</v>
      </c>
      <c r="D2297" t="s">
        <v>817</v>
      </c>
      <c r="E2297">
        <v>30.86</v>
      </c>
      <c r="F2297" t="s">
        <v>14</v>
      </c>
    </row>
    <row r="2298" spans="1:6">
      <c r="A2298" s="1">
        <v>45588</v>
      </c>
      <c r="B2298" s="2">
        <v>45588.68135457176</v>
      </c>
      <c r="C2298" t="s">
        <v>3</v>
      </c>
      <c r="D2298" t="s">
        <v>817</v>
      </c>
      <c r="E2298">
        <v>30.86</v>
      </c>
      <c r="F2298" t="s">
        <v>14</v>
      </c>
    </row>
    <row r="2299" spans="1:6">
      <c r="A2299" s="1">
        <v>45588</v>
      </c>
      <c r="B2299" s="2">
        <v>45588.696183101849</v>
      </c>
      <c r="C2299" t="s">
        <v>3</v>
      </c>
      <c r="D2299" t="s">
        <v>818</v>
      </c>
      <c r="E2299">
        <v>35.76</v>
      </c>
      <c r="F2299" t="s">
        <v>43</v>
      </c>
    </row>
    <row r="2300" spans="1:6">
      <c r="A2300" s="1">
        <v>45589</v>
      </c>
      <c r="B2300" s="2">
        <v>45589.590123969909</v>
      </c>
      <c r="C2300" t="s">
        <v>3</v>
      </c>
      <c r="D2300" t="s">
        <v>818</v>
      </c>
      <c r="E2300">
        <v>35.76</v>
      </c>
      <c r="F2300" t="s">
        <v>43</v>
      </c>
    </row>
    <row r="2301" spans="1:6">
      <c r="A2301" s="1">
        <v>45594</v>
      </c>
      <c r="B2301" s="2">
        <v>45594.361717071763</v>
      </c>
      <c r="C2301" t="s">
        <v>3</v>
      </c>
      <c r="D2301" t="s">
        <v>818</v>
      </c>
      <c r="E2301">
        <v>35.76</v>
      </c>
      <c r="F2301" t="s">
        <v>7</v>
      </c>
    </row>
    <row r="2302" spans="1:6">
      <c r="A2302" s="1">
        <v>45588</v>
      </c>
      <c r="B2302" s="2">
        <v>45588.710258437502</v>
      </c>
      <c r="C2302" t="s">
        <v>3</v>
      </c>
      <c r="D2302" t="s">
        <v>819</v>
      </c>
      <c r="E2302">
        <v>21.06</v>
      </c>
      <c r="F2302" t="s">
        <v>35</v>
      </c>
    </row>
    <row r="2303" spans="1:6">
      <c r="A2303" s="1">
        <v>45588</v>
      </c>
      <c r="B2303" s="2">
        <v>45588.915552627317</v>
      </c>
      <c r="C2303" t="s">
        <v>3</v>
      </c>
      <c r="D2303" t="s">
        <v>820</v>
      </c>
      <c r="E2303">
        <v>35.76</v>
      </c>
      <c r="F2303" t="s">
        <v>9</v>
      </c>
    </row>
    <row r="2304" spans="1:6">
      <c r="A2304" s="1">
        <v>45588</v>
      </c>
      <c r="B2304" s="2">
        <v>45588.933082291667</v>
      </c>
      <c r="C2304" t="s">
        <v>3</v>
      </c>
      <c r="D2304" t="s">
        <v>821</v>
      </c>
      <c r="E2304">
        <v>35.76</v>
      </c>
      <c r="F2304" t="s">
        <v>7</v>
      </c>
    </row>
    <row r="2305" spans="1:6">
      <c r="A2305" s="1">
        <v>45589</v>
      </c>
      <c r="B2305" s="2">
        <v>45589.505400023147</v>
      </c>
      <c r="C2305" t="s">
        <v>3</v>
      </c>
      <c r="D2305" t="s">
        <v>822</v>
      </c>
      <c r="E2305">
        <v>25.96</v>
      </c>
      <c r="F2305" t="s">
        <v>11</v>
      </c>
    </row>
    <row r="2306" spans="1:6">
      <c r="A2306" s="1">
        <v>45589</v>
      </c>
      <c r="B2306" s="2">
        <v>45589.558328483799</v>
      </c>
      <c r="C2306" t="s">
        <v>3</v>
      </c>
      <c r="D2306" t="s">
        <v>823</v>
      </c>
      <c r="E2306">
        <v>35.76</v>
      </c>
      <c r="F2306" t="s">
        <v>43</v>
      </c>
    </row>
    <row r="2307" spans="1:6">
      <c r="A2307" s="1">
        <v>45589</v>
      </c>
      <c r="B2307" s="2">
        <v>45589.617382627315</v>
      </c>
      <c r="C2307" t="s">
        <v>3</v>
      </c>
      <c r="D2307" t="s">
        <v>824</v>
      </c>
      <c r="E2307">
        <v>35.76</v>
      </c>
      <c r="F2307" t="s">
        <v>9</v>
      </c>
    </row>
    <row r="2308" spans="1:6">
      <c r="A2308" s="1">
        <v>45589</v>
      </c>
      <c r="B2308" s="2">
        <v>45589.617932175926</v>
      </c>
      <c r="C2308" t="s">
        <v>3</v>
      </c>
      <c r="D2308" t="s">
        <v>824</v>
      </c>
      <c r="E2308">
        <v>35.76</v>
      </c>
      <c r="F2308" t="s">
        <v>7</v>
      </c>
    </row>
    <row r="2309" spans="1:6">
      <c r="A2309" s="1">
        <v>45589</v>
      </c>
      <c r="B2309" s="2">
        <v>45589.787353217595</v>
      </c>
      <c r="C2309" t="s">
        <v>3</v>
      </c>
      <c r="D2309" t="s">
        <v>825</v>
      </c>
      <c r="E2309">
        <v>25.96</v>
      </c>
      <c r="F2309" t="s">
        <v>11</v>
      </c>
    </row>
    <row r="2310" spans="1:6">
      <c r="A2310" s="1">
        <v>45589</v>
      </c>
      <c r="B2310" s="2">
        <v>45589.788282106485</v>
      </c>
      <c r="C2310" t="s">
        <v>3</v>
      </c>
      <c r="D2310" t="s">
        <v>825</v>
      </c>
      <c r="E2310">
        <v>25.96</v>
      </c>
      <c r="F2310" t="s">
        <v>11</v>
      </c>
    </row>
    <row r="2311" spans="1:6">
      <c r="A2311" s="1">
        <v>45589</v>
      </c>
      <c r="B2311" s="2">
        <v>45589.864021712965</v>
      </c>
      <c r="C2311" t="s">
        <v>3</v>
      </c>
      <c r="D2311" t="s">
        <v>826</v>
      </c>
      <c r="E2311">
        <v>25.96</v>
      </c>
      <c r="F2311" t="s">
        <v>11</v>
      </c>
    </row>
    <row r="2312" spans="1:6">
      <c r="A2312" s="1">
        <v>45589</v>
      </c>
      <c r="B2312" s="2">
        <v>45589.885241759257</v>
      </c>
      <c r="C2312" t="s">
        <v>3</v>
      </c>
      <c r="D2312" t="s">
        <v>827</v>
      </c>
      <c r="E2312">
        <v>35.76</v>
      </c>
      <c r="F2312" t="s">
        <v>9</v>
      </c>
    </row>
    <row r="2313" spans="1:6">
      <c r="A2313" s="1">
        <v>45589</v>
      </c>
      <c r="B2313" s="2">
        <v>45589.885753773146</v>
      </c>
      <c r="C2313" t="s">
        <v>3</v>
      </c>
      <c r="D2313" t="s">
        <v>827</v>
      </c>
      <c r="E2313">
        <v>35.76</v>
      </c>
      <c r="F2313" t="s">
        <v>9</v>
      </c>
    </row>
    <row r="2314" spans="1:6">
      <c r="A2314" s="1">
        <v>45590</v>
      </c>
      <c r="B2314" s="2">
        <v>45590.528211412035</v>
      </c>
      <c r="C2314" t="s">
        <v>3</v>
      </c>
      <c r="D2314" t="s">
        <v>828</v>
      </c>
      <c r="E2314">
        <v>35.76</v>
      </c>
      <c r="F2314" t="s">
        <v>7</v>
      </c>
    </row>
    <row r="2315" spans="1:6">
      <c r="A2315" s="1">
        <v>45590</v>
      </c>
      <c r="B2315" s="2">
        <v>45590.930138414355</v>
      </c>
      <c r="C2315" t="s">
        <v>3</v>
      </c>
      <c r="D2315" t="s">
        <v>829</v>
      </c>
      <c r="E2315">
        <v>35.76</v>
      </c>
      <c r="F2315" t="s">
        <v>9</v>
      </c>
    </row>
    <row r="2316" spans="1:6">
      <c r="A2316" s="1">
        <v>45590</v>
      </c>
      <c r="B2316" s="2">
        <v>45590.932311863427</v>
      </c>
      <c r="C2316" t="s">
        <v>3</v>
      </c>
      <c r="D2316" t="s">
        <v>829</v>
      </c>
      <c r="E2316">
        <v>21.06</v>
      </c>
      <c r="F2316" t="s">
        <v>35</v>
      </c>
    </row>
    <row r="2317" spans="1:6">
      <c r="A2317" s="1">
        <v>45591</v>
      </c>
      <c r="B2317" s="2">
        <v>45591.433776631944</v>
      </c>
      <c r="C2317" t="s">
        <v>3</v>
      </c>
      <c r="D2317" t="s">
        <v>830</v>
      </c>
      <c r="E2317">
        <v>25.96</v>
      </c>
      <c r="F2317" t="s">
        <v>11</v>
      </c>
    </row>
    <row r="2318" spans="1:6">
      <c r="A2318" s="1">
        <v>45591</v>
      </c>
      <c r="B2318" s="2">
        <v>45591.544109247683</v>
      </c>
      <c r="C2318" t="s">
        <v>3</v>
      </c>
      <c r="D2318" t="s">
        <v>831</v>
      </c>
      <c r="E2318">
        <v>35.76</v>
      </c>
      <c r="F2318" t="s">
        <v>7</v>
      </c>
    </row>
    <row r="2319" spans="1:6">
      <c r="A2319" s="1">
        <v>45591</v>
      </c>
      <c r="B2319" s="2">
        <v>45591.651721400463</v>
      </c>
      <c r="C2319" t="s">
        <v>3</v>
      </c>
      <c r="D2319" t="s">
        <v>832</v>
      </c>
      <c r="E2319">
        <v>35.76</v>
      </c>
      <c r="F2319" t="s">
        <v>7</v>
      </c>
    </row>
    <row r="2320" spans="1:6">
      <c r="A2320" s="1">
        <v>45591</v>
      </c>
      <c r="B2320" s="2">
        <v>45591.652425613429</v>
      </c>
      <c r="C2320" t="s">
        <v>3</v>
      </c>
      <c r="D2320" t="s">
        <v>832</v>
      </c>
      <c r="E2320">
        <v>35.76</v>
      </c>
      <c r="F2320" t="s">
        <v>7</v>
      </c>
    </row>
    <row r="2321" spans="1:6">
      <c r="A2321" s="1">
        <v>45591</v>
      </c>
      <c r="B2321" s="2">
        <v>45591.661130324072</v>
      </c>
      <c r="C2321" t="s">
        <v>3</v>
      </c>
      <c r="D2321" t="s">
        <v>833</v>
      </c>
      <c r="E2321">
        <v>30.86</v>
      </c>
      <c r="F2321" t="s">
        <v>14</v>
      </c>
    </row>
    <row r="2322" spans="1:6">
      <c r="A2322" s="1">
        <v>45593</v>
      </c>
      <c r="B2322" s="2">
        <v>45593.590909849539</v>
      </c>
      <c r="C2322" t="s">
        <v>3</v>
      </c>
      <c r="D2322" t="s">
        <v>833</v>
      </c>
      <c r="E2322">
        <v>30.86</v>
      </c>
      <c r="F2322" t="s">
        <v>14</v>
      </c>
    </row>
    <row r="2323" spans="1:6">
      <c r="A2323" s="1">
        <v>45593</v>
      </c>
      <c r="B2323" s="2">
        <v>45593.59162402778</v>
      </c>
      <c r="C2323" t="s">
        <v>3</v>
      </c>
      <c r="D2323" t="s">
        <v>833</v>
      </c>
      <c r="E2323">
        <v>30.86</v>
      </c>
      <c r="F2323" t="s">
        <v>14</v>
      </c>
    </row>
    <row r="2324" spans="1:6">
      <c r="A2324" s="1">
        <v>45595</v>
      </c>
      <c r="B2324" s="2">
        <v>45595.804531076392</v>
      </c>
      <c r="C2324" t="s">
        <v>3</v>
      </c>
      <c r="D2324" t="s">
        <v>833</v>
      </c>
      <c r="E2324">
        <v>30.86</v>
      </c>
      <c r="F2324" t="s">
        <v>14</v>
      </c>
    </row>
    <row r="2325" spans="1:6">
      <c r="A2325" s="1">
        <v>45610</v>
      </c>
      <c r="B2325" s="2">
        <v>45610.675790613423</v>
      </c>
      <c r="C2325" t="s">
        <v>3</v>
      </c>
      <c r="D2325" t="s">
        <v>833</v>
      </c>
      <c r="E2325">
        <v>30.86</v>
      </c>
      <c r="F2325" t="s">
        <v>14</v>
      </c>
    </row>
    <row r="2326" spans="1:6">
      <c r="A2326" s="1">
        <v>45610</v>
      </c>
      <c r="B2326" s="2">
        <v>45610.676638379628</v>
      </c>
      <c r="C2326" t="s">
        <v>3</v>
      </c>
      <c r="D2326" t="s">
        <v>833</v>
      </c>
      <c r="E2326">
        <v>35.76</v>
      </c>
      <c r="F2326" t="s">
        <v>43</v>
      </c>
    </row>
    <row r="2327" spans="1:6">
      <c r="A2327" s="1">
        <v>45612</v>
      </c>
      <c r="B2327" s="2">
        <v>45612.553419895834</v>
      </c>
      <c r="C2327" t="s">
        <v>3</v>
      </c>
      <c r="D2327" t="s">
        <v>833</v>
      </c>
      <c r="E2327">
        <v>30.86</v>
      </c>
      <c r="F2327" t="s">
        <v>14</v>
      </c>
    </row>
    <row r="2328" spans="1:6">
      <c r="A2328" s="1">
        <v>45629</v>
      </c>
      <c r="B2328" s="2">
        <v>45629.488375393521</v>
      </c>
      <c r="C2328" t="s">
        <v>3</v>
      </c>
      <c r="D2328" t="s">
        <v>833</v>
      </c>
      <c r="E2328">
        <v>30.86</v>
      </c>
      <c r="F2328" t="s">
        <v>14</v>
      </c>
    </row>
    <row r="2329" spans="1:6">
      <c r="A2329" s="1">
        <v>45629</v>
      </c>
      <c r="B2329" s="2">
        <v>45629.490213344907</v>
      </c>
      <c r="C2329" t="s">
        <v>3</v>
      </c>
      <c r="D2329" t="s">
        <v>833</v>
      </c>
      <c r="E2329">
        <v>30.86</v>
      </c>
      <c r="F2329" t="s">
        <v>14</v>
      </c>
    </row>
    <row r="2330" spans="1:6">
      <c r="A2330" s="1">
        <v>45646</v>
      </c>
      <c r="B2330" s="2">
        <v>45646.514782789352</v>
      </c>
      <c r="C2330" t="s">
        <v>3</v>
      </c>
      <c r="D2330" t="s">
        <v>833</v>
      </c>
      <c r="E2330">
        <v>21.06</v>
      </c>
      <c r="F2330" t="s">
        <v>35</v>
      </c>
    </row>
    <row r="2331" spans="1:6">
      <c r="A2331" s="1">
        <v>45646</v>
      </c>
      <c r="B2331" s="2">
        <v>45646.515849212963</v>
      </c>
      <c r="C2331" t="s">
        <v>3</v>
      </c>
      <c r="D2331" t="s">
        <v>833</v>
      </c>
      <c r="E2331">
        <v>30.86</v>
      </c>
      <c r="F2331" t="s">
        <v>14</v>
      </c>
    </row>
    <row r="2332" spans="1:6">
      <c r="A2332" s="1">
        <v>45591</v>
      </c>
      <c r="B2332" s="2">
        <v>45591.66205446759</v>
      </c>
      <c r="C2332" t="s">
        <v>3</v>
      </c>
      <c r="D2332" t="s">
        <v>834</v>
      </c>
      <c r="E2332">
        <v>30.86</v>
      </c>
      <c r="F2332" t="s">
        <v>14</v>
      </c>
    </row>
    <row r="2333" spans="1:6">
      <c r="A2333" s="1">
        <v>45591</v>
      </c>
      <c r="B2333" s="2">
        <v>45591.857485162036</v>
      </c>
      <c r="C2333" t="s">
        <v>3</v>
      </c>
      <c r="D2333" t="s">
        <v>835</v>
      </c>
      <c r="E2333">
        <v>30.86</v>
      </c>
      <c r="F2333" t="s">
        <v>14</v>
      </c>
    </row>
    <row r="2334" spans="1:6">
      <c r="A2334" s="1">
        <v>45592</v>
      </c>
      <c r="B2334" s="2">
        <v>45592.572067233799</v>
      </c>
      <c r="C2334" t="s">
        <v>3</v>
      </c>
      <c r="D2334" t="s">
        <v>836</v>
      </c>
      <c r="E2334">
        <v>35.76</v>
      </c>
      <c r="F2334" t="s">
        <v>43</v>
      </c>
    </row>
    <row r="2335" spans="1:6">
      <c r="A2335" s="1">
        <v>45593</v>
      </c>
      <c r="B2335" s="2">
        <v>45593.334170127317</v>
      </c>
      <c r="C2335" t="s">
        <v>3</v>
      </c>
      <c r="D2335" t="s">
        <v>837</v>
      </c>
      <c r="E2335">
        <v>25.96</v>
      </c>
      <c r="F2335" t="s">
        <v>11</v>
      </c>
    </row>
    <row r="2336" spans="1:6">
      <c r="A2336" s="1">
        <v>45593</v>
      </c>
      <c r="B2336" s="2">
        <v>45593.487922395834</v>
      </c>
      <c r="C2336" t="s">
        <v>3</v>
      </c>
      <c r="D2336" t="s">
        <v>838</v>
      </c>
      <c r="E2336">
        <v>35.76</v>
      </c>
      <c r="F2336" t="s">
        <v>7</v>
      </c>
    </row>
    <row r="2337" spans="1:6">
      <c r="A2337" s="1">
        <v>45593</v>
      </c>
      <c r="B2337" s="2">
        <v>45593.488695856482</v>
      </c>
      <c r="C2337" t="s">
        <v>3</v>
      </c>
      <c r="D2337" t="s">
        <v>838</v>
      </c>
      <c r="E2337">
        <v>35.76</v>
      </c>
      <c r="F2337" t="s">
        <v>7</v>
      </c>
    </row>
    <row r="2338" spans="1:6">
      <c r="A2338" s="1">
        <v>45593</v>
      </c>
      <c r="B2338" s="2">
        <v>45593.501791747687</v>
      </c>
      <c r="C2338" t="s">
        <v>3</v>
      </c>
      <c r="D2338" t="s">
        <v>839</v>
      </c>
      <c r="E2338">
        <v>30.86</v>
      </c>
      <c r="F2338" t="s">
        <v>14</v>
      </c>
    </row>
    <row r="2339" spans="1:6">
      <c r="A2339" s="1">
        <v>45593</v>
      </c>
      <c r="B2339" s="2">
        <v>45593.514935393519</v>
      </c>
      <c r="C2339" t="s">
        <v>3</v>
      </c>
      <c r="D2339" t="s">
        <v>840</v>
      </c>
      <c r="E2339">
        <v>35.76</v>
      </c>
      <c r="F2339" t="s">
        <v>43</v>
      </c>
    </row>
    <row r="2340" spans="1:6">
      <c r="A2340" s="1">
        <v>45593</v>
      </c>
      <c r="B2340" s="2">
        <v>45593.604856030091</v>
      </c>
      <c r="C2340" t="s">
        <v>3</v>
      </c>
      <c r="D2340" t="s">
        <v>841</v>
      </c>
      <c r="E2340">
        <v>30.86</v>
      </c>
      <c r="F2340" t="s">
        <v>14</v>
      </c>
    </row>
    <row r="2341" spans="1:6">
      <c r="A2341" s="1">
        <v>45593</v>
      </c>
      <c r="B2341" s="2">
        <v>45593.746737488429</v>
      </c>
      <c r="C2341" t="s">
        <v>3</v>
      </c>
      <c r="D2341" t="s">
        <v>842</v>
      </c>
      <c r="E2341">
        <v>35.76</v>
      </c>
      <c r="F2341" t="s">
        <v>18</v>
      </c>
    </row>
    <row r="2342" spans="1:6">
      <c r="A2342" s="1">
        <v>45593</v>
      </c>
      <c r="B2342" s="2">
        <v>45593.747249965279</v>
      </c>
      <c r="C2342" t="s">
        <v>3</v>
      </c>
      <c r="D2342" t="s">
        <v>842</v>
      </c>
      <c r="E2342">
        <v>35.76</v>
      </c>
      <c r="F2342" t="s">
        <v>18</v>
      </c>
    </row>
    <row r="2343" spans="1:6">
      <c r="A2343" s="1">
        <v>45598</v>
      </c>
      <c r="B2343" s="2">
        <v>45598.434559803238</v>
      </c>
      <c r="C2343" t="s">
        <v>3</v>
      </c>
      <c r="D2343" t="s">
        <v>842</v>
      </c>
      <c r="E2343">
        <v>35.76</v>
      </c>
      <c r="F2343" t="s">
        <v>18</v>
      </c>
    </row>
    <row r="2344" spans="1:6">
      <c r="A2344" s="1">
        <v>45603</v>
      </c>
      <c r="B2344" s="2">
        <v>45603.762195995369</v>
      </c>
      <c r="C2344" t="s">
        <v>3</v>
      </c>
      <c r="D2344" t="s">
        <v>842</v>
      </c>
      <c r="E2344">
        <v>35.76</v>
      </c>
      <c r="F2344" t="s">
        <v>18</v>
      </c>
    </row>
    <row r="2345" spans="1:6">
      <c r="A2345" s="1">
        <v>45594</v>
      </c>
      <c r="B2345" s="2">
        <v>45594.499845833336</v>
      </c>
      <c r="C2345" t="s">
        <v>3</v>
      </c>
      <c r="D2345" t="s">
        <v>843</v>
      </c>
      <c r="E2345">
        <v>30.86</v>
      </c>
      <c r="F2345" t="s">
        <v>14</v>
      </c>
    </row>
    <row r="2346" spans="1:6">
      <c r="A2346" s="1">
        <v>45594</v>
      </c>
      <c r="B2346" s="2">
        <v>45594.515009328701</v>
      </c>
      <c r="C2346" t="s">
        <v>3</v>
      </c>
      <c r="D2346" t="s">
        <v>844</v>
      </c>
      <c r="E2346">
        <v>21.06</v>
      </c>
      <c r="F2346" t="s">
        <v>35</v>
      </c>
    </row>
    <row r="2347" spans="1:6">
      <c r="A2347" s="1">
        <v>45594</v>
      </c>
      <c r="B2347" s="2">
        <v>45594.594257384262</v>
      </c>
      <c r="C2347" t="s">
        <v>3</v>
      </c>
      <c r="D2347" t="s">
        <v>845</v>
      </c>
      <c r="E2347">
        <v>25.96</v>
      </c>
      <c r="F2347" t="s">
        <v>28</v>
      </c>
    </row>
    <row r="2348" spans="1:6">
      <c r="A2348" s="1">
        <v>45594</v>
      </c>
      <c r="B2348" s="2">
        <v>45594.595146956017</v>
      </c>
      <c r="C2348" t="s">
        <v>3</v>
      </c>
      <c r="D2348" t="s">
        <v>845</v>
      </c>
      <c r="E2348">
        <v>25.96</v>
      </c>
      <c r="F2348" t="s">
        <v>28</v>
      </c>
    </row>
    <row r="2349" spans="1:6">
      <c r="A2349" s="1">
        <v>45594</v>
      </c>
      <c r="B2349" s="2">
        <v>45594.609443993053</v>
      </c>
      <c r="C2349" t="s">
        <v>3</v>
      </c>
      <c r="D2349" t="s">
        <v>846</v>
      </c>
      <c r="E2349">
        <v>35.76</v>
      </c>
      <c r="F2349" t="s">
        <v>43</v>
      </c>
    </row>
    <row r="2350" spans="1:6">
      <c r="A2350" s="1">
        <v>45594</v>
      </c>
      <c r="B2350" s="2">
        <v>45594.673307199075</v>
      </c>
      <c r="C2350" t="s">
        <v>3</v>
      </c>
      <c r="D2350" t="s">
        <v>847</v>
      </c>
      <c r="E2350">
        <v>35.76</v>
      </c>
      <c r="F2350" t="s">
        <v>9</v>
      </c>
    </row>
    <row r="2351" spans="1:6">
      <c r="A2351" s="1">
        <v>45594</v>
      </c>
      <c r="B2351" s="2">
        <v>45594.674268692128</v>
      </c>
      <c r="C2351" t="s">
        <v>3</v>
      </c>
      <c r="D2351" t="s">
        <v>848</v>
      </c>
      <c r="E2351">
        <v>35.76</v>
      </c>
      <c r="F2351" t="s">
        <v>18</v>
      </c>
    </row>
    <row r="2352" spans="1:6">
      <c r="A2352" s="1">
        <v>45594</v>
      </c>
      <c r="B2352" s="2">
        <v>45594.751439444444</v>
      </c>
      <c r="C2352" t="s">
        <v>3</v>
      </c>
      <c r="D2352" t="s">
        <v>849</v>
      </c>
      <c r="E2352">
        <v>30.86</v>
      </c>
      <c r="F2352" t="s">
        <v>14</v>
      </c>
    </row>
    <row r="2353" spans="1:6">
      <c r="A2353" s="1">
        <v>45594</v>
      </c>
      <c r="B2353" s="2">
        <v>45594.752053611111</v>
      </c>
      <c r="C2353" t="s">
        <v>3</v>
      </c>
      <c r="D2353" t="s">
        <v>849</v>
      </c>
      <c r="E2353">
        <v>30.86</v>
      </c>
      <c r="F2353" t="s">
        <v>14</v>
      </c>
    </row>
    <row r="2354" spans="1:6">
      <c r="A2354" s="1">
        <v>45594</v>
      </c>
      <c r="B2354" s="2">
        <v>45594.793117615744</v>
      </c>
      <c r="C2354" t="s">
        <v>3</v>
      </c>
      <c r="D2354" t="s">
        <v>850</v>
      </c>
      <c r="E2354">
        <v>30.86</v>
      </c>
      <c r="F2354" t="s">
        <v>14</v>
      </c>
    </row>
    <row r="2355" spans="1:6">
      <c r="A2355" s="1">
        <v>45595</v>
      </c>
      <c r="B2355" s="2">
        <v>45595.382978692127</v>
      </c>
      <c r="C2355" t="s">
        <v>3</v>
      </c>
      <c r="D2355" t="s">
        <v>851</v>
      </c>
      <c r="E2355">
        <v>35.76</v>
      </c>
      <c r="F2355" t="s">
        <v>7</v>
      </c>
    </row>
    <row r="2356" spans="1:6">
      <c r="A2356" s="1">
        <v>45595</v>
      </c>
      <c r="B2356" s="2">
        <v>45595.438809618056</v>
      </c>
      <c r="C2356" t="s">
        <v>3</v>
      </c>
      <c r="D2356" t="s">
        <v>852</v>
      </c>
      <c r="E2356">
        <v>35.76</v>
      </c>
      <c r="F2356" t="s">
        <v>7</v>
      </c>
    </row>
    <row r="2357" spans="1:6">
      <c r="A2357" s="1">
        <v>45595</v>
      </c>
      <c r="B2357" s="2">
        <v>45595.439672442131</v>
      </c>
      <c r="C2357" t="s">
        <v>3</v>
      </c>
      <c r="D2357" t="s">
        <v>852</v>
      </c>
      <c r="E2357">
        <v>35.76</v>
      </c>
      <c r="F2357" t="s">
        <v>7</v>
      </c>
    </row>
    <row r="2358" spans="1:6">
      <c r="A2358" s="1">
        <v>45595</v>
      </c>
      <c r="B2358" s="2">
        <v>45595.525703298612</v>
      </c>
      <c r="C2358" t="s">
        <v>3</v>
      </c>
      <c r="D2358" t="s">
        <v>853</v>
      </c>
      <c r="E2358">
        <v>25.96</v>
      </c>
      <c r="F2358" t="s">
        <v>11</v>
      </c>
    </row>
    <row r="2359" spans="1:6">
      <c r="A2359" s="1">
        <v>45595</v>
      </c>
      <c r="B2359" s="2">
        <v>45595.670004340274</v>
      </c>
      <c r="C2359" t="s">
        <v>3</v>
      </c>
      <c r="D2359" t="s">
        <v>854</v>
      </c>
      <c r="E2359">
        <v>30.86</v>
      </c>
      <c r="F2359" t="s">
        <v>14</v>
      </c>
    </row>
    <row r="2360" spans="1:6">
      <c r="A2360" s="1">
        <v>45595</v>
      </c>
      <c r="B2360" s="2">
        <v>45595.755700150461</v>
      </c>
      <c r="C2360" t="s">
        <v>3</v>
      </c>
      <c r="D2360" t="s">
        <v>855</v>
      </c>
      <c r="E2360">
        <v>35.76</v>
      </c>
      <c r="F2360" t="s">
        <v>9</v>
      </c>
    </row>
    <row r="2361" spans="1:6">
      <c r="A2361" s="1">
        <v>45595</v>
      </c>
      <c r="B2361" s="2">
        <v>45595.82177303241</v>
      </c>
      <c r="C2361" t="s">
        <v>3</v>
      </c>
      <c r="D2361" t="s">
        <v>856</v>
      </c>
      <c r="E2361">
        <v>30.86</v>
      </c>
      <c r="F2361" t="s">
        <v>14</v>
      </c>
    </row>
    <row r="2362" spans="1:6">
      <c r="A2362" s="1">
        <v>45597</v>
      </c>
      <c r="B2362" s="2">
        <v>45597.350039363424</v>
      </c>
      <c r="C2362" t="s">
        <v>3</v>
      </c>
      <c r="D2362" t="s">
        <v>856</v>
      </c>
      <c r="E2362">
        <v>35.76</v>
      </c>
      <c r="F2362" t="s">
        <v>18</v>
      </c>
    </row>
    <row r="2363" spans="1:6">
      <c r="A2363" s="1">
        <v>45647</v>
      </c>
      <c r="B2363" s="2">
        <v>45647.649645520833</v>
      </c>
      <c r="C2363" t="s">
        <v>3</v>
      </c>
      <c r="D2363" t="s">
        <v>856</v>
      </c>
      <c r="E2363">
        <v>30.86</v>
      </c>
      <c r="F2363" t="s">
        <v>14</v>
      </c>
    </row>
    <row r="2364" spans="1:6">
      <c r="A2364" s="1">
        <v>45668</v>
      </c>
      <c r="B2364" s="2">
        <v>45668.322574652775</v>
      </c>
      <c r="C2364" t="s">
        <v>3</v>
      </c>
      <c r="D2364" t="s">
        <v>856</v>
      </c>
      <c r="E2364">
        <v>30.86</v>
      </c>
      <c r="F2364" t="s">
        <v>14</v>
      </c>
    </row>
    <row r="2365" spans="1:6">
      <c r="A2365" s="1">
        <v>45669</v>
      </c>
      <c r="B2365" s="2">
        <v>45669.489958715276</v>
      </c>
      <c r="C2365" t="s">
        <v>3</v>
      </c>
      <c r="D2365" t="s">
        <v>856</v>
      </c>
      <c r="E2365">
        <v>30.86</v>
      </c>
      <c r="F2365" t="s">
        <v>14</v>
      </c>
    </row>
    <row r="2366" spans="1:6">
      <c r="A2366" s="1">
        <v>45669</v>
      </c>
      <c r="B2366" s="2">
        <v>45669.491883437498</v>
      </c>
      <c r="C2366" t="s">
        <v>3</v>
      </c>
      <c r="D2366" t="s">
        <v>856</v>
      </c>
      <c r="E2366">
        <v>25.96</v>
      </c>
      <c r="F2366" t="s">
        <v>11</v>
      </c>
    </row>
    <row r="2367" spans="1:6">
      <c r="A2367" s="1">
        <v>45596</v>
      </c>
      <c r="B2367" s="2">
        <v>45596.666281111109</v>
      </c>
      <c r="C2367" t="s">
        <v>3</v>
      </c>
      <c r="D2367" t="s">
        <v>857</v>
      </c>
      <c r="E2367">
        <v>35.76</v>
      </c>
      <c r="F2367" t="s">
        <v>7</v>
      </c>
    </row>
    <row r="2368" spans="1:6">
      <c r="A2368" s="1">
        <v>45596</v>
      </c>
      <c r="B2368" s="2">
        <v>45596.667025266201</v>
      </c>
      <c r="C2368" t="s">
        <v>3</v>
      </c>
      <c r="D2368" t="s">
        <v>858</v>
      </c>
      <c r="E2368">
        <v>30.86</v>
      </c>
      <c r="F2368" t="s">
        <v>14</v>
      </c>
    </row>
    <row r="2369" spans="1:6">
      <c r="A2369" s="1">
        <v>45597</v>
      </c>
      <c r="B2369" s="2">
        <v>45597.663685462961</v>
      </c>
      <c r="C2369" t="s">
        <v>3</v>
      </c>
      <c r="D2369" t="s">
        <v>859</v>
      </c>
      <c r="E2369">
        <v>25.96</v>
      </c>
      <c r="F2369" t="s">
        <v>28</v>
      </c>
    </row>
    <row r="2370" spans="1:6">
      <c r="A2370" s="1">
        <v>45598</v>
      </c>
      <c r="B2370" s="2">
        <v>45598.621002870372</v>
      </c>
      <c r="C2370" t="s">
        <v>3</v>
      </c>
      <c r="D2370" t="s">
        <v>860</v>
      </c>
      <c r="E2370">
        <v>30.86</v>
      </c>
      <c r="F2370" t="s">
        <v>14</v>
      </c>
    </row>
    <row r="2371" spans="1:6">
      <c r="A2371" s="1">
        <v>45598</v>
      </c>
      <c r="B2371" s="2">
        <v>45598.692419039355</v>
      </c>
      <c r="C2371" t="s">
        <v>3</v>
      </c>
      <c r="D2371" t="s">
        <v>861</v>
      </c>
      <c r="E2371">
        <v>35.76</v>
      </c>
      <c r="F2371" t="s">
        <v>7</v>
      </c>
    </row>
    <row r="2372" spans="1:6">
      <c r="A2372" s="1">
        <v>45598</v>
      </c>
      <c r="B2372" s="2">
        <v>45598.79055002315</v>
      </c>
      <c r="C2372" t="s">
        <v>3</v>
      </c>
      <c r="D2372" t="s">
        <v>862</v>
      </c>
      <c r="E2372">
        <v>25.96</v>
      </c>
      <c r="F2372" t="s">
        <v>11</v>
      </c>
    </row>
    <row r="2373" spans="1:6">
      <c r="A2373" s="1">
        <v>45599</v>
      </c>
      <c r="B2373" s="2">
        <v>45599.55128939815</v>
      </c>
      <c r="C2373" t="s">
        <v>3</v>
      </c>
      <c r="D2373" t="s">
        <v>863</v>
      </c>
      <c r="E2373">
        <v>35.76</v>
      </c>
      <c r="F2373" t="s">
        <v>7</v>
      </c>
    </row>
    <row r="2374" spans="1:6">
      <c r="A2374" s="1">
        <v>45599</v>
      </c>
      <c r="B2374" s="2">
        <v>45599.552044826392</v>
      </c>
      <c r="C2374" t="s">
        <v>3</v>
      </c>
      <c r="D2374" t="s">
        <v>863</v>
      </c>
      <c r="E2374">
        <v>30.86</v>
      </c>
      <c r="F2374" t="s">
        <v>14</v>
      </c>
    </row>
    <row r="2375" spans="1:6">
      <c r="A2375" s="1">
        <v>45599</v>
      </c>
      <c r="B2375" s="2">
        <v>45599.572436527778</v>
      </c>
      <c r="C2375" t="s">
        <v>3</v>
      </c>
      <c r="D2375" t="s">
        <v>864</v>
      </c>
      <c r="E2375">
        <v>25.96</v>
      </c>
      <c r="F2375" t="s">
        <v>11</v>
      </c>
    </row>
    <row r="2376" spans="1:6">
      <c r="A2376" s="1">
        <v>45599</v>
      </c>
      <c r="B2376" s="2">
        <v>45599.582651354169</v>
      </c>
      <c r="C2376" t="s">
        <v>3</v>
      </c>
      <c r="D2376" t="s">
        <v>865</v>
      </c>
      <c r="E2376">
        <v>30.86</v>
      </c>
      <c r="F2376" t="s">
        <v>14</v>
      </c>
    </row>
    <row r="2377" spans="1:6">
      <c r="A2377" s="1">
        <v>45611</v>
      </c>
      <c r="B2377" s="2">
        <v>45611.733114039351</v>
      </c>
      <c r="C2377" t="s">
        <v>3</v>
      </c>
      <c r="D2377" t="s">
        <v>865</v>
      </c>
      <c r="E2377">
        <v>30.86</v>
      </c>
      <c r="F2377" t="s">
        <v>14</v>
      </c>
    </row>
    <row r="2378" spans="1:6">
      <c r="A2378" s="1">
        <v>45599</v>
      </c>
      <c r="B2378" s="2">
        <v>45599.68098513889</v>
      </c>
      <c r="C2378" t="s">
        <v>3</v>
      </c>
      <c r="D2378" t="s">
        <v>866</v>
      </c>
      <c r="E2378">
        <v>25.96</v>
      </c>
      <c r="F2378" t="s">
        <v>11</v>
      </c>
    </row>
    <row r="2379" spans="1:6">
      <c r="A2379" s="1">
        <v>45599</v>
      </c>
      <c r="B2379" s="2">
        <v>45599.681783043983</v>
      </c>
      <c r="C2379" t="s">
        <v>3</v>
      </c>
      <c r="D2379" t="s">
        <v>866</v>
      </c>
      <c r="E2379">
        <v>25.96</v>
      </c>
      <c r="F2379" t="s">
        <v>11</v>
      </c>
    </row>
    <row r="2380" spans="1:6">
      <c r="A2380" s="1">
        <v>45600</v>
      </c>
      <c r="B2380" s="2">
        <v>45600.523330856478</v>
      </c>
      <c r="C2380" t="s">
        <v>3</v>
      </c>
      <c r="D2380" t="s">
        <v>867</v>
      </c>
      <c r="E2380">
        <v>25.96</v>
      </c>
      <c r="F2380" t="s">
        <v>11</v>
      </c>
    </row>
    <row r="2381" spans="1:6">
      <c r="A2381" s="1">
        <v>45600</v>
      </c>
      <c r="B2381" s="2">
        <v>45600.524375706016</v>
      </c>
      <c r="C2381" t="s">
        <v>3</v>
      </c>
      <c r="D2381" t="s">
        <v>868</v>
      </c>
      <c r="E2381">
        <v>30.86</v>
      </c>
      <c r="F2381" t="s">
        <v>14</v>
      </c>
    </row>
    <row r="2382" spans="1:6">
      <c r="A2382" s="1">
        <v>45601</v>
      </c>
      <c r="B2382" s="2">
        <v>45601.491317812499</v>
      </c>
      <c r="C2382" t="s">
        <v>3</v>
      </c>
      <c r="D2382" t="s">
        <v>869</v>
      </c>
      <c r="E2382">
        <v>35.76</v>
      </c>
      <c r="F2382" t="s">
        <v>18</v>
      </c>
    </row>
    <row r="2383" spans="1:6">
      <c r="A2383" s="1">
        <v>45601</v>
      </c>
      <c r="B2383" s="2">
        <v>45601.491926898147</v>
      </c>
      <c r="C2383" t="s">
        <v>3</v>
      </c>
      <c r="D2383" t="s">
        <v>870</v>
      </c>
      <c r="E2383">
        <v>35.76</v>
      </c>
      <c r="F2383" t="s">
        <v>7</v>
      </c>
    </row>
    <row r="2384" spans="1:6">
      <c r="A2384" s="1">
        <v>45601</v>
      </c>
      <c r="B2384" s="2">
        <v>45601.608771481478</v>
      </c>
      <c r="C2384" t="s">
        <v>3</v>
      </c>
      <c r="D2384" t="s">
        <v>871</v>
      </c>
      <c r="E2384">
        <v>35.76</v>
      </c>
      <c r="F2384" t="s">
        <v>7</v>
      </c>
    </row>
    <row r="2385" spans="1:6">
      <c r="A2385" s="1">
        <v>45601</v>
      </c>
      <c r="B2385" s="2">
        <v>45601.612361666666</v>
      </c>
      <c r="C2385" t="s">
        <v>3</v>
      </c>
      <c r="D2385" t="s">
        <v>872</v>
      </c>
      <c r="E2385">
        <v>35.76</v>
      </c>
      <c r="F2385" t="s">
        <v>7</v>
      </c>
    </row>
    <row r="2386" spans="1:6">
      <c r="A2386" s="1">
        <v>45601</v>
      </c>
      <c r="B2386" s="2">
        <v>45601.903295671298</v>
      </c>
      <c r="C2386" t="s">
        <v>3</v>
      </c>
      <c r="D2386" t="s">
        <v>873</v>
      </c>
      <c r="E2386">
        <v>35.76</v>
      </c>
      <c r="F2386" t="s">
        <v>18</v>
      </c>
    </row>
    <row r="2387" spans="1:6">
      <c r="A2387" s="1">
        <v>45601</v>
      </c>
      <c r="B2387" s="2">
        <v>45601.904198506942</v>
      </c>
      <c r="C2387" t="s">
        <v>3</v>
      </c>
      <c r="D2387" t="s">
        <v>873</v>
      </c>
      <c r="E2387">
        <v>35.76</v>
      </c>
      <c r="F2387" t="s">
        <v>18</v>
      </c>
    </row>
    <row r="2388" spans="1:6">
      <c r="A2388" s="1">
        <v>45602</v>
      </c>
      <c r="B2388" s="2">
        <v>45602.489944131943</v>
      </c>
      <c r="C2388" t="s">
        <v>3</v>
      </c>
      <c r="D2388" t="s">
        <v>874</v>
      </c>
      <c r="E2388">
        <v>21.06</v>
      </c>
      <c r="F2388" t="s">
        <v>35</v>
      </c>
    </row>
    <row r="2389" spans="1:6">
      <c r="A2389" s="1">
        <v>45602</v>
      </c>
      <c r="B2389" s="2">
        <v>45602.667173761576</v>
      </c>
      <c r="C2389" t="s">
        <v>3</v>
      </c>
      <c r="D2389" t="s">
        <v>875</v>
      </c>
      <c r="E2389">
        <v>35.76</v>
      </c>
      <c r="F2389" t="s">
        <v>7</v>
      </c>
    </row>
    <row r="2390" spans="1:6">
      <c r="A2390" s="1">
        <v>45602</v>
      </c>
      <c r="B2390" s="2">
        <v>45602.668114733795</v>
      </c>
      <c r="C2390" t="s">
        <v>3</v>
      </c>
      <c r="D2390" t="s">
        <v>876</v>
      </c>
      <c r="E2390">
        <v>35.76</v>
      </c>
      <c r="F2390" t="s">
        <v>43</v>
      </c>
    </row>
    <row r="2391" spans="1:6">
      <c r="A2391" s="1">
        <v>45687</v>
      </c>
      <c r="B2391" s="2">
        <v>45687.476726562498</v>
      </c>
      <c r="C2391" t="s">
        <v>3</v>
      </c>
      <c r="D2391" t="s">
        <v>876</v>
      </c>
      <c r="E2391">
        <v>25.96</v>
      </c>
      <c r="F2391" t="s">
        <v>28</v>
      </c>
    </row>
    <row r="2392" spans="1:6">
      <c r="A2392" s="1">
        <v>45602</v>
      </c>
      <c r="B2392" s="2">
        <v>45602.778273784723</v>
      </c>
      <c r="C2392" t="s">
        <v>3</v>
      </c>
      <c r="D2392" t="s">
        <v>877</v>
      </c>
      <c r="E2392">
        <v>35.76</v>
      </c>
      <c r="F2392" t="s">
        <v>9</v>
      </c>
    </row>
    <row r="2393" spans="1:6">
      <c r="A2393" s="1">
        <v>45602</v>
      </c>
      <c r="B2393" s="2">
        <v>45602.778827002316</v>
      </c>
      <c r="C2393" t="s">
        <v>3</v>
      </c>
      <c r="D2393" t="s">
        <v>877</v>
      </c>
      <c r="E2393">
        <v>35.76</v>
      </c>
      <c r="F2393" t="s">
        <v>9</v>
      </c>
    </row>
    <row r="2394" spans="1:6">
      <c r="A2394" s="1">
        <v>45603</v>
      </c>
      <c r="B2394" s="2">
        <v>45603.511990659725</v>
      </c>
      <c r="C2394" t="s">
        <v>3</v>
      </c>
      <c r="D2394" t="s">
        <v>878</v>
      </c>
      <c r="E2394">
        <v>35.76</v>
      </c>
      <c r="F2394" t="s">
        <v>7</v>
      </c>
    </row>
    <row r="2395" spans="1:6">
      <c r="A2395" s="1">
        <v>45603</v>
      </c>
      <c r="B2395" s="2">
        <v>45603.659844421294</v>
      </c>
      <c r="C2395" t="s">
        <v>3</v>
      </c>
      <c r="D2395" t="s">
        <v>879</v>
      </c>
      <c r="E2395">
        <v>25.96</v>
      </c>
      <c r="F2395" t="s">
        <v>11</v>
      </c>
    </row>
    <row r="2396" spans="1:6">
      <c r="A2396" s="1">
        <v>45603</v>
      </c>
      <c r="B2396" s="2">
        <v>45603.694206099535</v>
      </c>
      <c r="C2396" t="s">
        <v>3</v>
      </c>
      <c r="D2396" t="s">
        <v>880</v>
      </c>
      <c r="E2396">
        <v>25.96</v>
      </c>
      <c r="F2396" t="s">
        <v>11</v>
      </c>
    </row>
    <row r="2397" spans="1:6">
      <c r="A2397" s="1">
        <v>45603</v>
      </c>
      <c r="B2397" s="2">
        <v>45603.805726296298</v>
      </c>
      <c r="C2397" t="s">
        <v>3</v>
      </c>
      <c r="D2397" t="s">
        <v>881</v>
      </c>
      <c r="E2397">
        <v>35.76</v>
      </c>
      <c r="F2397" t="s">
        <v>9</v>
      </c>
    </row>
    <row r="2398" spans="1:6">
      <c r="A2398" s="1">
        <v>45603</v>
      </c>
      <c r="B2398" s="2">
        <v>45603.806690081015</v>
      </c>
      <c r="C2398" t="s">
        <v>3</v>
      </c>
      <c r="D2398" t="s">
        <v>881</v>
      </c>
      <c r="E2398">
        <v>35.76</v>
      </c>
      <c r="F2398" t="s">
        <v>7</v>
      </c>
    </row>
    <row r="2399" spans="1:6">
      <c r="A2399" s="1">
        <v>45604</v>
      </c>
      <c r="B2399" s="2">
        <v>45604.559183414349</v>
      </c>
      <c r="C2399" t="s">
        <v>3</v>
      </c>
      <c r="D2399" t="s">
        <v>882</v>
      </c>
      <c r="E2399">
        <v>35.76</v>
      </c>
      <c r="F2399" t="s">
        <v>7</v>
      </c>
    </row>
    <row r="2400" spans="1:6">
      <c r="A2400" s="1">
        <v>45604</v>
      </c>
      <c r="B2400" s="2">
        <v>45604.559926064816</v>
      </c>
      <c r="C2400" t="s">
        <v>3</v>
      </c>
      <c r="D2400" t="s">
        <v>882</v>
      </c>
      <c r="E2400">
        <v>35.76</v>
      </c>
      <c r="F2400" t="s">
        <v>7</v>
      </c>
    </row>
    <row r="2401" spans="1:6">
      <c r="A2401" s="1">
        <v>45604</v>
      </c>
      <c r="B2401" s="2">
        <v>45604.68961671296</v>
      </c>
      <c r="C2401" t="s">
        <v>3</v>
      </c>
      <c r="D2401" t="s">
        <v>883</v>
      </c>
      <c r="E2401">
        <v>30.86</v>
      </c>
      <c r="F2401" t="s">
        <v>14</v>
      </c>
    </row>
    <row r="2402" spans="1:6">
      <c r="A2402" s="1">
        <v>45604</v>
      </c>
      <c r="B2402" s="2">
        <v>45604.705185682869</v>
      </c>
      <c r="C2402" t="s">
        <v>3</v>
      </c>
      <c r="D2402" t="s">
        <v>884</v>
      </c>
      <c r="E2402">
        <v>30.86</v>
      </c>
      <c r="F2402" t="s">
        <v>14</v>
      </c>
    </row>
    <row r="2403" spans="1:6">
      <c r="A2403" s="1">
        <v>45604</v>
      </c>
      <c r="B2403" s="2">
        <v>45604.842733414349</v>
      </c>
      <c r="C2403" t="s">
        <v>3</v>
      </c>
      <c r="D2403" t="s">
        <v>885</v>
      </c>
      <c r="E2403">
        <v>35.76</v>
      </c>
      <c r="F2403" t="s">
        <v>9</v>
      </c>
    </row>
    <row r="2404" spans="1:6">
      <c r="A2404" s="1">
        <v>45605</v>
      </c>
      <c r="B2404" s="2">
        <v>45605.57655878472</v>
      </c>
      <c r="C2404" t="s">
        <v>3</v>
      </c>
      <c r="D2404" t="s">
        <v>885</v>
      </c>
      <c r="E2404">
        <v>35.76</v>
      </c>
      <c r="F2404" t="s">
        <v>9</v>
      </c>
    </row>
    <row r="2405" spans="1:6">
      <c r="A2405" s="1">
        <v>45605</v>
      </c>
      <c r="B2405" s="2">
        <v>45605.577027245374</v>
      </c>
      <c r="C2405" t="s">
        <v>3</v>
      </c>
      <c r="D2405" t="s">
        <v>885</v>
      </c>
      <c r="E2405">
        <v>35.76</v>
      </c>
      <c r="F2405" t="s">
        <v>9</v>
      </c>
    </row>
    <row r="2406" spans="1:6">
      <c r="A2406" s="1">
        <v>45621</v>
      </c>
      <c r="B2406" s="2">
        <v>45621.688153587966</v>
      </c>
      <c r="C2406" t="s">
        <v>3</v>
      </c>
      <c r="D2406" t="s">
        <v>885</v>
      </c>
      <c r="E2406">
        <v>35.76</v>
      </c>
      <c r="F2406" t="s">
        <v>9</v>
      </c>
    </row>
    <row r="2407" spans="1:6">
      <c r="A2407" s="1">
        <v>45604</v>
      </c>
      <c r="B2407" s="2">
        <v>45604.843336689817</v>
      </c>
      <c r="C2407" t="s">
        <v>3</v>
      </c>
      <c r="D2407" t="s">
        <v>886</v>
      </c>
      <c r="E2407">
        <v>35.76</v>
      </c>
      <c r="F2407" t="s">
        <v>9</v>
      </c>
    </row>
    <row r="2408" spans="1:6">
      <c r="A2408" s="1">
        <v>45604</v>
      </c>
      <c r="B2408" s="2">
        <v>45604.843981481485</v>
      </c>
      <c r="C2408" t="s">
        <v>3</v>
      </c>
      <c r="D2408" t="s">
        <v>886</v>
      </c>
      <c r="E2408">
        <v>35.76</v>
      </c>
      <c r="F2408" t="s">
        <v>9</v>
      </c>
    </row>
    <row r="2409" spans="1:6">
      <c r="A2409" s="1">
        <v>45605</v>
      </c>
      <c r="B2409" s="2">
        <v>45605.464400682868</v>
      </c>
      <c r="C2409" t="s">
        <v>3</v>
      </c>
      <c r="D2409" t="s">
        <v>887</v>
      </c>
      <c r="E2409">
        <v>35.76</v>
      </c>
      <c r="F2409" t="s">
        <v>7</v>
      </c>
    </row>
    <row r="2410" spans="1:6">
      <c r="A2410" s="1">
        <v>45605</v>
      </c>
      <c r="B2410" s="2">
        <v>45605.598513935183</v>
      </c>
      <c r="C2410" t="s">
        <v>3</v>
      </c>
      <c r="D2410" t="s">
        <v>888</v>
      </c>
      <c r="E2410">
        <v>35.76</v>
      </c>
      <c r="F2410" t="s">
        <v>9</v>
      </c>
    </row>
    <row r="2411" spans="1:6">
      <c r="A2411" s="1">
        <v>45605</v>
      </c>
      <c r="B2411" s="2">
        <v>45605.599194907409</v>
      </c>
      <c r="C2411" t="s">
        <v>3</v>
      </c>
      <c r="D2411" t="s">
        <v>888</v>
      </c>
      <c r="E2411">
        <v>35.76</v>
      </c>
      <c r="F2411" t="s">
        <v>9</v>
      </c>
    </row>
    <row r="2412" spans="1:6">
      <c r="A2412" s="1">
        <v>45605</v>
      </c>
      <c r="B2412" s="2">
        <v>45605.609411469908</v>
      </c>
      <c r="C2412" t="s">
        <v>3</v>
      </c>
      <c r="D2412" t="s">
        <v>889</v>
      </c>
      <c r="E2412">
        <v>25.96</v>
      </c>
      <c r="F2412" t="s">
        <v>11</v>
      </c>
    </row>
    <row r="2413" spans="1:6">
      <c r="A2413" s="1">
        <v>45605</v>
      </c>
      <c r="B2413" s="2">
        <v>45605.862552349536</v>
      </c>
      <c r="C2413" t="s">
        <v>3</v>
      </c>
      <c r="D2413" t="s">
        <v>890</v>
      </c>
      <c r="E2413">
        <v>25.96</v>
      </c>
      <c r="F2413" t="s">
        <v>11</v>
      </c>
    </row>
    <row r="2414" spans="1:6">
      <c r="A2414" s="1">
        <v>45605</v>
      </c>
      <c r="B2414" s="2">
        <v>45605.863513159726</v>
      </c>
      <c r="C2414" t="s">
        <v>3</v>
      </c>
      <c r="D2414" t="s">
        <v>890</v>
      </c>
      <c r="E2414">
        <v>35.76</v>
      </c>
      <c r="F2414" t="s">
        <v>7</v>
      </c>
    </row>
    <row r="2415" spans="1:6">
      <c r="A2415" s="1">
        <v>45639</v>
      </c>
      <c r="B2415" s="2">
        <v>45639.804905219906</v>
      </c>
      <c r="C2415" t="s">
        <v>3</v>
      </c>
      <c r="D2415" t="s">
        <v>890</v>
      </c>
      <c r="E2415">
        <v>35.76</v>
      </c>
      <c r="F2415" t="s">
        <v>43</v>
      </c>
    </row>
    <row r="2416" spans="1:6">
      <c r="A2416" s="1">
        <v>45639</v>
      </c>
      <c r="B2416" s="2">
        <v>45639.80567267361</v>
      </c>
      <c r="C2416" t="s">
        <v>3</v>
      </c>
      <c r="D2416" t="s">
        <v>890</v>
      </c>
      <c r="E2416">
        <v>35.76</v>
      </c>
      <c r="F2416" t="s">
        <v>43</v>
      </c>
    </row>
    <row r="2417" spans="1:6">
      <c r="A2417" s="1">
        <v>45605</v>
      </c>
      <c r="B2417" s="2">
        <v>45605.926014502315</v>
      </c>
      <c r="C2417" t="s">
        <v>3</v>
      </c>
      <c r="D2417" t="s">
        <v>891</v>
      </c>
      <c r="E2417">
        <v>35.76</v>
      </c>
      <c r="F2417" t="s">
        <v>18</v>
      </c>
    </row>
    <row r="2418" spans="1:6">
      <c r="A2418" s="1">
        <v>45610</v>
      </c>
      <c r="B2418" s="2">
        <v>45610.855208645837</v>
      </c>
      <c r="C2418" t="s">
        <v>3</v>
      </c>
      <c r="D2418" t="s">
        <v>891</v>
      </c>
      <c r="E2418">
        <v>35.76</v>
      </c>
      <c r="F2418" t="s">
        <v>18</v>
      </c>
    </row>
    <row r="2419" spans="1:6">
      <c r="A2419" s="1">
        <v>45610</v>
      </c>
      <c r="B2419" s="2">
        <v>45610.855909143516</v>
      </c>
      <c r="C2419" t="s">
        <v>3</v>
      </c>
      <c r="D2419" t="s">
        <v>891</v>
      </c>
      <c r="E2419">
        <v>35.76</v>
      </c>
      <c r="F2419" t="s">
        <v>9</v>
      </c>
    </row>
    <row r="2420" spans="1:6">
      <c r="A2420" s="1">
        <v>45659</v>
      </c>
      <c r="B2420" s="2">
        <v>45659.690966087961</v>
      </c>
      <c r="C2420" t="s">
        <v>3</v>
      </c>
      <c r="D2420" t="s">
        <v>891</v>
      </c>
      <c r="E2420">
        <v>35.76</v>
      </c>
      <c r="F2420" t="s">
        <v>9</v>
      </c>
    </row>
    <row r="2421" spans="1:6">
      <c r="A2421" s="1">
        <v>45659</v>
      </c>
      <c r="B2421" s="2">
        <v>45659.691484780094</v>
      </c>
      <c r="C2421" t="s">
        <v>3</v>
      </c>
      <c r="D2421" t="s">
        <v>891</v>
      </c>
      <c r="E2421">
        <v>30.86</v>
      </c>
      <c r="F2421" t="s">
        <v>14</v>
      </c>
    </row>
    <row r="2422" spans="1:6">
      <c r="A2422" s="1">
        <v>45661</v>
      </c>
      <c r="B2422" s="2">
        <v>45661.666356793983</v>
      </c>
      <c r="C2422" t="s">
        <v>3</v>
      </c>
      <c r="D2422" t="s">
        <v>891</v>
      </c>
      <c r="E2422">
        <v>35.76</v>
      </c>
      <c r="F2422" t="s">
        <v>18</v>
      </c>
    </row>
    <row r="2423" spans="1:6">
      <c r="A2423" s="1">
        <v>45674</v>
      </c>
      <c r="B2423" s="2">
        <v>45674.890497210647</v>
      </c>
      <c r="C2423" t="s">
        <v>3</v>
      </c>
      <c r="D2423" t="s">
        <v>891</v>
      </c>
      <c r="E2423">
        <v>35.76</v>
      </c>
      <c r="F2423" t="s">
        <v>9</v>
      </c>
    </row>
    <row r="2424" spans="1:6">
      <c r="A2424" s="1">
        <v>45605</v>
      </c>
      <c r="B2424" s="2">
        <v>45605.953450104163</v>
      </c>
      <c r="C2424" t="s">
        <v>3</v>
      </c>
      <c r="D2424" t="s">
        <v>892</v>
      </c>
      <c r="E2424">
        <v>25.96</v>
      </c>
      <c r="F2424" t="s">
        <v>11</v>
      </c>
    </row>
    <row r="2425" spans="1:6">
      <c r="A2425" s="1">
        <v>45698</v>
      </c>
      <c r="B2425" s="2">
        <v>45698.716693935188</v>
      </c>
      <c r="C2425" t="s">
        <v>3</v>
      </c>
      <c r="D2425" t="s">
        <v>892</v>
      </c>
      <c r="E2425">
        <v>25.96</v>
      </c>
      <c r="F2425" t="s">
        <v>11</v>
      </c>
    </row>
    <row r="2426" spans="1:6">
      <c r="A2426" s="1">
        <v>45703</v>
      </c>
      <c r="B2426" s="2">
        <v>45703.543285497683</v>
      </c>
      <c r="C2426" t="s">
        <v>3</v>
      </c>
      <c r="D2426" t="s">
        <v>892</v>
      </c>
      <c r="E2426">
        <v>30.86</v>
      </c>
      <c r="F2426" t="s">
        <v>14</v>
      </c>
    </row>
    <row r="2427" spans="1:6">
      <c r="A2427" s="1">
        <v>45712</v>
      </c>
      <c r="B2427" s="2">
        <v>45712.794843020834</v>
      </c>
      <c r="C2427" t="s">
        <v>3</v>
      </c>
      <c r="D2427" t="s">
        <v>892</v>
      </c>
      <c r="E2427">
        <v>30.86</v>
      </c>
      <c r="F2427" t="s">
        <v>14</v>
      </c>
    </row>
    <row r="2428" spans="1:6">
      <c r="A2428" s="1">
        <v>45605</v>
      </c>
      <c r="B2428" s="2">
        <v>45605.954387812497</v>
      </c>
      <c r="C2428" t="s">
        <v>3</v>
      </c>
      <c r="D2428" t="s">
        <v>893</v>
      </c>
      <c r="E2428">
        <v>25.96</v>
      </c>
      <c r="F2428" t="s">
        <v>11</v>
      </c>
    </row>
    <row r="2429" spans="1:6">
      <c r="A2429" s="1">
        <v>45606</v>
      </c>
      <c r="B2429" s="2">
        <v>45606.407196759261</v>
      </c>
      <c r="C2429" t="s">
        <v>3</v>
      </c>
      <c r="D2429" t="s">
        <v>894</v>
      </c>
      <c r="E2429">
        <v>25.96</v>
      </c>
      <c r="F2429" t="s">
        <v>11</v>
      </c>
    </row>
    <row r="2430" spans="1:6">
      <c r="A2430" s="1">
        <v>45606</v>
      </c>
      <c r="B2430" s="2">
        <v>45606.744998692127</v>
      </c>
      <c r="C2430" t="s">
        <v>3</v>
      </c>
      <c r="D2430" t="s">
        <v>895</v>
      </c>
      <c r="E2430">
        <v>35.76</v>
      </c>
      <c r="F2430" t="s">
        <v>18</v>
      </c>
    </row>
    <row r="2431" spans="1:6">
      <c r="A2431" s="1">
        <v>45606</v>
      </c>
      <c r="B2431" s="2">
        <v>45606.758950914351</v>
      </c>
      <c r="C2431" t="s">
        <v>3</v>
      </c>
      <c r="D2431" t="s">
        <v>896</v>
      </c>
      <c r="E2431">
        <v>35.76</v>
      </c>
      <c r="F2431" t="s">
        <v>9</v>
      </c>
    </row>
    <row r="2432" spans="1:6">
      <c r="A2432" s="1">
        <v>45606</v>
      </c>
      <c r="B2432" s="2">
        <v>45606.75976439815</v>
      </c>
      <c r="C2432" t="s">
        <v>3</v>
      </c>
      <c r="D2432" t="s">
        <v>897</v>
      </c>
      <c r="E2432">
        <v>35.76</v>
      </c>
      <c r="F2432" t="s">
        <v>9</v>
      </c>
    </row>
    <row r="2433" spans="1:6">
      <c r="A2433" s="1">
        <v>45606</v>
      </c>
      <c r="B2433" s="2">
        <v>45606.859816284719</v>
      </c>
      <c r="C2433" t="s">
        <v>3</v>
      </c>
      <c r="D2433" t="s">
        <v>898</v>
      </c>
      <c r="E2433">
        <v>35.76</v>
      </c>
      <c r="F2433" t="s">
        <v>43</v>
      </c>
    </row>
    <row r="2434" spans="1:6">
      <c r="A2434" s="1">
        <v>45606</v>
      </c>
      <c r="B2434" s="2">
        <v>45606.86049590278</v>
      </c>
      <c r="C2434" t="s">
        <v>3</v>
      </c>
      <c r="D2434" t="s">
        <v>898</v>
      </c>
      <c r="E2434">
        <v>35.76</v>
      </c>
      <c r="F2434" t="s">
        <v>43</v>
      </c>
    </row>
    <row r="2435" spans="1:6">
      <c r="A2435" s="1">
        <v>45607</v>
      </c>
      <c r="B2435" s="2">
        <v>45607.731620983795</v>
      </c>
      <c r="C2435" t="s">
        <v>3</v>
      </c>
      <c r="D2435" t="s">
        <v>899</v>
      </c>
      <c r="E2435">
        <v>35.76</v>
      </c>
      <c r="F2435" t="s">
        <v>43</v>
      </c>
    </row>
    <row r="2436" spans="1:6">
      <c r="A2436" s="1">
        <v>45607</v>
      </c>
      <c r="B2436" s="2">
        <v>45607.792209606479</v>
      </c>
      <c r="C2436" t="s">
        <v>3</v>
      </c>
      <c r="D2436" t="s">
        <v>900</v>
      </c>
      <c r="E2436">
        <v>35.76</v>
      </c>
      <c r="F2436" t="s">
        <v>7</v>
      </c>
    </row>
    <row r="2437" spans="1:6">
      <c r="A2437" s="1">
        <v>45642</v>
      </c>
      <c r="B2437" s="2">
        <v>45642.547830752315</v>
      </c>
      <c r="C2437" t="s">
        <v>3</v>
      </c>
      <c r="D2437" t="s">
        <v>900</v>
      </c>
      <c r="E2437">
        <v>35.76</v>
      </c>
      <c r="F2437" t="s">
        <v>7</v>
      </c>
    </row>
    <row r="2438" spans="1:6">
      <c r="A2438" s="1">
        <v>45656</v>
      </c>
      <c r="B2438" s="2">
        <v>45656.692193877316</v>
      </c>
      <c r="C2438" t="s">
        <v>3</v>
      </c>
      <c r="D2438" t="s">
        <v>900</v>
      </c>
      <c r="E2438">
        <v>35.76</v>
      </c>
      <c r="F2438" t="s">
        <v>43</v>
      </c>
    </row>
    <row r="2439" spans="1:6">
      <c r="A2439" s="1">
        <v>45672</v>
      </c>
      <c r="B2439" s="2">
        <v>45672.551557569444</v>
      </c>
      <c r="C2439" t="s">
        <v>3</v>
      </c>
      <c r="D2439" t="s">
        <v>900</v>
      </c>
      <c r="E2439">
        <v>35.76</v>
      </c>
      <c r="F2439" t="s">
        <v>43</v>
      </c>
    </row>
    <row r="2440" spans="1:6">
      <c r="A2440" s="1">
        <v>45673</v>
      </c>
      <c r="B2440" s="2">
        <v>45673.397889861109</v>
      </c>
      <c r="C2440" t="s">
        <v>3</v>
      </c>
      <c r="D2440" t="s">
        <v>900</v>
      </c>
      <c r="E2440">
        <v>35.76</v>
      </c>
      <c r="F2440" t="s">
        <v>7</v>
      </c>
    </row>
    <row r="2441" spans="1:6">
      <c r="A2441" s="1">
        <v>45607</v>
      </c>
      <c r="B2441" s="2">
        <v>45607.794624166665</v>
      </c>
      <c r="C2441" t="s">
        <v>3</v>
      </c>
      <c r="D2441" t="s">
        <v>901</v>
      </c>
      <c r="E2441">
        <v>35.76</v>
      </c>
      <c r="F2441" t="s">
        <v>9</v>
      </c>
    </row>
    <row r="2442" spans="1:6">
      <c r="A2442" s="1">
        <v>45607</v>
      </c>
      <c r="B2442" s="2">
        <v>45607.880922233795</v>
      </c>
      <c r="C2442" t="s">
        <v>3</v>
      </c>
      <c r="D2442" t="s">
        <v>902</v>
      </c>
      <c r="E2442">
        <v>35.76</v>
      </c>
      <c r="F2442" t="s">
        <v>7</v>
      </c>
    </row>
    <row r="2443" spans="1:6">
      <c r="A2443" s="1">
        <v>45607</v>
      </c>
      <c r="B2443" s="2">
        <v>45607.881793437497</v>
      </c>
      <c r="C2443" t="s">
        <v>3</v>
      </c>
      <c r="D2443" t="s">
        <v>902</v>
      </c>
      <c r="E2443">
        <v>35.76</v>
      </c>
      <c r="F2443" t="s">
        <v>7</v>
      </c>
    </row>
    <row r="2444" spans="1:6">
      <c r="A2444" s="1">
        <v>45608</v>
      </c>
      <c r="B2444" s="2">
        <v>45608.418849212962</v>
      </c>
      <c r="C2444" t="s">
        <v>3</v>
      </c>
      <c r="D2444" t="s">
        <v>903</v>
      </c>
      <c r="E2444">
        <v>35.76</v>
      </c>
      <c r="F2444" t="s">
        <v>7</v>
      </c>
    </row>
    <row r="2445" spans="1:6">
      <c r="A2445" s="1">
        <v>45608</v>
      </c>
      <c r="B2445" s="2">
        <v>45608.552608726852</v>
      </c>
      <c r="C2445" t="s">
        <v>3</v>
      </c>
      <c r="D2445" t="s">
        <v>904</v>
      </c>
      <c r="E2445">
        <v>35.76</v>
      </c>
      <c r="F2445" t="s">
        <v>7</v>
      </c>
    </row>
    <row r="2446" spans="1:6">
      <c r="A2446" s="1">
        <v>45608</v>
      </c>
      <c r="B2446" s="2">
        <v>45608.699471805558</v>
      </c>
      <c r="C2446" t="s">
        <v>3</v>
      </c>
      <c r="D2446" t="s">
        <v>905</v>
      </c>
      <c r="E2446">
        <v>35.76</v>
      </c>
      <c r="F2446" t="s">
        <v>9</v>
      </c>
    </row>
    <row r="2447" spans="1:6">
      <c r="A2447" s="1">
        <v>45608</v>
      </c>
      <c r="B2447" s="2">
        <v>45608.700056689813</v>
      </c>
      <c r="C2447" t="s">
        <v>3</v>
      </c>
      <c r="D2447" t="s">
        <v>905</v>
      </c>
      <c r="E2447">
        <v>35.76</v>
      </c>
      <c r="F2447" t="s">
        <v>9</v>
      </c>
    </row>
    <row r="2448" spans="1:6">
      <c r="A2448" s="1">
        <v>45608</v>
      </c>
      <c r="B2448" s="2">
        <v>45608.700739861109</v>
      </c>
      <c r="C2448" t="s">
        <v>3</v>
      </c>
      <c r="D2448" t="s">
        <v>905</v>
      </c>
      <c r="E2448">
        <v>35.76</v>
      </c>
      <c r="F2448" t="s">
        <v>18</v>
      </c>
    </row>
    <row r="2449" spans="1:6">
      <c r="A2449" s="1">
        <v>45608</v>
      </c>
      <c r="B2449" s="2">
        <v>45608.838863611112</v>
      </c>
      <c r="C2449" t="s">
        <v>3</v>
      </c>
      <c r="D2449" t="s">
        <v>906</v>
      </c>
      <c r="E2449">
        <v>35.76</v>
      </c>
      <c r="F2449" t="s">
        <v>7</v>
      </c>
    </row>
    <row r="2450" spans="1:6">
      <c r="A2450" s="1">
        <v>45609</v>
      </c>
      <c r="B2450" s="2">
        <v>45609.44286171296</v>
      </c>
      <c r="C2450" t="s">
        <v>3</v>
      </c>
      <c r="D2450" t="s">
        <v>906</v>
      </c>
      <c r="E2450">
        <v>35.76</v>
      </c>
      <c r="F2450" t="s">
        <v>7</v>
      </c>
    </row>
    <row r="2451" spans="1:6">
      <c r="A2451" s="1">
        <v>45609</v>
      </c>
      <c r="B2451" s="2">
        <v>45609.615953483793</v>
      </c>
      <c r="C2451" t="s">
        <v>3</v>
      </c>
      <c r="D2451" t="s">
        <v>906</v>
      </c>
      <c r="E2451">
        <v>35.76</v>
      </c>
      <c r="F2451" t="s">
        <v>7</v>
      </c>
    </row>
    <row r="2452" spans="1:6">
      <c r="A2452" s="1">
        <v>45610</v>
      </c>
      <c r="B2452" s="2">
        <v>45610.400321504632</v>
      </c>
      <c r="C2452" t="s">
        <v>3</v>
      </c>
      <c r="D2452" t="s">
        <v>906</v>
      </c>
      <c r="E2452">
        <v>35.76</v>
      </c>
      <c r="F2452" t="s">
        <v>7</v>
      </c>
    </row>
    <row r="2453" spans="1:6">
      <c r="A2453" s="1">
        <v>45608</v>
      </c>
      <c r="B2453" s="2">
        <v>45608.839835682869</v>
      </c>
      <c r="C2453" t="s">
        <v>3</v>
      </c>
      <c r="D2453" t="s">
        <v>907</v>
      </c>
      <c r="E2453">
        <v>35.76</v>
      </c>
      <c r="F2453" t="s">
        <v>18</v>
      </c>
    </row>
    <row r="2454" spans="1:6">
      <c r="A2454" s="1">
        <v>45609</v>
      </c>
      <c r="B2454" s="2">
        <v>45609.339708935186</v>
      </c>
      <c r="C2454" t="s">
        <v>3</v>
      </c>
      <c r="D2454" t="s">
        <v>908</v>
      </c>
      <c r="E2454">
        <v>30.86</v>
      </c>
      <c r="F2454" t="s">
        <v>14</v>
      </c>
    </row>
    <row r="2455" spans="1:6">
      <c r="A2455" s="1">
        <v>45609</v>
      </c>
      <c r="B2455" s="2">
        <v>45609.555492708336</v>
      </c>
      <c r="C2455" t="s">
        <v>3</v>
      </c>
      <c r="D2455" t="s">
        <v>909</v>
      </c>
      <c r="E2455">
        <v>30.86</v>
      </c>
      <c r="F2455" t="s">
        <v>14</v>
      </c>
    </row>
    <row r="2456" spans="1:6">
      <c r="A2456" s="1">
        <v>45609</v>
      </c>
      <c r="B2456" s="2">
        <v>45609.556232372684</v>
      </c>
      <c r="C2456" t="s">
        <v>3</v>
      </c>
      <c r="D2456" t="s">
        <v>909</v>
      </c>
      <c r="E2456">
        <v>30.86</v>
      </c>
      <c r="F2456" t="s">
        <v>14</v>
      </c>
    </row>
    <row r="2457" spans="1:6">
      <c r="A2457" s="1">
        <v>45609</v>
      </c>
      <c r="B2457" s="2">
        <v>45609.595488888888</v>
      </c>
      <c r="C2457" t="s">
        <v>3</v>
      </c>
      <c r="D2457" t="s">
        <v>910</v>
      </c>
      <c r="E2457">
        <v>30.86</v>
      </c>
      <c r="F2457" t="s">
        <v>14</v>
      </c>
    </row>
    <row r="2458" spans="1:6">
      <c r="A2458" s="1">
        <v>45642</v>
      </c>
      <c r="B2458" s="2">
        <v>45642.592571168978</v>
      </c>
      <c r="C2458" t="s">
        <v>3</v>
      </c>
      <c r="D2458" t="s">
        <v>910</v>
      </c>
      <c r="E2458">
        <v>35.76</v>
      </c>
      <c r="F2458" t="s">
        <v>9</v>
      </c>
    </row>
    <row r="2459" spans="1:6">
      <c r="A2459" s="1">
        <v>45610</v>
      </c>
      <c r="B2459" s="2">
        <v>45610.421327314813</v>
      </c>
      <c r="C2459" t="s">
        <v>3</v>
      </c>
      <c r="D2459" t="s">
        <v>911</v>
      </c>
      <c r="E2459">
        <v>25.96</v>
      </c>
      <c r="F2459" t="s">
        <v>11</v>
      </c>
    </row>
    <row r="2460" spans="1:6">
      <c r="A2460" s="1">
        <v>45610</v>
      </c>
      <c r="B2460" s="2">
        <v>45610.533917581015</v>
      </c>
      <c r="C2460" t="s">
        <v>3</v>
      </c>
      <c r="D2460" t="s">
        <v>912</v>
      </c>
      <c r="E2460">
        <v>21.06</v>
      </c>
      <c r="F2460" t="s">
        <v>35</v>
      </c>
    </row>
    <row r="2461" spans="1:6">
      <c r="A2461" s="1">
        <v>45610</v>
      </c>
      <c r="B2461" s="2">
        <v>45610.627608946757</v>
      </c>
      <c r="C2461" t="s">
        <v>3</v>
      </c>
      <c r="D2461" t="s">
        <v>913</v>
      </c>
      <c r="E2461">
        <v>35.76</v>
      </c>
      <c r="F2461" t="s">
        <v>43</v>
      </c>
    </row>
    <row r="2462" spans="1:6">
      <c r="A2462" s="1">
        <v>45610</v>
      </c>
      <c r="B2462" s="2">
        <v>45610.62843459491</v>
      </c>
      <c r="C2462" t="s">
        <v>3</v>
      </c>
      <c r="D2462" t="s">
        <v>914</v>
      </c>
      <c r="E2462">
        <v>35.76</v>
      </c>
      <c r="F2462" t="s">
        <v>7</v>
      </c>
    </row>
    <row r="2463" spans="1:6">
      <c r="A2463" s="1">
        <v>45610</v>
      </c>
      <c r="B2463" s="2">
        <v>45610.629048530092</v>
      </c>
      <c r="C2463" t="s">
        <v>3</v>
      </c>
      <c r="D2463" t="s">
        <v>914</v>
      </c>
      <c r="E2463">
        <v>35.76</v>
      </c>
      <c r="F2463" t="s">
        <v>43</v>
      </c>
    </row>
    <row r="2464" spans="1:6">
      <c r="A2464" s="1">
        <v>45610</v>
      </c>
      <c r="B2464" s="2">
        <v>45610.944934571758</v>
      </c>
      <c r="C2464" t="s">
        <v>3</v>
      </c>
      <c r="D2464" t="s">
        <v>915</v>
      </c>
      <c r="E2464">
        <v>35.76</v>
      </c>
      <c r="F2464" t="s">
        <v>7</v>
      </c>
    </row>
    <row r="2465" spans="1:6">
      <c r="A2465" s="1">
        <v>45611</v>
      </c>
      <c r="B2465" s="2">
        <v>45611.365175219908</v>
      </c>
      <c r="C2465" t="s">
        <v>3</v>
      </c>
      <c r="D2465" t="s">
        <v>916</v>
      </c>
      <c r="E2465">
        <v>30.86</v>
      </c>
      <c r="F2465" t="s">
        <v>14</v>
      </c>
    </row>
    <row r="2466" spans="1:6">
      <c r="A2466" s="1">
        <v>45611</v>
      </c>
      <c r="B2466" s="2">
        <v>45611.506255324071</v>
      </c>
      <c r="C2466" t="s">
        <v>3</v>
      </c>
      <c r="D2466" t="s">
        <v>917</v>
      </c>
      <c r="E2466">
        <v>35.76</v>
      </c>
      <c r="F2466" t="s">
        <v>18</v>
      </c>
    </row>
    <row r="2467" spans="1:6">
      <c r="A2467" s="1">
        <v>45617</v>
      </c>
      <c r="B2467" s="2">
        <v>45617.541497013888</v>
      </c>
      <c r="C2467" t="s">
        <v>3</v>
      </c>
      <c r="D2467" t="s">
        <v>917</v>
      </c>
      <c r="E2467">
        <v>35.76</v>
      </c>
      <c r="F2467" t="s">
        <v>18</v>
      </c>
    </row>
    <row r="2468" spans="1:6">
      <c r="A2468" s="1">
        <v>45622</v>
      </c>
      <c r="B2468" s="2">
        <v>45622.460373483795</v>
      </c>
      <c r="C2468" t="s">
        <v>3</v>
      </c>
      <c r="D2468" t="s">
        <v>917</v>
      </c>
      <c r="E2468">
        <v>35.76</v>
      </c>
      <c r="F2468" t="s">
        <v>18</v>
      </c>
    </row>
    <row r="2469" spans="1:6">
      <c r="A2469" s="1">
        <v>45611</v>
      </c>
      <c r="B2469" s="2">
        <v>45611.509936932867</v>
      </c>
      <c r="C2469" t="s">
        <v>3</v>
      </c>
      <c r="D2469" t="s">
        <v>918</v>
      </c>
      <c r="E2469">
        <v>35.76</v>
      </c>
      <c r="F2469" t="s">
        <v>18</v>
      </c>
    </row>
    <row r="2470" spans="1:6">
      <c r="A2470" s="1">
        <v>45611</v>
      </c>
      <c r="B2470" s="2">
        <v>45611.638780462963</v>
      </c>
      <c r="C2470" t="s">
        <v>3</v>
      </c>
      <c r="D2470" t="s">
        <v>919</v>
      </c>
      <c r="E2470">
        <v>25.96</v>
      </c>
      <c r="F2470" t="s">
        <v>11</v>
      </c>
    </row>
    <row r="2471" spans="1:6">
      <c r="A2471" s="1">
        <v>45611</v>
      </c>
      <c r="B2471" s="2">
        <v>45611.746544988426</v>
      </c>
      <c r="C2471" t="s">
        <v>3</v>
      </c>
      <c r="D2471" t="s">
        <v>920</v>
      </c>
      <c r="E2471">
        <v>35.76</v>
      </c>
      <c r="F2471" t="s">
        <v>7</v>
      </c>
    </row>
    <row r="2472" spans="1:6">
      <c r="A2472" s="1">
        <v>45614</v>
      </c>
      <c r="B2472" s="2">
        <v>45614.699223310185</v>
      </c>
      <c r="C2472" t="s">
        <v>3</v>
      </c>
      <c r="D2472" t="s">
        <v>920</v>
      </c>
      <c r="E2472">
        <v>35.76</v>
      </c>
      <c r="F2472" t="s">
        <v>7</v>
      </c>
    </row>
    <row r="2473" spans="1:6">
      <c r="A2473" s="1">
        <v>45616</v>
      </c>
      <c r="B2473" s="2">
        <v>45616.690858182868</v>
      </c>
      <c r="C2473" t="s">
        <v>3</v>
      </c>
      <c r="D2473" t="s">
        <v>920</v>
      </c>
      <c r="E2473">
        <v>35.76</v>
      </c>
      <c r="F2473" t="s">
        <v>7</v>
      </c>
    </row>
    <row r="2474" spans="1:6">
      <c r="A2474" s="1">
        <v>45617</v>
      </c>
      <c r="B2474" s="2">
        <v>45617.523334282407</v>
      </c>
      <c r="C2474" t="s">
        <v>3</v>
      </c>
      <c r="D2474" t="s">
        <v>920</v>
      </c>
      <c r="E2474">
        <v>35.76</v>
      </c>
      <c r="F2474" t="s">
        <v>7</v>
      </c>
    </row>
    <row r="2475" spans="1:6">
      <c r="A2475" s="1">
        <v>45617</v>
      </c>
      <c r="B2475" s="2">
        <v>45617.67654591435</v>
      </c>
      <c r="C2475" t="s">
        <v>3</v>
      </c>
      <c r="D2475" t="s">
        <v>920</v>
      </c>
      <c r="E2475">
        <v>35.76</v>
      </c>
      <c r="F2475" t="s">
        <v>7</v>
      </c>
    </row>
    <row r="2476" spans="1:6">
      <c r="A2476" s="1">
        <v>45618</v>
      </c>
      <c r="B2476" s="2">
        <v>45618.326809282407</v>
      </c>
      <c r="C2476" t="s">
        <v>3</v>
      </c>
      <c r="D2476" t="s">
        <v>920</v>
      </c>
      <c r="E2476">
        <v>35.76</v>
      </c>
      <c r="F2476" t="s">
        <v>7</v>
      </c>
    </row>
    <row r="2477" spans="1:6">
      <c r="A2477" s="1">
        <v>45631</v>
      </c>
      <c r="B2477" s="2">
        <v>45631.63980863426</v>
      </c>
      <c r="C2477" t="s">
        <v>3</v>
      </c>
      <c r="D2477" t="s">
        <v>920</v>
      </c>
      <c r="E2477">
        <v>35.76</v>
      </c>
      <c r="F2477" t="s">
        <v>7</v>
      </c>
    </row>
    <row r="2478" spans="1:6">
      <c r="A2478" s="1">
        <v>45632</v>
      </c>
      <c r="B2478" s="2">
        <v>45632.487714097224</v>
      </c>
      <c r="C2478" t="s">
        <v>3</v>
      </c>
      <c r="D2478" t="s">
        <v>920</v>
      </c>
      <c r="E2478">
        <v>35.76</v>
      </c>
      <c r="F2478" t="s">
        <v>7</v>
      </c>
    </row>
    <row r="2479" spans="1:6">
      <c r="A2479" s="1">
        <v>45649</v>
      </c>
      <c r="B2479" s="2">
        <v>45649.676972719906</v>
      </c>
      <c r="C2479" t="s">
        <v>3</v>
      </c>
      <c r="D2479" t="s">
        <v>920</v>
      </c>
      <c r="E2479">
        <v>35.76</v>
      </c>
      <c r="F2479" t="s">
        <v>7</v>
      </c>
    </row>
    <row r="2480" spans="1:6">
      <c r="A2480" s="1">
        <v>45670</v>
      </c>
      <c r="B2480" s="2">
        <v>45670.576928796298</v>
      </c>
      <c r="C2480" t="s">
        <v>3</v>
      </c>
      <c r="D2480" t="s">
        <v>920</v>
      </c>
      <c r="E2480">
        <v>35.76</v>
      </c>
      <c r="F2480" t="s">
        <v>7</v>
      </c>
    </row>
    <row r="2481" spans="1:6">
      <c r="A2481" s="1">
        <v>45674</v>
      </c>
      <c r="B2481" s="2">
        <v>45674.735539467591</v>
      </c>
      <c r="C2481" t="s">
        <v>3</v>
      </c>
      <c r="D2481" t="s">
        <v>920</v>
      </c>
      <c r="E2481">
        <v>35.76</v>
      </c>
      <c r="F2481" t="s">
        <v>9</v>
      </c>
    </row>
    <row r="2482" spans="1:6">
      <c r="A2482" s="1">
        <v>45611</v>
      </c>
      <c r="B2482" s="2">
        <v>45611.758853368054</v>
      </c>
      <c r="C2482" t="s">
        <v>3</v>
      </c>
      <c r="D2482" t="s">
        <v>921</v>
      </c>
      <c r="E2482">
        <v>35.76</v>
      </c>
      <c r="F2482" t="s">
        <v>9</v>
      </c>
    </row>
    <row r="2483" spans="1:6">
      <c r="A2483" s="1">
        <v>45643</v>
      </c>
      <c r="B2483" s="2">
        <v>45643.788163217592</v>
      </c>
      <c r="C2483" t="s">
        <v>3</v>
      </c>
      <c r="D2483" t="s">
        <v>921</v>
      </c>
      <c r="E2483">
        <v>35.76</v>
      </c>
      <c r="F2483" t="s">
        <v>18</v>
      </c>
    </row>
    <row r="2484" spans="1:6">
      <c r="A2484" s="1">
        <v>45612</v>
      </c>
      <c r="B2484" s="2">
        <v>45612.448511342591</v>
      </c>
      <c r="C2484" t="s">
        <v>3</v>
      </c>
      <c r="D2484" t="s">
        <v>922</v>
      </c>
      <c r="E2484">
        <v>25.96</v>
      </c>
      <c r="F2484" t="s">
        <v>28</v>
      </c>
    </row>
    <row r="2485" spans="1:6">
      <c r="A2485" s="1">
        <v>45612</v>
      </c>
      <c r="B2485" s="2">
        <v>45612.459730856484</v>
      </c>
      <c r="C2485" t="s">
        <v>3</v>
      </c>
      <c r="D2485" t="s">
        <v>923</v>
      </c>
      <c r="E2485">
        <v>35.76</v>
      </c>
      <c r="F2485" t="s">
        <v>9</v>
      </c>
    </row>
    <row r="2486" spans="1:6">
      <c r="A2486" s="1">
        <v>45612</v>
      </c>
      <c r="B2486" s="2">
        <v>45612.4604927662</v>
      </c>
      <c r="C2486" t="s">
        <v>3</v>
      </c>
      <c r="D2486" t="s">
        <v>924</v>
      </c>
      <c r="E2486">
        <v>35.76</v>
      </c>
      <c r="F2486" t="s">
        <v>7</v>
      </c>
    </row>
    <row r="2487" spans="1:6">
      <c r="A2487" s="1">
        <v>45612</v>
      </c>
      <c r="B2487" s="2">
        <v>45612.521006759256</v>
      </c>
      <c r="C2487" t="s">
        <v>3</v>
      </c>
      <c r="D2487" t="s">
        <v>925</v>
      </c>
      <c r="E2487">
        <v>35.76</v>
      </c>
      <c r="F2487" t="s">
        <v>43</v>
      </c>
    </row>
    <row r="2488" spans="1:6">
      <c r="A2488" s="1">
        <v>45612</v>
      </c>
      <c r="B2488" s="2">
        <v>45612.522112916668</v>
      </c>
      <c r="C2488" t="s">
        <v>3</v>
      </c>
      <c r="D2488" t="s">
        <v>926</v>
      </c>
      <c r="E2488">
        <v>30.86</v>
      </c>
      <c r="F2488" t="s">
        <v>14</v>
      </c>
    </row>
    <row r="2489" spans="1:6">
      <c r="A2489" s="1">
        <v>45612</v>
      </c>
      <c r="B2489" s="2">
        <v>45612.533748217589</v>
      </c>
      <c r="C2489" t="s">
        <v>3</v>
      </c>
      <c r="D2489" t="s">
        <v>927</v>
      </c>
      <c r="E2489">
        <v>35.76</v>
      </c>
      <c r="F2489" t="s">
        <v>7</v>
      </c>
    </row>
    <row r="2490" spans="1:6">
      <c r="A2490" s="1">
        <v>45612</v>
      </c>
      <c r="B2490" s="2">
        <v>45612.534434340276</v>
      </c>
      <c r="C2490" t="s">
        <v>3</v>
      </c>
      <c r="D2490" t="s">
        <v>927</v>
      </c>
      <c r="E2490">
        <v>35.76</v>
      </c>
      <c r="F2490" t="s">
        <v>7</v>
      </c>
    </row>
    <row r="2491" spans="1:6">
      <c r="A2491" s="1">
        <v>45612</v>
      </c>
      <c r="B2491" s="2">
        <v>45612.554172175929</v>
      </c>
      <c r="C2491" t="s">
        <v>3</v>
      </c>
      <c r="D2491" t="s">
        <v>928</v>
      </c>
      <c r="E2491">
        <v>35.76</v>
      </c>
      <c r="F2491" t="s">
        <v>7</v>
      </c>
    </row>
    <row r="2492" spans="1:6">
      <c r="A2492" s="1">
        <v>45612</v>
      </c>
      <c r="B2492" s="2">
        <v>45612.554965601848</v>
      </c>
      <c r="C2492" t="s">
        <v>3</v>
      </c>
      <c r="D2492" t="s">
        <v>928</v>
      </c>
      <c r="E2492">
        <v>35.76</v>
      </c>
      <c r="F2492" t="s">
        <v>7</v>
      </c>
    </row>
    <row r="2493" spans="1:6">
      <c r="A2493" s="1">
        <v>45612</v>
      </c>
      <c r="B2493" s="2">
        <v>45612.601242916666</v>
      </c>
      <c r="C2493" t="s">
        <v>3</v>
      </c>
      <c r="D2493" t="s">
        <v>929</v>
      </c>
      <c r="E2493">
        <v>30.86</v>
      </c>
      <c r="F2493" t="s">
        <v>14</v>
      </c>
    </row>
    <row r="2494" spans="1:6">
      <c r="A2494" s="1">
        <v>45613</v>
      </c>
      <c r="B2494" s="2">
        <v>45613.437233599536</v>
      </c>
      <c r="C2494" t="s">
        <v>3</v>
      </c>
      <c r="D2494" t="s">
        <v>930</v>
      </c>
      <c r="E2494">
        <v>30.86</v>
      </c>
      <c r="F2494" t="s">
        <v>14</v>
      </c>
    </row>
    <row r="2495" spans="1:6">
      <c r="A2495" s="1">
        <v>45613</v>
      </c>
      <c r="B2495" s="2">
        <v>45613.566200173613</v>
      </c>
      <c r="C2495" t="s">
        <v>3</v>
      </c>
      <c r="D2495" t="s">
        <v>931</v>
      </c>
      <c r="E2495">
        <v>30.86</v>
      </c>
      <c r="F2495" t="s">
        <v>14</v>
      </c>
    </row>
    <row r="2496" spans="1:6">
      <c r="A2496" s="1">
        <v>45613</v>
      </c>
      <c r="B2496" s="2">
        <v>45613.596317094911</v>
      </c>
      <c r="C2496" t="s">
        <v>3</v>
      </c>
      <c r="D2496" t="s">
        <v>932</v>
      </c>
      <c r="E2496">
        <v>25.96</v>
      </c>
      <c r="F2496" t="s">
        <v>11</v>
      </c>
    </row>
    <row r="2497" spans="1:6">
      <c r="A2497" s="1">
        <v>45613</v>
      </c>
      <c r="B2497" s="2">
        <v>45613.606715821756</v>
      </c>
      <c r="C2497" t="s">
        <v>3</v>
      </c>
      <c r="D2497" t="s">
        <v>933</v>
      </c>
      <c r="E2497">
        <v>30.86</v>
      </c>
      <c r="F2497" t="s">
        <v>14</v>
      </c>
    </row>
    <row r="2498" spans="1:6">
      <c r="A2498" s="1">
        <v>45613</v>
      </c>
      <c r="B2498" s="2">
        <v>45613.68571972222</v>
      </c>
      <c r="C2498" t="s">
        <v>3</v>
      </c>
      <c r="D2498" t="s">
        <v>934</v>
      </c>
      <c r="E2498">
        <v>35.76</v>
      </c>
      <c r="F2498" t="s">
        <v>7</v>
      </c>
    </row>
    <row r="2499" spans="1:6">
      <c r="A2499" s="1">
        <v>45613</v>
      </c>
      <c r="B2499" s="2">
        <v>45613.686525219906</v>
      </c>
      <c r="C2499" t="s">
        <v>3</v>
      </c>
      <c r="D2499" t="s">
        <v>934</v>
      </c>
      <c r="E2499">
        <v>35.76</v>
      </c>
      <c r="F2499" t="s">
        <v>7</v>
      </c>
    </row>
    <row r="2500" spans="1:6">
      <c r="A2500" s="1">
        <v>45656</v>
      </c>
      <c r="B2500" s="2">
        <v>45656.633854664353</v>
      </c>
      <c r="C2500" t="s">
        <v>3</v>
      </c>
      <c r="D2500" t="s">
        <v>934</v>
      </c>
      <c r="E2500">
        <v>35.76</v>
      </c>
      <c r="F2500" t="s">
        <v>7</v>
      </c>
    </row>
    <row r="2501" spans="1:6">
      <c r="A2501" s="1">
        <v>45656</v>
      </c>
      <c r="B2501" s="2">
        <v>45656.634475590276</v>
      </c>
      <c r="C2501" t="s">
        <v>3</v>
      </c>
      <c r="D2501" t="s">
        <v>934</v>
      </c>
      <c r="E2501">
        <v>30.86</v>
      </c>
      <c r="F2501" t="s">
        <v>14</v>
      </c>
    </row>
    <row r="2502" spans="1:6">
      <c r="A2502" s="1">
        <v>45613</v>
      </c>
      <c r="B2502" s="2">
        <v>45613.757021307872</v>
      </c>
      <c r="C2502" t="s">
        <v>3</v>
      </c>
      <c r="D2502" t="s">
        <v>935</v>
      </c>
      <c r="E2502">
        <v>35.76</v>
      </c>
      <c r="F2502" t="s">
        <v>9</v>
      </c>
    </row>
    <row r="2503" spans="1:6">
      <c r="A2503" s="1">
        <v>45613</v>
      </c>
      <c r="B2503" s="2">
        <v>45613.803869085648</v>
      </c>
      <c r="C2503" t="s">
        <v>3</v>
      </c>
      <c r="D2503" t="s">
        <v>936</v>
      </c>
      <c r="E2503">
        <v>35.76</v>
      </c>
      <c r="F2503" t="s">
        <v>9</v>
      </c>
    </row>
    <row r="2504" spans="1:6">
      <c r="A2504" s="1">
        <v>45613</v>
      </c>
      <c r="B2504" s="2">
        <v>45613.804485185188</v>
      </c>
      <c r="C2504" t="s">
        <v>3</v>
      </c>
      <c r="D2504" t="s">
        <v>936</v>
      </c>
      <c r="E2504">
        <v>35.76</v>
      </c>
      <c r="F2504" t="s">
        <v>9</v>
      </c>
    </row>
    <row r="2505" spans="1:6">
      <c r="A2505" s="1">
        <v>45638</v>
      </c>
      <c r="B2505" s="2">
        <v>45638.826399699072</v>
      </c>
      <c r="C2505" t="s">
        <v>3</v>
      </c>
      <c r="D2505" t="s">
        <v>936</v>
      </c>
      <c r="E2505">
        <v>35.76</v>
      </c>
      <c r="F2505" t="s">
        <v>18</v>
      </c>
    </row>
    <row r="2506" spans="1:6">
      <c r="A2506" s="1">
        <v>45638</v>
      </c>
      <c r="B2506" s="2">
        <v>45638.827057106479</v>
      </c>
      <c r="C2506" t="s">
        <v>3</v>
      </c>
      <c r="D2506" t="s">
        <v>936</v>
      </c>
      <c r="E2506">
        <v>35.76</v>
      </c>
      <c r="F2506" t="s">
        <v>18</v>
      </c>
    </row>
    <row r="2507" spans="1:6">
      <c r="A2507" s="1">
        <v>45614</v>
      </c>
      <c r="B2507" s="2">
        <v>45614.32866146991</v>
      </c>
      <c r="C2507" t="s">
        <v>3</v>
      </c>
      <c r="D2507" t="s">
        <v>937</v>
      </c>
      <c r="E2507">
        <v>30.86</v>
      </c>
      <c r="F2507" t="s">
        <v>14</v>
      </c>
    </row>
    <row r="2508" spans="1:6">
      <c r="A2508" s="1">
        <v>45615</v>
      </c>
      <c r="B2508" s="2">
        <v>45615.327241643521</v>
      </c>
      <c r="C2508" t="s">
        <v>3</v>
      </c>
      <c r="D2508" t="s">
        <v>937</v>
      </c>
      <c r="E2508">
        <v>30.86</v>
      </c>
      <c r="F2508" t="s">
        <v>14</v>
      </c>
    </row>
    <row r="2509" spans="1:6">
      <c r="A2509" s="1">
        <v>45615</v>
      </c>
      <c r="B2509" s="2">
        <v>45615.327933032408</v>
      </c>
      <c r="C2509" t="s">
        <v>3</v>
      </c>
      <c r="D2509" t="s">
        <v>937</v>
      </c>
      <c r="E2509">
        <v>35.76</v>
      </c>
      <c r="F2509" t="s">
        <v>7</v>
      </c>
    </row>
    <row r="2510" spans="1:6">
      <c r="A2510" s="1">
        <v>45614</v>
      </c>
      <c r="B2510" s="2">
        <v>45614.697790208331</v>
      </c>
      <c r="C2510" t="s">
        <v>3</v>
      </c>
      <c r="D2510" t="s">
        <v>938</v>
      </c>
      <c r="E2510">
        <v>35.76</v>
      </c>
      <c r="F2510" t="s">
        <v>7</v>
      </c>
    </row>
    <row r="2511" spans="1:6">
      <c r="A2511" s="1">
        <v>45614</v>
      </c>
      <c r="B2511" s="2">
        <v>45614.785348807869</v>
      </c>
      <c r="C2511" t="s">
        <v>3</v>
      </c>
      <c r="D2511" t="s">
        <v>939</v>
      </c>
      <c r="E2511">
        <v>35.76</v>
      </c>
      <c r="F2511" t="s">
        <v>7</v>
      </c>
    </row>
    <row r="2512" spans="1:6">
      <c r="A2512" s="1">
        <v>45615</v>
      </c>
      <c r="B2512" s="2">
        <v>45615.328916585648</v>
      </c>
      <c r="C2512" t="s">
        <v>3</v>
      </c>
      <c r="D2512" t="s">
        <v>940</v>
      </c>
      <c r="E2512">
        <v>21.06</v>
      </c>
      <c r="F2512" t="s">
        <v>35</v>
      </c>
    </row>
    <row r="2513" spans="1:6">
      <c r="A2513" s="1">
        <v>45615</v>
      </c>
      <c r="B2513" s="2">
        <v>45615.329709409722</v>
      </c>
      <c r="C2513" t="s">
        <v>3</v>
      </c>
      <c r="D2513" t="s">
        <v>941</v>
      </c>
      <c r="E2513">
        <v>35.76</v>
      </c>
      <c r="F2513" t="s">
        <v>7</v>
      </c>
    </row>
    <row r="2514" spans="1:6">
      <c r="A2514" s="1">
        <v>45615</v>
      </c>
      <c r="B2514" s="2">
        <v>45615.463298807874</v>
      </c>
      <c r="C2514" t="s">
        <v>3</v>
      </c>
      <c r="D2514" t="s">
        <v>942</v>
      </c>
      <c r="E2514">
        <v>35.76</v>
      </c>
      <c r="F2514" t="s">
        <v>7</v>
      </c>
    </row>
    <row r="2515" spans="1:6">
      <c r="A2515" s="1">
        <v>45615</v>
      </c>
      <c r="B2515" s="2">
        <v>45615.699782800926</v>
      </c>
      <c r="C2515" t="s">
        <v>3</v>
      </c>
      <c r="D2515" t="s">
        <v>943</v>
      </c>
      <c r="E2515">
        <v>35.76</v>
      </c>
      <c r="F2515" t="s">
        <v>43</v>
      </c>
    </row>
    <row r="2516" spans="1:6">
      <c r="A2516" s="1">
        <v>45616</v>
      </c>
      <c r="B2516" s="2">
        <v>45616.562253900462</v>
      </c>
      <c r="C2516" t="s">
        <v>3</v>
      </c>
      <c r="D2516" t="s">
        <v>944</v>
      </c>
      <c r="E2516">
        <v>30.86</v>
      </c>
      <c r="F2516" t="s">
        <v>14</v>
      </c>
    </row>
    <row r="2517" spans="1:6">
      <c r="A2517" s="1">
        <v>45616</v>
      </c>
      <c r="B2517" s="2">
        <v>45616.742959733798</v>
      </c>
      <c r="C2517" t="s">
        <v>3</v>
      </c>
      <c r="D2517" t="s">
        <v>945</v>
      </c>
      <c r="E2517">
        <v>35.76</v>
      </c>
      <c r="F2517" t="s">
        <v>43</v>
      </c>
    </row>
    <row r="2518" spans="1:6">
      <c r="A2518" s="1">
        <v>45616</v>
      </c>
      <c r="B2518" s="2">
        <v>45616.743631481484</v>
      </c>
      <c r="C2518" t="s">
        <v>3</v>
      </c>
      <c r="D2518" t="s">
        <v>945</v>
      </c>
      <c r="E2518">
        <v>35.76</v>
      </c>
      <c r="F2518" t="s">
        <v>9</v>
      </c>
    </row>
    <row r="2519" spans="1:6">
      <c r="A2519" s="1">
        <v>45617</v>
      </c>
      <c r="B2519" s="2">
        <v>45617.542215162037</v>
      </c>
      <c r="C2519" t="s">
        <v>3</v>
      </c>
      <c r="D2519" t="s">
        <v>946</v>
      </c>
      <c r="E2519">
        <v>35.76</v>
      </c>
      <c r="F2519" t="s">
        <v>18</v>
      </c>
    </row>
    <row r="2520" spans="1:6">
      <c r="A2520" s="1">
        <v>45617</v>
      </c>
      <c r="B2520" s="2">
        <v>45617.732955451385</v>
      </c>
      <c r="C2520" t="s">
        <v>3</v>
      </c>
      <c r="D2520" t="s">
        <v>947</v>
      </c>
      <c r="E2520">
        <v>30.86</v>
      </c>
      <c r="F2520" t="s">
        <v>14</v>
      </c>
    </row>
    <row r="2521" spans="1:6">
      <c r="A2521" s="1">
        <v>45617</v>
      </c>
      <c r="B2521" s="2">
        <v>45617.735682546299</v>
      </c>
      <c r="C2521" t="s">
        <v>3</v>
      </c>
      <c r="D2521" t="s">
        <v>948</v>
      </c>
      <c r="E2521">
        <v>25.96</v>
      </c>
      <c r="F2521" t="s">
        <v>28</v>
      </c>
    </row>
    <row r="2522" spans="1:6">
      <c r="A2522" s="1">
        <v>45617</v>
      </c>
      <c r="B2522" s="2">
        <v>45617.792395219905</v>
      </c>
      <c r="C2522" t="s">
        <v>3</v>
      </c>
      <c r="D2522" t="s">
        <v>949</v>
      </c>
      <c r="E2522">
        <v>35.76</v>
      </c>
      <c r="F2522" t="s">
        <v>9</v>
      </c>
    </row>
    <row r="2523" spans="1:6">
      <c r="A2523" s="1">
        <v>45618</v>
      </c>
      <c r="B2523" s="2">
        <v>45618.460097233794</v>
      </c>
      <c r="C2523" t="s">
        <v>3</v>
      </c>
      <c r="D2523" t="s">
        <v>950</v>
      </c>
      <c r="E2523">
        <v>35.76</v>
      </c>
      <c r="F2523" t="s">
        <v>7</v>
      </c>
    </row>
    <row r="2524" spans="1:6">
      <c r="A2524" s="1">
        <v>45618</v>
      </c>
      <c r="B2524" s="2">
        <v>45618.475305914355</v>
      </c>
      <c r="C2524" t="s">
        <v>3</v>
      </c>
      <c r="D2524" t="s">
        <v>951</v>
      </c>
      <c r="E2524">
        <v>35.76</v>
      </c>
      <c r="F2524" t="s">
        <v>18</v>
      </c>
    </row>
    <row r="2525" spans="1:6">
      <c r="A2525" s="1">
        <v>45618</v>
      </c>
      <c r="B2525" s="2">
        <v>45618.689644953702</v>
      </c>
      <c r="C2525" t="s">
        <v>3</v>
      </c>
      <c r="D2525" t="s">
        <v>952</v>
      </c>
      <c r="E2525">
        <v>35.76</v>
      </c>
      <c r="F2525" t="s">
        <v>9</v>
      </c>
    </row>
    <row r="2526" spans="1:6">
      <c r="A2526" s="1">
        <v>45618</v>
      </c>
      <c r="B2526" s="2">
        <v>45618.69016085648</v>
      </c>
      <c r="C2526" t="s">
        <v>3</v>
      </c>
      <c r="D2526" t="s">
        <v>952</v>
      </c>
      <c r="E2526">
        <v>35.76</v>
      </c>
      <c r="F2526" t="s">
        <v>7</v>
      </c>
    </row>
    <row r="2527" spans="1:6">
      <c r="A2527" s="1">
        <v>45632</v>
      </c>
      <c r="B2527" s="2">
        <v>45632.68886603009</v>
      </c>
      <c r="C2527" t="s">
        <v>3</v>
      </c>
      <c r="D2527" t="s">
        <v>952</v>
      </c>
      <c r="E2527">
        <v>35.76</v>
      </c>
      <c r="F2527" t="s">
        <v>9</v>
      </c>
    </row>
    <row r="2528" spans="1:6">
      <c r="A2528" s="1">
        <v>45636</v>
      </c>
      <c r="B2528" s="2">
        <v>45636.765252789352</v>
      </c>
      <c r="C2528" t="s">
        <v>3</v>
      </c>
      <c r="D2528" t="s">
        <v>952</v>
      </c>
      <c r="E2528">
        <v>35.76</v>
      </c>
      <c r="F2528" t="s">
        <v>9</v>
      </c>
    </row>
    <row r="2529" spans="1:6">
      <c r="A2529" s="1">
        <v>45619</v>
      </c>
      <c r="B2529" s="2">
        <v>45619.464907685186</v>
      </c>
      <c r="C2529" t="s">
        <v>3</v>
      </c>
      <c r="D2529" t="s">
        <v>953</v>
      </c>
      <c r="E2529">
        <v>25.96</v>
      </c>
      <c r="F2529" t="s">
        <v>11</v>
      </c>
    </row>
    <row r="2530" spans="1:6">
      <c r="A2530" s="1">
        <v>45619</v>
      </c>
      <c r="B2530" s="2">
        <v>45619.465576921299</v>
      </c>
      <c r="C2530" t="s">
        <v>3</v>
      </c>
      <c r="D2530" t="s">
        <v>953</v>
      </c>
      <c r="E2530">
        <v>25.96</v>
      </c>
      <c r="F2530" t="s">
        <v>11</v>
      </c>
    </row>
    <row r="2531" spans="1:6">
      <c r="A2531" s="1">
        <v>45619</v>
      </c>
      <c r="B2531" s="2">
        <v>45619.942409513889</v>
      </c>
      <c r="C2531" t="s">
        <v>3</v>
      </c>
      <c r="D2531" t="s">
        <v>954</v>
      </c>
      <c r="E2531">
        <v>35.76</v>
      </c>
      <c r="F2531" t="s">
        <v>7</v>
      </c>
    </row>
    <row r="2532" spans="1:6">
      <c r="A2532" s="1">
        <v>45621</v>
      </c>
      <c r="B2532" s="2">
        <v>45621.329438703702</v>
      </c>
      <c r="C2532" t="s">
        <v>3</v>
      </c>
      <c r="D2532" t="s">
        <v>955</v>
      </c>
      <c r="E2532">
        <v>35.76</v>
      </c>
      <c r="F2532" t="s">
        <v>7</v>
      </c>
    </row>
    <row r="2533" spans="1:6">
      <c r="A2533" s="1">
        <v>45621</v>
      </c>
      <c r="B2533" s="2">
        <v>45621.53539582176</v>
      </c>
      <c r="C2533" t="s">
        <v>3</v>
      </c>
      <c r="D2533" t="s">
        <v>956</v>
      </c>
      <c r="E2533">
        <v>35.76</v>
      </c>
      <c r="F2533" t="s">
        <v>7</v>
      </c>
    </row>
    <row r="2534" spans="1:6">
      <c r="A2534" s="1">
        <v>45621</v>
      </c>
      <c r="B2534" s="2">
        <v>45621.536586261573</v>
      </c>
      <c r="C2534" t="s">
        <v>3</v>
      </c>
      <c r="D2534" t="s">
        <v>957</v>
      </c>
      <c r="E2534">
        <v>35.76</v>
      </c>
      <c r="F2534" t="s">
        <v>7</v>
      </c>
    </row>
    <row r="2535" spans="1:6">
      <c r="A2535" s="1">
        <v>45621</v>
      </c>
      <c r="B2535" s="2">
        <v>45621.793045104168</v>
      </c>
      <c r="C2535" t="s">
        <v>3</v>
      </c>
      <c r="D2535" t="s">
        <v>958</v>
      </c>
      <c r="E2535">
        <v>30.86</v>
      </c>
      <c r="F2535" t="s">
        <v>14</v>
      </c>
    </row>
    <row r="2536" spans="1:6">
      <c r="A2536" s="1">
        <v>45621</v>
      </c>
      <c r="B2536" s="2">
        <v>45621.818038067133</v>
      </c>
      <c r="C2536" t="s">
        <v>3</v>
      </c>
      <c r="D2536" t="s">
        <v>959</v>
      </c>
      <c r="E2536">
        <v>35.76</v>
      </c>
      <c r="F2536" t="s">
        <v>9</v>
      </c>
    </row>
    <row r="2537" spans="1:6">
      <c r="A2537" s="1">
        <v>45622</v>
      </c>
      <c r="B2537" s="2">
        <v>45622.460963831021</v>
      </c>
      <c r="C2537" t="s">
        <v>3</v>
      </c>
      <c r="D2537" t="s">
        <v>960</v>
      </c>
      <c r="E2537">
        <v>25.96</v>
      </c>
      <c r="F2537" t="s">
        <v>11</v>
      </c>
    </row>
    <row r="2538" spans="1:6">
      <c r="A2538" s="1">
        <v>45622</v>
      </c>
      <c r="B2538" s="2">
        <v>45622.462605185188</v>
      </c>
      <c r="C2538" t="s">
        <v>3</v>
      </c>
      <c r="D2538" t="s">
        <v>961</v>
      </c>
      <c r="E2538">
        <v>35.76</v>
      </c>
      <c r="F2538" t="s">
        <v>18</v>
      </c>
    </row>
    <row r="2539" spans="1:6">
      <c r="A2539" s="1">
        <v>45622</v>
      </c>
      <c r="B2539" s="2">
        <v>45622.463309791667</v>
      </c>
      <c r="C2539" t="s">
        <v>3</v>
      </c>
      <c r="D2539" t="s">
        <v>961</v>
      </c>
      <c r="E2539">
        <v>35.76</v>
      </c>
      <c r="F2539" t="s">
        <v>18</v>
      </c>
    </row>
    <row r="2540" spans="1:6">
      <c r="A2540" s="1">
        <v>45622</v>
      </c>
      <c r="B2540" s="2">
        <v>45622.66937851852</v>
      </c>
      <c r="C2540" t="s">
        <v>3</v>
      </c>
      <c r="D2540" t="s">
        <v>962</v>
      </c>
      <c r="E2540">
        <v>35.76</v>
      </c>
      <c r="F2540" t="s">
        <v>7</v>
      </c>
    </row>
    <row r="2541" spans="1:6">
      <c r="A2541" s="1">
        <v>45622</v>
      </c>
      <c r="B2541" s="2">
        <v>45622.670145312499</v>
      </c>
      <c r="C2541" t="s">
        <v>3</v>
      </c>
      <c r="D2541" t="s">
        <v>963</v>
      </c>
      <c r="E2541">
        <v>35.76</v>
      </c>
      <c r="F2541" t="s">
        <v>7</v>
      </c>
    </row>
    <row r="2542" spans="1:6">
      <c r="A2542" s="1">
        <v>45622</v>
      </c>
      <c r="B2542" s="2">
        <v>45622.716408865737</v>
      </c>
      <c r="C2542" t="s">
        <v>3</v>
      </c>
      <c r="D2542" t="s">
        <v>964</v>
      </c>
      <c r="E2542">
        <v>25.96</v>
      </c>
      <c r="F2542" t="s">
        <v>11</v>
      </c>
    </row>
    <row r="2543" spans="1:6">
      <c r="A2543" s="1">
        <v>45622</v>
      </c>
      <c r="B2543" s="2">
        <v>45622.717065243058</v>
      </c>
      <c r="C2543" t="s">
        <v>3</v>
      </c>
      <c r="D2543" t="s">
        <v>964</v>
      </c>
      <c r="E2543">
        <v>30.86</v>
      </c>
      <c r="F2543" t="s">
        <v>14</v>
      </c>
    </row>
    <row r="2544" spans="1:6">
      <c r="A2544" s="1">
        <v>45622</v>
      </c>
      <c r="B2544" s="2">
        <v>45622.82459103009</v>
      </c>
      <c r="C2544" t="s">
        <v>3</v>
      </c>
      <c r="D2544" t="s">
        <v>965</v>
      </c>
      <c r="E2544">
        <v>35.76</v>
      </c>
      <c r="F2544" t="s">
        <v>18</v>
      </c>
    </row>
    <row r="2545" spans="1:6">
      <c r="A2545" s="1">
        <v>45624</v>
      </c>
      <c r="B2545" s="2">
        <v>45624.36200144676</v>
      </c>
      <c r="C2545" t="s">
        <v>3</v>
      </c>
      <c r="D2545" t="s">
        <v>966</v>
      </c>
      <c r="E2545">
        <v>35.76</v>
      </c>
      <c r="F2545" t="s">
        <v>43</v>
      </c>
    </row>
    <row r="2546" spans="1:6">
      <c r="A2546" s="1">
        <v>45625</v>
      </c>
      <c r="B2546" s="2">
        <v>45625.63757939815</v>
      </c>
      <c r="C2546" t="s">
        <v>3</v>
      </c>
      <c r="D2546" t="s">
        <v>967</v>
      </c>
      <c r="E2546">
        <v>30.86</v>
      </c>
      <c r="F2546" t="s">
        <v>14</v>
      </c>
    </row>
    <row r="2547" spans="1:6">
      <c r="A2547" s="1">
        <v>45625</v>
      </c>
      <c r="B2547" s="2">
        <v>45625.638429953702</v>
      </c>
      <c r="C2547" t="s">
        <v>3</v>
      </c>
      <c r="D2547" t="s">
        <v>968</v>
      </c>
      <c r="E2547">
        <v>35.76</v>
      </c>
      <c r="F2547" t="s">
        <v>7</v>
      </c>
    </row>
    <row r="2548" spans="1:6">
      <c r="A2548" s="1">
        <v>45625</v>
      </c>
      <c r="B2548" s="2">
        <v>45625.873549386575</v>
      </c>
      <c r="C2548" t="s">
        <v>3</v>
      </c>
      <c r="D2548" t="s">
        <v>969</v>
      </c>
      <c r="E2548">
        <v>35.76</v>
      </c>
      <c r="F2548" t="s">
        <v>18</v>
      </c>
    </row>
    <row r="2549" spans="1:6">
      <c r="A2549" s="1">
        <v>45626</v>
      </c>
      <c r="B2549" s="2">
        <v>45626.586757106481</v>
      </c>
      <c r="C2549" t="s">
        <v>3</v>
      </c>
      <c r="D2549" t="s">
        <v>970</v>
      </c>
      <c r="E2549">
        <v>25.96</v>
      </c>
      <c r="F2549" t="s">
        <v>11</v>
      </c>
    </row>
    <row r="2550" spans="1:6">
      <c r="A2550" s="1">
        <v>45626</v>
      </c>
      <c r="B2550" s="2">
        <v>45626.587477754627</v>
      </c>
      <c r="C2550" t="s">
        <v>3</v>
      </c>
      <c r="D2550" t="s">
        <v>970</v>
      </c>
      <c r="E2550">
        <v>35.76</v>
      </c>
      <c r="F2550" t="s">
        <v>9</v>
      </c>
    </row>
    <row r="2551" spans="1:6">
      <c r="A2551" s="1">
        <v>45626</v>
      </c>
      <c r="B2551" s="2">
        <v>45626.919311157406</v>
      </c>
      <c r="C2551" t="s">
        <v>3</v>
      </c>
      <c r="D2551" t="s">
        <v>971</v>
      </c>
      <c r="E2551">
        <v>30.86</v>
      </c>
      <c r="F2551" t="s">
        <v>14</v>
      </c>
    </row>
    <row r="2552" spans="1:6">
      <c r="A2552" s="1">
        <v>45627</v>
      </c>
      <c r="B2552" s="2">
        <v>45627.60720914352</v>
      </c>
      <c r="C2552" t="s">
        <v>3</v>
      </c>
      <c r="D2552" t="s">
        <v>972</v>
      </c>
      <c r="E2552">
        <v>30.86</v>
      </c>
      <c r="F2552" t="s">
        <v>14</v>
      </c>
    </row>
    <row r="2553" spans="1:6">
      <c r="A2553" s="1">
        <v>45627</v>
      </c>
      <c r="B2553" s="2">
        <v>45627.631396446763</v>
      </c>
      <c r="C2553" t="s">
        <v>3</v>
      </c>
      <c r="D2553" t="s">
        <v>973</v>
      </c>
      <c r="E2553">
        <v>35.76</v>
      </c>
      <c r="F2553" t="s">
        <v>18</v>
      </c>
    </row>
    <row r="2554" spans="1:6">
      <c r="A2554" s="1">
        <v>45627</v>
      </c>
      <c r="B2554" s="2">
        <v>45627.631909270836</v>
      </c>
      <c r="C2554" t="s">
        <v>3</v>
      </c>
      <c r="D2554" t="s">
        <v>973</v>
      </c>
      <c r="E2554">
        <v>35.76</v>
      </c>
      <c r="F2554" t="s">
        <v>18</v>
      </c>
    </row>
    <row r="2555" spans="1:6">
      <c r="A2555" s="1">
        <v>45627</v>
      </c>
      <c r="B2555" s="2">
        <v>45627.65488765046</v>
      </c>
      <c r="C2555" t="s">
        <v>3</v>
      </c>
      <c r="D2555" t="s">
        <v>974</v>
      </c>
      <c r="E2555">
        <v>35.76</v>
      </c>
      <c r="F2555" t="s">
        <v>43</v>
      </c>
    </row>
    <row r="2556" spans="1:6">
      <c r="A2556" s="1">
        <v>45627</v>
      </c>
      <c r="B2556" s="2">
        <v>45627.664250173613</v>
      </c>
      <c r="C2556" t="s">
        <v>3</v>
      </c>
      <c r="D2556" t="s">
        <v>975</v>
      </c>
      <c r="E2556">
        <v>35.76</v>
      </c>
      <c r="F2556" t="s">
        <v>7</v>
      </c>
    </row>
    <row r="2557" spans="1:6">
      <c r="A2557" s="1">
        <v>45627</v>
      </c>
      <c r="B2557" s="2">
        <v>45627.665154699076</v>
      </c>
      <c r="C2557" t="s">
        <v>3</v>
      </c>
      <c r="D2557" t="s">
        <v>976</v>
      </c>
      <c r="E2557">
        <v>35.76</v>
      </c>
      <c r="F2557" t="s">
        <v>7</v>
      </c>
    </row>
    <row r="2558" spans="1:6">
      <c r="A2558" s="1">
        <v>45627</v>
      </c>
      <c r="B2558" s="2">
        <v>45627.68957732639</v>
      </c>
      <c r="C2558" t="s">
        <v>3</v>
      </c>
      <c r="D2558" t="s">
        <v>977</v>
      </c>
      <c r="E2558">
        <v>35.76</v>
      </c>
      <c r="F2558" t="s">
        <v>7</v>
      </c>
    </row>
    <row r="2559" spans="1:6">
      <c r="A2559" s="1">
        <v>45627</v>
      </c>
      <c r="B2559" s="2">
        <v>45627.690625543983</v>
      </c>
      <c r="C2559" t="s">
        <v>3</v>
      </c>
      <c r="D2559" t="s">
        <v>978</v>
      </c>
      <c r="E2559">
        <v>35.76</v>
      </c>
      <c r="F2559" t="s">
        <v>7</v>
      </c>
    </row>
    <row r="2560" spans="1:6">
      <c r="A2560" s="1">
        <v>45627</v>
      </c>
      <c r="B2560" s="2">
        <v>45627.71555064815</v>
      </c>
      <c r="C2560" t="s">
        <v>3</v>
      </c>
      <c r="D2560" t="s">
        <v>979</v>
      </c>
      <c r="E2560">
        <v>30.86</v>
      </c>
      <c r="F2560" t="s">
        <v>14</v>
      </c>
    </row>
    <row r="2561" spans="1:6">
      <c r="A2561" s="1">
        <v>45627</v>
      </c>
      <c r="B2561" s="2">
        <v>45627.716342812499</v>
      </c>
      <c r="C2561" t="s">
        <v>3</v>
      </c>
      <c r="D2561" t="s">
        <v>979</v>
      </c>
      <c r="E2561">
        <v>30.86</v>
      </c>
      <c r="F2561" t="s">
        <v>14</v>
      </c>
    </row>
    <row r="2562" spans="1:6">
      <c r="A2562" s="1">
        <v>45627</v>
      </c>
      <c r="B2562" s="2">
        <v>45627.776720891205</v>
      </c>
      <c r="C2562" t="s">
        <v>3</v>
      </c>
      <c r="D2562" t="s">
        <v>980</v>
      </c>
      <c r="E2562">
        <v>30.86</v>
      </c>
      <c r="F2562" t="s">
        <v>14</v>
      </c>
    </row>
    <row r="2563" spans="1:6">
      <c r="A2563" s="1">
        <v>45628</v>
      </c>
      <c r="B2563" s="2">
        <v>45628.327770520831</v>
      </c>
      <c r="C2563" t="s">
        <v>3</v>
      </c>
      <c r="D2563" t="s">
        <v>981</v>
      </c>
      <c r="E2563">
        <v>25.96</v>
      </c>
      <c r="F2563" t="s">
        <v>11</v>
      </c>
    </row>
    <row r="2564" spans="1:6">
      <c r="A2564" s="1">
        <v>45628</v>
      </c>
      <c r="B2564" s="2">
        <v>45628.370306180557</v>
      </c>
      <c r="C2564" t="s">
        <v>3</v>
      </c>
      <c r="D2564" t="s">
        <v>982</v>
      </c>
      <c r="E2564">
        <v>35.76</v>
      </c>
      <c r="F2564" t="s">
        <v>18</v>
      </c>
    </row>
    <row r="2565" spans="1:6">
      <c r="A2565" s="1">
        <v>45628</v>
      </c>
      <c r="B2565" s="2">
        <v>45628.644721597222</v>
      </c>
      <c r="C2565" t="s">
        <v>3</v>
      </c>
      <c r="D2565" t="s">
        <v>983</v>
      </c>
      <c r="E2565">
        <v>21.06</v>
      </c>
      <c r="F2565" t="s">
        <v>35</v>
      </c>
    </row>
    <row r="2566" spans="1:6">
      <c r="A2566" s="1">
        <v>45628</v>
      </c>
      <c r="B2566" s="2">
        <v>45628.675276851849</v>
      </c>
      <c r="C2566" t="s">
        <v>3</v>
      </c>
      <c r="D2566" t="s">
        <v>984</v>
      </c>
      <c r="E2566">
        <v>35.76</v>
      </c>
      <c r="F2566" t="s">
        <v>43</v>
      </c>
    </row>
    <row r="2567" spans="1:6">
      <c r="A2567" s="1">
        <v>45628</v>
      </c>
      <c r="B2567" s="2">
        <v>45628.732195543984</v>
      </c>
      <c r="C2567" t="s">
        <v>3</v>
      </c>
      <c r="D2567" t="s">
        <v>985</v>
      </c>
      <c r="E2567">
        <v>25.96</v>
      </c>
      <c r="F2567" t="s">
        <v>11</v>
      </c>
    </row>
    <row r="2568" spans="1:6">
      <c r="A2568" s="1">
        <v>45628</v>
      </c>
      <c r="B2568" s="2">
        <v>45628.750373842595</v>
      </c>
      <c r="C2568" t="s">
        <v>3</v>
      </c>
      <c r="D2568" t="s">
        <v>986</v>
      </c>
      <c r="E2568">
        <v>35.76</v>
      </c>
      <c r="F2568" t="s">
        <v>43</v>
      </c>
    </row>
    <row r="2569" spans="1:6">
      <c r="A2569" s="1">
        <v>45629</v>
      </c>
      <c r="B2569" s="2">
        <v>45629.470815000001</v>
      </c>
      <c r="C2569" t="s">
        <v>3</v>
      </c>
      <c r="D2569" t="s">
        <v>987</v>
      </c>
      <c r="E2569">
        <v>25.96</v>
      </c>
      <c r="F2569" t="s">
        <v>11</v>
      </c>
    </row>
    <row r="2570" spans="1:6">
      <c r="A2570" s="1">
        <v>45629</v>
      </c>
      <c r="B2570" s="2">
        <v>45629.487587731484</v>
      </c>
      <c r="C2570" t="s">
        <v>3</v>
      </c>
      <c r="D2570" t="s">
        <v>988</v>
      </c>
      <c r="E2570">
        <v>30.86</v>
      </c>
      <c r="F2570" t="s">
        <v>14</v>
      </c>
    </row>
    <row r="2571" spans="1:6">
      <c r="A2571" s="1">
        <v>45629</v>
      </c>
      <c r="B2571" s="2">
        <v>45629.868700833336</v>
      </c>
      <c r="C2571" t="s">
        <v>3</v>
      </c>
      <c r="D2571" t="s">
        <v>989</v>
      </c>
      <c r="E2571">
        <v>35.76</v>
      </c>
      <c r="F2571" t="s">
        <v>18</v>
      </c>
    </row>
    <row r="2572" spans="1:6">
      <c r="A2572" s="1">
        <v>45629</v>
      </c>
      <c r="B2572" s="2">
        <v>45629.930020520835</v>
      </c>
      <c r="C2572" t="s">
        <v>3</v>
      </c>
      <c r="D2572" t="s">
        <v>990</v>
      </c>
      <c r="E2572">
        <v>30.86</v>
      </c>
      <c r="F2572" t="s">
        <v>14</v>
      </c>
    </row>
    <row r="2573" spans="1:6">
      <c r="A2573" s="1">
        <v>45634</v>
      </c>
      <c r="B2573" s="2">
        <v>45634.903744479168</v>
      </c>
      <c r="C2573" t="s">
        <v>3</v>
      </c>
      <c r="D2573" t="s">
        <v>990</v>
      </c>
      <c r="E2573">
        <v>30.86</v>
      </c>
      <c r="F2573" t="s">
        <v>14</v>
      </c>
    </row>
    <row r="2574" spans="1:6">
      <c r="A2574" s="1">
        <v>45630</v>
      </c>
      <c r="B2574" s="2">
        <v>45630.368405833331</v>
      </c>
      <c r="C2574" t="s">
        <v>3</v>
      </c>
      <c r="D2574" t="s">
        <v>991</v>
      </c>
      <c r="E2574">
        <v>35.76</v>
      </c>
      <c r="F2574" t="s">
        <v>7</v>
      </c>
    </row>
    <row r="2575" spans="1:6">
      <c r="A2575" s="1">
        <v>45630</v>
      </c>
      <c r="B2575" s="2">
        <v>45630.36961814815</v>
      </c>
      <c r="C2575" t="s">
        <v>3</v>
      </c>
      <c r="D2575" t="s">
        <v>992</v>
      </c>
      <c r="E2575">
        <v>35.76</v>
      </c>
      <c r="F2575" t="s">
        <v>7</v>
      </c>
    </row>
    <row r="2576" spans="1:6">
      <c r="A2576" s="1">
        <v>45630</v>
      </c>
      <c r="B2576" s="2">
        <v>45630.377941493054</v>
      </c>
      <c r="C2576" t="s">
        <v>3</v>
      </c>
      <c r="D2576" t="s">
        <v>993</v>
      </c>
      <c r="E2576">
        <v>25.96</v>
      </c>
      <c r="F2576" t="s">
        <v>11</v>
      </c>
    </row>
    <row r="2577" spans="1:6">
      <c r="A2577" s="1">
        <v>45630</v>
      </c>
      <c r="B2577" s="2">
        <v>45630.435390636572</v>
      </c>
      <c r="C2577" t="s">
        <v>3</v>
      </c>
      <c r="D2577" t="s">
        <v>994</v>
      </c>
      <c r="E2577">
        <v>30.86</v>
      </c>
      <c r="F2577" t="s">
        <v>14</v>
      </c>
    </row>
    <row r="2578" spans="1:6">
      <c r="A2578" s="1">
        <v>45630</v>
      </c>
      <c r="B2578" s="2">
        <v>45630.490251423609</v>
      </c>
      <c r="C2578" t="s">
        <v>3</v>
      </c>
      <c r="D2578" t="s">
        <v>995</v>
      </c>
      <c r="E2578">
        <v>30.86</v>
      </c>
      <c r="F2578" t="s">
        <v>14</v>
      </c>
    </row>
    <row r="2579" spans="1:6">
      <c r="A2579" s="1">
        <v>45630</v>
      </c>
      <c r="B2579" s="2">
        <v>45630.606883182867</v>
      </c>
      <c r="C2579" t="s">
        <v>3</v>
      </c>
      <c r="D2579" t="s">
        <v>996</v>
      </c>
      <c r="E2579">
        <v>35.76</v>
      </c>
      <c r="F2579" t="s">
        <v>9</v>
      </c>
    </row>
    <row r="2580" spans="1:6">
      <c r="A2580" s="1">
        <v>45631</v>
      </c>
      <c r="B2580" s="2">
        <v>45631.3706977662</v>
      </c>
      <c r="C2580" t="s">
        <v>3</v>
      </c>
      <c r="D2580" t="s">
        <v>997</v>
      </c>
      <c r="E2580">
        <v>25.96</v>
      </c>
      <c r="F2580" t="s">
        <v>11</v>
      </c>
    </row>
    <row r="2581" spans="1:6">
      <c r="A2581" s="1">
        <v>45631</v>
      </c>
      <c r="B2581" s="2">
        <v>45631.493571261577</v>
      </c>
      <c r="C2581" t="s">
        <v>3</v>
      </c>
      <c r="D2581" t="s">
        <v>998</v>
      </c>
      <c r="E2581">
        <v>25.96</v>
      </c>
      <c r="F2581" t="s">
        <v>11</v>
      </c>
    </row>
    <row r="2582" spans="1:6">
      <c r="A2582" s="1">
        <v>45631</v>
      </c>
      <c r="B2582" s="2">
        <v>45631.604841921297</v>
      </c>
      <c r="C2582" t="s">
        <v>3</v>
      </c>
      <c r="D2582" t="s">
        <v>999</v>
      </c>
      <c r="E2582">
        <v>35.76</v>
      </c>
      <c r="F2582" t="s">
        <v>43</v>
      </c>
    </row>
    <row r="2583" spans="1:6">
      <c r="A2583" s="1">
        <v>45633</v>
      </c>
      <c r="B2583" s="2">
        <v>45633.470256284723</v>
      </c>
      <c r="C2583" t="s">
        <v>3</v>
      </c>
      <c r="D2583" t="s">
        <v>1000</v>
      </c>
      <c r="E2583">
        <v>30.86</v>
      </c>
      <c r="F2583" t="s">
        <v>14</v>
      </c>
    </row>
    <row r="2584" spans="1:6">
      <c r="A2584" s="1">
        <v>45633</v>
      </c>
      <c r="B2584" s="2">
        <v>45633.594940891206</v>
      </c>
      <c r="C2584" t="s">
        <v>3</v>
      </c>
      <c r="D2584" t="s">
        <v>1001</v>
      </c>
      <c r="E2584">
        <v>25.96</v>
      </c>
      <c r="F2584" t="s">
        <v>11</v>
      </c>
    </row>
    <row r="2585" spans="1:6">
      <c r="A2585" s="1">
        <v>45633</v>
      </c>
      <c r="B2585" s="2">
        <v>45633.916782337961</v>
      </c>
      <c r="C2585" t="s">
        <v>3</v>
      </c>
      <c r="D2585" t="s">
        <v>1002</v>
      </c>
      <c r="E2585">
        <v>30.86</v>
      </c>
      <c r="F2585" t="s">
        <v>14</v>
      </c>
    </row>
    <row r="2586" spans="1:6">
      <c r="A2586" s="1">
        <v>45633</v>
      </c>
      <c r="B2586" s="2">
        <v>45633.936308888886</v>
      </c>
      <c r="C2586" t="s">
        <v>3</v>
      </c>
      <c r="D2586" t="s">
        <v>1003</v>
      </c>
      <c r="E2586">
        <v>25.96</v>
      </c>
      <c r="F2586" t="s">
        <v>11</v>
      </c>
    </row>
    <row r="2587" spans="1:6">
      <c r="A2587" s="1">
        <v>45634</v>
      </c>
      <c r="B2587" s="2">
        <v>45634.535889756946</v>
      </c>
      <c r="C2587" t="s">
        <v>3</v>
      </c>
      <c r="D2587" t="s">
        <v>1004</v>
      </c>
      <c r="E2587">
        <v>25.96</v>
      </c>
      <c r="F2587" t="s">
        <v>28</v>
      </c>
    </row>
    <row r="2588" spans="1:6">
      <c r="A2588" s="1">
        <v>45634</v>
      </c>
      <c r="B2588" s="2">
        <v>45634.543474560189</v>
      </c>
      <c r="C2588" t="s">
        <v>3</v>
      </c>
      <c r="D2588" t="s">
        <v>1005</v>
      </c>
      <c r="E2588">
        <v>30.86</v>
      </c>
      <c r="F2588" t="s">
        <v>14</v>
      </c>
    </row>
    <row r="2589" spans="1:6">
      <c r="A2589" s="1">
        <v>45634</v>
      </c>
      <c r="B2589" s="2">
        <v>45634.544198148149</v>
      </c>
      <c r="C2589" t="s">
        <v>3</v>
      </c>
      <c r="D2589" t="s">
        <v>1005</v>
      </c>
      <c r="E2589">
        <v>30.86</v>
      </c>
      <c r="F2589" t="s">
        <v>14</v>
      </c>
    </row>
    <row r="2590" spans="1:6">
      <c r="A2590" s="1">
        <v>45634</v>
      </c>
      <c r="B2590" s="2">
        <v>45634.779036493055</v>
      </c>
      <c r="C2590" t="s">
        <v>3</v>
      </c>
      <c r="D2590" t="s">
        <v>1006</v>
      </c>
      <c r="E2590">
        <v>21.06</v>
      </c>
      <c r="F2590" t="s">
        <v>35</v>
      </c>
    </row>
    <row r="2591" spans="1:6">
      <c r="A2591" s="1">
        <v>45634</v>
      </c>
      <c r="B2591" s="2">
        <v>45634.894792581021</v>
      </c>
      <c r="C2591" t="s">
        <v>3</v>
      </c>
      <c r="D2591" t="s">
        <v>1007</v>
      </c>
      <c r="E2591">
        <v>30.86</v>
      </c>
      <c r="F2591" t="s">
        <v>14</v>
      </c>
    </row>
    <row r="2592" spans="1:6">
      <c r="A2592" s="1">
        <v>45635</v>
      </c>
      <c r="B2592" s="2">
        <v>45635.356027893518</v>
      </c>
      <c r="C2592" t="s">
        <v>3</v>
      </c>
      <c r="D2592" t="s">
        <v>1008</v>
      </c>
      <c r="E2592">
        <v>35.76</v>
      </c>
      <c r="F2592" t="s">
        <v>43</v>
      </c>
    </row>
    <row r="2593" spans="1:6">
      <c r="A2593" s="1">
        <v>45635</v>
      </c>
      <c r="B2593" s="2">
        <v>45635.383624675924</v>
      </c>
      <c r="C2593" t="s">
        <v>3</v>
      </c>
      <c r="D2593" t="s">
        <v>1009</v>
      </c>
      <c r="E2593">
        <v>25.96</v>
      </c>
      <c r="F2593" t="s">
        <v>11</v>
      </c>
    </row>
    <row r="2594" spans="1:6">
      <c r="A2594" s="1">
        <v>45635</v>
      </c>
      <c r="B2594" s="2">
        <v>45635.890176724541</v>
      </c>
      <c r="C2594" t="s">
        <v>3</v>
      </c>
      <c r="D2594" t="s">
        <v>1010</v>
      </c>
      <c r="E2594">
        <v>35.76</v>
      </c>
      <c r="F2594" t="s">
        <v>18</v>
      </c>
    </row>
    <row r="2595" spans="1:6">
      <c r="A2595" s="1">
        <v>45637</v>
      </c>
      <c r="B2595" s="2">
        <v>45637.509100381947</v>
      </c>
      <c r="C2595" t="s">
        <v>3</v>
      </c>
      <c r="D2595" t="s">
        <v>1011</v>
      </c>
      <c r="E2595">
        <v>35.76</v>
      </c>
      <c r="F2595" t="s">
        <v>9</v>
      </c>
    </row>
    <row r="2596" spans="1:6">
      <c r="A2596" s="1">
        <v>45637</v>
      </c>
      <c r="B2596" s="2">
        <v>45637.539441724541</v>
      </c>
      <c r="C2596" t="s">
        <v>3</v>
      </c>
      <c r="D2596" t="s">
        <v>1012</v>
      </c>
      <c r="E2596">
        <v>21.06</v>
      </c>
      <c r="F2596" t="s">
        <v>35</v>
      </c>
    </row>
    <row r="2597" spans="1:6">
      <c r="A2597" s="1">
        <v>45637</v>
      </c>
      <c r="B2597" s="2">
        <v>45637.749600173614</v>
      </c>
      <c r="C2597" t="s">
        <v>3</v>
      </c>
      <c r="D2597" t="s">
        <v>1013</v>
      </c>
      <c r="E2597">
        <v>35.76</v>
      </c>
      <c r="F2597" t="s">
        <v>18</v>
      </c>
    </row>
    <row r="2598" spans="1:6">
      <c r="A2598" s="1">
        <v>45637</v>
      </c>
      <c r="B2598" s="2">
        <v>45637.887698981482</v>
      </c>
      <c r="C2598" t="s">
        <v>3</v>
      </c>
      <c r="D2598" t="s">
        <v>1014</v>
      </c>
      <c r="E2598">
        <v>35.76</v>
      </c>
      <c r="F2598" t="s">
        <v>7</v>
      </c>
    </row>
    <row r="2599" spans="1:6">
      <c r="A2599" s="1">
        <v>45661</v>
      </c>
      <c r="B2599" s="2">
        <v>45661.932994444447</v>
      </c>
      <c r="C2599" t="s">
        <v>3</v>
      </c>
      <c r="D2599" t="s">
        <v>1014</v>
      </c>
      <c r="E2599">
        <v>35.76</v>
      </c>
      <c r="F2599" t="s">
        <v>7</v>
      </c>
    </row>
    <row r="2600" spans="1:6">
      <c r="A2600" s="1">
        <v>45638</v>
      </c>
      <c r="B2600" s="2">
        <v>45638.332305393516</v>
      </c>
      <c r="C2600" t="s">
        <v>3</v>
      </c>
      <c r="D2600" t="s">
        <v>1015</v>
      </c>
      <c r="E2600">
        <v>30.86</v>
      </c>
      <c r="F2600" t="s">
        <v>14</v>
      </c>
    </row>
    <row r="2601" spans="1:6">
      <c r="A2601" s="1">
        <v>45638</v>
      </c>
      <c r="B2601" s="2">
        <v>45638.53430175926</v>
      </c>
      <c r="C2601" t="s">
        <v>3</v>
      </c>
      <c r="D2601" t="s">
        <v>1016</v>
      </c>
      <c r="E2601">
        <v>25.96</v>
      </c>
      <c r="F2601" t="s">
        <v>11</v>
      </c>
    </row>
    <row r="2602" spans="1:6">
      <c r="A2602" s="1">
        <v>45638</v>
      </c>
      <c r="B2602" s="2">
        <v>45638.704885509258</v>
      </c>
      <c r="C2602" t="s">
        <v>3</v>
      </c>
      <c r="D2602" t="s">
        <v>1017</v>
      </c>
      <c r="E2602">
        <v>21.06</v>
      </c>
      <c r="F2602" t="s">
        <v>35</v>
      </c>
    </row>
    <row r="2603" spans="1:6">
      <c r="A2603" s="1">
        <v>45638</v>
      </c>
      <c r="B2603" s="2">
        <v>45638.705429733796</v>
      </c>
      <c r="C2603" t="s">
        <v>3</v>
      </c>
      <c r="D2603" t="s">
        <v>1017</v>
      </c>
      <c r="E2603">
        <v>21.06</v>
      </c>
      <c r="F2603" t="s">
        <v>35</v>
      </c>
    </row>
    <row r="2604" spans="1:6">
      <c r="A2604" s="1">
        <v>45638</v>
      </c>
      <c r="B2604" s="2">
        <v>45638.706262916668</v>
      </c>
      <c r="C2604" t="s">
        <v>3</v>
      </c>
      <c r="D2604" t="s">
        <v>1017</v>
      </c>
      <c r="E2604">
        <v>25.96</v>
      </c>
      <c r="F2604" t="s">
        <v>11</v>
      </c>
    </row>
    <row r="2605" spans="1:6">
      <c r="A2605" s="1">
        <v>45639</v>
      </c>
      <c r="B2605" s="2">
        <v>45639.536870046293</v>
      </c>
      <c r="C2605" t="s">
        <v>3</v>
      </c>
      <c r="D2605" t="s">
        <v>1017</v>
      </c>
      <c r="E2605">
        <v>25.96</v>
      </c>
      <c r="F2605" t="s">
        <v>11</v>
      </c>
    </row>
    <row r="2606" spans="1:6">
      <c r="A2606" s="1">
        <v>45639</v>
      </c>
      <c r="B2606" s="2">
        <v>45639.537964884257</v>
      </c>
      <c r="C2606" t="s">
        <v>3</v>
      </c>
      <c r="D2606" t="s">
        <v>1017</v>
      </c>
      <c r="E2606">
        <v>35.76</v>
      </c>
      <c r="F2606" t="s">
        <v>9</v>
      </c>
    </row>
    <row r="2607" spans="1:6">
      <c r="A2607" s="1">
        <v>45640</v>
      </c>
      <c r="B2607" s="2">
        <v>45640.708517349536</v>
      </c>
      <c r="C2607" t="s">
        <v>3</v>
      </c>
      <c r="D2607" t="s">
        <v>1017</v>
      </c>
      <c r="E2607">
        <v>25.96</v>
      </c>
      <c r="F2607" t="s">
        <v>11</v>
      </c>
    </row>
    <row r="2608" spans="1:6">
      <c r="A2608" s="1">
        <v>45640</v>
      </c>
      <c r="B2608" s="2">
        <v>45640.709365567127</v>
      </c>
      <c r="C2608" t="s">
        <v>3</v>
      </c>
      <c r="D2608" t="s">
        <v>1017</v>
      </c>
      <c r="E2608">
        <v>25.96</v>
      </c>
      <c r="F2608" t="s">
        <v>11</v>
      </c>
    </row>
    <row r="2609" spans="1:6">
      <c r="A2609" s="1">
        <v>45656</v>
      </c>
      <c r="B2609" s="2">
        <v>45656.687429201389</v>
      </c>
      <c r="C2609" t="s">
        <v>3</v>
      </c>
      <c r="D2609" t="s">
        <v>1017</v>
      </c>
      <c r="E2609">
        <v>30.86</v>
      </c>
      <c r="F2609" t="s">
        <v>14</v>
      </c>
    </row>
    <row r="2610" spans="1:6">
      <c r="A2610" s="1">
        <v>45639</v>
      </c>
      <c r="B2610" s="2">
        <v>45639.519044594905</v>
      </c>
      <c r="C2610" t="s">
        <v>3</v>
      </c>
      <c r="D2610" t="s">
        <v>1018</v>
      </c>
      <c r="E2610">
        <v>25.96</v>
      </c>
      <c r="F2610" t="s">
        <v>11</v>
      </c>
    </row>
    <row r="2611" spans="1:6">
      <c r="A2611" s="1">
        <v>45639</v>
      </c>
      <c r="B2611" s="2">
        <v>45639.584699803243</v>
      </c>
      <c r="C2611" t="s">
        <v>3</v>
      </c>
      <c r="D2611" t="s">
        <v>1019</v>
      </c>
      <c r="E2611">
        <v>35.76</v>
      </c>
      <c r="F2611" t="s">
        <v>9</v>
      </c>
    </row>
    <row r="2612" spans="1:6">
      <c r="A2612" s="1">
        <v>45640</v>
      </c>
      <c r="B2612" s="2">
        <v>45640.352454328706</v>
      </c>
      <c r="C2612" t="s">
        <v>3</v>
      </c>
      <c r="D2612" t="s">
        <v>1020</v>
      </c>
      <c r="E2612">
        <v>30.86</v>
      </c>
      <c r="F2612" t="s">
        <v>14</v>
      </c>
    </row>
    <row r="2613" spans="1:6">
      <c r="A2613" s="1">
        <v>45640</v>
      </c>
      <c r="B2613" s="2">
        <v>45640.377147824074</v>
      </c>
      <c r="C2613" t="s">
        <v>3</v>
      </c>
      <c r="D2613" t="s">
        <v>1021</v>
      </c>
      <c r="E2613">
        <v>35.76</v>
      </c>
      <c r="F2613" t="s">
        <v>18</v>
      </c>
    </row>
    <row r="2614" spans="1:6">
      <c r="A2614" s="1">
        <v>45640</v>
      </c>
      <c r="B2614" s="2">
        <v>45640.554942511575</v>
      </c>
      <c r="C2614" t="s">
        <v>3</v>
      </c>
      <c r="D2614" t="s">
        <v>1022</v>
      </c>
      <c r="E2614">
        <v>25.96</v>
      </c>
      <c r="F2614" t="s">
        <v>11</v>
      </c>
    </row>
    <row r="2615" spans="1:6">
      <c r="A2615" s="1">
        <v>45640</v>
      </c>
      <c r="B2615" s="2">
        <v>45640.555655127311</v>
      </c>
      <c r="C2615" t="s">
        <v>3</v>
      </c>
      <c r="D2615" t="s">
        <v>1022</v>
      </c>
      <c r="E2615">
        <v>35.76</v>
      </c>
      <c r="F2615" t="s">
        <v>7</v>
      </c>
    </row>
    <row r="2616" spans="1:6">
      <c r="A2616" s="1">
        <v>45640</v>
      </c>
      <c r="B2616" s="2">
        <v>45640.766483287036</v>
      </c>
      <c r="C2616" t="s">
        <v>3</v>
      </c>
      <c r="D2616" t="s">
        <v>1023</v>
      </c>
      <c r="E2616">
        <v>30.86</v>
      </c>
      <c r="F2616" t="s">
        <v>14</v>
      </c>
    </row>
    <row r="2617" spans="1:6">
      <c r="A2617" s="1">
        <v>45642</v>
      </c>
      <c r="B2617" s="2">
        <v>45642.335776608794</v>
      </c>
      <c r="C2617" t="s">
        <v>3</v>
      </c>
      <c r="D2617" t="s">
        <v>1024</v>
      </c>
      <c r="E2617">
        <v>35.76</v>
      </c>
      <c r="F2617" t="s">
        <v>9</v>
      </c>
    </row>
    <row r="2618" spans="1:6">
      <c r="A2618" s="1">
        <v>45678</v>
      </c>
      <c r="B2618" s="2">
        <v>45678.336854965281</v>
      </c>
      <c r="C2618" t="s">
        <v>3</v>
      </c>
      <c r="D2618" t="s">
        <v>1024</v>
      </c>
      <c r="E2618">
        <v>35.76</v>
      </c>
      <c r="F2618" t="s">
        <v>18</v>
      </c>
    </row>
    <row r="2619" spans="1:6">
      <c r="A2619" s="1">
        <v>45642</v>
      </c>
      <c r="B2619" s="2">
        <v>45642.513288553244</v>
      </c>
      <c r="C2619" t="s">
        <v>3</v>
      </c>
      <c r="D2619" t="s">
        <v>1025</v>
      </c>
      <c r="E2619">
        <v>30.86</v>
      </c>
      <c r="F2619" t="s">
        <v>14</v>
      </c>
    </row>
    <row r="2620" spans="1:6">
      <c r="A2620" s="1">
        <v>45643</v>
      </c>
      <c r="B2620" s="2">
        <v>45643.366876828703</v>
      </c>
      <c r="C2620" t="s">
        <v>3</v>
      </c>
      <c r="D2620" t="s">
        <v>1026</v>
      </c>
      <c r="E2620">
        <v>25.96</v>
      </c>
      <c r="F2620" t="s">
        <v>28</v>
      </c>
    </row>
    <row r="2621" spans="1:6">
      <c r="A2621" s="1">
        <v>45643</v>
      </c>
      <c r="B2621" s="2">
        <v>45643.369822118053</v>
      </c>
      <c r="C2621" t="s">
        <v>3</v>
      </c>
      <c r="D2621" t="s">
        <v>1027</v>
      </c>
      <c r="E2621">
        <v>35.76</v>
      </c>
      <c r="F2621" t="s">
        <v>43</v>
      </c>
    </row>
    <row r="2622" spans="1:6">
      <c r="A2622" s="1">
        <v>45643</v>
      </c>
      <c r="B2622" s="2">
        <v>45643.682350219904</v>
      </c>
      <c r="C2622" t="s">
        <v>3</v>
      </c>
      <c r="D2622" t="s">
        <v>1028</v>
      </c>
      <c r="E2622">
        <v>25.96</v>
      </c>
      <c r="F2622" t="s">
        <v>11</v>
      </c>
    </row>
    <row r="2623" spans="1:6">
      <c r="A2623" s="1">
        <v>45643</v>
      </c>
      <c r="B2623" s="2">
        <v>45643.683062557873</v>
      </c>
      <c r="C2623" t="s">
        <v>3</v>
      </c>
      <c r="D2623" t="s">
        <v>1028</v>
      </c>
      <c r="E2623">
        <v>35.76</v>
      </c>
      <c r="F2623" t="s">
        <v>18</v>
      </c>
    </row>
    <row r="2624" spans="1:6">
      <c r="A2624" s="1">
        <v>45644</v>
      </c>
      <c r="B2624" s="2">
        <v>45644.396160706019</v>
      </c>
      <c r="C2624" t="s">
        <v>3</v>
      </c>
      <c r="D2624" t="s">
        <v>1029</v>
      </c>
      <c r="E2624">
        <v>35.76</v>
      </c>
      <c r="F2624" t="s">
        <v>7</v>
      </c>
    </row>
    <row r="2625" spans="1:6">
      <c r="A2625" s="1">
        <v>45644</v>
      </c>
      <c r="B2625" s="2">
        <v>45644.417609849537</v>
      </c>
      <c r="C2625" t="s">
        <v>3</v>
      </c>
      <c r="D2625" t="s">
        <v>1030</v>
      </c>
      <c r="E2625">
        <v>30.86</v>
      </c>
      <c r="F2625" t="s">
        <v>14</v>
      </c>
    </row>
    <row r="2626" spans="1:6">
      <c r="A2626" s="1">
        <v>45644</v>
      </c>
      <c r="B2626" s="2">
        <v>45644.418773935184</v>
      </c>
      <c r="C2626" t="s">
        <v>3</v>
      </c>
      <c r="D2626" t="s">
        <v>1030</v>
      </c>
      <c r="E2626">
        <v>35.76</v>
      </c>
      <c r="F2626" t="s">
        <v>7</v>
      </c>
    </row>
    <row r="2627" spans="1:6">
      <c r="A2627" s="1">
        <v>45644</v>
      </c>
      <c r="B2627" s="2">
        <v>45644.419483564816</v>
      </c>
      <c r="C2627" t="s">
        <v>3</v>
      </c>
      <c r="D2627" t="s">
        <v>1030</v>
      </c>
      <c r="E2627">
        <v>35.76</v>
      </c>
      <c r="F2627" t="s">
        <v>43</v>
      </c>
    </row>
    <row r="2628" spans="1:6">
      <c r="A2628" s="1">
        <v>45645</v>
      </c>
      <c r="B2628" s="2">
        <v>45645.425129456016</v>
      </c>
      <c r="C2628" t="s">
        <v>3</v>
      </c>
      <c r="D2628" t="s">
        <v>1031</v>
      </c>
      <c r="E2628">
        <v>35.76</v>
      </c>
      <c r="F2628" t="s">
        <v>9</v>
      </c>
    </row>
    <row r="2629" spans="1:6">
      <c r="A2629" s="1">
        <v>45645</v>
      </c>
      <c r="B2629" s="2">
        <v>45645.507550104165</v>
      </c>
      <c r="C2629" t="s">
        <v>3</v>
      </c>
      <c r="D2629" t="s">
        <v>1032</v>
      </c>
      <c r="E2629">
        <v>21.06</v>
      </c>
      <c r="F2629" t="s">
        <v>35</v>
      </c>
    </row>
    <row r="2630" spans="1:6">
      <c r="A2630" s="1">
        <v>45645</v>
      </c>
      <c r="B2630" s="2">
        <v>45645.568712812499</v>
      </c>
      <c r="C2630" t="s">
        <v>3</v>
      </c>
      <c r="D2630" t="s">
        <v>1033</v>
      </c>
      <c r="E2630">
        <v>35.76</v>
      </c>
      <c r="F2630" t="s">
        <v>9</v>
      </c>
    </row>
    <row r="2631" spans="1:6">
      <c r="A2631" s="1">
        <v>45645</v>
      </c>
      <c r="B2631" s="2">
        <v>45645.825208587965</v>
      </c>
      <c r="C2631" t="s">
        <v>3</v>
      </c>
      <c r="D2631" t="s">
        <v>1034</v>
      </c>
      <c r="E2631">
        <v>30.86</v>
      </c>
      <c r="F2631" t="s">
        <v>14</v>
      </c>
    </row>
    <row r="2632" spans="1:6">
      <c r="A2632" s="1">
        <v>45645</v>
      </c>
      <c r="B2632" s="2">
        <v>45645.826187199076</v>
      </c>
      <c r="C2632" t="s">
        <v>3</v>
      </c>
      <c r="D2632" t="s">
        <v>1034</v>
      </c>
      <c r="E2632">
        <v>35.76</v>
      </c>
      <c r="F2632" t="s">
        <v>9</v>
      </c>
    </row>
    <row r="2633" spans="1:6">
      <c r="A2633" s="1">
        <v>45647</v>
      </c>
      <c r="B2633" s="2">
        <v>45647.741294583335</v>
      </c>
      <c r="C2633" t="s">
        <v>3</v>
      </c>
      <c r="D2633" t="s">
        <v>1034</v>
      </c>
      <c r="E2633">
        <v>35.76</v>
      </c>
      <c r="F2633" t="s">
        <v>18</v>
      </c>
    </row>
    <row r="2634" spans="1:6">
      <c r="A2634" s="1">
        <v>45645</v>
      </c>
      <c r="B2634" s="2">
        <v>45645.880692256942</v>
      </c>
      <c r="C2634" t="s">
        <v>3</v>
      </c>
      <c r="D2634" t="s">
        <v>1035</v>
      </c>
      <c r="E2634">
        <v>35.76</v>
      </c>
      <c r="F2634" t="s">
        <v>7</v>
      </c>
    </row>
    <row r="2635" spans="1:6">
      <c r="A2635" s="1">
        <v>45645</v>
      </c>
      <c r="B2635" s="2">
        <v>45645.881431932874</v>
      </c>
      <c r="C2635" t="s">
        <v>3</v>
      </c>
      <c r="D2635" t="s">
        <v>1035</v>
      </c>
      <c r="E2635">
        <v>35.76</v>
      </c>
      <c r="F2635" t="s">
        <v>43</v>
      </c>
    </row>
    <row r="2636" spans="1:6">
      <c r="A2636" s="1">
        <v>45646</v>
      </c>
      <c r="B2636" s="2">
        <v>45646.425495729163</v>
      </c>
      <c r="C2636" t="s">
        <v>3</v>
      </c>
      <c r="D2636" t="s">
        <v>1036</v>
      </c>
      <c r="E2636">
        <v>35.76</v>
      </c>
      <c r="F2636" t="s">
        <v>43</v>
      </c>
    </row>
    <row r="2637" spans="1:6">
      <c r="A2637" s="1">
        <v>45646</v>
      </c>
      <c r="B2637" s="2">
        <v>45646.623846631941</v>
      </c>
      <c r="C2637" t="s">
        <v>3</v>
      </c>
      <c r="D2637" t="s">
        <v>1037</v>
      </c>
      <c r="E2637">
        <v>25.96</v>
      </c>
      <c r="F2637" t="s">
        <v>28</v>
      </c>
    </row>
    <row r="2638" spans="1:6">
      <c r="A2638" s="1">
        <v>45646</v>
      </c>
      <c r="B2638" s="2">
        <v>45646.769700821758</v>
      </c>
      <c r="C2638" t="s">
        <v>3</v>
      </c>
      <c r="D2638" t="s">
        <v>1038</v>
      </c>
      <c r="E2638">
        <v>35.76</v>
      </c>
      <c r="F2638" t="s">
        <v>43</v>
      </c>
    </row>
    <row r="2639" spans="1:6">
      <c r="A2639" s="1">
        <v>45647</v>
      </c>
      <c r="B2639" s="2">
        <v>45647.430137442127</v>
      </c>
      <c r="C2639" t="s">
        <v>3</v>
      </c>
      <c r="D2639" t="s">
        <v>1039</v>
      </c>
      <c r="E2639">
        <v>35.76</v>
      </c>
      <c r="F2639" t="s">
        <v>43</v>
      </c>
    </row>
    <row r="2640" spans="1:6">
      <c r="A2640" s="1">
        <v>45647</v>
      </c>
      <c r="B2640" s="2">
        <v>45647.431031319444</v>
      </c>
      <c r="C2640" t="s">
        <v>3</v>
      </c>
      <c r="D2640" t="s">
        <v>1039</v>
      </c>
      <c r="E2640">
        <v>35.76</v>
      </c>
      <c r="F2640" t="s">
        <v>7</v>
      </c>
    </row>
    <row r="2641" spans="1:6">
      <c r="A2641" s="1">
        <v>45647</v>
      </c>
      <c r="B2641" s="2">
        <v>45647.438921250003</v>
      </c>
      <c r="C2641" t="s">
        <v>3</v>
      </c>
      <c r="D2641" t="s">
        <v>1040</v>
      </c>
      <c r="E2641">
        <v>25.96</v>
      </c>
      <c r="F2641" t="s">
        <v>11</v>
      </c>
    </row>
    <row r="2642" spans="1:6">
      <c r="A2642" s="1">
        <v>45647</v>
      </c>
      <c r="B2642" s="2">
        <v>45647.665359050923</v>
      </c>
      <c r="C2642" t="s">
        <v>3</v>
      </c>
      <c r="D2642" t="s">
        <v>1041</v>
      </c>
      <c r="E2642">
        <v>35.76</v>
      </c>
      <c r="F2642" t="s">
        <v>7</v>
      </c>
    </row>
    <row r="2643" spans="1:6">
      <c r="A2643" s="1">
        <v>45647</v>
      </c>
      <c r="B2643" s="2">
        <v>45647.751815613425</v>
      </c>
      <c r="C2643" t="s">
        <v>3</v>
      </c>
      <c r="D2643" t="s">
        <v>1042</v>
      </c>
      <c r="E2643">
        <v>35.76</v>
      </c>
      <c r="F2643" t="s">
        <v>9</v>
      </c>
    </row>
    <row r="2644" spans="1:6">
      <c r="A2644" s="1">
        <v>45647</v>
      </c>
      <c r="B2644" s="2">
        <v>45647.755754270831</v>
      </c>
      <c r="C2644" t="s">
        <v>3</v>
      </c>
      <c r="D2644" t="s">
        <v>1043</v>
      </c>
      <c r="E2644">
        <v>25.96</v>
      </c>
      <c r="F2644" t="s">
        <v>28</v>
      </c>
    </row>
    <row r="2645" spans="1:6">
      <c r="A2645" s="1">
        <v>45647</v>
      </c>
      <c r="B2645" s="2">
        <v>45647.909575381942</v>
      </c>
      <c r="C2645" t="s">
        <v>3</v>
      </c>
      <c r="D2645" t="s">
        <v>1043</v>
      </c>
      <c r="E2645">
        <v>25.96</v>
      </c>
      <c r="F2645" t="s">
        <v>28</v>
      </c>
    </row>
    <row r="2646" spans="1:6">
      <c r="A2646" s="1">
        <v>45647</v>
      </c>
      <c r="B2646" s="2">
        <v>45647.927941423608</v>
      </c>
      <c r="C2646" t="s">
        <v>3</v>
      </c>
      <c r="D2646" t="s">
        <v>1043</v>
      </c>
      <c r="E2646">
        <v>25.96</v>
      </c>
      <c r="F2646" t="s">
        <v>28</v>
      </c>
    </row>
    <row r="2647" spans="1:6">
      <c r="A2647" s="1">
        <v>45649</v>
      </c>
      <c r="B2647" s="2">
        <v>45649.377326678237</v>
      </c>
      <c r="C2647" t="s">
        <v>3</v>
      </c>
      <c r="D2647" t="s">
        <v>1043</v>
      </c>
      <c r="E2647">
        <v>25.96</v>
      </c>
      <c r="F2647" t="s">
        <v>28</v>
      </c>
    </row>
    <row r="2648" spans="1:6">
      <c r="A2648" s="1">
        <v>45649</v>
      </c>
      <c r="B2648" s="2">
        <v>45649.865361412034</v>
      </c>
      <c r="C2648" t="s">
        <v>3</v>
      </c>
      <c r="D2648" t="s">
        <v>1043</v>
      </c>
      <c r="E2648">
        <v>25.96</v>
      </c>
      <c r="F2648" t="s">
        <v>28</v>
      </c>
    </row>
    <row r="2649" spans="1:6">
      <c r="A2649" s="1">
        <v>45650</v>
      </c>
      <c r="B2649" s="2">
        <v>45650.746858321756</v>
      </c>
      <c r="C2649" t="s">
        <v>3</v>
      </c>
      <c r="D2649" t="s">
        <v>1043</v>
      </c>
      <c r="E2649">
        <v>25.96</v>
      </c>
      <c r="F2649" t="s">
        <v>28</v>
      </c>
    </row>
    <row r="2650" spans="1:6">
      <c r="A2650" s="1">
        <v>45653</v>
      </c>
      <c r="B2650" s="2">
        <v>45653.373367037035</v>
      </c>
      <c r="C2650" t="s">
        <v>3</v>
      </c>
      <c r="D2650" t="s">
        <v>1043</v>
      </c>
      <c r="E2650">
        <v>25.96</v>
      </c>
      <c r="F2650" t="s">
        <v>28</v>
      </c>
    </row>
    <row r="2651" spans="1:6">
      <c r="A2651" s="1">
        <v>45654</v>
      </c>
      <c r="B2651" s="2">
        <v>45654.375271585646</v>
      </c>
      <c r="C2651" t="s">
        <v>3</v>
      </c>
      <c r="D2651" t="s">
        <v>1043</v>
      </c>
      <c r="E2651">
        <v>25.96</v>
      </c>
      <c r="F2651" t="s">
        <v>28</v>
      </c>
    </row>
    <row r="2652" spans="1:6">
      <c r="A2652" s="1">
        <v>45655</v>
      </c>
      <c r="B2652" s="2">
        <v>45655.573801354163</v>
      </c>
      <c r="C2652" t="s">
        <v>3</v>
      </c>
      <c r="D2652" t="s">
        <v>1043</v>
      </c>
      <c r="E2652">
        <v>25.96</v>
      </c>
      <c r="F2652" t="s">
        <v>28</v>
      </c>
    </row>
    <row r="2653" spans="1:6">
      <c r="A2653" s="1">
        <v>45655</v>
      </c>
      <c r="B2653" s="2">
        <v>45655.824811851853</v>
      </c>
      <c r="C2653" t="s">
        <v>3</v>
      </c>
      <c r="D2653" t="s">
        <v>1043</v>
      </c>
      <c r="E2653">
        <v>25.96</v>
      </c>
      <c r="F2653" t="s">
        <v>28</v>
      </c>
    </row>
    <row r="2654" spans="1:6">
      <c r="A2654" s="1">
        <v>45656</v>
      </c>
      <c r="B2654" s="2">
        <v>45656.376901412033</v>
      </c>
      <c r="C2654" t="s">
        <v>3</v>
      </c>
      <c r="D2654" t="s">
        <v>1043</v>
      </c>
      <c r="E2654">
        <v>25.96</v>
      </c>
      <c r="F2654" t="s">
        <v>28</v>
      </c>
    </row>
    <row r="2655" spans="1:6">
      <c r="A2655" s="1">
        <v>45657</v>
      </c>
      <c r="B2655" s="2">
        <v>45657.369776400461</v>
      </c>
      <c r="C2655" t="s">
        <v>3</v>
      </c>
      <c r="D2655" t="s">
        <v>1043</v>
      </c>
      <c r="E2655">
        <v>25.96</v>
      </c>
      <c r="F2655" t="s">
        <v>28</v>
      </c>
    </row>
    <row r="2656" spans="1:6">
      <c r="A2656" s="1">
        <v>45660</v>
      </c>
      <c r="B2656" s="2">
        <v>45660.377345694447</v>
      </c>
      <c r="C2656" t="s">
        <v>3</v>
      </c>
      <c r="D2656" t="s">
        <v>1043</v>
      </c>
      <c r="E2656">
        <v>25.96</v>
      </c>
      <c r="F2656" t="s">
        <v>28</v>
      </c>
    </row>
    <row r="2657" spans="1:6">
      <c r="A2657" s="1">
        <v>45661</v>
      </c>
      <c r="B2657" s="2">
        <v>45661.373917847224</v>
      </c>
      <c r="C2657" t="s">
        <v>3</v>
      </c>
      <c r="D2657" t="s">
        <v>1043</v>
      </c>
      <c r="E2657">
        <v>25.96</v>
      </c>
      <c r="F2657" t="s">
        <v>28</v>
      </c>
    </row>
    <row r="2658" spans="1:6">
      <c r="A2658" s="1">
        <v>45671</v>
      </c>
      <c r="B2658" s="2">
        <v>45671.412301064818</v>
      </c>
      <c r="C2658" t="s">
        <v>3</v>
      </c>
      <c r="D2658" t="s">
        <v>1043</v>
      </c>
      <c r="E2658">
        <v>25.96</v>
      </c>
      <c r="F2658" t="s">
        <v>28</v>
      </c>
    </row>
    <row r="2659" spans="1:6">
      <c r="A2659" s="1">
        <v>45647</v>
      </c>
      <c r="B2659" s="2">
        <v>45647.82515571759</v>
      </c>
      <c r="C2659" t="s">
        <v>3</v>
      </c>
      <c r="D2659" t="s">
        <v>1044</v>
      </c>
      <c r="E2659">
        <v>30.86</v>
      </c>
      <c r="F2659" t="s">
        <v>14</v>
      </c>
    </row>
    <row r="2660" spans="1:6">
      <c r="A2660" s="1">
        <v>45647</v>
      </c>
      <c r="B2660" s="2">
        <v>45647.826224178243</v>
      </c>
      <c r="C2660" t="s">
        <v>3</v>
      </c>
      <c r="D2660" t="s">
        <v>1044</v>
      </c>
      <c r="E2660">
        <v>25.96</v>
      </c>
      <c r="F2660" t="s">
        <v>28</v>
      </c>
    </row>
    <row r="2661" spans="1:6">
      <c r="A2661" s="1">
        <v>45647</v>
      </c>
      <c r="B2661" s="2">
        <v>45647.915842060182</v>
      </c>
      <c r="C2661" t="s">
        <v>3</v>
      </c>
      <c r="D2661" t="s">
        <v>1045</v>
      </c>
      <c r="E2661">
        <v>35.76</v>
      </c>
      <c r="F2661" t="s">
        <v>7</v>
      </c>
    </row>
    <row r="2662" spans="1:6">
      <c r="A2662" s="1">
        <v>45648</v>
      </c>
      <c r="B2662" s="2">
        <v>45648.816502870373</v>
      </c>
      <c r="C2662" t="s">
        <v>3</v>
      </c>
      <c r="D2662" t="s">
        <v>1046</v>
      </c>
      <c r="E2662">
        <v>35.76</v>
      </c>
      <c r="F2662" t="s">
        <v>9</v>
      </c>
    </row>
    <row r="2663" spans="1:6">
      <c r="A2663" s="1">
        <v>45648</v>
      </c>
      <c r="B2663" s="2">
        <v>45648.81701230324</v>
      </c>
      <c r="C2663" t="s">
        <v>3</v>
      </c>
      <c r="D2663" t="s">
        <v>1046</v>
      </c>
      <c r="E2663">
        <v>35.76</v>
      </c>
      <c r="F2663" t="s">
        <v>9</v>
      </c>
    </row>
    <row r="2664" spans="1:6">
      <c r="A2664" s="1">
        <v>45648</v>
      </c>
      <c r="B2664" s="2">
        <v>45648.913411504633</v>
      </c>
      <c r="C2664" t="s">
        <v>3</v>
      </c>
      <c r="D2664" t="s">
        <v>1047</v>
      </c>
      <c r="E2664">
        <v>35.76</v>
      </c>
      <c r="F2664" t="s">
        <v>18</v>
      </c>
    </row>
    <row r="2665" spans="1:6">
      <c r="A2665" s="1">
        <v>45648</v>
      </c>
      <c r="B2665" s="2">
        <v>45648.91454046296</v>
      </c>
      <c r="C2665" t="s">
        <v>3</v>
      </c>
      <c r="D2665" t="s">
        <v>1048</v>
      </c>
      <c r="E2665">
        <v>25.96</v>
      </c>
      <c r="F2665" t="s">
        <v>28</v>
      </c>
    </row>
    <row r="2666" spans="1:6">
      <c r="A2666" s="1">
        <v>45657</v>
      </c>
      <c r="B2666" s="2">
        <v>45657.400578831017</v>
      </c>
      <c r="C2666" t="s">
        <v>3</v>
      </c>
      <c r="D2666" t="s">
        <v>1048</v>
      </c>
      <c r="E2666">
        <v>35.76</v>
      </c>
      <c r="F2666" t="s">
        <v>43</v>
      </c>
    </row>
    <row r="2667" spans="1:6">
      <c r="A2667" s="1">
        <v>45657</v>
      </c>
      <c r="B2667" s="2">
        <v>45657.402563333337</v>
      </c>
      <c r="C2667" t="s">
        <v>3</v>
      </c>
      <c r="D2667" t="s">
        <v>1048</v>
      </c>
      <c r="E2667">
        <v>25.96</v>
      </c>
      <c r="F2667" t="s">
        <v>28</v>
      </c>
    </row>
    <row r="2668" spans="1:6">
      <c r="A2668" s="1">
        <v>45661</v>
      </c>
      <c r="B2668" s="2">
        <v>45661.67563888889</v>
      </c>
      <c r="C2668" t="s">
        <v>3</v>
      </c>
      <c r="D2668" t="s">
        <v>1048</v>
      </c>
      <c r="E2668">
        <v>30.86</v>
      </c>
      <c r="F2668" t="s">
        <v>14</v>
      </c>
    </row>
    <row r="2669" spans="1:6">
      <c r="A2669" s="1">
        <v>45661</v>
      </c>
      <c r="B2669" s="2">
        <v>45661.6765069213</v>
      </c>
      <c r="C2669" t="s">
        <v>3</v>
      </c>
      <c r="D2669" t="s">
        <v>1048</v>
      </c>
      <c r="E2669">
        <v>35.76</v>
      </c>
      <c r="F2669" t="s">
        <v>43</v>
      </c>
    </row>
    <row r="2670" spans="1:6">
      <c r="A2670" s="1">
        <v>45661</v>
      </c>
      <c r="B2670" s="2">
        <v>45661.677907696758</v>
      </c>
      <c r="C2670" t="s">
        <v>3</v>
      </c>
      <c r="D2670" t="s">
        <v>1048</v>
      </c>
      <c r="E2670">
        <v>35.76</v>
      </c>
      <c r="F2670" t="s">
        <v>43</v>
      </c>
    </row>
    <row r="2671" spans="1:6">
      <c r="A2671" s="1">
        <v>45661</v>
      </c>
      <c r="B2671" s="2">
        <v>45661.679213877316</v>
      </c>
      <c r="C2671" t="s">
        <v>3</v>
      </c>
      <c r="D2671" t="s">
        <v>1048</v>
      </c>
      <c r="E2671">
        <v>25.96</v>
      </c>
      <c r="F2671" t="s">
        <v>28</v>
      </c>
    </row>
    <row r="2672" spans="1:6">
      <c r="A2672" s="1">
        <v>45665</v>
      </c>
      <c r="B2672" s="2">
        <v>45665.437832557873</v>
      </c>
      <c r="C2672" t="s">
        <v>3</v>
      </c>
      <c r="D2672" t="s">
        <v>1048</v>
      </c>
      <c r="E2672">
        <v>25.96</v>
      </c>
      <c r="F2672" t="s">
        <v>28</v>
      </c>
    </row>
    <row r="2673" spans="1:6">
      <c r="A2673" s="1">
        <v>45670</v>
      </c>
      <c r="B2673" s="2">
        <v>45670.543711168983</v>
      </c>
      <c r="C2673" t="s">
        <v>3</v>
      </c>
      <c r="D2673" t="s">
        <v>1048</v>
      </c>
      <c r="E2673">
        <v>25.96</v>
      </c>
      <c r="F2673" t="s">
        <v>28</v>
      </c>
    </row>
    <row r="2674" spans="1:6">
      <c r="A2674" s="1">
        <v>45681</v>
      </c>
      <c r="B2674" s="2">
        <v>45681.571030046296</v>
      </c>
      <c r="C2674" t="s">
        <v>3</v>
      </c>
      <c r="D2674" t="s">
        <v>1048</v>
      </c>
      <c r="E2674">
        <v>35.76</v>
      </c>
      <c r="F2674" t="s">
        <v>43</v>
      </c>
    </row>
    <row r="2675" spans="1:6">
      <c r="A2675" s="1">
        <v>45681</v>
      </c>
      <c r="B2675" s="2">
        <v>45681.571962789349</v>
      </c>
      <c r="C2675" t="s">
        <v>3</v>
      </c>
      <c r="D2675" t="s">
        <v>1048</v>
      </c>
      <c r="E2675">
        <v>25.96</v>
      </c>
      <c r="F2675" t="s">
        <v>28</v>
      </c>
    </row>
    <row r="2676" spans="1:6">
      <c r="A2676" s="1">
        <v>45649</v>
      </c>
      <c r="B2676" s="2">
        <v>45649.587172858795</v>
      </c>
      <c r="C2676" t="s">
        <v>3</v>
      </c>
      <c r="D2676" t="s">
        <v>1049</v>
      </c>
      <c r="E2676">
        <v>35.76</v>
      </c>
      <c r="F2676" t="s">
        <v>7</v>
      </c>
    </row>
    <row r="2677" spans="1:6">
      <c r="A2677" s="1">
        <v>45649</v>
      </c>
      <c r="B2677" s="2">
        <v>45649.625274062499</v>
      </c>
      <c r="C2677" t="s">
        <v>3</v>
      </c>
      <c r="D2677" t="s">
        <v>1050</v>
      </c>
      <c r="E2677">
        <v>30.86</v>
      </c>
      <c r="F2677" t="s">
        <v>14</v>
      </c>
    </row>
    <row r="2678" spans="1:6">
      <c r="A2678" s="1">
        <v>45649</v>
      </c>
      <c r="B2678" s="2">
        <v>45649.723153877312</v>
      </c>
      <c r="C2678" t="s">
        <v>3</v>
      </c>
      <c r="D2678" t="s">
        <v>1051</v>
      </c>
      <c r="E2678">
        <v>25.96</v>
      </c>
      <c r="F2678" t="s">
        <v>28</v>
      </c>
    </row>
    <row r="2679" spans="1:6">
      <c r="A2679" s="1">
        <v>45649</v>
      </c>
      <c r="B2679" s="2">
        <v>45649.724077511572</v>
      </c>
      <c r="C2679" t="s">
        <v>3</v>
      </c>
      <c r="D2679" t="s">
        <v>1051</v>
      </c>
      <c r="E2679">
        <v>35.76</v>
      </c>
      <c r="F2679" t="s">
        <v>7</v>
      </c>
    </row>
    <row r="2680" spans="1:6">
      <c r="A2680" s="1">
        <v>45650</v>
      </c>
      <c r="B2680" s="2">
        <v>45650.632447002317</v>
      </c>
      <c r="C2680" t="s">
        <v>3</v>
      </c>
      <c r="D2680" t="s">
        <v>1052</v>
      </c>
      <c r="E2680">
        <v>30.86</v>
      </c>
      <c r="F2680" t="s">
        <v>14</v>
      </c>
    </row>
    <row r="2681" spans="1:6">
      <c r="A2681" s="1">
        <v>45650</v>
      </c>
      <c r="B2681" s="2">
        <v>45650.672663541663</v>
      </c>
      <c r="C2681" t="s">
        <v>3</v>
      </c>
      <c r="D2681" t="s">
        <v>1053</v>
      </c>
      <c r="E2681">
        <v>35.76</v>
      </c>
      <c r="F2681" t="s">
        <v>9</v>
      </c>
    </row>
    <row r="2682" spans="1:6">
      <c r="A2682" s="1">
        <v>45650</v>
      </c>
      <c r="B2682" s="2">
        <v>45650.799030925926</v>
      </c>
      <c r="C2682" t="s">
        <v>3</v>
      </c>
      <c r="D2682" t="s">
        <v>1053</v>
      </c>
      <c r="E2682">
        <v>35.76</v>
      </c>
      <c r="F2682" t="s">
        <v>9</v>
      </c>
    </row>
    <row r="2683" spans="1:6">
      <c r="A2683" s="1">
        <v>45650</v>
      </c>
      <c r="B2683" s="2">
        <v>45650.800404884256</v>
      </c>
      <c r="C2683" t="s">
        <v>3</v>
      </c>
      <c r="D2683" t="s">
        <v>1053</v>
      </c>
      <c r="E2683">
        <v>21.06</v>
      </c>
      <c r="F2683" t="s">
        <v>35</v>
      </c>
    </row>
    <row r="2684" spans="1:6">
      <c r="A2684" s="1">
        <v>45650</v>
      </c>
      <c r="B2684" s="2">
        <v>45650.799732222222</v>
      </c>
      <c r="C2684" t="s">
        <v>3</v>
      </c>
      <c r="D2684" t="s">
        <v>1054</v>
      </c>
      <c r="E2684">
        <v>35.76</v>
      </c>
      <c r="F2684" t="s">
        <v>7</v>
      </c>
    </row>
    <row r="2685" spans="1:6">
      <c r="A2685" s="1">
        <v>45651</v>
      </c>
      <c r="B2685" s="2">
        <v>45651.447185405093</v>
      </c>
      <c r="C2685" t="s">
        <v>3</v>
      </c>
      <c r="D2685" t="s">
        <v>1055</v>
      </c>
      <c r="E2685">
        <v>35.76</v>
      </c>
      <c r="F2685" t="s">
        <v>7</v>
      </c>
    </row>
    <row r="2686" spans="1:6">
      <c r="A2686" s="1">
        <v>45651</v>
      </c>
      <c r="B2686" s="2">
        <v>45651.44794421296</v>
      </c>
      <c r="C2686" t="s">
        <v>3</v>
      </c>
      <c r="D2686" t="s">
        <v>1055</v>
      </c>
      <c r="E2686">
        <v>35.76</v>
      </c>
      <c r="F2686" t="s">
        <v>7</v>
      </c>
    </row>
    <row r="2687" spans="1:6">
      <c r="A2687" s="1">
        <v>45651</v>
      </c>
      <c r="B2687" s="2">
        <v>45651.524343576391</v>
      </c>
      <c r="C2687" t="s">
        <v>3</v>
      </c>
      <c r="D2687" t="s">
        <v>1056</v>
      </c>
      <c r="E2687">
        <v>30.86</v>
      </c>
      <c r="F2687" t="s">
        <v>14</v>
      </c>
    </row>
    <row r="2688" spans="1:6">
      <c r="A2688" s="1">
        <v>45651</v>
      </c>
      <c r="B2688" s="2">
        <v>45651.525000914349</v>
      </c>
      <c r="C2688" t="s">
        <v>3</v>
      </c>
      <c r="D2688" t="s">
        <v>1056</v>
      </c>
      <c r="E2688">
        <v>25.96</v>
      </c>
      <c r="F2688" t="s">
        <v>11</v>
      </c>
    </row>
    <row r="2689" spans="1:6">
      <c r="A2689" s="1">
        <v>45651</v>
      </c>
      <c r="B2689" s="2">
        <v>45651.553604155095</v>
      </c>
      <c r="C2689" t="s">
        <v>3</v>
      </c>
      <c r="D2689" t="s">
        <v>1057</v>
      </c>
      <c r="E2689">
        <v>30.86</v>
      </c>
      <c r="F2689" t="s">
        <v>14</v>
      </c>
    </row>
    <row r="2690" spans="1:6">
      <c r="A2690" s="1">
        <v>45651</v>
      </c>
      <c r="B2690" s="2">
        <v>45651.564439178241</v>
      </c>
      <c r="C2690" t="s">
        <v>3</v>
      </c>
      <c r="D2690" t="s">
        <v>1058</v>
      </c>
      <c r="E2690">
        <v>25.96</v>
      </c>
      <c r="F2690" t="s">
        <v>11</v>
      </c>
    </row>
    <row r="2691" spans="1:6">
      <c r="A2691" s="1">
        <v>45651</v>
      </c>
      <c r="B2691" s="2">
        <v>45651.888076898147</v>
      </c>
      <c r="C2691" t="s">
        <v>3</v>
      </c>
      <c r="D2691" t="s">
        <v>1059</v>
      </c>
      <c r="E2691">
        <v>35.76</v>
      </c>
      <c r="F2691" t="s">
        <v>18</v>
      </c>
    </row>
    <row r="2692" spans="1:6">
      <c r="A2692" s="1">
        <v>45651</v>
      </c>
      <c r="B2692" s="2">
        <v>45651.888681631943</v>
      </c>
      <c r="C2692" t="s">
        <v>3</v>
      </c>
      <c r="D2692" t="s">
        <v>1059</v>
      </c>
      <c r="E2692">
        <v>35.76</v>
      </c>
      <c r="F2692" t="s">
        <v>18</v>
      </c>
    </row>
    <row r="2693" spans="1:6">
      <c r="A2693" s="1">
        <v>45667</v>
      </c>
      <c r="B2693" s="2">
        <v>45667.747145335648</v>
      </c>
      <c r="C2693" t="s">
        <v>3</v>
      </c>
      <c r="D2693" t="s">
        <v>1059</v>
      </c>
      <c r="E2693">
        <v>35.76</v>
      </c>
      <c r="F2693" t="s">
        <v>9</v>
      </c>
    </row>
    <row r="2694" spans="1:6">
      <c r="A2694" s="1">
        <v>45673</v>
      </c>
      <c r="B2694" s="2">
        <v>45673.88610787037</v>
      </c>
      <c r="C2694" t="s">
        <v>3</v>
      </c>
      <c r="D2694" t="s">
        <v>1059</v>
      </c>
      <c r="E2694">
        <v>35.76</v>
      </c>
      <c r="F2694" t="s">
        <v>9</v>
      </c>
    </row>
    <row r="2695" spans="1:6">
      <c r="A2695" s="1">
        <v>45673</v>
      </c>
      <c r="B2695" s="2">
        <v>45673.886796030092</v>
      </c>
      <c r="C2695" t="s">
        <v>3</v>
      </c>
      <c r="D2695" t="s">
        <v>1059</v>
      </c>
      <c r="E2695">
        <v>35.76</v>
      </c>
      <c r="F2695" t="s">
        <v>9</v>
      </c>
    </row>
    <row r="2696" spans="1:6">
      <c r="A2696" s="1">
        <v>45681</v>
      </c>
      <c r="B2696" s="2">
        <v>45681.886417187503</v>
      </c>
      <c r="C2696" t="s">
        <v>3</v>
      </c>
      <c r="D2696" t="s">
        <v>1059</v>
      </c>
      <c r="E2696">
        <v>35.76</v>
      </c>
      <c r="F2696" t="s">
        <v>18</v>
      </c>
    </row>
    <row r="2697" spans="1:6">
      <c r="A2697" s="1">
        <v>45651</v>
      </c>
      <c r="B2697" s="2">
        <v>45651.914933680557</v>
      </c>
      <c r="C2697" t="s">
        <v>3</v>
      </c>
      <c r="D2697" t="s">
        <v>1060</v>
      </c>
      <c r="E2697">
        <v>35.76</v>
      </c>
      <c r="F2697" t="s">
        <v>7</v>
      </c>
    </row>
    <row r="2698" spans="1:6">
      <c r="A2698" s="1">
        <v>45652</v>
      </c>
      <c r="B2698" s="2">
        <v>45652.550439120372</v>
      </c>
      <c r="C2698" t="s">
        <v>3</v>
      </c>
      <c r="D2698" t="s">
        <v>1061</v>
      </c>
      <c r="E2698">
        <v>35.76</v>
      </c>
      <c r="F2698" t="s">
        <v>43</v>
      </c>
    </row>
    <row r="2699" spans="1:6">
      <c r="A2699" s="1">
        <v>45652</v>
      </c>
      <c r="B2699" s="2">
        <v>45652.628176747683</v>
      </c>
      <c r="C2699" t="s">
        <v>3</v>
      </c>
      <c r="D2699" t="s">
        <v>1062</v>
      </c>
      <c r="E2699">
        <v>21.06</v>
      </c>
      <c r="F2699" t="s">
        <v>35</v>
      </c>
    </row>
    <row r="2700" spans="1:6">
      <c r="A2700" s="1">
        <v>45653</v>
      </c>
      <c r="B2700" s="2">
        <v>45653.326628599534</v>
      </c>
      <c r="C2700" t="s">
        <v>3</v>
      </c>
      <c r="D2700" t="s">
        <v>1063</v>
      </c>
      <c r="E2700">
        <v>25.96</v>
      </c>
      <c r="F2700" t="s">
        <v>11</v>
      </c>
    </row>
    <row r="2701" spans="1:6">
      <c r="A2701" s="1">
        <v>45653</v>
      </c>
      <c r="B2701" s="2">
        <v>45653.716720381941</v>
      </c>
      <c r="C2701" t="s">
        <v>3</v>
      </c>
      <c r="D2701" t="s">
        <v>1064</v>
      </c>
      <c r="E2701">
        <v>35.76</v>
      </c>
      <c r="F2701" t="s">
        <v>7</v>
      </c>
    </row>
    <row r="2702" spans="1:6">
      <c r="A2702" s="1">
        <v>45653</v>
      </c>
      <c r="B2702" s="2">
        <v>45653.824627951391</v>
      </c>
      <c r="C2702" t="s">
        <v>3</v>
      </c>
      <c r="D2702" t="s">
        <v>1065</v>
      </c>
      <c r="E2702">
        <v>25.96</v>
      </c>
      <c r="F2702" t="s">
        <v>11</v>
      </c>
    </row>
    <row r="2703" spans="1:6">
      <c r="A2703" s="1">
        <v>45653</v>
      </c>
      <c r="B2703" s="2">
        <v>45653.825250497684</v>
      </c>
      <c r="C2703" t="s">
        <v>3</v>
      </c>
      <c r="D2703" t="s">
        <v>1065</v>
      </c>
      <c r="E2703">
        <v>30.86</v>
      </c>
      <c r="F2703" t="s">
        <v>14</v>
      </c>
    </row>
    <row r="2704" spans="1:6">
      <c r="A2704" s="1">
        <v>45679</v>
      </c>
      <c r="B2704" s="2">
        <v>45679.798912488426</v>
      </c>
      <c r="C2704" t="s">
        <v>3</v>
      </c>
      <c r="D2704" t="s">
        <v>1065</v>
      </c>
      <c r="E2704">
        <v>30.86</v>
      </c>
      <c r="F2704" t="s">
        <v>14</v>
      </c>
    </row>
    <row r="2705" spans="1:6">
      <c r="A2705" s="1">
        <v>45679</v>
      </c>
      <c r="B2705" s="2">
        <v>45679.799573194447</v>
      </c>
      <c r="C2705" t="s">
        <v>3</v>
      </c>
      <c r="D2705" t="s">
        <v>1065</v>
      </c>
      <c r="E2705">
        <v>35.76</v>
      </c>
      <c r="F2705" t="s">
        <v>43</v>
      </c>
    </row>
    <row r="2706" spans="1:6">
      <c r="A2706" s="1">
        <v>45654</v>
      </c>
      <c r="B2706" s="2">
        <v>45654.59029266204</v>
      </c>
      <c r="C2706" t="s">
        <v>3</v>
      </c>
      <c r="D2706" t="s">
        <v>1066</v>
      </c>
      <c r="E2706">
        <v>35.76</v>
      </c>
      <c r="F2706" t="s">
        <v>43</v>
      </c>
    </row>
    <row r="2707" spans="1:6">
      <c r="A2707" s="1">
        <v>45654</v>
      </c>
      <c r="B2707" s="2">
        <v>45654.592562025464</v>
      </c>
      <c r="C2707" t="s">
        <v>3</v>
      </c>
      <c r="D2707" t="s">
        <v>1067</v>
      </c>
      <c r="E2707">
        <v>35.76</v>
      </c>
      <c r="F2707" t="s">
        <v>9</v>
      </c>
    </row>
    <row r="2708" spans="1:6">
      <c r="A2708" s="1">
        <v>45654</v>
      </c>
      <c r="B2708" s="2">
        <v>45654.924326631946</v>
      </c>
      <c r="C2708" t="s">
        <v>3</v>
      </c>
      <c r="D2708" t="s">
        <v>1068</v>
      </c>
      <c r="E2708">
        <v>35.76</v>
      </c>
      <c r="F2708" t="s">
        <v>43</v>
      </c>
    </row>
    <row r="2709" spans="1:6">
      <c r="A2709" s="1">
        <v>45655</v>
      </c>
      <c r="B2709" s="2">
        <v>45655.628086018522</v>
      </c>
      <c r="C2709" t="s">
        <v>3</v>
      </c>
      <c r="D2709" t="s">
        <v>1069</v>
      </c>
      <c r="E2709">
        <v>21.06</v>
      </c>
      <c r="F2709" t="s">
        <v>35</v>
      </c>
    </row>
    <row r="2710" spans="1:6">
      <c r="A2710" s="1">
        <v>45655</v>
      </c>
      <c r="B2710" s="2">
        <v>45655.628661145834</v>
      </c>
      <c r="C2710" t="s">
        <v>3</v>
      </c>
      <c r="D2710" t="s">
        <v>1069</v>
      </c>
      <c r="E2710">
        <v>25.96</v>
      </c>
      <c r="F2710" t="s">
        <v>11</v>
      </c>
    </row>
    <row r="2711" spans="1:6">
      <c r="A2711" s="1">
        <v>45655</v>
      </c>
      <c r="B2711" s="2">
        <v>45655.729218900466</v>
      </c>
      <c r="C2711" t="s">
        <v>3</v>
      </c>
      <c r="D2711" t="s">
        <v>1070</v>
      </c>
      <c r="E2711">
        <v>25.96</v>
      </c>
      <c r="F2711" t="s">
        <v>28</v>
      </c>
    </row>
    <row r="2712" spans="1:6">
      <c r="A2712" s="1">
        <v>45655</v>
      </c>
      <c r="B2712" s="2">
        <v>45655.730401643516</v>
      </c>
      <c r="C2712" t="s">
        <v>3</v>
      </c>
      <c r="D2712" t="s">
        <v>1071</v>
      </c>
      <c r="E2712">
        <v>21.06</v>
      </c>
      <c r="F2712" t="s">
        <v>35</v>
      </c>
    </row>
    <row r="2713" spans="1:6">
      <c r="A2713" s="1">
        <v>45655</v>
      </c>
      <c r="B2713" s="2">
        <v>45655.851322118055</v>
      </c>
      <c r="C2713" t="s">
        <v>3</v>
      </c>
      <c r="D2713" t="s">
        <v>1072</v>
      </c>
      <c r="E2713">
        <v>35.76</v>
      </c>
      <c r="F2713" t="s">
        <v>9</v>
      </c>
    </row>
    <row r="2714" spans="1:6">
      <c r="A2714" s="1">
        <v>45656</v>
      </c>
      <c r="B2714" s="2">
        <v>45656.578140694444</v>
      </c>
      <c r="C2714" t="s">
        <v>3</v>
      </c>
      <c r="D2714" t="s">
        <v>1073</v>
      </c>
      <c r="E2714">
        <v>35.76</v>
      </c>
      <c r="F2714" t="s">
        <v>7</v>
      </c>
    </row>
    <row r="2715" spans="1:6">
      <c r="A2715" s="1">
        <v>45656</v>
      </c>
      <c r="B2715" s="2">
        <v>45656.578926539354</v>
      </c>
      <c r="C2715" t="s">
        <v>3</v>
      </c>
      <c r="D2715" t="s">
        <v>1073</v>
      </c>
      <c r="E2715">
        <v>35.76</v>
      </c>
      <c r="F2715" t="s">
        <v>9</v>
      </c>
    </row>
    <row r="2716" spans="1:6">
      <c r="A2716" s="1">
        <v>45656</v>
      </c>
      <c r="B2716" s="2">
        <v>45656.68852693287</v>
      </c>
      <c r="C2716" t="s">
        <v>3</v>
      </c>
      <c r="D2716" t="s">
        <v>1074</v>
      </c>
      <c r="E2716">
        <v>25.96</v>
      </c>
      <c r="F2716" t="s">
        <v>11</v>
      </c>
    </row>
    <row r="2717" spans="1:6">
      <c r="A2717" s="1">
        <v>45657</v>
      </c>
      <c r="B2717" s="2">
        <v>45657.406580150462</v>
      </c>
      <c r="C2717" t="s">
        <v>3</v>
      </c>
      <c r="D2717" t="s">
        <v>1075</v>
      </c>
      <c r="E2717">
        <v>35.76</v>
      </c>
      <c r="F2717" t="s">
        <v>18</v>
      </c>
    </row>
    <row r="2718" spans="1:6">
      <c r="A2718" s="1">
        <v>45657</v>
      </c>
      <c r="B2718" s="2">
        <v>45657.435335324073</v>
      </c>
      <c r="C2718" t="s">
        <v>3</v>
      </c>
      <c r="D2718" t="s">
        <v>1076</v>
      </c>
      <c r="E2718">
        <v>30.86</v>
      </c>
      <c r="F2718" t="s">
        <v>14</v>
      </c>
    </row>
    <row r="2719" spans="1:6">
      <c r="A2719" s="1">
        <v>45657</v>
      </c>
      <c r="B2719" s="2">
        <v>45657.437132071762</v>
      </c>
      <c r="C2719" t="s">
        <v>3</v>
      </c>
      <c r="D2719" t="s">
        <v>1076</v>
      </c>
      <c r="E2719">
        <v>30.86</v>
      </c>
      <c r="F2719" t="s">
        <v>14</v>
      </c>
    </row>
    <row r="2720" spans="1:6">
      <c r="A2720" s="1">
        <v>45657</v>
      </c>
      <c r="B2720" s="2">
        <v>45657.67174633102</v>
      </c>
      <c r="C2720" t="s">
        <v>3</v>
      </c>
      <c r="D2720" t="s">
        <v>1077</v>
      </c>
      <c r="E2720">
        <v>35.76</v>
      </c>
      <c r="F2720" t="s">
        <v>43</v>
      </c>
    </row>
    <row r="2721" spans="1:6">
      <c r="A2721" s="1">
        <v>45657</v>
      </c>
      <c r="B2721" s="2">
        <v>45657.729777604167</v>
      </c>
      <c r="C2721" t="s">
        <v>3</v>
      </c>
      <c r="D2721" t="s">
        <v>1078</v>
      </c>
      <c r="E2721">
        <v>30.86</v>
      </c>
      <c r="F2721" t="s">
        <v>14</v>
      </c>
    </row>
    <row r="2722" spans="1:6">
      <c r="A2722" s="1">
        <v>45657</v>
      </c>
      <c r="B2722" s="2">
        <v>45657.73042295139</v>
      </c>
      <c r="C2722" t="s">
        <v>3</v>
      </c>
      <c r="D2722" t="s">
        <v>1079</v>
      </c>
      <c r="E2722">
        <v>35.76</v>
      </c>
      <c r="F2722" t="s">
        <v>43</v>
      </c>
    </row>
    <row r="2723" spans="1:6">
      <c r="A2723" s="1">
        <v>45657</v>
      </c>
      <c r="B2723" s="2">
        <v>45657.796821909724</v>
      </c>
      <c r="C2723" t="s">
        <v>3</v>
      </c>
      <c r="D2723" t="s">
        <v>1080</v>
      </c>
      <c r="E2723">
        <v>35.76</v>
      </c>
      <c r="F2723" t="s">
        <v>7</v>
      </c>
    </row>
    <row r="2724" spans="1:6">
      <c r="A2724" s="1">
        <v>45657</v>
      </c>
      <c r="B2724" s="2">
        <v>45657.797672442131</v>
      </c>
      <c r="C2724" t="s">
        <v>3</v>
      </c>
      <c r="D2724" t="s">
        <v>1080</v>
      </c>
      <c r="E2724">
        <v>35.76</v>
      </c>
      <c r="F2724" t="s">
        <v>9</v>
      </c>
    </row>
    <row r="2725" spans="1:6">
      <c r="A2725" s="1">
        <v>45659</v>
      </c>
      <c r="B2725" s="2">
        <v>45659.562270000002</v>
      </c>
      <c r="C2725" t="s">
        <v>3</v>
      </c>
      <c r="D2725" t="s">
        <v>1081</v>
      </c>
      <c r="E2725">
        <v>35.76</v>
      </c>
      <c r="F2725" t="s">
        <v>18</v>
      </c>
    </row>
    <row r="2726" spans="1:6">
      <c r="A2726" s="1">
        <v>45659</v>
      </c>
      <c r="B2726" s="2">
        <v>45659.562948148145</v>
      </c>
      <c r="C2726" t="s">
        <v>3</v>
      </c>
      <c r="D2726" t="s">
        <v>1081</v>
      </c>
      <c r="E2726">
        <v>35.76</v>
      </c>
      <c r="F2726" t="s">
        <v>18</v>
      </c>
    </row>
    <row r="2727" spans="1:6">
      <c r="A2727" s="1">
        <v>45659</v>
      </c>
      <c r="B2727" s="2">
        <v>45659.611928171296</v>
      </c>
      <c r="C2727" t="s">
        <v>3</v>
      </c>
      <c r="D2727" t="s">
        <v>1082</v>
      </c>
      <c r="E2727">
        <v>25.96</v>
      </c>
      <c r="F2727" t="s">
        <v>28</v>
      </c>
    </row>
    <row r="2728" spans="1:6">
      <c r="A2728" s="1">
        <v>45659</v>
      </c>
      <c r="B2728" s="2">
        <v>45659.613030636574</v>
      </c>
      <c r="C2728" t="s">
        <v>3</v>
      </c>
      <c r="D2728" t="s">
        <v>1082</v>
      </c>
      <c r="E2728">
        <v>25.96</v>
      </c>
      <c r="F2728" t="s">
        <v>28</v>
      </c>
    </row>
    <row r="2729" spans="1:6">
      <c r="A2729" s="1">
        <v>45659</v>
      </c>
      <c r="B2729" s="2">
        <v>45659.682319293985</v>
      </c>
      <c r="C2729" t="s">
        <v>3</v>
      </c>
      <c r="D2729" t="s">
        <v>1083</v>
      </c>
      <c r="E2729">
        <v>25.96</v>
      </c>
      <c r="F2729" t="s">
        <v>11</v>
      </c>
    </row>
    <row r="2730" spans="1:6">
      <c r="A2730" s="1">
        <v>45686</v>
      </c>
      <c r="B2730" s="2">
        <v>45686.401934745372</v>
      </c>
      <c r="C2730" t="s">
        <v>3</v>
      </c>
      <c r="D2730" t="s">
        <v>1083</v>
      </c>
      <c r="E2730">
        <v>25.96</v>
      </c>
      <c r="F2730" t="s">
        <v>11</v>
      </c>
    </row>
    <row r="2731" spans="1:6">
      <c r="A2731" s="1">
        <v>45687</v>
      </c>
      <c r="B2731" s="2">
        <v>45687.766743657405</v>
      </c>
      <c r="C2731" t="s">
        <v>3</v>
      </c>
      <c r="D2731" t="s">
        <v>1083</v>
      </c>
      <c r="E2731">
        <v>30.86</v>
      </c>
      <c r="F2731" t="s">
        <v>14</v>
      </c>
    </row>
    <row r="2732" spans="1:6">
      <c r="A2732" s="1">
        <v>45689</v>
      </c>
      <c r="B2732" s="2">
        <v>45689.659710081018</v>
      </c>
      <c r="C2732" t="s">
        <v>3</v>
      </c>
      <c r="D2732" t="s">
        <v>1083</v>
      </c>
      <c r="E2732">
        <v>35.76</v>
      </c>
      <c r="F2732" t="s">
        <v>7</v>
      </c>
    </row>
    <row r="2733" spans="1:6">
      <c r="A2733" s="1">
        <v>45660</v>
      </c>
      <c r="B2733" s="2">
        <v>45660.707053472222</v>
      </c>
      <c r="C2733" t="s">
        <v>3</v>
      </c>
      <c r="D2733" t="s">
        <v>1084</v>
      </c>
      <c r="E2733">
        <v>30.86</v>
      </c>
      <c r="F2733" t="s">
        <v>14</v>
      </c>
    </row>
    <row r="2734" spans="1:6">
      <c r="A2734" s="1">
        <v>45660</v>
      </c>
      <c r="B2734" s="2">
        <v>45660.929402303242</v>
      </c>
      <c r="C2734" t="s">
        <v>3</v>
      </c>
      <c r="D2734" t="s">
        <v>1085</v>
      </c>
      <c r="E2734">
        <v>25.96</v>
      </c>
      <c r="F2734" t="s">
        <v>11</v>
      </c>
    </row>
    <row r="2735" spans="1:6">
      <c r="A2735" s="1">
        <v>45660</v>
      </c>
      <c r="B2735" s="2">
        <v>45660.930027245369</v>
      </c>
      <c r="C2735" t="s">
        <v>3</v>
      </c>
      <c r="D2735" t="s">
        <v>1086</v>
      </c>
      <c r="E2735">
        <v>25.96</v>
      </c>
      <c r="F2735" t="s">
        <v>11</v>
      </c>
    </row>
    <row r="2736" spans="1:6">
      <c r="A2736" s="1">
        <v>45661</v>
      </c>
      <c r="B2736" s="2">
        <v>45661.416293796297</v>
      </c>
      <c r="C2736" t="s">
        <v>3</v>
      </c>
      <c r="D2736" t="s">
        <v>1087</v>
      </c>
      <c r="E2736">
        <v>25.96</v>
      </c>
      <c r="F2736" t="s">
        <v>11</v>
      </c>
    </row>
    <row r="2737" spans="1:6">
      <c r="A2737" s="1">
        <v>45661</v>
      </c>
      <c r="B2737" s="2">
        <v>45661.569447754628</v>
      </c>
      <c r="C2737" t="s">
        <v>3</v>
      </c>
      <c r="D2737" t="s">
        <v>1088</v>
      </c>
      <c r="E2737">
        <v>35.76</v>
      </c>
      <c r="F2737" t="s">
        <v>43</v>
      </c>
    </row>
    <row r="2738" spans="1:6">
      <c r="A2738" s="1">
        <v>45661</v>
      </c>
      <c r="B2738" s="2">
        <v>45661.758093263888</v>
      </c>
      <c r="C2738" t="s">
        <v>3</v>
      </c>
      <c r="D2738" t="s">
        <v>1089</v>
      </c>
      <c r="E2738">
        <v>25.96</v>
      </c>
      <c r="F2738" t="s">
        <v>11</v>
      </c>
    </row>
    <row r="2739" spans="1:6">
      <c r="A2739" s="1">
        <v>45662</v>
      </c>
      <c r="B2739" s="2">
        <v>45662.406918726854</v>
      </c>
      <c r="C2739" t="s">
        <v>3</v>
      </c>
      <c r="D2739" t="s">
        <v>1090</v>
      </c>
      <c r="E2739">
        <v>30.86</v>
      </c>
      <c r="F2739" t="s">
        <v>14</v>
      </c>
    </row>
    <row r="2740" spans="1:6">
      <c r="A2740" s="1">
        <v>45662</v>
      </c>
      <c r="B2740" s="2">
        <v>45662.45348196759</v>
      </c>
      <c r="C2740" t="s">
        <v>3</v>
      </c>
      <c r="D2740" t="s">
        <v>1091</v>
      </c>
      <c r="E2740">
        <v>35.76</v>
      </c>
      <c r="F2740" t="s">
        <v>7</v>
      </c>
    </row>
    <row r="2741" spans="1:6">
      <c r="A2741" s="1">
        <v>45662</v>
      </c>
      <c r="B2741" s="2">
        <v>45662.921718460646</v>
      </c>
      <c r="C2741" t="s">
        <v>3</v>
      </c>
      <c r="D2741" t="s">
        <v>1092</v>
      </c>
      <c r="E2741">
        <v>30.86</v>
      </c>
      <c r="F2741" t="s">
        <v>14</v>
      </c>
    </row>
    <row r="2742" spans="1:6">
      <c r="A2742" s="1">
        <v>45663</v>
      </c>
      <c r="B2742" s="2">
        <v>45663.832531111111</v>
      </c>
      <c r="C2742" t="s">
        <v>3</v>
      </c>
      <c r="D2742" t="s">
        <v>1093</v>
      </c>
      <c r="E2742">
        <v>25.96</v>
      </c>
      <c r="F2742" t="s">
        <v>11</v>
      </c>
    </row>
    <row r="2743" spans="1:6">
      <c r="A2743" s="1">
        <v>45664</v>
      </c>
      <c r="B2743" s="2">
        <v>45664.561837835645</v>
      </c>
      <c r="C2743" t="s">
        <v>3</v>
      </c>
      <c r="D2743" t="s">
        <v>1094</v>
      </c>
      <c r="E2743">
        <v>35.76</v>
      </c>
      <c r="F2743" t="s">
        <v>43</v>
      </c>
    </row>
    <row r="2744" spans="1:6">
      <c r="A2744" s="1">
        <v>45664</v>
      </c>
      <c r="B2744" s="2">
        <v>45664.939410706022</v>
      </c>
      <c r="C2744" t="s">
        <v>3</v>
      </c>
      <c r="D2744" t="s">
        <v>1095</v>
      </c>
      <c r="E2744">
        <v>35.76</v>
      </c>
      <c r="F2744" t="s">
        <v>18</v>
      </c>
    </row>
    <row r="2745" spans="1:6">
      <c r="A2745" s="1">
        <v>45664</v>
      </c>
      <c r="B2745" s="2">
        <v>45664.940264884259</v>
      </c>
      <c r="C2745" t="s">
        <v>3</v>
      </c>
      <c r="D2745" t="s">
        <v>1095</v>
      </c>
      <c r="E2745">
        <v>35.76</v>
      </c>
      <c r="F2745" t="s">
        <v>18</v>
      </c>
    </row>
    <row r="2746" spans="1:6">
      <c r="A2746" s="1">
        <v>45665</v>
      </c>
      <c r="B2746" s="2">
        <v>45665.312523368055</v>
      </c>
      <c r="C2746" t="s">
        <v>3</v>
      </c>
      <c r="D2746" t="s">
        <v>1096</v>
      </c>
      <c r="E2746">
        <v>30.86</v>
      </c>
      <c r="F2746" t="s">
        <v>14</v>
      </c>
    </row>
    <row r="2747" spans="1:6">
      <c r="A2747" s="1">
        <v>45675</v>
      </c>
      <c r="B2747" s="2">
        <v>45675.425442395834</v>
      </c>
      <c r="C2747" t="s">
        <v>3</v>
      </c>
      <c r="D2747" t="s">
        <v>1096</v>
      </c>
      <c r="E2747">
        <v>30.86</v>
      </c>
      <c r="F2747" t="s">
        <v>14</v>
      </c>
    </row>
    <row r="2748" spans="1:6">
      <c r="A2748" s="1">
        <v>45678</v>
      </c>
      <c r="B2748" s="2">
        <v>45678.346855046293</v>
      </c>
      <c r="C2748" t="s">
        <v>3</v>
      </c>
      <c r="D2748" t="s">
        <v>1096</v>
      </c>
      <c r="E2748">
        <v>30.86</v>
      </c>
      <c r="F2748" t="s">
        <v>14</v>
      </c>
    </row>
    <row r="2749" spans="1:6">
      <c r="A2749" s="1">
        <v>45665</v>
      </c>
      <c r="B2749" s="2">
        <v>45665.382814143515</v>
      </c>
      <c r="C2749" t="s">
        <v>3</v>
      </c>
      <c r="D2749" t="s">
        <v>1097</v>
      </c>
      <c r="E2749">
        <v>35.76</v>
      </c>
      <c r="F2749" t="s">
        <v>7</v>
      </c>
    </row>
    <row r="2750" spans="1:6">
      <c r="A2750" s="1">
        <v>45666</v>
      </c>
      <c r="B2750" s="2">
        <v>45666.338282222219</v>
      </c>
      <c r="C2750" t="s">
        <v>3</v>
      </c>
      <c r="D2750" t="s">
        <v>1098</v>
      </c>
      <c r="E2750">
        <v>25.96</v>
      </c>
      <c r="F2750" t="s">
        <v>11</v>
      </c>
    </row>
    <row r="2751" spans="1:6">
      <c r="A2751" s="1">
        <v>45666</v>
      </c>
      <c r="B2751" s="2">
        <v>45666.650679155093</v>
      </c>
      <c r="C2751" t="s">
        <v>3</v>
      </c>
      <c r="D2751" t="s">
        <v>1099</v>
      </c>
      <c r="E2751">
        <v>35.76</v>
      </c>
      <c r="F2751" t="s">
        <v>7</v>
      </c>
    </row>
    <row r="2752" spans="1:6">
      <c r="A2752" s="1">
        <v>45667</v>
      </c>
      <c r="B2752" s="2">
        <v>45667.743967256945</v>
      </c>
      <c r="C2752" t="s">
        <v>3</v>
      </c>
      <c r="D2752" t="s">
        <v>1100</v>
      </c>
      <c r="E2752">
        <v>35.76</v>
      </c>
      <c r="F2752" t="s">
        <v>43</v>
      </c>
    </row>
    <row r="2753" spans="1:6">
      <c r="A2753" s="1">
        <v>45668</v>
      </c>
      <c r="B2753" s="2">
        <v>45668.451172349538</v>
      </c>
      <c r="C2753" t="s">
        <v>3</v>
      </c>
      <c r="D2753" t="s">
        <v>1101</v>
      </c>
      <c r="E2753">
        <v>35.76</v>
      </c>
      <c r="F2753" t="s">
        <v>9</v>
      </c>
    </row>
    <row r="2754" spans="1:6">
      <c r="A2754" s="1">
        <v>45668</v>
      </c>
      <c r="B2754" s="2">
        <v>45668.467984560186</v>
      </c>
      <c r="C2754" t="s">
        <v>3</v>
      </c>
      <c r="D2754" t="s">
        <v>1102</v>
      </c>
      <c r="E2754">
        <v>25.96</v>
      </c>
      <c r="F2754" t="s">
        <v>11</v>
      </c>
    </row>
    <row r="2755" spans="1:6">
      <c r="A2755" s="1">
        <v>45668</v>
      </c>
      <c r="B2755" s="2">
        <v>45668.472426064814</v>
      </c>
      <c r="C2755" t="s">
        <v>3</v>
      </c>
      <c r="D2755" t="s">
        <v>1103</v>
      </c>
      <c r="E2755">
        <v>35.76</v>
      </c>
      <c r="F2755" t="s">
        <v>7</v>
      </c>
    </row>
    <row r="2756" spans="1:6">
      <c r="A2756" s="1">
        <v>45668</v>
      </c>
      <c r="B2756" s="2">
        <v>45668.473212569443</v>
      </c>
      <c r="C2756" t="s">
        <v>3</v>
      </c>
      <c r="D2756" t="s">
        <v>1103</v>
      </c>
      <c r="E2756">
        <v>35.76</v>
      </c>
      <c r="F2756" t="s">
        <v>7</v>
      </c>
    </row>
    <row r="2757" spans="1:6">
      <c r="A2757" s="1">
        <v>45668</v>
      </c>
      <c r="B2757" s="2">
        <v>45668.507624293983</v>
      </c>
      <c r="C2757" t="s">
        <v>3</v>
      </c>
      <c r="D2757" t="s">
        <v>1103</v>
      </c>
      <c r="E2757">
        <v>35.76</v>
      </c>
      <c r="F2757" t="s">
        <v>7</v>
      </c>
    </row>
    <row r="2758" spans="1:6">
      <c r="A2758" s="1">
        <v>45668</v>
      </c>
      <c r="B2758" s="2">
        <v>45668.509314629628</v>
      </c>
      <c r="C2758" t="s">
        <v>3</v>
      </c>
      <c r="D2758" t="s">
        <v>1103</v>
      </c>
      <c r="E2758">
        <v>35.76</v>
      </c>
      <c r="F2758" t="s">
        <v>7</v>
      </c>
    </row>
    <row r="2759" spans="1:6">
      <c r="A2759" s="1">
        <v>45668</v>
      </c>
      <c r="B2759" s="2">
        <v>45668.592301435187</v>
      </c>
      <c r="C2759" t="s">
        <v>3</v>
      </c>
      <c r="D2759" t="s">
        <v>1104</v>
      </c>
      <c r="E2759">
        <v>30.86</v>
      </c>
      <c r="F2759" t="s">
        <v>14</v>
      </c>
    </row>
    <row r="2760" spans="1:6">
      <c r="A2760" s="1">
        <v>45668</v>
      </c>
      <c r="B2760" s="2">
        <v>45668.59419142361</v>
      </c>
      <c r="C2760" t="s">
        <v>3</v>
      </c>
      <c r="D2760" t="s">
        <v>1105</v>
      </c>
      <c r="E2760">
        <v>30.86</v>
      </c>
      <c r="F2760" t="s">
        <v>14</v>
      </c>
    </row>
    <row r="2761" spans="1:6">
      <c r="A2761" s="1">
        <v>45668</v>
      </c>
      <c r="B2761" s="2">
        <v>45668.594953020831</v>
      </c>
      <c r="C2761" t="s">
        <v>3</v>
      </c>
      <c r="D2761" t="s">
        <v>1105</v>
      </c>
      <c r="E2761">
        <v>35.76</v>
      </c>
      <c r="F2761" t="s">
        <v>43</v>
      </c>
    </row>
    <row r="2762" spans="1:6">
      <c r="A2762" s="1">
        <v>45668</v>
      </c>
      <c r="B2762" s="2">
        <v>45668.616006620374</v>
      </c>
      <c r="C2762" t="s">
        <v>3</v>
      </c>
      <c r="D2762" t="s">
        <v>1106</v>
      </c>
      <c r="E2762">
        <v>35.76</v>
      </c>
      <c r="F2762" t="s">
        <v>7</v>
      </c>
    </row>
    <row r="2763" spans="1:6">
      <c r="A2763" s="1">
        <v>45668</v>
      </c>
      <c r="B2763" s="2">
        <v>45668.721920925927</v>
      </c>
      <c r="C2763" t="s">
        <v>3</v>
      </c>
      <c r="D2763" t="s">
        <v>1107</v>
      </c>
      <c r="E2763">
        <v>25.96</v>
      </c>
      <c r="F2763" t="s">
        <v>28</v>
      </c>
    </row>
    <row r="2764" spans="1:6">
      <c r="A2764" s="1">
        <v>45668</v>
      </c>
      <c r="B2764" s="2">
        <v>45668.723670196756</v>
      </c>
      <c r="C2764" t="s">
        <v>3</v>
      </c>
      <c r="D2764" t="s">
        <v>1107</v>
      </c>
      <c r="E2764">
        <v>25.96</v>
      </c>
      <c r="F2764" t="s">
        <v>28</v>
      </c>
    </row>
    <row r="2765" spans="1:6">
      <c r="A2765" s="1">
        <v>45668</v>
      </c>
      <c r="B2765" s="2">
        <v>45668.722879398149</v>
      </c>
      <c r="C2765" t="s">
        <v>3</v>
      </c>
      <c r="D2765" t="s">
        <v>1108</v>
      </c>
      <c r="E2765">
        <v>35.76</v>
      </c>
      <c r="F2765" t="s">
        <v>7</v>
      </c>
    </row>
    <row r="2766" spans="1:6">
      <c r="A2766" s="1">
        <v>45668</v>
      </c>
      <c r="B2766" s="2">
        <v>45668.751024062498</v>
      </c>
      <c r="C2766" t="s">
        <v>3</v>
      </c>
      <c r="D2766" t="s">
        <v>1109</v>
      </c>
      <c r="E2766">
        <v>30.86</v>
      </c>
      <c r="F2766" t="s">
        <v>14</v>
      </c>
    </row>
    <row r="2767" spans="1:6">
      <c r="A2767" s="1">
        <v>45669</v>
      </c>
      <c r="B2767" s="2">
        <v>45669.677764386572</v>
      </c>
      <c r="C2767" t="s">
        <v>3</v>
      </c>
      <c r="D2767" t="s">
        <v>1110</v>
      </c>
      <c r="E2767">
        <v>35.76</v>
      </c>
      <c r="F2767" t="s">
        <v>9</v>
      </c>
    </row>
    <row r="2768" spans="1:6">
      <c r="A2768" s="1">
        <v>45669</v>
      </c>
      <c r="B2768" s="2">
        <v>45669.87227226852</v>
      </c>
      <c r="C2768" t="s">
        <v>3</v>
      </c>
      <c r="D2768" t="s">
        <v>1111</v>
      </c>
      <c r="E2768">
        <v>30.86</v>
      </c>
      <c r="F2768" t="s">
        <v>14</v>
      </c>
    </row>
    <row r="2769" spans="1:6">
      <c r="A2769" s="1">
        <v>45671</v>
      </c>
      <c r="B2769" s="2">
        <v>45671.876800358797</v>
      </c>
      <c r="C2769" t="s">
        <v>3</v>
      </c>
      <c r="D2769" t="s">
        <v>1111</v>
      </c>
      <c r="E2769">
        <v>35.76</v>
      </c>
      <c r="F2769" t="s">
        <v>7</v>
      </c>
    </row>
    <row r="2770" spans="1:6">
      <c r="A2770" s="1">
        <v>45672</v>
      </c>
      <c r="B2770" s="2">
        <v>45672.82724658565</v>
      </c>
      <c r="C2770" t="s">
        <v>3</v>
      </c>
      <c r="D2770" t="s">
        <v>1111</v>
      </c>
      <c r="E2770">
        <v>35.76</v>
      </c>
      <c r="F2770" t="s">
        <v>7</v>
      </c>
    </row>
    <row r="2771" spans="1:6">
      <c r="A2771" s="1">
        <v>45673</v>
      </c>
      <c r="B2771" s="2">
        <v>45673.761081585646</v>
      </c>
      <c r="C2771" t="s">
        <v>3</v>
      </c>
      <c r="D2771" t="s">
        <v>1111</v>
      </c>
      <c r="E2771">
        <v>35.76</v>
      </c>
      <c r="F2771" t="s">
        <v>43</v>
      </c>
    </row>
    <row r="2772" spans="1:6">
      <c r="A2772" s="1">
        <v>45670</v>
      </c>
      <c r="B2772" s="2">
        <v>45670.59128857639</v>
      </c>
      <c r="C2772" t="s">
        <v>3</v>
      </c>
      <c r="D2772" t="s">
        <v>1112</v>
      </c>
      <c r="E2772">
        <v>35.76</v>
      </c>
      <c r="F2772" t="s">
        <v>7</v>
      </c>
    </row>
    <row r="2773" spans="1:6">
      <c r="A2773" s="1">
        <v>45670</v>
      </c>
      <c r="B2773" s="2">
        <v>45670.591994675924</v>
      </c>
      <c r="C2773" t="s">
        <v>3</v>
      </c>
      <c r="D2773" t="s">
        <v>1112</v>
      </c>
      <c r="E2773">
        <v>35.76</v>
      </c>
      <c r="F2773" t="s">
        <v>43</v>
      </c>
    </row>
    <row r="2774" spans="1:6">
      <c r="A2774" s="1">
        <v>45670</v>
      </c>
      <c r="B2774" s="2">
        <v>45670.684448414351</v>
      </c>
      <c r="C2774" t="s">
        <v>3</v>
      </c>
      <c r="D2774" t="s">
        <v>1113</v>
      </c>
      <c r="E2774">
        <v>35.76</v>
      </c>
      <c r="F2774" t="s">
        <v>7</v>
      </c>
    </row>
    <row r="2775" spans="1:6">
      <c r="A2775" s="1">
        <v>45671</v>
      </c>
      <c r="B2775" s="2">
        <v>45671.534193877313</v>
      </c>
      <c r="C2775" t="s">
        <v>3</v>
      </c>
      <c r="D2775" t="s">
        <v>1114</v>
      </c>
      <c r="E2775">
        <v>35.76</v>
      </c>
      <c r="F2775" t="s">
        <v>7</v>
      </c>
    </row>
    <row r="2776" spans="1:6">
      <c r="A2776" s="1">
        <v>45671</v>
      </c>
      <c r="B2776" s="2">
        <v>45671.679389907411</v>
      </c>
      <c r="C2776" t="s">
        <v>3</v>
      </c>
      <c r="D2776" t="s">
        <v>1115</v>
      </c>
      <c r="E2776">
        <v>30.86</v>
      </c>
      <c r="F2776" t="s">
        <v>14</v>
      </c>
    </row>
    <row r="2777" spans="1:6">
      <c r="A2777" s="1">
        <v>45671</v>
      </c>
      <c r="B2777" s="2">
        <v>45671.680168182873</v>
      </c>
      <c r="C2777" t="s">
        <v>3</v>
      </c>
      <c r="D2777" t="s">
        <v>1115</v>
      </c>
      <c r="E2777">
        <v>30.86</v>
      </c>
      <c r="F2777" t="s">
        <v>14</v>
      </c>
    </row>
    <row r="2778" spans="1:6">
      <c r="A2778" s="1">
        <v>45672</v>
      </c>
      <c r="B2778" s="2">
        <v>45672.465552141206</v>
      </c>
      <c r="C2778" t="s">
        <v>3</v>
      </c>
      <c r="D2778" t="s">
        <v>1116</v>
      </c>
      <c r="E2778">
        <v>25.96</v>
      </c>
      <c r="F2778" t="s">
        <v>11</v>
      </c>
    </row>
    <row r="2779" spans="1:6">
      <c r="A2779" s="1">
        <v>45672</v>
      </c>
      <c r="B2779" s="2">
        <v>45672.65055489583</v>
      </c>
      <c r="C2779" t="s">
        <v>3</v>
      </c>
      <c r="D2779" t="s">
        <v>1117</v>
      </c>
      <c r="E2779">
        <v>35.76</v>
      </c>
      <c r="F2779" t="s">
        <v>43</v>
      </c>
    </row>
    <row r="2780" spans="1:6">
      <c r="A2780" s="1">
        <v>45672</v>
      </c>
      <c r="B2780" s="2">
        <v>45672.705162326391</v>
      </c>
      <c r="C2780" t="s">
        <v>3</v>
      </c>
      <c r="D2780" t="s">
        <v>1118</v>
      </c>
      <c r="E2780">
        <v>35.76</v>
      </c>
      <c r="F2780" t="s">
        <v>7</v>
      </c>
    </row>
    <row r="2781" spans="1:6">
      <c r="A2781" s="1">
        <v>45672</v>
      </c>
      <c r="B2781" s="2">
        <v>45672.754310405093</v>
      </c>
      <c r="C2781" t="s">
        <v>3</v>
      </c>
      <c r="D2781" t="s">
        <v>1119</v>
      </c>
      <c r="E2781">
        <v>35.76</v>
      </c>
      <c r="F2781" t="s">
        <v>7</v>
      </c>
    </row>
    <row r="2782" spans="1:6">
      <c r="A2782" s="1">
        <v>45673</v>
      </c>
      <c r="B2782" s="2">
        <v>45673.63633321759</v>
      </c>
      <c r="C2782" t="s">
        <v>3</v>
      </c>
      <c r="D2782" t="s">
        <v>1120</v>
      </c>
      <c r="E2782">
        <v>35.76</v>
      </c>
      <c r="F2782" t="s">
        <v>7</v>
      </c>
    </row>
    <row r="2783" spans="1:6">
      <c r="A2783" s="1">
        <v>45673</v>
      </c>
      <c r="B2783" s="2">
        <v>45673.902922847221</v>
      </c>
      <c r="C2783" t="s">
        <v>3</v>
      </c>
      <c r="D2783" t="s">
        <v>1121</v>
      </c>
      <c r="E2783">
        <v>25.96</v>
      </c>
      <c r="F2783" t="s">
        <v>28</v>
      </c>
    </row>
    <row r="2784" spans="1:6">
      <c r="A2784" s="1">
        <v>45674</v>
      </c>
      <c r="B2784" s="2">
        <v>45674.318284328707</v>
      </c>
      <c r="C2784" t="s">
        <v>3</v>
      </c>
      <c r="D2784" t="s">
        <v>1122</v>
      </c>
      <c r="E2784">
        <v>35.76</v>
      </c>
      <c r="F2784" t="s">
        <v>18</v>
      </c>
    </row>
    <row r="2785" spans="1:6">
      <c r="A2785" s="1">
        <v>45674</v>
      </c>
      <c r="B2785" s="2">
        <v>45674.351629745368</v>
      </c>
      <c r="C2785" t="s">
        <v>3</v>
      </c>
      <c r="D2785" t="s">
        <v>1123</v>
      </c>
      <c r="E2785">
        <v>35.76</v>
      </c>
      <c r="F2785" t="s">
        <v>7</v>
      </c>
    </row>
    <row r="2786" spans="1:6">
      <c r="A2786" s="1">
        <v>45674</v>
      </c>
      <c r="B2786" s="2">
        <v>45674.352643194441</v>
      </c>
      <c r="C2786" t="s">
        <v>3</v>
      </c>
      <c r="D2786" t="s">
        <v>1123</v>
      </c>
      <c r="E2786">
        <v>35.76</v>
      </c>
      <c r="F2786" t="s">
        <v>43</v>
      </c>
    </row>
    <row r="2787" spans="1:6">
      <c r="A2787" s="1">
        <v>45674</v>
      </c>
      <c r="B2787" s="2">
        <v>45674.597846898148</v>
      </c>
      <c r="C2787" t="s">
        <v>3</v>
      </c>
      <c r="D2787" t="s">
        <v>1124</v>
      </c>
      <c r="E2787">
        <v>35.76</v>
      </c>
      <c r="F2787" t="s">
        <v>18</v>
      </c>
    </row>
    <row r="2788" spans="1:6">
      <c r="A2788" s="1">
        <v>45674</v>
      </c>
      <c r="B2788" s="2">
        <v>45674.598642013887</v>
      </c>
      <c r="C2788" t="s">
        <v>3</v>
      </c>
      <c r="D2788" t="s">
        <v>1124</v>
      </c>
      <c r="E2788">
        <v>35.76</v>
      </c>
      <c r="F2788" t="s">
        <v>18</v>
      </c>
    </row>
    <row r="2789" spans="1:6">
      <c r="A2789" s="1">
        <v>45678</v>
      </c>
      <c r="B2789" s="2">
        <v>45678.802327812497</v>
      </c>
      <c r="C2789" t="s">
        <v>3</v>
      </c>
      <c r="D2789" t="s">
        <v>1124</v>
      </c>
      <c r="E2789">
        <v>25.96</v>
      </c>
      <c r="F2789" t="s">
        <v>11</v>
      </c>
    </row>
    <row r="2790" spans="1:6">
      <c r="A2790" s="1">
        <v>45691</v>
      </c>
      <c r="B2790" s="2">
        <v>45691.653787094911</v>
      </c>
      <c r="C2790" t="s">
        <v>3</v>
      </c>
      <c r="D2790" t="s">
        <v>1124</v>
      </c>
      <c r="E2790">
        <v>25.96</v>
      </c>
      <c r="F2790" t="s">
        <v>11</v>
      </c>
    </row>
    <row r="2791" spans="1:6">
      <c r="A2791" s="1">
        <v>45692</v>
      </c>
      <c r="B2791" s="2">
        <v>45692.424668263891</v>
      </c>
      <c r="C2791" t="s">
        <v>3</v>
      </c>
      <c r="D2791" t="s">
        <v>1124</v>
      </c>
      <c r="E2791">
        <v>25.96</v>
      </c>
      <c r="F2791" t="s">
        <v>11</v>
      </c>
    </row>
    <row r="2792" spans="1:6">
      <c r="A2792" s="1">
        <v>45696</v>
      </c>
      <c r="B2792" s="2">
        <v>45696.629909305557</v>
      </c>
      <c r="C2792" t="s">
        <v>3</v>
      </c>
      <c r="D2792" t="s">
        <v>1124</v>
      </c>
      <c r="E2792">
        <v>25.96</v>
      </c>
      <c r="F2792" t="s">
        <v>11</v>
      </c>
    </row>
    <row r="2793" spans="1:6">
      <c r="A2793" s="1">
        <v>45696</v>
      </c>
      <c r="B2793" s="2">
        <v>45696.630662152776</v>
      </c>
      <c r="C2793" t="s">
        <v>3</v>
      </c>
      <c r="D2793" t="s">
        <v>1124</v>
      </c>
      <c r="E2793">
        <v>25.96</v>
      </c>
      <c r="F2793" t="s">
        <v>11</v>
      </c>
    </row>
    <row r="2794" spans="1:6">
      <c r="A2794" s="1">
        <v>45698</v>
      </c>
      <c r="B2794" s="2">
        <v>45698.344816261575</v>
      </c>
      <c r="C2794" t="s">
        <v>3</v>
      </c>
      <c r="D2794" t="s">
        <v>1124</v>
      </c>
      <c r="E2794">
        <v>25.96</v>
      </c>
      <c r="F2794" t="s">
        <v>11</v>
      </c>
    </row>
    <row r="2795" spans="1:6">
      <c r="A2795" s="1">
        <v>45699</v>
      </c>
      <c r="B2795" s="2">
        <v>45699.743523449077</v>
      </c>
      <c r="C2795" t="s">
        <v>3</v>
      </c>
      <c r="D2795" t="s">
        <v>1124</v>
      </c>
      <c r="E2795">
        <v>25.96</v>
      </c>
      <c r="F2795" t="s">
        <v>11</v>
      </c>
    </row>
    <row r="2796" spans="1:6">
      <c r="A2796" s="1">
        <v>45700</v>
      </c>
      <c r="B2796" s="2">
        <v>45700.738095879628</v>
      </c>
      <c r="C2796" t="s">
        <v>3</v>
      </c>
      <c r="D2796" t="s">
        <v>1124</v>
      </c>
      <c r="E2796">
        <v>25.96</v>
      </c>
      <c r="F2796" t="s">
        <v>11</v>
      </c>
    </row>
    <row r="2797" spans="1:6">
      <c r="A2797" s="1">
        <v>45706</v>
      </c>
      <c r="B2797" s="2">
        <v>45706.463603252312</v>
      </c>
      <c r="C2797" t="s">
        <v>3</v>
      </c>
      <c r="D2797" t="s">
        <v>1124</v>
      </c>
      <c r="E2797">
        <v>25.96</v>
      </c>
      <c r="F2797" t="s">
        <v>11</v>
      </c>
    </row>
    <row r="2798" spans="1:6">
      <c r="A2798" s="1">
        <v>45707</v>
      </c>
      <c r="B2798" s="2">
        <v>45707.711114097219</v>
      </c>
      <c r="C2798" t="s">
        <v>3</v>
      </c>
      <c r="D2798" t="s">
        <v>1124</v>
      </c>
      <c r="E2798">
        <v>25.96</v>
      </c>
      <c r="F2798" t="s">
        <v>11</v>
      </c>
    </row>
    <row r="2799" spans="1:6">
      <c r="A2799" s="1">
        <v>45709</v>
      </c>
      <c r="B2799" s="2">
        <v>45709.503347592596</v>
      </c>
      <c r="C2799" t="s">
        <v>3</v>
      </c>
      <c r="D2799" t="s">
        <v>1124</v>
      </c>
      <c r="E2799">
        <v>25.96</v>
      </c>
      <c r="F2799" t="s">
        <v>11</v>
      </c>
    </row>
    <row r="2800" spans="1:6">
      <c r="A2800" s="1">
        <v>45714</v>
      </c>
      <c r="B2800" s="2">
        <v>45714.626373101855</v>
      </c>
      <c r="C2800" t="s">
        <v>3</v>
      </c>
      <c r="D2800" t="s">
        <v>1124</v>
      </c>
      <c r="E2800">
        <v>25.96</v>
      </c>
      <c r="F2800" t="s">
        <v>11</v>
      </c>
    </row>
    <row r="2801" spans="1:6">
      <c r="A2801" s="1">
        <v>45716</v>
      </c>
      <c r="B2801" s="2">
        <v>45716.614214270834</v>
      </c>
      <c r="C2801" t="s">
        <v>3</v>
      </c>
      <c r="D2801" t="s">
        <v>1124</v>
      </c>
      <c r="E2801">
        <v>25.96</v>
      </c>
      <c r="F2801" t="s">
        <v>11</v>
      </c>
    </row>
    <row r="2802" spans="1:6">
      <c r="A2802" s="1">
        <v>45716</v>
      </c>
      <c r="B2802" s="2">
        <v>45716.614838240741</v>
      </c>
      <c r="C2802" t="s">
        <v>3</v>
      </c>
      <c r="D2802" t="s">
        <v>1124</v>
      </c>
      <c r="E2802">
        <v>25.96</v>
      </c>
      <c r="F2802" t="s">
        <v>11</v>
      </c>
    </row>
    <row r="2803" spans="1:6">
      <c r="A2803" s="1">
        <v>45716</v>
      </c>
      <c r="B2803" s="2">
        <v>45716.638410590276</v>
      </c>
      <c r="C2803" t="s">
        <v>3</v>
      </c>
      <c r="D2803" t="s">
        <v>1124</v>
      </c>
      <c r="E2803">
        <v>25.96</v>
      </c>
      <c r="F2803" t="s">
        <v>11</v>
      </c>
    </row>
    <row r="2804" spans="1:6">
      <c r="A2804" s="1">
        <v>45720</v>
      </c>
      <c r="B2804" s="2">
        <v>45720.494152719904</v>
      </c>
      <c r="C2804" t="s">
        <v>3</v>
      </c>
      <c r="D2804" t="s">
        <v>1124</v>
      </c>
      <c r="E2804">
        <v>25.96</v>
      </c>
      <c r="F2804" t="s">
        <v>11</v>
      </c>
    </row>
    <row r="2805" spans="1:6">
      <c r="A2805" s="1">
        <v>45721</v>
      </c>
      <c r="B2805" s="2">
        <v>45721.508984594904</v>
      </c>
      <c r="C2805" t="s">
        <v>3</v>
      </c>
      <c r="D2805" t="s">
        <v>1124</v>
      </c>
      <c r="E2805">
        <v>25.96</v>
      </c>
      <c r="F2805" t="s">
        <v>11</v>
      </c>
    </row>
    <row r="2806" spans="1:6">
      <c r="A2806" s="1">
        <v>45723</v>
      </c>
      <c r="B2806" s="2">
        <v>45723.364709340276</v>
      </c>
      <c r="C2806" t="s">
        <v>3</v>
      </c>
      <c r="D2806" t="s">
        <v>1124</v>
      </c>
      <c r="E2806">
        <v>25.96</v>
      </c>
      <c r="F2806" t="s">
        <v>11</v>
      </c>
    </row>
    <row r="2807" spans="1:6">
      <c r="A2807" s="1">
        <v>45723</v>
      </c>
      <c r="B2807" s="2">
        <v>45723.365322083337</v>
      </c>
      <c r="C2807" t="s">
        <v>3</v>
      </c>
      <c r="D2807" t="s">
        <v>1124</v>
      </c>
      <c r="E2807">
        <v>25.96</v>
      </c>
      <c r="F2807" t="s">
        <v>11</v>
      </c>
    </row>
    <row r="2808" spans="1:6">
      <c r="A2808" s="1">
        <v>45724</v>
      </c>
      <c r="B2808" s="2">
        <v>45724.531311770836</v>
      </c>
      <c r="C2808" t="s">
        <v>3</v>
      </c>
      <c r="D2808" t="s">
        <v>1124</v>
      </c>
      <c r="E2808">
        <v>25.96</v>
      </c>
      <c r="F2808" t="s">
        <v>11</v>
      </c>
    </row>
    <row r="2809" spans="1:6">
      <c r="A2809" s="1">
        <v>45725</v>
      </c>
      <c r="B2809" s="2">
        <v>45725.652165879626</v>
      </c>
      <c r="C2809" t="s">
        <v>3</v>
      </c>
      <c r="D2809" t="s">
        <v>1124</v>
      </c>
      <c r="E2809">
        <v>25.96</v>
      </c>
      <c r="F2809" t="s">
        <v>11</v>
      </c>
    </row>
    <row r="2810" spans="1:6">
      <c r="A2810" s="1">
        <v>45730</v>
      </c>
      <c r="B2810" s="2">
        <v>45730.431149826392</v>
      </c>
      <c r="C2810" t="s">
        <v>3</v>
      </c>
      <c r="D2810" t="s">
        <v>1124</v>
      </c>
      <c r="E2810">
        <v>25.96</v>
      </c>
      <c r="F2810" t="s">
        <v>11</v>
      </c>
    </row>
    <row r="2811" spans="1:6">
      <c r="A2811" s="1">
        <v>45733</v>
      </c>
      <c r="B2811" s="2">
        <v>45733.340162685185</v>
      </c>
      <c r="C2811" t="s">
        <v>3</v>
      </c>
      <c r="D2811" t="s">
        <v>1124</v>
      </c>
      <c r="E2811">
        <v>25.96</v>
      </c>
      <c r="F2811" t="s">
        <v>11</v>
      </c>
    </row>
    <row r="2812" spans="1:6">
      <c r="A2812" s="1">
        <v>45733</v>
      </c>
      <c r="B2812" s="2">
        <v>45733.345864097224</v>
      </c>
      <c r="C2812" t="s">
        <v>3</v>
      </c>
      <c r="D2812" t="s">
        <v>1124</v>
      </c>
      <c r="E2812">
        <v>25.96</v>
      </c>
      <c r="F2812" t="s">
        <v>11</v>
      </c>
    </row>
    <row r="2813" spans="1:6">
      <c r="A2813" s="1">
        <v>45734</v>
      </c>
      <c r="B2813" s="2">
        <v>45734.627701689817</v>
      </c>
      <c r="C2813" t="s">
        <v>3</v>
      </c>
      <c r="D2813" t="s">
        <v>1124</v>
      </c>
      <c r="E2813">
        <v>25.96</v>
      </c>
      <c r="F2813" t="s">
        <v>11</v>
      </c>
    </row>
    <row r="2814" spans="1:6">
      <c r="A2814" s="1">
        <v>45735</v>
      </c>
      <c r="B2814" s="2">
        <v>45735.496988715277</v>
      </c>
      <c r="C2814" t="s">
        <v>3</v>
      </c>
      <c r="D2814" t="s">
        <v>1124</v>
      </c>
      <c r="E2814">
        <v>25.96</v>
      </c>
      <c r="F2814" t="s">
        <v>11</v>
      </c>
    </row>
    <row r="2815" spans="1:6">
      <c r="A2815" s="1">
        <v>45735</v>
      </c>
      <c r="B2815" s="2">
        <v>45735.703120983795</v>
      </c>
      <c r="C2815" t="s">
        <v>3</v>
      </c>
      <c r="D2815" t="s">
        <v>1124</v>
      </c>
      <c r="E2815">
        <v>25.96</v>
      </c>
      <c r="F2815" t="s">
        <v>11</v>
      </c>
    </row>
    <row r="2816" spans="1:6">
      <c r="A2816" s="1">
        <v>45736</v>
      </c>
      <c r="B2816" s="2">
        <v>45736.455062986111</v>
      </c>
      <c r="C2816" t="s">
        <v>3</v>
      </c>
      <c r="D2816" t="s">
        <v>1124</v>
      </c>
      <c r="E2816">
        <v>25.96</v>
      </c>
      <c r="F2816" t="s">
        <v>11</v>
      </c>
    </row>
    <row r="2817" spans="1:6">
      <c r="A2817" s="1">
        <v>45737</v>
      </c>
      <c r="B2817" s="2">
        <v>45737.35320046296</v>
      </c>
      <c r="C2817" t="s">
        <v>3</v>
      </c>
      <c r="D2817" t="s">
        <v>1124</v>
      </c>
      <c r="E2817">
        <v>25.96</v>
      </c>
      <c r="F2817" t="s">
        <v>11</v>
      </c>
    </row>
    <row r="2818" spans="1:6">
      <c r="A2818" s="1">
        <v>45737</v>
      </c>
      <c r="B2818" s="2">
        <v>45737.353714097226</v>
      </c>
      <c r="C2818" t="s">
        <v>3</v>
      </c>
      <c r="D2818" t="s">
        <v>1124</v>
      </c>
      <c r="E2818">
        <v>25.96</v>
      </c>
      <c r="F2818" t="s">
        <v>11</v>
      </c>
    </row>
    <row r="2819" spans="1:6">
      <c r="A2819" s="1">
        <v>45737</v>
      </c>
      <c r="B2819" s="2">
        <v>45737.644670879628</v>
      </c>
      <c r="C2819" t="s">
        <v>3</v>
      </c>
      <c r="D2819" t="s">
        <v>1124</v>
      </c>
      <c r="E2819">
        <v>35.76</v>
      </c>
      <c r="F2819" t="s">
        <v>7</v>
      </c>
    </row>
    <row r="2820" spans="1:6">
      <c r="A2820" s="1">
        <v>45677</v>
      </c>
      <c r="B2820" s="2">
        <v>45677.503355092595</v>
      </c>
      <c r="C2820" t="s">
        <v>3</v>
      </c>
      <c r="D2820" t="s">
        <v>1125</v>
      </c>
      <c r="E2820">
        <v>25.96</v>
      </c>
      <c r="F2820" t="s">
        <v>11</v>
      </c>
    </row>
    <row r="2821" spans="1:6">
      <c r="A2821" s="1">
        <v>45677</v>
      </c>
      <c r="B2821" s="2">
        <v>45677.504174733796</v>
      </c>
      <c r="C2821" t="s">
        <v>3</v>
      </c>
      <c r="D2821" t="s">
        <v>1125</v>
      </c>
      <c r="E2821">
        <v>25.96</v>
      </c>
      <c r="F2821" t="s">
        <v>28</v>
      </c>
    </row>
    <row r="2822" spans="1:6">
      <c r="A2822" s="1">
        <v>45677</v>
      </c>
      <c r="B2822" s="2">
        <v>45677.573080023147</v>
      </c>
      <c r="C2822" t="s">
        <v>3</v>
      </c>
      <c r="D2822" t="s">
        <v>1126</v>
      </c>
      <c r="E2822">
        <v>30.86</v>
      </c>
      <c r="F2822" t="s">
        <v>14</v>
      </c>
    </row>
    <row r="2823" spans="1:6">
      <c r="A2823" s="1">
        <v>45677</v>
      </c>
      <c r="B2823" s="2">
        <v>45677.839021203705</v>
      </c>
      <c r="C2823" t="s">
        <v>3</v>
      </c>
      <c r="D2823" t="s">
        <v>1127</v>
      </c>
      <c r="E2823">
        <v>35.76</v>
      </c>
      <c r="F2823" t="s">
        <v>9</v>
      </c>
    </row>
    <row r="2824" spans="1:6">
      <c r="A2824" s="1">
        <v>45677</v>
      </c>
      <c r="B2824" s="2">
        <v>45677.851676863429</v>
      </c>
      <c r="C2824" t="s">
        <v>3</v>
      </c>
      <c r="D2824" t="s">
        <v>1128</v>
      </c>
      <c r="E2824">
        <v>35.76</v>
      </c>
      <c r="F2824" t="s">
        <v>43</v>
      </c>
    </row>
    <row r="2825" spans="1:6">
      <c r="A2825" s="1">
        <v>45677</v>
      </c>
      <c r="B2825" s="2">
        <v>45677.852418518516</v>
      </c>
      <c r="C2825" t="s">
        <v>3</v>
      </c>
      <c r="D2825" t="s">
        <v>1128</v>
      </c>
      <c r="E2825">
        <v>35.76</v>
      </c>
      <c r="F2825" t="s">
        <v>43</v>
      </c>
    </row>
    <row r="2826" spans="1:6">
      <c r="A2826" s="1">
        <v>45682</v>
      </c>
      <c r="B2826" s="2">
        <v>45682.556298460651</v>
      </c>
      <c r="C2826" t="s">
        <v>3</v>
      </c>
      <c r="D2826" t="s">
        <v>1128</v>
      </c>
      <c r="E2826">
        <v>35.76</v>
      </c>
      <c r="F2826" t="s">
        <v>43</v>
      </c>
    </row>
    <row r="2827" spans="1:6">
      <c r="A2827" s="1">
        <v>45689</v>
      </c>
      <c r="B2827" s="2">
        <v>45689.789749583331</v>
      </c>
      <c r="C2827" t="s">
        <v>3</v>
      </c>
      <c r="D2827" t="s">
        <v>1128</v>
      </c>
      <c r="E2827">
        <v>35.76</v>
      </c>
      <c r="F2827" t="s">
        <v>43</v>
      </c>
    </row>
    <row r="2828" spans="1:6">
      <c r="A2828" s="1">
        <v>45677</v>
      </c>
      <c r="B2828" s="2">
        <v>45677.884553703705</v>
      </c>
      <c r="C2828" t="s">
        <v>3</v>
      </c>
      <c r="D2828" t="s">
        <v>1129</v>
      </c>
      <c r="E2828">
        <v>35.76</v>
      </c>
      <c r="F2828" t="s">
        <v>7</v>
      </c>
    </row>
    <row r="2829" spans="1:6">
      <c r="A2829" s="1">
        <v>45678</v>
      </c>
      <c r="B2829" s="2">
        <v>45678.649496736114</v>
      </c>
      <c r="C2829" t="s">
        <v>3</v>
      </c>
      <c r="D2829" t="s">
        <v>1130</v>
      </c>
      <c r="E2829">
        <v>25.96</v>
      </c>
      <c r="F2829" t="s">
        <v>11</v>
      </c>
    </row>
    <row r="2830" spans="1:6">
      <c r="A2830" s="1">
        <v>45678</v>
      </c>
      <c r="B2830" s="2">
        <v>45678.772600682867</v>
      </c>
      <c r="C2830" t="s">
        <v>3</v>
      </c>
      <c r="D2830" t="s">
        <v>1131</v>
      </c>
      <c r="E2830">
        <v>35.76</v>
      </c>
      <c r="F2830" t="s">
        <v>9</v>
      </c>
    </row>
    <row r="2831" spans="1:6">
      <c r="A2831" s="1">
        <v>45679</v>
      </c>
      <c r="B2831" s="2">
        <v>45679.475530740739</v>
      </c>
      <c r="C2831" t="s">
        <v>3</v>
      </c>
      <c r="D2831" t="s">
        <v>1132</v>
      </c>
      <c r="E2831">
        <v>21.06</v>
      </c>
      <c r="F2831" t="s">
        <v>35</v>
      </c>
    </row>
    <row r="2832" spans="1:6">
      <c r="A2832" s="1">
        <v>45679</v>
      </c>
      <c r="B2832" s="2">
        <v>45679.78471497685</v>
      </c>
      <c r="C2832" t="s">
        <v>3</v>
      </c>
      <c r="D2832" t="s">
        <v>1133</v>
      </c>
      <c r="E2832">
        <v>35.76</v>
      </c>
      <c r="F2832" t="s">
        <v>18</v>
      </c>
    </row>
    <row r="2833" spans="1:6">
      <c r="A2833" s="1">
        <v>45679</v>
      </c>
      <c r="B2833" s="2">
        <v>45679.811987303241</v>
      </c>
      <c r="C2833" t="s">
        <v>3</v>
      </c>
      <c r="D2833" t="s">
        <v>1134</v>
      </c>
      <c r="E2833">
        <v>35.76</v>
      </c>
      <c r="F2833" t="s">
        <v>7</v>
      </c>
    </row>
    <row r="2834" spans="1:6">
      <c r="A2834" s="1">
        <v>45679</v>
      </c>
      <c r="B2834" s="2">
        <v>45679.843411203707</v>
      </c>
      <c r="C2834" t="s">
        <v>3</v>
      </c>
      <c r="D2834" t="s">
        <v>1135</v>
      </c>
      <c r="E2834">
        <v>30.86</v>
      </c>
      <c r="F2834" t="s">
        <v>14</v>
      </c>
    </row>
    <row r="2835" spans="1:6">
      <c r="A2835" s="1">
        <v>45681</v>
      </c>
      <c r="B2835" s="2">
        <v>45681.644893680554</v>
      </c>
      <c r="C2835" t="s">
        <v>3</v>
      </c>
      <c r="D2835" t="s">
        <v>1136</v>
      </c>
      <c r="E2835">
        <v>35.76</v>
      </c>
      <c r="F2835" t="s">
        <v>18</v>
      </c>
    </row>
    <row r="2836" spans="1:6">
      <c r="A2836" s="1">
        <v>45681</v>
      </c>
      <c r="B2836" s="2">
        <v>45681.737376226854</v>
      </c>
      <c r="C2836" t="s">
        <v>3</v>
      </c>
      <c r="D2836" t="s">
        <v>1137</v>
      </c>
      <c r="E2836">
        <v>25.96</v>
      </c>
      <c r="F2836" t="s">
        <v>11</v>
      </c>
    </row>
    <row r="2837" spans="1:6">
      <c r="A2837" s="1">
        <v>45681</v>
      </c>
      <c r="B2837" s="2">
        <v>45681.93883767361</v>
      </c>
      <c r="C2837" t="s">
        <v>3</v>
      </c>
      <c r="D2837" t="s">
        <v>1138</v>
      </c>
      <c r="E2837">
        <v>35.76</v>
      </c>
      <c r="F2837" t="s">
        <v>9</v>
      </c>
    </row>
    <row r="2838" spans="1:6">
      <c r="A2838" s="1">
        <v>45681</v>
      </c>
      <c r="B2838" s="2">
        <v>45681.939559155093</v>
      </c>
      <c r="C2838" t="s">
        <v>3</v>
      </c>
      <c r="D2838" t="s">
        <v>1138</v>
      </c>
      <c r="E2838">
        <v>35.76</v>
      </c>
      <c r="F2838" t="s">
        <v>7</v>
      </c>
    </row>
    <row r="2839" spans="1:6">
      <c r="A2839" s="1">
        <v>45682</v>
      </c>
      <c r="B2839" s="2">
        <v>45682.610006782408</v>
      </c>
      <c r="C2839" t="s">
        <v>3</v>
      </c>
      <c r="D2839" t="s">
        <v>1139</v>
      </c>
      <c r="E2839">
        <v>35.76</v>
      </c>
      <c r="F2839" t="s">
        <v>43</v>
      </c>
    </row>
    <row r="2840" spans="1:6">
      <c r="A2840" s="1">
        <v>45682</v>
      </c>
      <c r="B2840" s="2">
        <v>45682.610822731483</v>
      </c>
      <c r="C2840" t="s">
        <v>3</v>
      </c>
      <c r="D2840" t="s">
        <v>1140</v>
      </c>
      <c r="E2840">
        <v>25.96</v>
      </c>
      <c r="F2840" t="s">
        <v>11</v>
      </c>
    </row>
    <row r="2841" spans="1:6">
      <c r="A2841" s="1">
        <v>45683</v>
      </c>
      <c r="B2841" s="2">
        <v>45683.524571689813</v>
      </c>
      <c r="C2841" t="s">
        <v>3</v>
      </c>
      <c r="D2841" t="s">
        <v>1141</v>
      </c>
      <c r="E2841">
        <v>25.96</v>
      </c>
      <c r="F2841" t="s">
        <v>11</v>
      </c>
    </row>
    <row r="2842" spans="1:6">
      <c r="A2842" s="1">
        <v>45683</v>
      </c>
      <c r="B2842" s="2">
        <v>45683.525393993055</v>
      </c>
      <c r="C2842" t="s">
        <v>3</v>
      </c>
      <c r="D2842" t="s">
        <v>1141</v>
      </c>
      <c r="E2842">
        <v>21.06</v>
      </c>
      <c r="F2842" t="s">
        <v>35</v>
      </c>
    </row>
    <row r="2843" spans="1:6">
      <c r="A2843" s="1">
        <v>45684</v>
      </c>
      <c r="B2843" s="2">
        <v>45684.503499606479</v>
      </c>
      <c r="C2843" t="s">
        <v>3</v>
      </c>
      <c r="D2843" t="s">
        <v>1142</v>
      </c>
      <c r="E2843">
        <v>35.76</v>
      </c>
      <c r="F2843" t="s">
        <v>43</v>
      </c>
    </row>
    <row r="2844" spans="1:6">
      <c r="A2844" s="1">
        <v>45684</v>
      </c>
      <c r="B2844" s="2">
        <v>45684.788418275464</v>
      </c>
      <c r="C2844" t="s">
        <v>3</v>
      </c>
      <c r="D2844" t="s">
        <v>1143</v>
      </c>
      <c r="E2844">
        <v>35.76</v>
      </c>
      <c r="F2844" t="s">
        <v>7</v>
      </c>
    </row>
    <row r="2845" spans="1:6">
      <c r="A2845" s="1">
        <v>45684</v>
      </c>
      <c r="B2845" s="2">
        <v>45684.793522280095</v>
      </c>
      <c r="C2845" t="s">
        <v>3</v>
      </c>
      <c r="D2845" t="s">
        <v>1144</v>
      </c>
      <c r="E2845">
        <v>35.76</v>
      </c>
      <c r="F2845" t="s">
        <v>7</v>
      </c>
    </row>
    <row r="2846" spans="1:6">
      <c r="A2846" s="1">
        <v>45684</v>
      </c>
      <c r="B2846" s="2">
        <v>45684.794276122688</v>
      </c>
      <c r="C2846" t="s">
        <v>3</v>
      </c>
      <c r="D2846" t="s">
        <v>1145</v>
      </c>
      <c r="E2846">
        <v>35.76</v>
      </c>
      <c r="F2846" t="s">
        <v>7</v>
      </c>
    </row>
    <row r="2847" spans="1:6">
      <c r="A2847" s="1">
        <v>45685</v>
      </c>
      <c r="B2847" s="2">
        <v>45685.39811465278</v>
      </c>
      <c r="C2847" t="s">
        <v>3</v>
      </c>
      <c r="D2847" t="s">
        <v>1146</v>
      </c>
      <c r="E2847">
        <v>25.96</v>
      </c>
      <c r="F2847" t="s">
        <v>11</v>
      </c>
    </row>
    <row r="2848" spans="1:6">
      <c r="A2848" s="1">
        <v>45690</v>
      </c>
      <c r="B2848" s="2">
        <v>45690.455809490741</v>
      </c>
      <c r="C2848" t="s">
        <v>3</v>
      </c>
      <c r="D2848" t="s">
        <v>1146</v>
      </c>
      <c r="E2848">
        <v>35.76</v>
      </c>
      <c r="F2848" t="s">
        <v>43</v>
      </c>
    </row>
    <row r="2849" spans="1:6">
      <c r="A2849" s="1">
        <v>45690</v>
      </c>
      <c r="B2849" s="2">
        <v>45690.456687268517</v>
      </c>
      <c r="C2849" t="s">
        <v>3</v>
      </c>
      <c r="D2849" t="s">
        <v>1146</v>
      </c>
      <c r="E2849">
        <v>35.76</v>
      </c>
      <c r="F2849" t="s">
        <v>43</v>
      </c>
    </row>
    <row r="2850" spans="1:6">
      <c r="A2850" s="1">
        <v>45685</v>
      </c>
      <c r="B2850" s="2">
        <v>45685.515292048614</v>
      </c>
      <c r="C2850" t="s">
        <v>3</v>
      </c>
      <c r="D2850" t="s">
        <v>1147</v>
      </c>
      <c r="E2850">
        <v>25.96</v>
      </c>
      <c r="F2850" t="s">
        <v>11</v>
      </c>
    </row>
    <row r="2851" spans="1:6">
      <c r="A2851" s="1">
        <v>45688</v>
      </c>
      <c r="B2851" s="2">
        <v>45688.521542141207</v>
      </c>
      <c r="C2851" t="s">
        <v>3</v>
      </c>
      <c r="D2851" t="s">
        <v>1147</v>
      </c>
      <c r="E2851">
        <v>35.76</v>
      </c>
      <c r="F2851" t="s">
        <v>7</v>
      </c>
    </row>
    <row r="2852" spans="1:6">
      <c r="A2852" s="1">
        <v>45685</v>
      </c>
      <c r="B2852" s="2">
        <v>45685.679949131947</v>
      </c>
      <c r="C2852" t="s">
        <v>3</v>
      </c>
      <c r="D2852" t="s">
        <v>1148</v>
      </c>
      <c r="E2852">
        <v>35.76</v>
      </c>
      <c r="F2852" t="s">
        <v>18</v>
      </c>
    </row>
    <row r="2853" spans="1:6">
      <c r="A2853" s="1">
        <v>45685</v>
      </c>
      <c r="B2853" s="2">
        <v>45685.681072430554</v>
      </c>
      <c r="C2853" t="s">
        <v>3</v>
      </c>
      <c r="D2853" t="s">
        <v>1148</v>
      </c>
      <c r="E2853">
        <v>25.96</v>
      </c>
      <c r="F2853" t="s">
        <v>28</v>
      </c>
    </row>
    <row r="2854" spans="1:6">
      <c r="A2854" s="1">
        <v>45685</v>
      </c>
      <c r="B2854" s="2">
        <v>45685.736121898146</v>
      </c>
      <c r="C2854" t="s">
        <v>3</v>
      </c>
      <c r="D2854" t="s">
        <v>1149</v>
      </c>
      <c r="E2854">
        <v>25.96</v>
      </c>
      <c r="F2854" t="s">
        <v>11</v>
      </c>
    </row>
    <row r="2855" spans="1:6">
      <c r="A2855" s="1">
        <v>45685</v>
      </c>
      <c r="B2855" s="2">
        <v>45685.841560810186</v>
      </c>
      <c r="C2855" t="s">
        <v>3</v>
      </c>
      <c r="D2855" t="s">
        <v>1150</v>
      </c>
      <c r="E2855">
        <v>35.76</v>
      </c>
      <c r="F2855" t="s">
        <v>7</v>
      </c>
    </row>
    <row r="2856" spans="1:6">
      <c r="A2856" s="1">
        <v>45685</v>
      </c>
      <c r="B2856" s="2">
        <v>45685.842883819445</v>
      </c>
      <c r="C2856" t="s">
        <v>3</v>
      </c>
      <c r="D2856" t="s">
        <v>1151</v>
      </c>
      <c r="E2856">
        <v>35.76</v>
      </c>
      <c r="F2856" t="s">
        <v>43</v>
      </c>
    </row>
    <row r="2857" spans="1:6">
      <c r="A2857" s="1">
        <v>45686</v>
      </c>
      <c r="B2857" s="2">
        <v>45686.684453240741</v>
      </c>
      <c r="C2857" t="s">
        <v>3</v>
      </c>
      <c r="D2857" t="s">
        <v>1152</v>
      </c>
      <c r="E2857">
        <v>25.96</v>
      </c>
      <c r="F2857" t="s">
        <v>11</v>
      </c>
    </row>
    <row r="2858" spans="1:6">
      <c r="A2858" s="1">
        <v>45686</v>
      </c>
      <c r="B2858" s="2">
        <v>45686.804956689812</v>
      </c>
      <c r="C2858" t="s">
        <v>3</v>
      </c>
      <c r="D2858" t="s">
        <v>1153</v>
      </c>
      <c r="E2858">
        <v>30.86</v>
      </c>
      <c r="F2858" t="s">
        <v>14</v>
      </c>
    </row>
    <row r="2859" spans="1:6">
      <c r="A2859" s="1">
        <v>45686</v>
      </c>
      <c r="B2859" s="2">
        <v>45686.805957118057</v>
      </c>
      <c r="C2859" t="s">
        <v>3</v>
      </c>
      <c r="D2859" t="s">
        <v>1153</v>
      </c>
      <c r="E2859">
        <v>21.06</v>
      </c>
      <c r="F2859" t="s">
        <v>35</v>
      </c>
    </row>
    <row r="2860" spans="1:6">
      <c r="A2860" s="1">
        <v>45687</v>
      </c>
      <c r="B2860" s="2">
        <v>45687.529348518518</v>
      </c>
      <c r="C2860" t="s">
        <v>3</v>
      </c>
      <c r="D2860" t="s">
        <v>1154</v>
      </c>
      <c r="E2860">
        <v>35.76</v>
      </c>
      <c r="F2860" t="s">
        <v>9</v>
      </c>
    </row>
    <row r="2861" spans="1:6">
      <c r="A2861" s="1">
        <v>45687</v>
      </c>
      <c r="B2861" s="2">
        <v>45687.543064212965</v>
      </c>
      <c r="C2861" t="s">
        <v>3</v>
      </c>
      <c r="D2861" t="s">
        <v>1155</v>
      </c>
      <c r="E2861">
        <v>25.96</v>
      </c>
      <c r="F2861" t="s">
        <v>11</v>
      </c>
    </row>
    <row r="2862" spans="1:6">
      <c r="A2862" s="1">
        <v>45687</v>
      </c>
      <c r="B2862" s="2">
        <v>45687.612294872684</v>
      </c>
      <c r="C2862" t="s">
        <v>3</v>
      </c>
      <c r="D2862" t="s">
        <v>1156</v>
      </c>
      <c r="E2862">
        <v>30.86</v>
      </c>
      <c r="F2862" t="s">
        <v>14</v>
      </c>
    </row>
    <row r="2863" spans="1:6">
      <c r="A2863" s="1">
        <v>45687</v>
      </c>
      <c r="B2863" s="2">
        <v>45687.721393564818</v>
      </c>
      <c r="C2863" t="s">
        <v>3</v>
      </c>
      <c r="D2863" t="s">
        <v>1157</v>
      </c>
      <c r="E2863">
        <v>35.76</v>
      </c>
      <c r="F2863" t="s">
        <v>9</v>
      </c>
    </row>
    <row r="2864" spans="1:6">
      <c r="A2864" s="1">
        <v>45687</v>
      </c>
      <c r="B2864" s="2">
        <v>45687.779046967589</v>
      </c>
      <c r="C2864" t="s">
        <v>3</v>
      </c>
      <c r="D2864" t="s">
        <v>1158</v>
      </c>
      <c r="E2864">
        <v>25.96</v>
      </c>
      <c r="F2864" t="s">
        <v>28</v>
      </c>
    </row>
    <row r="2865" spans="1:6">
      <c r="A2865" s="1">
        <v>45688</v>
      </c>
      <c r="B2865" s="2">
        <v>45688.389015983797</v>
      </c>
      <c r="C2865" t="s">
        <v>3</v>
      </c>
      <c r="D2865" t="s">
        <v>1159</v>
      </c>
      <c r="E2865">
        <v>35.76</v>
      </c>
      <c r="F2865" t="s">
        <v>18</v>
      </c>
    </row>
    <row r="2866" spans="1:6">
      <c r="A2866" s="1">
        <v>45688</v>
      </c>
      <c r="B2866" s="2">
        <v>45688.585396655093</v>
      </c>
      <c r="C2866" t="s">
        <v>3</v>
      </c>
      <c r="D2866" t="s">
        <v>1160</v>
      </c>
      <c r="E2866">
        <v>35.76</v>
      </c>
      <c r="F2866" t="s">
        <v>43</v>
      </c>
    </row>
    <row r="2867" spans="1:6">
      <c r="A2867" s="1">
        <v>45688</v>
      </c>
      <c r="B2867" s="2">
        <v>45688.941653275462</v>
      </c>
      <c r="C2867" t="s">
        <v>3</v>
      </c>
      <c r="D2867" t="s">
        <v>1161</v>
      </c>
      <c r="E2867">
        <v>30.86</v>
      </c>
      <c r="F2867" t="s">
        <v>14</v>
      </c>
    </row>
    <row r="2868" spans="1:6">
      <c r="A2868" s="1">
        <v>45688</v>
      </c>
      <c r="B2868" s="2">
        <v>45688.942384618058</v>
      </c>
      <c r="C2868" t="s">
        <v>3</v>
      </c>
      <c r="D2868" t="s">
        <v>1162</v>
      </c>
      <c r="E2868">
        <v>25.96</v>
      </c>
      <c r="F2868" t="s">
        <v>11</v>
      </c>
    </row>
    <row r="2869" spans="1:6">
      <c r="A2869" s="1">
        <v>45689</v>
      </c>
      <c r="B2869" s="2">
        <v>45689.607857303243</v>
      </c>
      <c r="C2869" t="s">
        <v>3</v>
      </c>
      <c r="D2869" t="s">
        <v>1163</v>
      </c>
      <c r="E2869">
        <v>35.76</v>
      </c>
      <c r="F2869" t="s">
        <v>43</v>
      </c>
    </row>
    <row r="2870" spans="1:6">
      <c r="A2870" s="1">
        <v>45689</v>
      </c>
      <c r="B2870" s="2">
        <v>45689.608525578704</v>
      </c>
      <c r="C2870" t="s">
        <v>3</v>
      </c>
      <c r="D2870" t="s">
        <v>1163</v>
      </c>
      <c r="E2870">
        <v>35.76</v>
      </c>
      <c r="F2870" t="s">
        <v>43</v>
      </c>
    </row>
    <row r="2871" spans="1:6">
      <c r="A2871" s="1">
        <v>45690</v>
      </c>
      <c r="B2871" s="2">
        <v>45690.537872395835</v>
      </c>
      <c r="C2871" t="s">
        <v>3</v>
      </c>
      <c r="D2871" t="s">
        <v>1164</v>
      </c>
      <c r="E2871">
        <v>35.76</v>
      </c>
      <c r="F2871" t="s">
        <v>7</v>
      </c>
    </row>
    <row r="2872" spans="1:6">
      <c r="A2872" s="1">
        <v>45690</v>
      </c>
      <c r="B2872" s="2">
        <v>45690.538942743056</v>
      </c>
      <c r="C2872" t="s">
        <v>3</v>
      </c>
      <c r="D2872" t="s">
        <v>1165</v>
      </c>
      <c r="E2872">
        <v>35.76</v>
      </c>
      <c r="F2872" t="s">
        <v>7</v>
      </c>
    </row>
    <row r="2873" spans="1:6">
      <c r="A2873" s="1">
        <v>45690</v>
      </c>
      <c r="B2873" s="2">
        <v>45690.69927341435</v>
      </c>
      <c r="C2873" t="s">
        <v>3</v>
      </c>
      <c r="D2873" t="s">
        <v>1166</v>
      </c>
      <c r="E2873">
        <v>35.76</v>
      </c>
      <c r="F2873" t="s">
        <v>7</v>
      </c>
    </row>
    <row r="2874" spans="1:6">
      <c r="A2874" s="1">
        <v>45691</v>
      </c>
      <c r="B2874" s="2">
        <v>45691.294036921296</v>
      </c>
      <c r="C2874" t="s">
        <v>3</v>
      </c>
      <c r="D2874" t="s">
        <v>1166</v>
      </c>
      <c r="E2874">
        <v>35.76</v>
      </c>
      <c r="F2874" t="s">
        <v>43</v>
      </c>
    </row>
    <row r="2875" spans="1:6">
      <c r="A2875" s="1">
        <v>45691</v>
      </c>
      <c r="B2875" s="2">
        <v>45691.295099178242</v>
      </c>
      <c r="C2875" t="s">
        <v>3</v>
      </c>
      <c r="D2875" t="s">
        <v>1166</v>
      </c>
      <c r="E2875">
        <v>30.86</v>
      </c>
      <c r="F2875" t="s">
        <v>14</v>
      </c>
    </row>
    <row r="2876" spans="1:6">
      <c r="A2876" s="1">
        <v>45691</v>
      </c>
      <c r="B2876" s="2">
        <v>45691.336153090277</v>
      </c>
      <c r="C2876" t="s">
        <v>3</v>
      </c>
      <c r="D2876" t="s">
        <v>1166</v>
      </c>
      <c r="E2876">
        <v>21.06</v>
      </c>
      <c r="F2876" t="s">
        <v>35</v>
      </c>
    </row>
    <row r="2877" spans="1:6">
      <c r="A2877" s="1">
        <v>45693</v>
      </c>
      <c r="B2877" s="2">
        <v>45693.693770081016</v>
      </c>
      <c r="C2877" t="s">
        <v>3</v>
      </c>
      <c r="D2877" t="s">
        <v>1166</v>
      </c>
      <c r="E2877">
        <v>35.76</v>
      </c>
      <c r="F2877" t="s">
        <v>18</v>
      </c>
    </row>
    <row r="2878" spans="1:6">
      <c r="A2878" s="1">
        <v>45695</v>
      </c>
      <c r="B2878" s="2">
        <v>45695.364467222222</v>
      </c>
      <c r="C2878" t="s">
        <v>3</v>
      </c>
      <c r="D2878" t="s">
        <v>1166</v>
      </c>
      <c r="E2878">
        <v>30.86</v>
      </c>
      <c r="F2878" t="s">
        <v>14</v>
      </c>
    </row>
    <row r="2879" spans="1:6">
      <c r="A2879" s="1">
        <v>45698</v>
      </c>
      <c r="B2879" s="2">
        <v>45698.292900219909</v>
      </c>
      <c r="C2879" t="s">
        <v>3</v>
      </c>
      <c r="D2879" t="s">
        <v>1166</v>
      </c>
      <c r="E2879">
        <v>25.96</v>
      </c>
      <c r="F2879" t="s">
        <v>11</v>
      </c>
    </row>
    <row r="2880" spans="1:6">
      <c r="A2880" s="1">
        <v>45698</v>
      </c>
      <c r="B2880" s="2">
        <v>45698.350652650464</v>
      </c>
      <c r="C2880" t="s">
        <v>3</v>
      </c>
      <c r="D2880" t="s">
        <v>1166</v>
      </c>
      <c r="E2880">
        <v>25.96</v>
      </c>
      <c r="F2880" t="s">
        <v>11</v>
      </c>
    </row>
    <row r="2881" spans="1:6">
      <c r="A2881" s="1">
        <v>45701</v>
      </c>
      <c r="B2881" s="2">
        <v>45701.365243773151</v>
      </c>
      <c r="C2881" t="s">
        <v>3</v>
      </c>
      <c r="D2881" t="s">
        <v>1166</v>
      </c>
      <c r="E2881">
        <v>25.96</v>
      </c>
      <c r="F2881" t="s">
        <v>11</v>
      </c>
    </row>
    <row r="2882" spans="1:6">
      <c r="A2882" s="1">
        <v>45707</v>
      </c>
      <c r="B2882" s="2">
        <v>45707.340209270835</v>
      </c>
      <c r="C2882" t="s">
        <v>3</v>
      </c>
      <c r="D2882" t="s">
        <v>1166</v>
      </c>
      <c r="E2882">
        <v>25.96</v>
      </c>
      <c r="F2882" t="s">
        <v>11</v>
      </c>
    </row>
    <row r="2883" spans="1:6">
      <c r="A2883" s="1">
        <v>45713</v>
      </c>
      <c r="B2883" s="2">
        <v>45713.367604953703</v>
      </c>
      <c r="C2883" t="s">
        <v>3</v>
      </c>
      <c r="D2883" t="s">
        <v>1166</v>
      </c>
      <c r="E2883">
        <v>25.96</v>
      </c>
      <c r="F2883" t="s">
        <v>11</v>
      </c>
    </row>
    <row r="2884" spans="1:6">
      <c r="A2884" s="1">
        <v>45713</v>
      </c>
      <c r="B2884" s="2">
        <v>45713.368220590281</v>
      </c>
      <c r="C2884" t="s">
        <v>3</v>
      </c>
      <c r="D2884" t="s">
        <v>1166</v>
      </c>
      <c r="E2884">
        <v>30.86</v>
      </c>
      <c r="F2884" t="s">
        <v>14</v>
      </c>
    </row>
    <row r="2885" spans="1:6">
      <c r="A2885" s="1">
        <v>45713</v>
      </c>
      <c r="B2885" s="2">
        <v>45713.461422650464</v>
      </c>
      <c r="C2885" t="s">
        <v>3</v>
      </c>
      <c r="D2885" t="s">
        <v>1166</v>
      </c>
      <c r="E2885">
        <v>25.96</v>
      </c>
      <c r="F2885" t="s">
        <v>11</v>
      </c>
    </row>
    <row r="2886" spans="1:6">
      <c r="A2886" s="1">
        <v>45713</v>
      </c>
      <c r="B2886" s="2">
        <v>45713.814356875002</v>
      </c>
      <c r="C2886" t="s">
        <v>3</v>
      </c>
      <c r="D2886" t="s">
        <v>1166</v>
      </c>
      <c r="E2886">
        <v>35.76</v>
      </c>
      <c r="F2886" t="s">
        <v>43</v>
      </c>
    </row>
    <row r="2887" spans="1:6">
      <c r="A2887" s="1">
        <v>45717</v>
      </c>
      <c r="B2887" s="2">
        <v>45717.626753472221</v>
      </c>
      <c r="C2887" t="s">
        <v>3</v>
      </c>
      <c r="D2887" t="s">
        <v>1166</v>
      </c>
      <c r="E2887">
        <v>25.96</v>
      </c>
      <c r="F2887" t="s">
        <v>11</v>
      </c>
    </row>
    <row r="2888" spans="1:6">
      <c r="A2888" s="1">
        <v>45718</v>
      </c>
      <c r="B2888" s="2">
        <v>45718.640480046299</v>
      </c>
      <c r="C2888" t="s">
        <v>3</v>
      </c>
      <c r="D2888" t="s">
        <v>1166</v>
      </c>
      <c r="E2888">
        <v>30.86</v>
      </c>
      <c r="F2888" t="s">
        <v>14</v>
      </c>
    </row>
    <row r="2889" spans="1:6">
      <c r="A2889" s="1">
        <v>45718</v>
      </c>
      <c r="B2889" s="2">
        <v>45718.641154351855</v>
      </c>
      <c r="C2889" t="s">
        <v>3</v>
      </c>
      <c r="D2889" t="s">
        <v>1166</v>
      </c>
      <c r="E2889">
        <v>25.96</v>
      </c>
      <c r="F2889" t="s">
        <v>11</v>
      </c>
    </row>
    <row r="2890" spans="1:6">
      <c r="A2890" s="1">
        <v>45731</v>
      </c>
      <c r="B2890" s="2">
        <v>45731.716763414355</v>
      </c>
      <c r="C2890" t="s">
        <v>3</v>
      </c>
      <c r="D2890" t="s">
        <v>1166</v>
      </c>
      <c r="E2890">
        <v>30.86</v>
      </c>
      <c r="F2890" t="s">
        <v>14</v>
      </c>
    </row>
    <row r="2891" spans="1:6">
      <c r="A2891" s="1">
        <v>45735</v>
      </c>
      <c r="B2891" s="2">
        <v>45735.293831863426</v>
      </c>
      <c r="C2891" t="s">
        <v>3</v>
      </c>
      <c r="D2891" t="s">
        <v>1166</v>
      </c>
      <c r="E2891">
        <v>25.96</v>
      </c>
      <c r="F2891" t="s">
        <v>11</v>
      </c>
    </row>
    <row r="2892" spans="1:6">
      <c r="A2892" s="1">
        <v>45735</v>
      </c>
      <c r="B2892" s="2">
        <v>45735.702490208336</v>
      </c>
      <c r="C2892" t="s">
        <v>3</v>
      </c>
      <c r="D2892" t="s">
        <v>1166</v>
      </c>
      <c r="E2892">
        <v>25.96</v>
      </c>
      <c r="F2892" t="s">
        <v>11</v>
      </c>
    </row>
    <row r="2893" spans="1:6">
      <c r="A2893" s="1">
        <v>45736</v>
      </c>
      <c r="B2893" s="2">
        <v>45736.411166319442</v>
      </c>
      <c r="C2893" t="s">
        <v>3</v>
      </c>
      <c r="D2893" t="s">
        <v>1166</v>
      </c>
      <c r="E2893">
        <v>30.86</v>
      </c>
      <c r="F2893" t="s">
        <v>14</v>
      </c>
    </row>
    <row r="2894" spans="1:6">
      <c r="A2894" s="1">
        <v>45736</v>
      </c>
      <c r="B2894" s="2">
        <v>45736.586618877314</v>
      </c>
      <c r="C2894" t="s">
        <v>3</v>
      </c>
      <c r="D2894" t="s">
        <v>1166</v>
      </c>
      <c r="E2894">
        <v>25.96</v>
      </c>
      <c r="F2894" t="s">
        <v>11</v>
      </c>
    </row>
    <row r="2895" spans="1:6">
      <c r="A2895" s="1">
        <v>45738</v>
      </c>
      <c r="B2895" s="2">
        <v>45738.437608831016</v>
      </c>
      <c r="C2895" t="s">
        <v>3</v>
      </c>
      <c r="D2895" t="s">
        <v>1166</v>
      </c>
      <c r="E2895">
        <v>30.86</v>
      </c>
      <c r="F2895" t="s">
        <v>14</v>
      </c>
    </row>
    <row r="2896" spans="1:6">
      <c r="A2896" s="1">
        <v>45691</v>
      </c>
      <c r="B2896" s="2">
        <v>45691.339687118052</v>
      </c>
      <c r="C2896" t="s">
        <v>3</v>
      </c>
      <c r="D2896" t="s">
        <v>1167</v>
      </c>
      <c r="E2896">
        <v>30.86</v>
      </c>
      <c r="F2896" t="s">
        <v>14</v>
      </c>
    </row>
    <row r="2897" spans="1:6">
      <c r="A2897" s="1">
        <v>45696</v>
      </c>
      <c r="B2897" s="2">
        <v>45696.45575335648</v>
      </c>
      <c r="C2897" t="s">
        <v>3</v>
      </c>
      <c r="D2897" t="s">
        <v>1167</v>
      </c>
      <c r="E2897">
        <v>30.86</v>
      </c>
      <c r="F2897" t="s">
        <v>14</v>
      </c>
    </row>
    <row r="2898" spans="1:6">
      <c r="A2898" s="1">
        <v>45698</v>
      </c>
      <c r="B2898" s="2">
        <v>45698.46647013889</v>
      </c>
      <c r="C2898" t="s">
        <v>3</v>
      </c>
      <c r="D2898" t="s">
        <v>1167</v>
      </c>
      <c r="E2898">
        <v>30.86</v>
      </c>
      <c r="F2898" t="s">
        <v>14</v>
      </c>
    </row>
    <row r="2899" spans="1:6">
      <c r="A2899" s="1">
        <v>45700</v>
      </c>
      <c r="B2899" s="2">
        <v>45700.388725694444</v>
      </c>
      <c r="C2899" t="s">
        <v>3</v>
      </c>
      <c r="D2899" t="s">
        <v>1167</v>
      </c>
      <c r="E2899">
        <v>30.86</v>
      </c>
      <c r="F2899" t="s">
        <v>14</v>
      </c>
    </row>
    <row r="2900" spans="1:6">
      <c r="A2900" s="1">
        <v>45701</v>
      </c>
      <c r="B2900" s="2">
        <v>45701.318610034723</v>
      </c>
      <c r="C2900" t="s">
        <v>3</v>
      </c>
      <c r="D2900" t="s">
        <v>1167</v>
      </c>
      <c r="E2900">
        <v>30.86</v>
      </c>
      <c r="F2900" t="s">
        <v>14</v>
      </c>
    </row>
    <row r="2901" spans="1:6">
      <c r="A2901" s="1">
        <v>45713</v>
      </c>
      <c r="B2901" s="2">
        <v>45713.333787696756</v>
      </c>
      <c r="C2901" t="s">
        <v>3</v>
      </c>
      <c r="D2901" t="s">
        <v>1167</v>
      </c>
      <c r="E2901">
        <v>30.86</v>
      </c>
      <c r="F2901" t="s">
        <v>14</v>
      </c>
    </row>
    <row r="2902" spans="1:6">
      <c r="A2902" s="1">
        <v>45722</v>
      </c>
      <c r="B2902" s="2">
        <v>45722.807068506947</v>
      </c>
      <c r="C2902" t="s">
        <v>3</v>
      </c>
      <c r="D2902" t="s">
        <v>1167</v>
      </c>
      <c r="E2902">
        <v>30.86</v>
      </c>
      <c r="F2902" t="s">
        <v>14</v>
      </c>
    </row>
    <row r="2903" spans="1:6">
      <c r="A2903" s="1">
        <v>45725</v>
      </c>
      <c r="B2903" s="2">
        <v>45725.633812546293</v>
      </c>
      <c r="C2903" t="s">
        <v>3</v>
      </c>
      <c r="D2903" t="s">
        <v>1167</v>
      </c>
      <c r="E2903">
        <v>35.76</v>
      </c>
      <c r="F2903" t="s">
        <v>43</v>
      </c>
    </row>
    <row r="2904" spans="1:6">
      <c r="A2904" s="1">
        <v>45726</v>
      </c>
      <c r="B2904" s="2">
        <v>45726.379486261576</v>
      </c>
      <c r="C2904" t="s">
        <v>3</v>
      </c>
      <c r="D2904" t="s">
        <v>1167</v>
      </c>
      <c r="E2904">
        <v>30.86</v>
      </c>
      <c r="F2904" t="s">
        <v>14</v>
      </c>
    </row>
    <row r="2905" spans="1:6">
      <c r="A2905" s="1">
        <v>45729</v>
      </c>
      <c r="B2905" s="2">
        <v>45729.349507824074</v>
      </c>
      <c r="C2905" t="s">
        <v>3</v>
      </c>
      <c r="D2905" t="s">
        <v>1167</v>
      </c>
      <c r="E2905">
        <v>30.86</v>
      </c>
      <c r="F2905" t="s">
        <v>14</v>
      </c>
    </row>
    <row r="2906" spans="1:6">
      <c r="A2906" s="1">
        <v>45733</v>
      </c>
      <c r="B2906" s="2">
        <v>45733.377071226852</v>
      </c>
      <c r="C2906" t="s">
        <v>3</v>
      </c>
      <c r="D2906" t="s">
        <v>1167</v>
      </c>
      <c r="E2906">
        <v>30.86</v>
      </c>
      <c r="F2906" t="s">
        <v>14</v>
      </c>
    </row>
    <row r="2907" spans="1:6">
      <c r="A2907" s="1">
        <v>45691</v>
      </c>
      <c r="B2907" s="2">
        <v>45691.427529745371</v>
      </c>
      <c r="C2907" t="s">
        <v>3</v>
      </c>
      <c r="D2907" t="s">
        <v>1168</v>
      </c>
      <c r="E2907">
        <v>25.96</v>
      </c>
      <c r="F2907" t="s">
        <v>11</v>
      </c>
    </row>
    <row r="2908" spans="1:6">
      <c r="A2908" s="1">
        <v>45691</v>
      </c>
      <c r="B2908" s="2">
        <v>45691.432157592593</v>
      </c>
      <c r="C2908" t="s">
        <v>3</v>
      </c>
      <c r="D2908" t="s">
        <v>1169</v>
      </c>
      <c r="E2908">
        <v>35.76</v>
      </c>
      <c r="F2908" t="s">
        <v>43</v>
      </c>
    </row>
    <row r="2909" spans="1:6">
      <c r="A2909" s="1">
        <v>45714</v>
      </c>
      <c r="B2909" s="2">
        <v>45714.428438553237</v>
      </c>
      <c r="C2909" t="s">
        <v>3</v>
      </c>
      <c r="D2909" t="s">
        <v>1169</v>
      </c>
      <c r="E2909">
        <v>35.76</v>
      </c>
      <c r="F2909" t="s">
        <v>9</v>
      </c>
    </row>
    <row r="2910" spans="1:6">
      <c r="A2910" s="1">
        <v>45723</v>
      </c>
      <c r="B2910" s="2">
        <v>45723.423587164354</v>
      </c>
      <c r="C2910" t="s">
        <v>3</v>
      </c>
      <c r="D2910" t="s">
        <v>1169</v>
      </c>
      <c r="E2910">
        <v>35.76</v>
      </c>
      <c r="F2910" t="s">
        <v>9</v>
      </c>
    </row>
    <row r="2911" spans="1:6">
      <c r="A2911" s="1">
        <v>45691</v>
      </c>
      <c r="B2911" s="2">
        <v>45691.451373263888</v>
      </c>
      <c r="C2911" t="s">
        <v>3</v>
      </c>
      <c r="D2911" t="s">
        <v>1170</v>
      </c>
      <c r="E2911">
        <v>30.86</v>
      </c>
      <c r="F2911" t="s">
        <v>14</v>
      </c>
    </row>
    <row r="2912" spans="1:6">
      <c r="A2912" s="1">
        <v>45693</v>
      </c>
      <c r="B2912" s="2">
        <v>45693.362621666667</v>
      </c>
      <c r="C2912" t="s">
        <v>3</v>
      </c>
      <c r="D2912" t="s">
        <v>1170</v>
      </c>
      <c r="E2912">
        <v>30.86</v>
      </c>
      <c r="F2912" t="s">
        <v>14</v>
      </c>
    </row>
    <row r="2913" spans="1:6">
      <c r="A2913" s="1">
        <v>45699</v>
      </c>
      <c r="B2913" s="2">
        <v>45699.664466064816</v>
      </c>
      <c r="C2913" t="s">
        <v>3</v>
      </c>
      <c r="D2913" t="s">
        <v>1170</v>
      </c>
      <c r="E2913">
        <v>35.76</v>
      </c>
      <c r="F2913" t="s">
        <v>9</v>
      </c>
    </row>
    <row r="2914" spans="1:6">
      <c r="A2914" s="1">
        <v>45701</v>
      </c>
      <c r="B2914" s="2">
        <v>45701.437183506947</v>
      </c>
      <c r="C2914" t="s">
        <v>3</v>
      </c>
      <c r="D2914" t="s">
        <v>1170</v>
      </c>
      <c r="E2914">
        <v>30.86</v>
      </c>
      <c r="F2914" t="s">
        <v>14</v>
      </c>
    </row>
    <row r="2915" spans="1:6">
      <c r="A2915" s="1">
        <v>45704</v>
      </c>
      <c r="B2915" s="2">
        <v>45704.461665439812</v>
      </c>
      <c r="C2915" t="s">
        <v>3</v>
      </c>
      <c r="D2915" t="s">
        <v>1170</v>
      </c>
      <c r="E2915">
        <v>35.76</v>
      </c>
      <c r="F2915" t="s">
        <v>9</v>
      </c>
    </row>
    <row r="2916" spans="1:6">
      <c r="A2916" s="1">
        <v>45708</v>
      </c>
      <c r="B2916" s="2">
        <v>45708.670711967592</v>
      </c>
      <c r="C2916" t="s">
        <v>3</v>
      </c>
      <c r="D2916" t="s">
        <v>1170</v>
      </c>
      <c r="E2916">
        <v>35.76</v>
      </c>
      <c r="F2916" t="s">
        <v>43</v>
      </c>
    </row>
    <row r="2917" spans="1:6">
      <c r="A2917" s="1">
        <v>45711</v>
      </c>
      <c r="B2917" s="2">
        <v>45711.439716631947</v>
      </c>
      <c r="C2917" t="s">
        <v>3</v>
      </c>
      <c r="D2917" t="s">
        <v>1170</v>
      </c>
      <c r="E2917">
        <v>30.86</v>
      </c>
      <c r="F2917" t="s">
        <v>14</v>
      </c>
    </row>
    <row r="2918" spans="1:6">
      <c r="A2918" s="1">
        <v>45711</v>
      </c>
      <c r="B2918" s="2">
        <v>45711.584762048609</v>
      </c>
      <c r="C2918" t="s">
        <v>3</v>
      </c>
      <c r="D2918" t="s">
        <v>1170</v>
      </c>
      <c r="E2918">
        <v>35.76</v>
      </c>
      <c r="F2918" t="s">
        <v>18</v>
      </c>
    </row>
    <row r="2919" spans="1:6">
      <c r="A2919" s="1">
        <v>45712</v>
      </c>
      <c r="B2919" s="2">
        <v>45712.843649340277</v>
      </c>
      <c r="C2919" t="s">
        <v>3</v>
      </c>
      <c r="D2919" t="s">
        <v>1170</v>
      </c>
      <c r="E2919">
        <v>35.76</v>
      </c>
      <c r="F2919" t="s">
        <v>18</v>
      </c>
    </row>
    <row r="2920" spans="1:6">
      <c r="A2920" s="1">
        <v>45716</v>
      </c>
      <c r="B2920" s="2">
        <v>45716.68226134259</v>
      </c>
      <c r="C2920" t="s">
        <v>3</v>
      </c>
      <c r="D2920" t="s">
        <v>1170</v>
      </c>
      <c r="E2920">
        <v>35.76</v>
      </c>
      <c r="F2920" t="s">
        <v>18</v>
      </c>
    </row>
    <row r="2921" spans="1:6">
      <c r="A2921" s="1">
        <v>45691</v>
      </c>
      <c r="B2921" s="2">
        <v>45691.559051724536</v>
      </c>
      <c r="C2921" t="s">
        <v>3</v>
      </c>
      <c r="D2921" t="s">
        <v>1171</v>
      </c>
      <c r="E2921">
        <v>35.76</v>
      </c>
      <c r="F2921" t="s">
        <v>43</v>
      </c>
    </row>
    <row r="2922" spans="1:6">
      <c r="A2922" s="1">
        <v>45692</v>
      </c>
      <c r="B2922" s="2">
        <v>45692.759511481483</v>
      </c>
      <c r="C2922" t="s">
        <v>3</v>
      </c>
      <c r="D2922" t="s">
        <v>1171</v>
      </c>
      <c r="E2922">
        <v>30.86</v>
      </c>
      <c r="F2922" t="s">
        <v>14</v>
      </c>
    </row>
    <row r="2923" spans="1:6">
      <c r="A2923" s="1">
        <v>45693</v>
      </c>
      <c r="B2923" s="2">
        <v>45693.767700486111</v>
      </c>
      <c r="C2923" t="s">
        <v>3</v>
      </c>
      <c r="D2923" t="s">
        <v>1171</v>
      </c>
      <c r="E2923">
        <v>30.86</v>
      </c>
      <c r="F2923" t="s">
        <v>14</v>
      </c>
    </row>
    <row r="2924" spans="1:6">
      <c r="A2924" s="1">
        <v>45697</v>
      </c>
      <c r="B2924" s="2">
        <v>45697.438300752314</v>
      </c>
      <c r="C2924" t="s">
        <v>3</v>
      </c>
      <c r="D2924" t="s">
        <v>1171</v>
      </c>
      <c r="E2924">
        <v>30.86</v>
      </c>
      <c r="F2924" t="s">
        <v>14</v>
      </c>
    </row>
    <row r="2925" spans="1:6">
      <c r="A2925" s="1">
        <v>45698</v>
      </c>
      <c r="B2925" s="2">
        <v>45698.768918946756</v>
      </c>
      <c r="C2925" t="s">
        <v>3</v>
      </c>
      <c r="D2925" t="s">
        <v>1171</v>
      </c>
      <c r="E2925">
        <v>30.86</v>
      </c>
      <c r="F2925" t="s">
        <v>14</v>
      </c>
    </row>
    <row r="2926" spans="1:6">
      <c r="A2926" s="1">
        <v>45701</v>
      </c>
      <c r="B2926" s="2">
        <v>45701.457951944445</v>
      </c>
      <c r="C2926" t="s">
        <v>3</v>
      </c>
      <c r="D2926" t="s">
        <v>1171</v>
      </c>
      <c r="E2926">
        <v>30.86</v>
      </c>
      <c r="F2926" t="s">
        <v>14</v>
      </c>
    </row>
    <row r="2927" spans="1:6">
      <c r="A2927" s="1">
        <v>45717</v>
      </c>
      <c r="B2927" s="2">
        <v>45717.630789618059</v>
      </c>
      <c r="C2927" t="s">
        <v>3</v>
      </c>
      <c r="D2927" t="s">
        <v>1171</v>
      </c>
      <c r="E2927">
        <v>30.86</v>
      </c>
      <c r="F2927" t="s">
        <v>14</v>
      </c>
    </row>
    <row r="2928" spans="1:6">
      <c r="A2928" s="1">
        <v>45723</v>
      </c>
      <c r="B2928" s="2">
        <v>45723.502618599538</v>
      </c>
      <c r="C2928" t="s">
        <v>3</v>
      </c>
      <c r="D2928" t="s">
        <v>1171</v>
      </c>
      <c r="E2928">
        <v>30.86</v>
      </c>
      <c r="F2928" t="s">
        <v>14</v>
      </c>
    </row>
    <row r="2929" spans="1:6">
      <c r="A2929" s="1">
        <v>45726</v>
      </c>
      <c r="B2929" s="2">
        <v>45726.810218460647</v>
      </c>
      <c r="C2929" t="s">
        <v>3</v>
      </c>
      <c r="D2929" t="s">
        <v>1171</v>
      </c>
      <c r="E2929">
        <v>30.86</v>
      </c>
      <c r="F2929" t="s">
        <v>14</v>
      </c>
    </row>
    <row r="2930" spans="1:6">
      <c r="A2930" s="1">
        <v>45727</v>
      </c>
      <c r="B2930" s="2">
        <v>45727.789492037038</v>
      </c>
      <c r="C2930" t="s">
        <v>3</v>
      </c>
      <c r="D2930" t="s">
        <v>1171</v>
      </c>
      <c r="E2930">
        <v>30.86</v>
      </c>
      <c r="F2930" t="s">
        <v>14</v>
      </c>
    </row>
    <row r="2931" spans="1:6">
      <c r="A2931" s="1">
        <v>45691</v>
      </c>
      <c r="B2931" s="2">
        <v>45691.56451009259</v>
      </c>
      <c r="C2931" t="s">
        <v>3</v>
      </c>
      <c r="D2931" t="s">
        <v>1172</v>
      </c>
      <c r="E2931">
        <v>35.76</v>
      </c>
      <c r="F2931" t="s">
        <v>43</v>
      </c>
    </row>
    <row r="2932" spans="1:6">
      <c r="A2932" s="1">
        <v>45694</v>
      </c>
      <c r="B2932" s="2">
        <v>45694.624565069447</v>
      </c>
      <c r="C2932" t="s">
        <v>3</v>
      </c>
      <c r="D2932" t="s">
        <v>1172</v>
      </c>
      <c r="E2932">
        <v>35.76</v>
      </c>
      <c r="F2932" t="s">
        <v>43</v>
      </c>
    </row>
    <row r="2933" spans="1:6">
      <c r="A2933" s="1">
        <v>45694</v>
      </c>
      <c r="B2933" s="2">
        <v>45694.828618912034</v>
      </c>
      <c r="C2933" t="s">
        <v>3</v>
      </c>
      <c r="D2933" t="s">
        <v>1172</v>
      </c>
      <c r="E2933">
        <v>35.76</v>
      </c>
      <c r="F2933" t="s">
        <v>43</v>
      </c>
    </row>
    <row r="2934" spans="1:6">
      <c r="A2934" s="1">
        <v>45700</v>
      </c>
      <c r="B2934" s="2">
        <v>45700.886854999997</v>
      </c>
      <c r="C2934" t="s">
        <v>3</v>
      </c>
      <c r="D2934" t="s">
        <v>1172</v>
      </c>
      <c r="E2934">
        <v>35.76</v>
      </c>
      <c r="F2934" t="s">
        <v>43</v>
      </c>
    </row>
    <row r="2935" spans="1:6">
      <c r="A2935" s="1">
        <v>45707</v>
      </c>
      <c r="B2935" s="2">
        <v>45707.660217766206</v>
      </c>
      <c r="C2935" t="s">
        <v>3</v>
      </c>
      <c r="D2935" t="s">
        <v>1172</v>
      </c>
      <c r="E2935">
        <v>35.76</v>
      </c>
      <c r="F2935" t="s">
        <v>43</v>
      </c>
    </row>
    <row r="2936" spans="1:6">
      <c r="A2936" s="1">
        <v>45707</v>
      </c>
      <c r="B2936" s="2">
        <v>45707.732512685187</v>
      </c>
      <c r="C2936" t="s">
        <v>3</v>
      </c>
      <c r="D2936" t="s">
        <v>1172</v>
      </c>
      <c r="E2936">
        <v>35.76</v>
      </c>
      <c r="F2936" t="s">
        <v>43</v>
      </c>
    </row>
    <row r="2937" spans="1:6">
      <c r="A2937" s="1">
        <v>45719</v>
      </c>
      <c r="B2937" s="2">
        <v>45719.694783611114</v>
      </c>
      <c r="C2937" t="s">
        <v>3</v>
      </c>
      <c r="D2937" t="s">
        <v>1172</v>
      </c>
      <c r="E2937">
        <v>35.76</v>
      </c>
      <c r="F2937" t="s">
        <v>43</v>
      </c>
    </row>
    <row r="2938" spans="1:6">
      <c r="A2938" s="1">
        <v>45719</v>
      </c>
      <c r="B2938" s="2">
        <v>45719.69609503472</v>
      </c>
      <c r="C2938" t="s">
        <v>3</v>
      </c>
      <c r="D2938" t="s">
        <v>1172</v>
      </c>
      <c r="E2938">
        <v>35.76</v>
      </c>
      <c r="F2938" t="s">
        <v>43</v>
      </c>
    </row>
    <row r="2939" spans="1:6">
      <c r="A2939" s="1">
        <v>45721</v>
      </c>
      <c r="B2939" s="2">
        <v>45721.759339918979</v>
      </c>
      <c r="C2939" t="s">
        <v>3</v>
      </c>
      <c r="D2939" t="s">
        <v>1172</v>
      </c>
      <c r="E2939">
        <v>35.76</v>
      </c>
      <c r="F2939" t="s">
        <v>43</v>
      </c>
    </row>
    <row r="2940" spans="1:6">
      <c r="A2940" s="1">
        <v>45722</v>
      </c>
      <c r="B2940" s="2">
        <v>45722.768885694444</v>
      </c>
      <c r="C2940" t="s">
        <v>3</v>
      </c>
      <c r="D2940" t="s">
        <v>1172</v>
      </c>
      <c r="E2940">
        <v>35.76</v>
      </c>
      <c r="F2940" t="s">
        <v>43</v>
      </c>
    </row>
    <row r="2941" spans="1:6">
      <c r="A2941" s="1">
        <v>45728</v>
      </c>
      <c r="B2941" s="2">
        <v>45728.777044537041</v>
      </c>
      <c r="C2941" t="s">
        <v>3</v>
      </c>
      <c r="D2941" t="s">
        <v>1172</v>
      </c>
      <c r="E2941">
        <v>35.76</v>
      </c>
      <c r="F2941" t="s">
        <v>43</v>
      </c>
    </row>
    <row r="2942" spans="1:6">
      <c r="A2942" s="1">
        <v>45729</v>
      </c>
      <c r="B2942" s="2">
        <v>45729.783144039349</v>
      </c>
      <c r="C2942" t="s">
        <v>3</v>
      </c>
      <c r="D2942" t="s">
        <v>1172</v>
      </c>
      <c r="E2942">
        <v>35.76</v>
      </c>
      <c r="F2942" t="s">
        <v>43</v>
      </c>
    </row>
    <row r="2943" spans="1:6">
      <c r="A2943" s="1">
        <v>45731</v>
      </c>
      <c r="B2943" s="2">
        <v>45731.419010902777</v>
      </c>
      <c r="C2943" t="s">
        <v>3</v>
      </c>
      <c r="D2943" t="s">
        <v>1172</v>
      </c>
      <c r="E2943">
        <v>35.76</v>
      </c>
      <c r="F2943" t="s">
        <v>43</v>
      </c>
    </row>
    <row r="2944" spans="1:6">
      <c r="A2944" s="1">
        <v>45733</v>
      </c>
      <c r="B2944" s="2">
        <v>45733.632838981481</v>
      </c>
      <c r="C2944" t="s">
        <v>3</v>
      </c>
      <c r="D2944" t="s">
        <v>1172</v>
      </c>
      <c r="E2944">
        <v>35.76</v>
      </c>
      <c r="F2944" t="s">
        <v>43</v>
      </c>
    </row>
    <row r="2945" spans="1:6">
      <c r="A2945" s="1">
        <v>45735</v>
      </c>
      <c r="B2945" s="2">
        <v>45735.694835254631</v>
      </c>
      <c r="C2945" t="s">
        <v>3</v>
      </c>
      <c r="D2945" t="s">
        <v>1172</v>
      </c>
      <c r="E2945">
        <v>35.76</v>
      </c>
      <c r="F2945" t="s">
        <v>43</v>
      </c>
    </row>
    <row r="2946" spans="1:6">
      <c r="A2946" s="1">
        <v>45735</v>
      </c>
      <c r="B2946" s="2">
        <v>45735.696018923612</v>
      </c>
      <c r="C2946" t="s">
        <v>3</v>
      </c>
      <c r="D2946" t="s">
        <v>1172</v>
      </c>
      <c r="E2946">
        <v>35.76</v>
      </c>
      <c r="F2946" t="s">
        <v>43</v>
      </c>
    </row>
    <row r="2947" spans="1:6">
      <c r="A2947" s="1">
        <v>45736</v>
      </c>
      <c r="B2947" s="2">
        <v>45736.698437175924</v>
      </c>
      <c r="C2947" t="s">
        <v>3</v>
      </c>
      <c r="D2947" t="s">
        <v>1172</v>
      </c>
      <c r="E2947">
        <v>35.76</v>
      </c>
      <c r="F2947" t="s">
        <v>43</v>
      </c>
    </row>
    <row r="2948" spans="1:6">
      <c r="A2948" s="1">
        <v>45736</v>
      </c>
      <c r="B2948" s="2">
        <v>45736.831811099539</v>
      </c>
      <c r="C2948" t="s">
        <v>3</v>
      </c>
      <c r="D2948" t="s">
        <v>1172</v>
      </c>
      <c r="E2948">
        <v>35.76</v>
      </c>
      <c r="F2948" t="s">
        <v>43</v>
      </c>
    </row>
    <row r="2949" spans="1:6">
      <c r="A2949" s="1">
        <v>45737</v>
      </c>
      <c r="B2949" s="2">
        <v>45737.591482118056</v>
      </c>
      <c r="C2949" t="s">
        <v>3</v>
      </c>
      <c r="D2949" t="s">
        <v>1172</v>
      </c>
      <c r="E2949">
        <v>35.76</v>
      </c>
      <c r="F2949" t="s">
        <v>43</v>
      </c>
    </row>
    <row r="2950" spans="1:6">
      <c r="A2950" s="1">
        <v>45739</v>
      </c>
      <c r="B2950" s="2">
        <v>45739.440913124999</v>
      </c>
      <c r="C2950" t="s">
        <v>3</v>
      </c>
      <c r="D2950" t="s">
        <v>1172</v>
      </c>
      <c r="E2950">
        <v>35.76</v>
      </c>
      <c r="F2950" t="s">
        <v>43</v>
      </c>
    </row>
    <row r="2951" spans="1:6">
      <c r="A2951" s="1">
        <v>45691</v>
      </c>
      <c r="B2951" s="2">
        <v>45691.57712130787</v>
      </c>
      <c r="C2951" t="s">
        <v>3</v>
      </c>
      <c r="D2951" t="s">
        <v>1173</v>
      </c>
      <c r="E2951">
        <v>25.96</v>
      </c>
      <c r="F2951" t="s">
        <v>11</v>
      </c>
    </row>
    <row r="2952" spans="1:6">
      <c r="A2952" s="1">
        <v>45691</v>
      </c>
      <c r="B2952" s="2">
        <v>45691.587922673614</v>
      </c>
      <c r="C2952" t="s">
        <v>3</v>
      </c>
      <c r="D2952" t="s">
        <v>1174</v>
      </c>
      <c r="E2952">
        <v>25.96</v>
      </c>
      <c r="F2952" t="s">
        <v>11</v>
      </c>
    </row>
    <row r="2953" spans="1:6">
      <c r="A2953" s="1">
        <v>45691</v>
      </c>
      <c r="B2953" s="2">
        <v>45691.70933878472</v>
      </c>
      <c r="C2953" t="s">
        <v>3</v>
      </c>
      <c r="D2953" t="s">
        <v>1174</v>
      </c>
      <c r="E2953">
        <v>35.76</v>
      </c>
      <c r="F2953" t="s">
        <v>18</v>
      </c>
    </row>
    <row r="2954" spans="1:6">
      <c r="A2954" s="1">
        <v>45692</v>
      </c>
      <c r="B2954" s="2">
        <v>45692.546979375002</v>
      </c>
      <c r="C2954" t="s">
        <v>3</v>
      </c>
      <c r="D2954" t="s">
        <v>1174</v>
      </c>
      <c r="E2954">
        <v>25.96</v>
      </c>
      <c r="F2954" t="s">
        <v>28</v>
      </c>
    </row>
    <row r="2955" spans="1:6">
      <c r="A2955" s="1">
        <v>45700</v>
      </c>
      <c r="B2955" s="2">
        <v>45700.570598645834</v>
      </c>
      <c r="C2955" t="s">
        <v>3</v>
      </c>
      <c r="D2955" t="s">
        <v>1174</v>
      </c>
      <c r="E2955">
        <v>35.76</v>
      </c>
      <c r="F2955" t="s">
        <v>9</v>
      </c>
    </row>
    <row r="2956" spans="1:6">
      <c r="A2956" s="1">
        <v>45700</v>
      </c>
      <c r="B2956" s="2">
        <v>45700.675675648148</v>
      </c>
      <c r="C2956" t="s">
        <v>3</v>
      </c>
      <c r="D2956" t="s">
        <v>1174</v>
      </c>
      <c r="E2956">
        <v>25.96</v>
      </c>
      <c r="F2956" t="s">
        <v>11</v>
      </c>
    </row>
    <row r="2957" spans="1:6">
      <c r="A2957" s="1">
        <v>45700</v>
      </c>
      <c r="B2957" s="2">
        <v>45700.684820983799</v>
      </c>
      <c r="C2957" t="s">
        <v>3</v>
      </c>
      <c r="D2957" t="s">
        <v>1174</v>
      </c>
      <c r="E2957">
        <v>25.96</v>
      </c>
      <c r="F2957" t="s">
        <v>11</v>
      </c>
    </row>
    <row r="2958" spans="1:6">
      <c r="A2958" s="1">
        <v>45702</v>
      </c>
      <c r="B2958" s="2">
        <v>45702.710602638886</v>
      </c>
      <c r="C2958" t="s">
        <v>3</v>
      </c>
      <c r="D2958" t="s">
        <v>1174</v>
      </c>
      <c r="E2958">
        <v>25.96</v>
      </c>
      <c r="F2958" t="s">
        <v>11</v>
      </c>
    </row>
    <row r="2959" spans="1:6">
      <c r="A2959" s="1">
        <v>45702</v>
      </c>
      <c r="B2959" s="2">
        <v>45702.711452650467</v>
      </c>
      <c r="C2959" t="s">
        <v>3</v>
      </c>
      <c r="D2959" t="s">
        <v>1174</v>
      </c>
      <c r="E2959">
        <v>35.76</v>
      </c>
      <c r="F2959" t="s">
        <v>18</v>
      </c>
    </row>
    <row r="2960" spans="1:6">
      <c r="A2960" s="1">
        <v>45704</v>
      </c>
      <c r="B2960" s="2">
        <v>45704.480891840278</v>
      </c>
      <c r="C2960" t="s">
        <v>3</v>
      </c>
      <c r="D2960" t="s">
        <v>1174</v>
      </c>
      <c r="E2960">
        <v>25.96</v>
      </c>
      <c r="F2960" t="s">
        <v>11</v>
      </c>
    </row>
    <row r="2961" spans="1:6">
      <c r="A2961" s="1">
        <v>45705</v>
      </c>
      <c r="B2961" s="2">
        <v>45705.375638275465</v>
      </c>
      <c r="C2961" t="s">
        <v>3</v>
      </c>
      <c r="D2961" t="s">
        <v>1174</v>
      </c>
      <c r="E2961">
        <v>25.96</v>
      </c>
      <c r="F2961" t="s">
        <v>11</v>
      </c>
    </row>
    <row r="2962" spans="1:6">
      <c r="A2962" s="1">
        <v>45705</v>
      </c>
      <c r="B2962" s="2">
        <v>45705.447777835645</v>
      </c>
      <c r="C2962" t="s">
        <v>3</v>
      </c>
      <c r="D2962" t="s">
        <v>1174</v>
      </c>
      <c r="E2962">
        <v>25.96</v>
      </c>
      <c r="F2962" t="s">
        <v>11</v>
      </c>
    </row>
    <row r="2963" spans="1:6">
      <c r="A2963" s="1">
        <v>45691</v>
      </c>
      <c r="B2963" s="2">
        <v>45691.626210798611</v>
      </c>
      <c r="C2963" t="s">
        <v>3</v>
      </c>
      <c r="D2963" t="s">
        <v>1175</v>
      </c>
      <c r="E2963">
        <v>35.76</v>
      </c>
      <c r="F2963" t="s">
        <v>7</v>
      </c>
    </row>
    <row r="2964" spans="1:6">
      <c r="A2964" s="1">
        <v>45693</v>
      </c>
      <c r="B2964" s="2">
        <v>45693.623526678239</v>
      </c>
      <c r="C2964" t="s">
        <v>3</v>
      </c>
      <c r="D2964" t="s">
        <v>1175</v>
      </c>
      <c r="E2964">
        <v>35.76</v>
      </c>
      <c r="F2964" t="s">
        <v>43</v>
      </c>
    </row>
    <row r="2965" spans="1:6">
      <c r="A2965" s="1">
        <v>45695</v>
      </c>
      <c r="B2965" s="2">
        <v>45695.854825671297</v>
      </c>
      <c r="C2965" t="s">
        <v>3</v>
      </c>
      <c r="D2965" t="s">
        <v>1175</v>
      </c>
      <c r="E2965">
        <v>25.96</v>
      </c>
      <c r="F2965" t="s">
        <v>28</v>
      </c>
    </row>
    <row r="2966" spans="1:6">
      <c r="A2966" s="1">
        <v>45697</v>
      </c>
      <c r="B2966" s="2">
        <v>45697.367640173608</v>
      </c>
      <c r="C2966" t="s">
        <v>3</v>
      </c>
      <c r="D2966" t="s">
        <v>1175</v>
      </c>
      <c r="E2966">
        <v>35.76</v>
      </c>
      <c r="F2966" t="s">
        <v>18</v>
      </c>
    </row>
    <row r="2967" spans="1:6">
      <c r="A2967" s="1">
        <v>45697</v>
      </c>
      <c r="B2967" s="2">
        <v>45697.680773437503</v>
      </c>
      <c r="C2967" t="s">
        <v>3</v>
      </c>
      <c r="D2967" t="s">
        <v>1175</v>
      </c>
      <c r="E2967">
        <v>25.96</v>
      </c>
      <c r="F2967" t="s">
        <v>28</v>
      </c>
    </row>
    <row r="2968" spans="1:6">
      <c r="A2968" s="1">
        <v>45707</v>
      </c>
      <c r="B2968" s="2">
        <v>45707.339501747687</v>
      </c>
      <c r="C2968" t="s">
        <v>3</v>
      </c>
      <c r="D2968" t="s">
        <v>1175</v>
      </c>
      <c r="E2968">
        <v>35.76</v>
      </c>
      <c r="F2968" t="s">
        <v>43</v>
      </c>
    </row>
    <row r="2969" spans="1:6">
      <c r="A2969" s="1">
        <v>45708</v>
      </c>
      <c r="B2969" s="2">
        <v>45708.330839988426</v>
      </c>
      <c r="C2969" t="s">
        <v>3</v>
      </c>
      <c r="D2969" t="s">
        <v>1175</v>
      </c>
      <c r="E2969">
        <v>35.76</v>
      </c>
      <c r="F2969" t="s">
        <v>43</v>
      </c>
    </row>
    <row r="2970" spans="1:6">
      <c r="A2970" s="1">
        <v>45709</v>
      </c>
      <c r="B2970" s="2">
        <v>45709.637861886571</v>
      </c>
      <c r="C2970" t="s">
        <v>3</v>
      </c>
      <c r="D2970" t="s">
        <v>1175</v>
      </c>
      <c r="E2970">
        <v>35.76</v>
      </c>
      <c r="F2970" t="s">
        <v>43</v>
      </c>
    </row>
    <row r="2971" spans="1:6">
      <c r="A2971" s="1">
        <v>45713</v>
      </c>
      <c r="B2971" s="2">
        <v>45713.593270150464</v>
      </c>
      <c r="C2971" t="s">
        <v>3</v>
      </c>
      <c r="D2971" t="s">
        <v>1175</v>
      </c>
      <c r="E2971">
        <v>35.76</v>
      </c>
      <c r="F2971" t="s">
        <v>43</v>
      </c>
    </row>
    <row r="2972" spans="1:6">
      <c r="A2972" s="1">
        <v>45715</v>
      </c>
      <c r="B2972" s="2">
        <v>45715.306256747688</v>
      </c>
      <c r="C2972" t="s">
        <v>3</v>
      </c>
      <c r="D2972" t="s">
        <v>1175</v>
      </c>
      <c r="E2972">
        <v>35.76</v>
      </c>
      <c r="F2972" t="s">
        <v>43</v>
      </c>
    </row>
    <row r="2973" spans="1:6">
      <c r="A2973" s="1">
        <v>45716</v>
      </c>
      <c r="B2973" s="2">
        <v>45716.304593981484</v>
      </c>
      <c r="C2973" t="s">
        <v>3</v>
      </c>
      <c r="D2973" t="s">
        <v>1175</v>
      </c>
      <c r="E2973">
        <v>35.76</v>
      </c>
      <c r="F2973" t="s">
        <v>43</v>
      </c>
    </row>
    <row r="2974" spans="1:6">
      <c r="A2974" s="1">
        <v>45719</v>
      </c>
      <c r="B2974" s="2">
        <v>45719.35002247685</v>
      </c>
      <c r="C2974" t="s">
        <v>3</v>
      </c>
      <c r="D2974" t="s">
        <v>1175</v>
      </c>
      <c r="E2974">
        <v>35.76</v>
      </c>
      <c r="F2974" t="s">
        <v>43</v>
      </c>
    </row>
    <row r="2975" spans="1:6">
      <c r="A2975" s="1">
        <v>45720</v>
      </c>
      <c r="B2975" s="2">
        <v>45720.305115034724</v>
      </c>
      <c r="C2975" t="s">
        <v>3</v>
      </c>
      <c r="D2975" t="s">
        <v>1175</v>
      </c>
      <c r="E2975">
        <v>35.76</v>
      </c>
      <c r="F2975" t="s">
        <v>43</v>
      </c>
    </row>
    <row r="2976" spans="1:6">
      <c r="A2976" s="1">
        <v>45723</v>
      </c>
      <c r="B2976" s="2">
        <v>45723.295628715277</v>
      </c>
      <c r="C2976" t="s">
        <v>3</v>
      </c>
      <c r="D2976" t="s">
        <v>1175</v>
      </c>
      <c r="E2976">
        <v>35.76</v>
      </c>
      <c r="F2976" t="s">
        <v>43</v>
      </c>
    </row>
    <row r="2977" spans="1:6">
      <c r="A2977" s="1">
        <v>45728</v>
      </c>
      <c r="B2977" s="2">
        <v>45728.49136871528</v>
      </c>
      <c r="C2977" t="s">
        <v>3</v>
      </c>
      <c r="D2977" t="s">
        <v>1175</v>
      </c>
      <c r="E2977">
        <v>30.86</v>
      </c>
      <c r="F2977" t="s">
        <v>14</v>
      </c>
    </row>
    <row r="2978" spans="1:6">
      <c r="A2978" s="1">
        <v>45728</v>
      </c>
      <c r="B2978" s="2">
        <v>45728.49323378472</v>
      </c>
      <c r="C2978" t="s">
        <v>3</v>
      </c>
      <c r="D2978" t="s">
        <v>1175</v>
      </c>
      <c r="E2978">
        <v>35.76</v>
      </c>
      <c r="F2978" t="s">
        <v>43</v>
      </c>
    </row>
    <row r="2979" spans="1:6">
      <c r="A2979" s="1">
        <v>45729</v>
      </c>
      <c r="B2979" s="2">
        <v>45729.292782500001</v>
      </c>
      <c r="C2979" t="s">
        <v>3</v>
      </c>
      <c r="D2979" t="s">
        <v>1175</v>
      </c>
      <c r="E2979">
        <v>35.76</v>
      </c>
      <c r="F2979" t="s">
        <v>43</v>
      </c>
    </row>
    <row r="2980" spans="1:6">
      <c r="A2980" s="1">
        <v>45732</v>
      </c>
      <c r="B2980" s="2">
        <v>45732.397422534719</v>
      </c>
      <c r="C2980" t="s">
        <v>3</v>
      </c>
      <c r="D2980" t="s">
        <v>1175</v>
      </c>
      <c r="E2980">
        <v>35.76</v>
      </c>
      <c r="F2980" t="s">
        <v>43</v>
      </c>
    </row>
    <row r="2981" spans="1:6">
      <c r="A2981" s="1">
        <v>45735</v>
      </c>
      <c r="B2981" s="2">
        <v>45735.296237418981</v>
      </c>
      <c r="C2981" t="s">
        <v>3</v>
      </c>
      <c r="D2981" t="s">
        <v>1175</v>
      </c>
      <c r="E2981">
        <v>35.76</v>
      </c>
      <c r="F2981" t="s">
        <v>43</v>
      </c>
    </row>
    <row r="2982" spans="1:6">
      <c r="A2982" s="1">
        <v>45736</v>
      </c>
      <c r="B2982" s="2">
        <v>45736.624854756941</v>
      </c>
      <c r="C2982" t="s">
        <v>3</v>
      </c>
      <c r="D2982" t="s">
        <v>1175</v>
      </c>
      <c r="E2982">
        <v>35.76</v>
      </c>
      <c r="F2982" t="s">
        <v>43</v>
      </c>
    </row>
    <row r="2983" spans="1:6">
      <c r="A2983" s="1">
        <v>45691</v>
      </c>
      <c r="B2983" s="2">
        <v>45691.715221469909</v>
      </c>
      <c r="C2983" t="s">
        <v>3</v>
      </c>
      <c r="D2983" t="s">
        <v>1176</v>
      </c>
      <c r="E2983">
        <v>30.86</v>
      </c>
      <c r="F2983" t="s">
        <v>14</v>
      </c>
    </row>
    <row r="2984" spans="1:6">
      <c r="A2984" s="1">
        <v>45694</v>
      </c>
      <c r="B2984" s="2">
        <v>45694.621893101852</v>
      </c>
      <c r="C2984" t="s">
        <v>3</v>
      </c>
      <c r="D2984" t="s">
        <v>1176</v>
      </c>
      <c r="E2984">
        <v>30.86</v>
      </c>
      <c r="F2984" t="s">
        <v>14</v>
      </c>
    </row>
    <row r="2985" spans="1:6">
      <c r="A2985" s="1">
        <v>45710</v>
      </c>
      <c r="B2985" s="2">
        <v>45710.627121180558</v>
      </c>
      <c r="C2985" t="s">
        <v>3</v>
      </c>
      <c r="D2985" t="s">
        <v>1176</v>
      </c>
      <c r="E2985">
        <v>30.86</v>
      </c>
      <c r="F2985" t="s">
        <v>14</v>
      </c>
    </row>
    <row r="2986" spans="1:6">
      <c r="A2986" s="1">
        <v>45712</v>
      </c>
      <c r="B2986" s="2">
        <v>45712.754880775465</v>
      </c>
      <c r="C2986" t="s">
        <v>3</v>
      </c>
      <c r="D2986" t="s">
        <v>1176</v>
      </c>
      <c r="E2986">
        <v>30.86</v>
      </c>
      <c r="F2986" t="s">
        <v>14</v>
      </c>
    </row>
    <row r="2987" spans="1:6">
      <c r="A2987" s="1">
        <v>45716</v>
      </c>
      <c r="B2987" s="2">
        <v>45716.376829409724</v>
      </c>
      <c r="C2987" t="s">
        <v>3</v>
      </c>
      <c r="D2987" t="s">
        <v>1176</v>
      </c>
      <c r="E2987">
        <v>30.86</v>
      </c>
      <c r="F2987" t="s">
        <v>14</v>
      </c>
    </row>
    <row r="2988" spans="1:6">
      <c r="A2988" s="1">
        <v>45719</v>
      </c>
      <c r="B2988" s="2">
        <v>45719.752141296296</v>
      </c>
      <c r="C2988" t="s">
        <v>3</v>
      </c>
      <c r="D2988" t="s">
        <v>1176</v>
      </c>
      <c r="E2988">
        <v>30.86</v>
      </c>
      <c r="F2988" t="s">
        <v>14</v>
      </c>
    </row>
    <row r="2989" spans="1:6">
      <c r="A2989" s="1">
        <v>45724</v>
      </c>
      <c r="B2989" s="2">
        <v>45724.404084490743</v>
      </c>
      <c r="C2989" t="s">
        <v>3</v>
      </c>
      <c r="D2989" t="s">
        <v>1176</v>
      </c>
      <c r="E2989">
        <v>30.86</v>
      </c>
      <c r="F2989" t="s">
        <v>14</v>
      </c>
    </row>
    <row r="2990" spans="1:6">
      <c r="A2990" s="1">
        <v>45724</v>
      </c>
      <c r="B2990" s="2">
        <v>45724.569514513889</v>
      </c>
      <c r="C2990" t="s">
        <v>3</v>
      </c>
      <c r="D2990" t="s">
        <v>1176</v>
      </c>
      <c r="E2990">
        <v>35.76</v>
      </c>
      <c r="F2990" t="s">
        <v>43</v>
      </c>
    </row>
    <row r="2991" spans="1:6">
      <c r="A2991" s="1">
        <v>45691</v>
      </c>
      <c r="B2991" s="2">
        <v>45691.716055428238</v>
      </c>
      <c r="C2991" t="s">
        <v>3</v>
      </c>
      <c r="D2991" t="s">
        <v>1177</v>
      </c>
      <c r="E2991">
        <v>30.86</v>
      </c>
      <c r="F2991" t="s">
        <v>14</v>
      </c>
    </row>
    <row r="2992" spans="1:6">
      <c r="A2992" s="1">
        <v>45691</v>
      </c>
      <c r="B2992" s="2">
        <v>45691.716727025465</v>
      </c>
      <c r="C2992" t="s">
        <v>3</v>
      </c>
      <c r="D2992" t="s">
        <v>1177</v>
      </c>
      <c r="E2992">
        <v>30.86</v>
      </c>
      <c r="F2992" t="s">
        <v>14</v>
      </c>
    </row>
    <row r="2993" spans="1:6">
      <c r="A2993" s="1">
        <v>45692</v>
      </c>
      <c r="B2993" s="2">
        <v>45692.420101956021</v>
      </c>
      <c r="C2993" t="s">
        <v>3</v>
      </c>
      <c r="D2993" t="s">
        <v>1177</v>
      </c>
      <c r="E2993">
        <v>30.86</v>
      </c>
      <c r="F2993" t="s">
        <v>14</v>
      </c>
    </row>
    <row r="2994" spans="1:6">
      <c r="A2994" s="1">
        <v>45692</v>
      </c>
      <c r="B2994" s="2">
        <v>45692.595561180555</v>
      </c>
      <c r="C2994" t="s">
        <v>3</v>
      </c>
      <c r="D2994" t="s">
        <v>1177</v>
      </c>
      <c r="E2994">
        <v>30.86</v>
      </c>
      <c r="F2994" t="s">
        <v>14</v>
      </c>
    </row>
    <row r="2995" spans="1:6">
      <c r="A2995" s="1">
        <v>45693</v>
      </c>
      <c r="B2995" s="2">
        <v>45693.382450497687</v>
      </c>
      <c r="C2995" t="s">
        <v>3</v>
      </c>
      <c r="D2995" t="s">
        <v>1177</v>
      </c>
      <c r="E2995">
        <v>30.86</v>
      </c>
      <c r="F2995" t="s">
        <v>14</v>
      </c>
    </row>
    <row r="2996" spans="1:6">
      <c r="A2996" s="1">
        <v>45693</v>
      </c>
      <c r="B2996" s="2">
        <v>45693.492775324077</v>
      </c>
      <c r="C2996" t="s">
        <v>3</v>
      </c>
      <c r="D2996" t="s">
        <v>1177</v>
      </c>
      <c r="E2996">
        <v>25.96</v>
      </c>
      <c r="F2996" t="s">
        <v>11</v>
      </c>
    </row>
    <row r="2997" spans="1:6">
      <c r="A2997" s="1">
        <v>45693</v>
      </c>
      <c r="B2997" s="2">
        <v>45693.493536863425</v>
      </c>
      <c r="C2997" t="s">
        <v>3</v>
      </c>
      <c r="D2997" t="s">
        <v>1177</v>
      </c>
      <c r="E2997">
        <v>25.96</v>
      </c>
      <c r="F2997" t="s">
        <v>11</v>
      </c>
    </row>
    <row r="2998" spans="1:6">
      <c r="A2998" s="1">
        <v>45693</v>
      </c>
      <c r="B2998" s="2">
        <v>45693.494275289355</v>
      </c>
      <c r="C2998" t="s">
        <v>3</v>
      </c>
      <c r="D2998" t="s">
        <v>1177</v>
      </c>
      <c r="E2998">
        <v>25.96</v>
      </c>
      <c r="F2998" t="s">
        <v>11</v>
      </c>
    </row>
    <row r="2999" spans="1:6">
      <c r="A2999" s="1">
        <v>45693</v>
      </c>
      <c r="B2999" s="2">
        <v>45693.499032893516</v>
      </c>
      <c r="C2999" t="s">
        <v>3</v>
      </c>
      <c r="D2999" t="s">
        <v>1177</v>
      </c>
      <c r="E2999">
        <v>30.86</v>
      </c>
      <c r="F2999" t="s">
        <v>14</v>
      </c>
    </row>
    <row r="3000" spans="1:6">
      <c r="A3000" s="1">
        <v>45694</v>
      </c>
      <c r="B3000" s="2">
        <v>45694.303340798608</v>
      </c>
      <c r="C3000" t="s">
        <v>3</v>
      </c>
      <c r="D3000" t="s">
        <v>1177</v>
      </c>
      <c r="E3000">
        <v>30.86</v>
      </c>
      <c r="F3000" t="s">
        <v>14</v>
      </c>
    </row>
    <row r="3001" spans="1:6">
      <c r="A3001" s="1">
        <v>45694</v>
      </c>
      <c r="B3001" s="2">
        <v>45694.676965289349</v>
      </c>
      <c r="C3001" t="s">
        <v>3</v>
      </c>
      <c r="D3001" t="s">
        <v>1177</v>
      </c>
      <c r="E3001">
        <v>35.76</v>
      </c>
      <c r="F3001" t="s">
        <v>18</v>
      </c>
    </row>
    <row r="3002" spans="1:6">
      <c r="A3002" s="1">
        <v>45694</v>
      </c>
      <c r="B3002" s="2">
        <v>45694.849462233797</v>
      </c>
      <c r="C3002" t="s">
        <v>3</v>
      </c>
      <c r="D3002" t="s">
        <v>1177</v>
      </c>
      <c r="E3002">
        <v>35.76</v>
      </c>
      <c r="F3002" t="s">
        <v>7</v>
      </c>
    </row>
    <row r="3003" spans="1:6">
      <c r="A3003" s="1">
        <v>45695</v>
      </c>
      <c r="B3003" s="2">
        <v>45695.535675543979</v>
      </c>
      <c r="C3003" t="s">
        <v>3</v>
      </c>
      <c r="D3003" t="s">
        <v>1177</v>
      </c>
      <c r="E3003">
        <v>30.86</v>
      </c>
      <c r="F3003" t="s">
        <v>14</v>
      </c>
    </row>
    <row r="3004" spans="1:6">
      <c r="A3004" s="1">
        <v>45696</v>
      </c>
      <c r="B3004" s="2">
        <v>45696.376191354168</v>
      </c>
      <c r="C3004" t="s">
        <v>3</v>
      </c>
      <c r="D3004" t="s">
        <v>1177</v>
      </c>
      <c r="E3004">
        <v>25.96</v>
      </c>
      <c r="F3004" t="s">
        <v>11</v>
      </c>
    </row>
    <row r="3005" spans="1:6">
      <c r="A3005" s="1">
        <v>45697</v>
      </c>
      <c r="B3005" s="2">
        <v>45697.452407627316</v>
      </c>
      <c r="C3005" t="s">
        <v>3</v>
      </c>
      <c r="D3005" t="s">
        <v>1177</v>
      </c>
      <c r="E3005">
        <v>25.96</v>
      </c>
      <c r="F3005" t="s">
        <v>11</v>
      </c>
    </row>
    <row r="3006" spans="1:6">
      <c r="A3006" s="1">
        <v>45698</v>
      </c>
      <c r="B3006" s="2">
        <v>45698.588673124999</v>
      </c>
      <c r="C3006" t="s">
        <v>3</v>
      </c>
      <c r="D3006" t="s">
        <v>1177</v>
      </c>
      <c r="E3006">
        <v>25.96</v>
      </c>
      <c r="F3006" t="s">
        <v>11</v>
      </c>
    </row>
    <row r="3007" spans="1:6">
      <c r="A3007" s="1">
        <v>45698</v>
      </c>
      <c r="B3007" s="2">
        <v>45698.59151002315</v>
      </c>
      <c r="C3007" t="s">
        <v>3</v>
      </c>
      <c r="D3007" t="s">
        <v>1177</v>
      </c>
      <c r="E3007">
        <v>35.76</v>
      </c>
      <c r="F3007" t="s">
        <v>18</v>
      </c>
    </row>
    <row r="3008" spans="1:6">
      <c r="A3008" s="1">
        <v>45698</v>
      </c>
      <c r="B3008" s="2">
        <v>45698.594265995373</v>
      </c>
      <c r="C3008" t="s">
        <v>3</v>
      </c>
      <c r="D3008" t="s">
        <v>1177</v>
      </c>
      <c r="E3008">
        <v>35.76</v>
      </c>
      <c r="F3008" t="s">
        <v>18</v>
      </c>
    </row>
    <row r="3009" spans="1:6">
      <c r="A3009" s="1">
        <v>45699</v>
      </c>
      <c r="B3009" s="2">
        <v>45699.443356886572</v>
      </c>
      <c r="C3009" t="s">
        <v>3</v>
      </c>
      <c r="D3009" t="s">
        <v>1177</v>
      </c>
      <c r="E3009">
        <v>25.96</v>
      </c>
      <c r="F3009" t="s">
        <v>11</v>
      </c>
    </row>
    <row r="3010" spans="1:6">
      <c r="A3010" s="1">
        <v>45699</v>
      </c>
      <c r="B3010" s="2">
        <v>45699.733043055552</v>
      </c>
      <c r="C3010" t="s">
        <v>3</v>
      </c>
      <c r="D3010" t="s">
        <v>1177</v>
      </c>
      <c r="E3010">
        <v>35.76</v>
      </c>
      <c r="F3010" t="s">
        <v>7</v>
      </c>
    </row>
    <row r="3011" spans="1:6">
      <c r="A3011" s="1">
        <v>45699</v>
      </c>
      <c r="B3011" s="2">
        <v>45699.73382212963</v>
      </c>
      <c r="C3011" t="s">
        <v>3</v>
      </c>
      <c r="D3011" t="s">
        <v>1177</v>
      </c>
      <c r="E3011">
        <v>30.86</v>
      </c>
      <c r="F3011" t="s">
        <v>14</v>
      </c>
    </row>
    <row r="3012" spans="1:6">
      <c r="A3012" s="1">
        <v>45700</v>
      </c>
      <c r="B3012" s="2">
        <v>45700.316406840277</v>
      </c>
      <c r="C3012" t="s">
        <v>3</v>
      </c>
      <c r="D3012" t="s">
        <v>1177</v>
      </c>
      <c r="E3012">
        <v>25.96</v>
      </c>
      <c r="F3012" t="s">
        <v>11</v>
      </c>
    </row>
    <row r="3013" spans="1:6">
      <c r="A3013" s="1">
        <v>45700</v>
      </c>
      <c r="B3013" s="2">
        <v>45700.371247199073</v>
      </c>
      <c r="C3013" t="s">
        <v>3</v>
      </c>
      <c r="D3013" t="s">
        <v>1177</v>
      </c>
      <c r="E3013">
        <v>35.76</v>
      </c>
      <c r="F3013" t="s">
        <v>18</v>
      </c>
    </row>
    <row r="3014" spans="1:6">
      <c r="A3014" s="1">
        <v>45701</v>
      </c>
      <c r="B3014" s="2">
        <v>45701.687954247682</v>
      </c>
      <c r="C3014" t="s">
        <v>3</v>
      </c>
      <c r="D3014" t="s">
        <v>1177</v>
      </c>
      <c r="E3014">
        <v>25.96</v>
      </c>
      <c r="F3014" t="s">
        <v>11</v>
      </c>
    </row>
    <row r="3015" spans="1:6">
      <c r="A3015" s="1">
        <v>45701</v>
      </c>
      <c r="B3015" s="2">
        <v>45701.688584745367</v>
      </c>
      <c r="C3015" t="s">
        <v>3</v>
      </c>
      <c r="D3015" t="s">
        <v>1177</v>
      </c>
      <c r="E3015">
        <v>25.96</v>
      </c>
      <c r="F3015" t="s">
        <v>11</v>
      </c>
    </row>
    <row r="3016" spans="1:6">
      <c r="A3016" s="1">
        <v>45702</v>
      </c>
      <c r="B3016" s="2">
        <v>45702.485366956018</v>
      </c>
      <c r="C3016" t="s">
        <v>3</v>
      </c>
      <c r="D3016" t="s">
        <v>1177</v>
      </c>
      <c r="E3016">
        <v>25.96</v>
      </c>
      <c r="F3016" t="s">
        <v>11</v>
      </c>
    </row>
    <row r="3017" spans="1:6">
      <c r="A3017" s="1">
        <v>45703</v>
      </c>
      <c r="B3017" s="2">
        <v>45703.529095254627</v>
      </c>
      <c r="C3017" t="s">
        <v>3</v>
      </c>
      <c r="D3017" t="s">
        <v>1177</v>
      </c>
      <c r="E3017">
        <v>35.76</v>
      </c>
      <c r="F3017" t="s">
        <v>43</v>
      </c>
    </row>
    <row r="3018" spans="1:6">
      <c r="A3018" s="1">
        <v>45703</v>
      </c>
      <c r="B3018" s="2">
        <v>45703.53086309028</v>
      </c>
      <c r="C3018" t="s">
        <v>3</v>
      </c>
      <c r="D3018" t="s">
        <v>1177</v>
      </c>
      <c r="E3018">
        <v>25.96</v>
      </c>
      <c r="F3018" t="s">
        <v>11</v>
      </c>
    </row>
    <row r="3019" spans="1:6">
      <c r="A3019" s="1">
        <v>45704</v>
      </c>
      <c r="B3019" s="2">
        <v>45704.716983819446</v>
      </c>
      <c r="C3019" t="s">
        <v>3</v>
      </c>
      <c r="D3019" t="s">
        <v>1177</v>
      </c>
      <c r="E3019">
        <v>35.76</v>
      </c>
      <c r="F3019" t="s">
        <v>9</v>
      </c>
    </row>
    <row r="3020" spans="1:6">
      <c r="A3020" s="1">
        <v>45704</v>
      </c>
      <c r="B3020" s="2">
        <v>45704.717742743058</v>
      </c>
      <c r="C3020" t="s">
        <v>3</v>
      </c>
      <c r="D3020" t="s">
        <v>1177</v>
      </c>
      <c r="E3020">
        <v>30.86</v>
      </c>
      <c r="F3020" t="s">
        <v>14</v>
      </c>
    </row>
    <row r="3021" spans="1:6">
      <c r="A3021" s="1">
        <v>45705</v>
      </c>
      <c r="B3021" s="2">
        <v>45705.370298703703</v>
      </c>
      <c r="C3021" t="s">
        <v>3</v>
      </c>
      <c r="D3021" t="s">
        <v>1177</v>
      </c>
      <c r="E3021">
        <v>25.96</v>
      </c>
      <c r="F3021" t="s">
        <v>11</v>
      </c>
    </row>
    <row r="3022" spans="1:6">
      <c r="A3022" s="1">
        <v>45706</v>
      </c>
      <c r="B3022" s="2">
        <v>45706.370240081022</v>
      </c>
      <c r="C3022" t="s">
        <v>3</v>
      </c>
      <c r="D3022" t="s">
        <v>1177</v>
      </c>
      <c r="E3022">
        <v>25.96</v>
      </c>
      <c r="F3022" t="s">
        <v>11</v>
      </c>
    </row>
    <row r="3023" spans="1:6">
      <c r="A3023" s="1">
        <v>45706</v>
      </c>
      <c r="B3023" s="2">
        <v>45706.37100107639</v>
      </c>
      <c r="C3023" t="s">
        <v>3</v>
      </c>
      <c r="D3023" t="s">
        <v>1177</v>
      </c>
      <c r="E3023">
        <v>25.96</v>
      </c>
      <c r="F3023" t="s">
        <v>11</v>
      </c>
    </row>
    <row r="3024" spans="1:6">
      <c r="A3024" s="1">
        <v>45708</v>
      </c>
      <c r="B3024" s="2">
        <v>45708.428245648145</v>
      </c>
      <c r="C3024" t="s">
        <v>3</v>
      </c>
      <c r="D3024" t="s">
        <v>1177</v>
      </c>
      <c r="E3024">
        <v>35.76</v>
      </c>
      <c r="F3024" t="s">
        <v>43</v>
      </c>
    </row>
    <row r="3025" spans="1:6">
      <c r="A3025" s="1">
        <v>45708</v>
      </c>
      <c r="B3025" s="2">
        <v>45708.428919803242</v>
      </c>
      <c r="C3025" t="s">
        <v>3</v>
      </c>
      <c r="D3025" t="s">
        <v>1177</v>
      </c>
      <c r="E3025">
        <v>25.96</v>
      </c>
      <c r="F3025" t="s">
        <v>11</v>
      </c>
    </row>
    <row r="3026" spans="1:6">
      <c r="A3026" s="1">
        <v>45708</v>
      </c>
      <c r="B3026" s="2">
        <v>45708.609719687498</v>
      </c>
      <c r="C3026" t="s">
        <v>3</v>
      </c>
      <c r="D3026" t="s">
        <v>1177</v>
      </c>
      <c r="E3026">
        <v>25.96</v>
      </c>
      <c r="F3026" t="s">
        <v>11</v>
      </c>
    </row>
    <row r="3027" spans="1:6">
      <c r="A3027" s="1">
        <v>45708</v>
      </c>
      <c r="B3027" s="2">
        <v>45708.610293043981</v>
      </c>
      <c r="C3027" t="s">
        <v>3</v>
      </c>
      <c r="D3027" t="s">
        <v>1177</v>
      </c>
      <c r="E3027">
        <v>25.96</v>
      </c>
      <c r="F3027" t="s">
        <v>11</v>
      </c>
    </row>
    <row r="3028" spans="1:6">
      <c r="A3028" s="1">
        <v>45708</v>
      </c>
      <c r="B3028" s="2">
        <v>45708.713518356482</v>
      </c>
      <c r="C3028" t="s">
        <v>3</v>
      </c>
      <c r="D3028" t="s">
        <v>1177</v>
      </c>
      <c r="E3028">
        <v>25.96</v>
      </c>
      <c r="F3028" t="s">
        <v>11</v>
      </c>
    </row>
    <row r="3029" spans="1:6">
      <c r="A3029" s="1">
        <v>45709</v>
      </c>
      <c r="B3029" s="2">
        <v>45709.291069537037</v>
      </c>
      <c r="C3029" t="s">
        <v>3</v>
      </c>
      <c r="D3029" t="s">
        <v>1177</v>
      </c>
      <c r="E3029">
        <v>25.96</v>
      </c>
      <c r="F3029" t="s">
        <v>11</v>
      </c>
    </row>
    <row r="3030" spans="1:6">
      <c r="A3030" s="1">
        <v>45709</v>
      </c>
      <c r="B3030" s="2">
        <v>45709.465364918979</v>
      </c>
      <c r="C3030" t="s">
        <v>3</v>
      </c>
      <c r="D3030" t="s">
        <v>1177</v>
      </c>
      <c r="E3030">
        <v>30.86</v>
      </c>
      <c r="F3030" t="s">
        <v>14</v>
      </c>
    </row>
    <row r="3031" spans="1:6">
      <c r="A3031" s="1">
        <v>45709</v>
      </c>
      <c r="B3031" s="2">
        <v>45709.656877719906</v>
      </c>
      <c r="C3031" t="s">
        <v>3</v>
      </c>
      <c r="D3031" t="s">
        <v>1177</v>
      </c>
      <c r="E3031">
        <v>25.96</v>
      </c>
      <c r="F3031" t="s">
        <v>11</v>
      </c>
    </row>
    <row r="3032" spans="1:6">
      <c r="A3032" s="1">
        <v>45709</v>
      </c>
      <c r="B3032" s="2">
        <v>45709.657503877315</v>
      </c>
      <c r="C3032" t="s">
        <v>3</v>
      </c>
      <c r="D3032" t="s">
        <v>1177</v>
      </c>
      <c r="E3032">
        <v>25.96</v>
      </c>
      <c r="F3032" t="s">
        <v>11</v>
      </c>
    </row>
    <row r="3033" spans="1:6">
      <c r="A3033" s="1">
        <v>45711</v>
      </c>
      <c r="B3033" s="2">
        <v>45711.536416724535</v>
      </c>
      <c r="C3033" t="s">
        <v>3</v>
      </c>
      <c r="D3033" t="s">
        <v>1177</v>
      </c>
      <c r="E3033">
        <v>30.86</v>
      </c>
      <c r="F3033" t="s">
        <v>14</v>
      </c>
    </row>
    <row r="3034" spans="1:6">
      <c r="A3034" s="1">
        <v>45711</v>
      </c>
      <c r="B3034" s="2">
        <v>45711.537571412038</v>
      </c>
      <c r="C3034" t="s">
        <v>3</v>
      </c>
      <c r="D3034" t="s">
        <v>1177</v>
      </c>
      <c r="E3034">
        <v>30.86</v>
      </c>
      <c r="F3034" t="s">
        <v>14</v>
      </c>
    </row>
    <row r="3035" spans="1:6">
      <c r="A3035" s="1">
        <v>45712</v>
      </c>
      <c r="B3035" s="2">
        <v>45712.418616909723</v>
      </c>
      <c r="C3035" t="s">
        <v>3</v>
      </c>
      <c r="D3035" t="s">
        <v>1177</v>
      </c>
      <c r="E3035">
        <v>25.96</v>
      </c>
      <c r="F3035" t="s">
        <v>11</v>
      </c>
    </row>
    <row r="3036" spans="1:6">
      <c r="A3036" s="1">
        <v>45712</v>
      </c>
      <c r="B3036" s="2">
        <v>45712.652798842595</v>
      </c>
      <c r="C3036" t="s">
        <v>3</v>
      </c>
      <c r="D3036" t="s">
        <v>1177</v>
      </c>
      <c r="E3036">
        <v>30.86</v>
      </c>
      <c r="F3036" t="s">
        <v>14</v>
      </c>
    </row>
    <row r="3037" spans="1:6">
      <c r="A3037" s="1">
        <v>45714</v>
      </c>
      <c r="B3037" s="2">
        <v>45714.75791828704</v>
      </c>
      <c r="C3037" t="s">
        <v>3</v>
      </c>
      <c r="D3037" t="s">
        <v>1177</v>
      </c>
      <c r="E3037">
        <v>35.76</v>
      </c>
      <c r="F3037" t="s">
        <v>7</v>
      </c>
    </row>
    <row r="3038" spans="1:6">
      <c r="A3038" s="1">
        <v>45714</v>
      </c>
      <c r="B3038" s="2">
        <v>45714.759611331021</v>
      </c>
      <c r="C3038" t="s">
        <v>3</v>
      </c>
      <c r="D3038" t="s">
        <v>1177</v>
      </c>
      <c r="E3038">
        <v>35.76</v>
      </c>
      <c r="F3038" t="s">
        <v>43</v>
      </c>
    </row>
    <row r="3039" spans="1:6">
      <c r="A3039" s="1">
        <v>45715</v>
      </c>
      <c r="B3039" s="2">
        <v>45715.304864837963</v>
      </c>
      <c r="C3039" t="s">
        <v>3</v>
      </c>
      <c r="D3039" t="s">
        <v>1177</v>
      </c>
      <c r="E3039">
        <v>35.76</v>
      </c>
      <c r="F3039" t="s">
        <v>43</v>
      </c>
    </row>
    <row r="3040" spans="1:6">
      <c r="A3040" s="1">
        <v>45715</v>
      </c>
      <c r="B3040" s="2">
        <v>45715.599496516203</v>
      </c>
      <c r="C3040" t="s">
        <v>3</v>
      </c>
      <c r="D3040" t="s">
        <v>1177</v>
      </c>
      <c r="E3040">
        <v>25.96</v>
      </c>
      <c r="F3040" t="s">
        <v>11</v>
      </c>
    </row>
    <row r="3041" spans="1:6">
      <c r="A3041" s="1">
        <v>45716</v>
      </c>
      <c r="B3041" s="2">
        <v>45716.286638784724</v>
      </c>
      <c r="C3041" t="s">
        <v>3</v>
      </c>
      <c r="D3041" t="s">
        <v>1177</v>
      </c>
      <c r="E3041">
        <v>30.86</v>
      </c>
      <c r="F3041" t="s">
        <v>14</v>
      </c>
    </row>
    <row r="3042" spans="1:6">
      <c r="A3042" s="1">
        <v>45716</v>
      </c>
      <c r="B3042" s="2">
        <v>45716.288194131943</v>
      </c>
      <c r="C3042" t="s">
        <v>3</v>
      </c>
      <c r="D3042" t="s">
        <v>1177</v>
      </c>
      <c r="E3042">
        <v>30.86</v>
      </c>
      <c r="F3042" t="s">
        <v>14</v>
      </c>
    </row>
    <row r="3043" spans="1:6">
      <c r="A3043" s="1">
        <v>45716</v>
      </c>
      <c r="B3043" s="2">
        <v>45716.616578032408</v>
      </c>
      <c r="C3043" t="s">
        <v>3</v>
      </c>
      <c r="D3043" t="s">
        <v>1177</v>
      </c>
      <c r="E3043">
        <v>25.96</v>
      </c>
      <c r="F3043" t="s">
        <v>11</v>
      </c>
    </row>
    <row r="3044" spans="1:6">
      <c r="A3044" s="1">
        <v>45718</v>
      </c>
      <c r="B3044" s="2">
        <v>45718.415454803238</v>
      </c>
      <c r="C3044" t="s">
        <v>3</v>
      </c>
      <c r="D3044" t="s">
        <v>1177</v>
      </c>
      <c r="E3044">
        <v>35.76</v>
      </c>
      <c r="F3044" t="s">
        <v>18</v>
      </c>
    </row>
    <row r="3045" spans="1:6">
      <c r="A3045" s="1">
        <v>45720</v>
      </c>
      <c r="B3045" s="2">
        <v>45720.313835752313</v>
      </c>
      <c r="C3045" t="s">
        <v>3</v>
      </c>
      <c r="D3045" t="s">
        <v>1177</v>
      </c>
      <c r="E3045">
        <v>25.96</v>
      </c>
      <c r="F3045" t="s">
        <v>11</v>
      </c>
    </row>
    <row r="3046" spans="1:6">
      <c r="A3046" s="1">
        <v>45720</v>
      </c>
      <c r="B3046" s="2">
        <v>45720.381619548614</v>
      </c>
      <c r="C3046" t="s">
        <v>3</v>
      </c>
      <c r="D3046" t="s">
        <v>1177</v>
      </c>
      <c r="E3046">
        <v>25.96</v>
      </c>
      <c r="F3046" t="s">
        <v>11</v>
      </c>
    </row>
    <row r="3047" spans="1:6">
      <c r="A3047" s="1">
        <v>45720</v>
      </c>
      <c r="B3047" s="2">
        <v>45720.382201400462</v>
      </c>
      <c r="C3047" t="s">
        <v>3</v>
      </c>
      <c r="D3047" t="s">
        <v>1177</v>
      </c>
      <c r="E3047">
        <v>25.96</v>
      </c>
      <c r="F3047" t="s">
        <v>11</v>
      </c>
    </row>
    <row r="3048" spans="1:6">
      <c r="A3048" s="1">
        <v>45721</v>
      </c>
      <c r="B3048" s="2">
        <v>45721.361014097223</v>
      </c>
      <c r="C3048" t="s">
        <v>3</v>
      </c>
      <c r="D3048" t="s">
        <v>1177</v>
      </c>
      <c r="E3048">
        <v>30.86</v>
      </c>
      <c r="F3048" t="s">
        <v>14</v>
      </c>
    </row>
    <row r="3049" spans="1:6">
      <c r="A3049" s="1">
        <v>45722</v>
      </c>
      <c r="B3049" s="2">
        <v>45722.456103761571</v>
      </c>
      <c r="C3049" t="s">
        <v>3</v>
      </c>
      <c r="D3049" t="s">
        <v>1177</v>
      </c>
      <c r="E3049">
        <v>25.96</v>
      </c>
      <c r="F3049" t="s">
        <v>11</v>
      </c>
    </row>
    <row r="3050" spans="1:6">
      <c r="A3050" s="1">
        <v>45722</v>
      </c>
      <c r="B3050" s="2">
        <v>45722.456655451388</v>
      </c>
      <c r="C3050" t="s">
        <v>3</v>
      </c>
      <c r="D3050" t="s">
        <v>1177</v>
      </c>
      <c r="E3050">
        <v>25.96</v>
      </c>
      <c r="F3050" t="s">
        <v>11</v>
      </c>
    </row>
    <row r="3051" spans="1:6">
      <c r="A3051" s="1">
        <v>45722</v>
      </c>
      <c r="B3051" s="2">
        <v>45722.742490833334</v>
      </c>
      <c r="C3051" t="s">
        <v>3</v>
      </c>
      <c r="D3051" t="s">
        <v>1177</v>
      </c>
      <c r="E3051">
        <v>35.76</v>
      </c>
      <c r="F3051" t="s">
        <v>18</v>
      </c>
    </row>
    <row r="3052" spans="1:6">
      <c r="A3052" s="1">
        <v>45723</v>
      </c>
      <c r="B3052" s="2">
        <v>45723.376861018522</v>
      </c>
      <c r="C3052" t="s">
        <v>3</v>
      </c>
      <c r="D3052" t="s">
        <v>1177</v>
      </c>
      <c r="E3052">
        <v>25.96</v>
      </c>
      <c r="F3052" t="s">
        <v>11</v>
      </c>
    </row>
    <row r="3053" spans="1:6">
      <c r="A3053" s="1">
        <v>45724</v>
      </c>
      <c r="B3053" s="2">
        <v>45724.454324467595</v>
      </c>
      <c r="C3053" t="s">
        <v>3</v>
      </c>
      <c r="D3053" t="s">
        <v>1177</v>
      </c>
      <c r="E3053">
        <v>25.96</v>
      </c>
      <c r="F3053" t="s">
        <v>11</v>
      </c>
    </row>
    <row r="3054" spans="1:6">
      <c r="A3054" s="1">
        <v>45725</v>
      </c>
      <c r="B3054" s="2">
        <v>45725.596181273148</v>
      </c>
      <c r="C3054" t="s">
        <v>3</v>
      </c>
      <c r="D3054" t="s">
        <v>1177</v>
      </c>
      <c r="E3054">
        <v>25.96</v>
      </c>
      <c r="F3054" t="s">
        <v>11</v>
      </c>
    </row>
    <row r="3055" spans="1:6">
      <c r="A3055" s="1">
        <v>45727</v>
      </c>
      <c r="B3055" s="2">
        <v>45727.383653819445</v>
      </c>
      <c r="C3055" t="s">
        <v>3</v>
      </c>
      <c r="D3055" t="s">
        <v>1177</v>
      </c>
      <c r="E3055">
        <v>35.76</v>
      </c>
      <c r="F3055" t="s">
        <v>43</v>
      </c>
    </row>
    <row r="3056" spans="1:6">
      <c r="A3056" s="1">
        <v>45728</v>
      </c>
      <c r="B3056" s="2">
        <v>45728.497174293982</v>
      </c>
      <c r="C3056" t="s">
        <v>3</v>
      </c>
      <c r="D3056" t="s">
        <v>1177</v>
      </c>
      <c r="E3056">
        <v>25.96</v>
      </c>
      <c r="F3056" t="s">
        <v>11</v>
      </c>
    </row>
    <row r="3057" spans="1:6">
      <c r="A3057" s="1">
        <v>45728</v>
      </c>
      <c r="B3057" s="2">
        <v>45728.497788182867</v>
      </c>
      <c r="C3057" t="s">
        <v>3</v>
      </c>
      <c r="D3057" t="s">
        <v>1177</v>
      </c>
      <c r="E3057">
        <v>25.96</v>
      </c>
      <c r="F3057" t="s">
        <v>11</v>
      </c>
    </row>
    <row r="3058" spans="1:6">
      <c r="A3058" s="1">
        <v>45729</v>
      </c>
      <c r="B3058" s="2">
        <v>45729.378325046295</v>
      </c>
      <c r="C3058" t="s">
        <v>3</v>
      </c>
      <c r="D3058" t="s">
        <v>1177</v>
      </c>
      <c r="E3058">
        <v>30.86</v>
      </c>
      <c r="F3058" t="s">
        <v>14</v>
      </c>
    </row>
    <row r="3059" spans="1:6">
      <c r="A3059" s="1">
        <v>45731</v>
      </c>
      <c r="B3059" s="2">
        <v>45731.412063379626</v>
      </c>
      <c r="C3059" t="s">
        <v>3</v>
      </c>
      <c r="D3059" t="s">
        <v>1177</v>
      </c>
      <c r="E3059">
        <v>30.86</v>
      </c>
      <c r="F3059" t="s">
        <v>14</v>
      </c>
    </row>
    <row r="3060" spans="1:6">
      <c r="A3060" s="1">
        <v>45733</v>
      </c>
      <c r="B3060" s="2">
        <v>45733.287970289355</v>
      </c>
      <c r="C3060" t="s">
        <v>3</v>
      </c>
      <c r="D3060" t="s">
        <v>1177</v>
      </c>
      <c r="E3060">
        <v>25.96</v>
      </c>
      <c r="F3060" t="s">
        <v>11</v>
      </c>
    </row>
    <row r="3061" spans="1:6">
      <c r="A3061" s="1">
        <v>45733</v>
      </c>
      <c r="B3061" s="2">
        <v>45733.439346493054</v>
      </c>
      <c r="C3061" t="s">
        <v>3</v>
      </c>
      <c r="D3061" t="s">
        <v>1177</v>
      </c>
      <c r="E3061">
        <v>25.96</v>
      </c>
      <c r="F3061" t="s">
        <v>11</v>
      </c>
    </row>
    <row r="3062" spans="1:6">
      <c r="A3062" s="1">
        <v>45734</v>
      </c>
      <c r="B3062" s="2">
        <v>45734.779520902775</v>
      </c>
      <c r="C3062" t="s">
        <v>3</v>
      </c>
      <c r="D3062" t="s">
        <v>1177</v>
      </c>
      <c r="E3062">
        <v>35.76</v>
      </c>
      <c r="F3062" t="s">
        <v>18</v>
      </c>
    </row>
    <row r="3063" spans="1:6">
      <c r="A3063" s="1">
        <v>45734</v>
      </c>
      <c r="B3063" s="2">
        <v>45734.780063587961</v>
      </c>
      <c r="C3063" t="s">
        <v>3</v>
      </c>
      <c r="D3063" t="s">
        <v>1177</v>
      </c>
      <c r="E3063">
        <v>35.76</v>
      </c>
      <c r="F3063" t="s">
        <v>18</v>
      </c>
    </row>
    <row r="3064" spans="1:6">
      <c r="A3064" s="1">
        <v>45737</v>
      </c>
      <c r="B3064" s="2">
        <v>45737.295971979169</v>
      </c>
      <c r="C3064" t="s">
        <v>3</v>
      </c>
      <c r="D3064" t="s">
        <v>1177</v>
      </c>
      <c r="E3064">
        <v>30.86</v>
      </c>
      <c r="F3064" t="s">
        <v>14</v>
      </c>
    </row>
    <row r="3065" spans="1:6">
      <c r="A3065" s="1">
        <v>45737</v>
      </c>
      <c r="B3065" s="2">
        <v>45737.298010486113</v>
      </c>
      <c r="C3065" t="s">
        <v>3</v>
      </c>
      <c r="D3065" t="s">
        <v>1177</v>
      </c>
      <c r="E3065">
        <v>30.86</v>
      </c>
      <c r="F3065" t="s">
        <v>14</v>
      </c>
    </row>
    <row r="3066" spans="1:6">
      <c r="A3066" s="1">
        <v>45737</v>
      </c>
      <c r="B3066" s="2">
        <v>45737.49316322917</v>
      </c>
      <c r="C3066" t="s">
        <v>3</v>
      </c>
      <c r="D3066" t="s">
        <v>1177</v>
      </c>
      <c r="E3066">
        <v>25.96</v>
      </c>
      <c r="F3066" t="s">
        <v>11</v>
      </c>
    </row>
    <row r="3067" spans="1:6">
      <c r="A3067" s="1">
        <v>45737</v>
      </c>
      <c r="B3067" s="2">
        <v>45737.645513078707</v>
      </c>
      <c r="C3067" t="s">
        <v>3</v>
      </c>
      <c r="D3067" t="s">
        <v>1177</v>
      </c>
      <c r="E3067">
        <v>35.76</v>
      </c>
      <c r="F3067" t="s">
        <v>43</v>
      </c>
    </row>
    <row r="3068" spans="1:6">
      <c r="A3068" s="1">
        <v>45691</v>
      </c>
      <c r="B3068" s="2">
        <v>45691.717610173611</v>
      </c>
      <c r="C3068" t="s">
        <v>3</v>
      </c>
      <c r="D3068" t="s">
        <v>1178</v>
      </c>
      <c r="E3068">
        <v>35.76</v>
      </c>
      <c r="F3068" t="s">
        <v>9</v>
      </c>
    </row>
    <row r="3069" spans="1:6">
      <c r="A3069" s="1">
        <v>45691</v>
      </c>
      <c r="B3069" s="2">
        <v>45691.718268217592</v>
      </c>
      <c r="C3069" t="s">
        <v>3</v>
      </c>
      <c r="D3069" t="s">
        <v>1178</v>
      </c>
      <c r="E3069">
        <v>35.76</v>
      </c>
      <c r="F3069" t="s">
        <v>7</v>
      </c>
    </row>
    <row r="3070" spans="1:6">
      <c r="A3070" s="1">
        <v>45693</v>
      </c>
      <c r="B3070" s="2">
        <v>45693.691354247683</v>
      </c>
      <c r="C3070" t="s">
        <v>3</v>
      </c>
      <c r="D3070" t="s">
        <v>1178</v>
      </c>
      <c r="E3070">
        <v>35.76</v>
      </c>
      <c r="F3070" t="s">
        <v>7</v>
      </c>
    </row>
    <row r="3071" spans="1:6">
      <c r="A3071" s="1">
        <v>45693</v>
      </c>
      <c r="B3071" s="2">
        <v>45693.692062395836</v>
      </c>
      <c r="C3071" t="s">
        <v>3</v>
      </c>
      <c r="D3071" t="s">
        <v>1178</v>
      </c>
      <c r="E3071">
        <v>35.76</v>
      </c>
      <c r="F3071" t="s">
        <v>7</v>
      </c>
    </row>
    <row r="3072" spans="1:6">
      <c r="A3072" s="1">
        <v>45700</v>
      </c>
      <c r="B3072" s="2">
        <v>45700.653758993052</v>
      </c>
      <c r="C3072" t="s">
        <v>3</v>
      </c>
      <c r="D3072" t="s">
        <v>1178</v>
      </c>
      <c r="E3072">
        <v>35.76</v>
      </c>
      <c r="F3072" t="s">
        <v>9</v>
      </c>
    </row>
    <row r="3073" spans="1:6">
      <c r="A3073" s="1">
        <v>45714</v>
      </c>
      <c r="B3073" s="2">
        <v>45714.681097129629</v>
      </c>
      <c r="C3073" t="s">
        <v>3</v>
      </c>
      <c r="D3073" t="s">
        <v>1178</v>
      </c>
      <c r="E3073">
        <v>35.76</v>
      </c>
      <c r="F3073" t="s">
        <v>7</v>
      </c>
    </row>
    <row r="3074" spans="1:6">
      <c r="A3074" s="1">
        <v>45719</v>
      </c>
      <c r="B3074" s="2">
        <v>45719.679480196763</v>
      </c>
      <c r="C3074" t="s">
        <v>3</v>
      </c>
      <c r="D3074" t="s">
        <v>1178</v>
      </c>
      <c r="E3074">
        <v>35.76</v>
      </c>
      <c r="F3074" t="s">
        <v>7</v>
      </c>
    </row>
    <row r="3075" spans="1:6">
      <c r="A3075" s="1">
        <v>45721</v>
      </c>
      <c r="B3075" s="2">
        <v>45721.639998055558</v>
      </c>
      <c r="C3075" t="s">
        <v>3</v>
      </c>
      <c r="D3075" t="s">
        <v>1178</v>
      </c>
      <c r="E3075">
        <v>35.76</v>
      </c>
      <c r="F3075" t="s">
        <v>7</v>
      </c>
    </row>
    <row r="3076" spans="1:6">
      <c r="A3076" s="1">
        <v>45723</v>
      </c>
      <c r="B3076" s="2">
        <v>45723.661724409722</v>
      </c>
      <c r="C3076" t="s">
        <v>3</v>
      </c>
      <c r="D3076" t="s">
        <v>1178</v>
      </c>
      <c r="E3076">
        <v>35.76</v>
      </c>
      <c r="F3076" t="s">
        <v>7</v>
      </c>
    </row>
    <row r="3077" spans="1:6">
      <c r="A3077" s="1">
        <v>45691</v>
      </c>
      <c r="B3077" s="2">
        <v>45691.719223391206</v>
      </c>
      <c r="C3077" t="s">
        <v>3</v>
      </c>
      <c r="D3077" t="s">
        <v>1179</v>
      </c>
      <c r="E3077">
        <v>35.76</v>
      </c>
      <c r="F3077" t="s">
        <v>9</v>
      </c>
    </row>
    <row r="3078" spans="1:6">
      <c r="A3078" s="1">
        <v>45693</v>
      </c>
      <c r="B3078" s="2">
        <v>45693.69051385417</v>
      </c>
      <c r="C3078" t="s">
        <v>3</v>
      </c>
      <c r="D3078" t="s">
        <v>1179</v>
      </c>
      <c r="E3078">
        <v>35.76</v>
      </c>
      <c r="F3078" t="s">
        <v>9</v>
      </c>
    </row>
    <row r="3079" spans="1:6">
      <c r="A3079" s="1">
        <v>45693</v>
      </c>
      <c r="B3079" s="2">
        <v>45693.695254560182</v>
      </c>
      <c r="C3079" t="s">
        <v>3</v>
      </c>
      <c r="D3079" t="s">
        <v>1179</v>
      </c>
      <c r="E3079">
        <v>35.76</v>
      </c>
      <c r="F3079" t="s">
        <v>9</v>
      </c>
    </row>
    <row r="3080" spans="1:6">
      <c r="A3080" s="1">
        <v>45695</v>
      </c>
      <c r="B3080" s="2">
        <v>45695.682801805553</v>
      </c>
      <c r="C3080" t="s">
        <v>3</v>
      </c>
      <c r="D3080" t="s">
        <v>1179</v>
      </c>
      <c r="E3080">
        <v>35.76</v>
      </c>
      <c r="F3080" t="s">
        <v>9</v>
      </c>
    </row>
    <row r="3081" spans="1:6">
      <c r="A3081" s="1">
        <v>45695</v>
      </c>
      <c r="B3081" s="2">
        <v>45695.683740671295</v>
      </c>
      <c r="C3081" t="s">
        <v>3</v>
      </c>
      <c r="D3081" t="s">
        <v>1179</v>
      </c>
      <c r="E3081">
        <v>35.76</v>
      </c>
      <c r="F3081" t="s">
        <v>7</v>
      </c>
    </row>
    <row r="3082" spans="1:6">
      <c r="A3082" s="1">
        <v>45698</v>
      </c>
      <c r="B3082" s="2">
        <v>45698.658149166666</v>
      </c>
      <c r="C3082" t="s">
        <v>3</v>
      </c>
      <c r="D3082" t="s">
        <v>1179</v>
      </c>
      <c r="E3082">
        <v>35.76</v>
      </c>
      <c r="F3082" t="s">
        <v>9</v>
      </c>
    </row>
    <row r="3083" spans="1:6">
      <c r="A3083" s="1">
        <v>45700</v>
      </c>
      <c r="B3083" s="2">
        <v>45700.655260671294</v>
      </c>
      <c r="C3083" t="s">
        <v>3</v>
      </c>
      <c r="D3083" t="s">
        <v>1179</v>
      </c>
      <c r="E3083">
        <v>35.76</v>
      </c>
      <c r="F3083" t="s">
        <v>9</v>
      </c>
    </row>
    <row r="3084" spans="1:6">
      <c r="A3084" s="1">
        <v>45709</v>
      </c>
      <c r="B3084" s="2">
        <v>45709.700677256944</v>
      </c>
      <c r="C3084" t="s">
        <v>3</v>
      </c>
      <c r="D3084" t="s">
        <v>1179</v>
      </c>
      <c r="E3084">
        <v>35.76</v>
      </c>
      <c r="F3084" t="s">
        <v>9</v>
      </c>
    </row>
    <row r="3085" spans="1:6">
      <c r="A3085" s="1">
        <v>45709</v>
      </c>
      <c r="B3085" s="2">
        <v>45709.701544178242</v>
      </c>
      <c r="C3085" t="s">
        <v>3</v>
      </c>
      <c r="D3085" t="s">
        <v>1179</v>
      </c>
      <c r="E3085">
        <v>35.76</v>
      </c>
      <c r="F3085" t="s">
        <v>7</v>
      </c>
    </row>
    <row r="3086" spans="1:6">
      <c r="A3086" s="1">
        <v>45714</v>
      </c>
      <c r="B3086" s="2">
        <v>45714.705018680557</v>
      </c>
      <c r="C3086" t="s">
        <v>3</v>
      </c>
      <c r="D3086" t="s">
        <v>1179</v>
      </c>
      <c r="E3086">
        <v>35.76</v>
      </c>
      <c r="F3086" t="s">
        <v>9</v>
      </c>
    </row>
    <row r="3087" spans="1:6">
      <c r="A3087" s="1">
        <v>45721</v>
      </c>
      <c r="B3087" s="2">
        <v>45721.64249322917</v>
      </c>
      <c r="C3087" t="s">
        <v>3</v>
      </c>
      <c r="D3087" t="s">
        <v>1179</v>
      </c>
      <c r="E3087">
        <v>35.76</v>
      </c>
      <c r="F3087" t="s">
        <v>9</v>
      </c>
    </row>
    <row r="3088" spans="1:6">
      <c r="A3088" s="1">
        <v>45723</v>
      </c>
      <c r="B3088" s="2">
        <v>45723.716939907405</v>
      </c>
      <c r="C3088" t="s">
        <v>3</v>
      </c>
      <c r="D3088" t="s">
        <v>1179</v>
      </c>
      <c r="E3088">
        <v>35.76</v>
      </c>
      <c r="F3088" t="s">
        <v>9</v>
      </c>
    </row>
    <row r="3089" spans="1:6">
      <c r="A3089" s="1">
        <v>45726</v>
      </c>
      <c r="B3089" s="2">
        <v>45726.679794270836</v>
      </c>
      <c r="C3089" t="s">
        <v>3</v>
      </c>
      <c r="D3089" t="s">
        <v>1179</v>
      </c>
      <c r="E3089">
        <v>35.76</v>
      </c>
      <c r="F3089" t="s">
        <v>7</v>
      </c>
    </row>
    <row r="3090" spans="1:6">
      <c r="A3090" s="1">
        <v>45728</v>
      </c>
      <c r="B3090" s="2">
        <v>45728.691674259258</v>
      </c>
      <c r="C3090" t="s">
        <v>3</v>
      </c>
      <c r="D3090" t="s">
        <v>1179</v>
      </c>
      <c r="E3090">
        <v>35.76</v>
      </c>
      <c r="F3090" t="s">
        <v>7</v>
      </c>
    </row>
    <row r="3091" spans="1:6">
      <c r="A3091" s="1">
        <v>45730</v>
      </c>
      <c r="B3091" s="2">
        <v>45730.608585821756</v>
      </c>
      <c r="C3091" t="s">
        <v>3</v>
      </c>
      <c r="D3091" t="s">
        <v>1179</v>
      </c>
      <c r="E3091">
        <v>35.76</v>
      </c>
      <c r="F3091" t="s">
        <v>7</v>
      </c>
    </row>
    <row r="3092" spans="1:6">
      <c r="A3092" s="1">
        <v>45730</v>
      </c>
      <c r="B3092" s="2">
        <v>45730.663667222223</v>
      </c>
      <c r="C3092" t="s">
        <v>3</v>
      </c>
      <c r="D3092" t="s">
        <v>1179</v>
      </c>
      <c r="E3092">
        <v>35.76</v>
      </c>
      <c r="F3092" t="s">
        <v>7</v>
      </c>
    </row>
    <row r="3093" spans="1:6">
      <c r="A3093" s="1">
        <v>45730</v>
      </c>
      <c r="B3093" s="2">
        <v>45730.728221435187</v>
      </c>
      <c r="C3093" t="s">
        <v>3</v>
      </c>
      <c r="D3093" t="s">
        <v>1179</v>
      </c>
      <c r="E3093">
        <v>35.76</v>
      </c>
      <c r="F3093" t="s">
        <v>7</v>
      </c>
    </row>
    <row r="3094" spans="1:6">
      <c r="A3094" s="1">
        <v>45733</v>
      </c>
      <c r="B3094" s="2">
        <v>45733.657823067129</v>
      </c>
      <c r="C3094" t="s">
        <v>3</v>
      </c>
      <c r="D3094" t="s">
        <v>1179</v>
      </c>
      <c r="E3094">
        <v>35.76</v>
      </c>
      <c r="F3094" t="s">
        <v>7</v>
      </c>
    </row>
    <row r="3095" spans="1:6">
      <c r="A3095" s="1">
        <v>45734</v>
      </c>
      <c r="B3095" s="2">
        <v>45734.67482803241</v>
      </c>
      <c r="C3095" t="s">
        <v>3</v>
      </c>
      <c r="D3095" t="s">
        <v>1179</v>
      </c>
      <c r="E3095">
        <v>35.76</v>
      </c>
      <c r="F3095" t="s">
        <v>7</v>
      </c>
    </row>
    <row r="3096" spans="1:6">
      <c r="A3096" s="1">
        <v>45737</v>
      </c>
      <c r="B3096" s="2">
        <v>45737.723112615742</v>
      </c>
      <c r="C3096" t="s">
        <v>3</v>
      </c>
      <c r="D3096" t="s">
        <v>1179</v>
      </c>
      <c r="E3096">
        <v>35.76</v>
      </c>
      <c r="F3096" t="s">
        <v>7</v>
      </c>
    </row>
    <row r="3097" spans="1:6">
      <c r="A3097" s="1">
        <v>45691</v>
      </c>
      <c r="B3097" s="2">
        <v>45691.739093692129</v>
      </c>
      <c r="C3097" t="s">
        <v>3</v>
      </c>
      <c r="D3097" t="s">
        <v>1180</v>
      </c>
      <c r="E3097">
        <v>30.86</v>
      </c>
      <c r="F3097" t="s">
        <v>14</v>
      </c>
    </row>
    <row r="3098" spans="1:6">
      <c r="A3098" s="1">
        <v>45698</v>
      </c>
      <c r="B3098" s="2">
        <v>45698.634735821761</v>
      </c>
      <c r="C3098" t="s">
        <v>3</v>
      </c>
      <c r="D3098" t="s">
        <v>1180</v>
      </c>
      <c r="E3098">
        <v>30.86</v>
      </c>
      <c r="F3098" t="s">
        <v>14</v>
      </c>
    </row>
    <row r="3099" spans="1:6">
      <c r="A3099" s="1">
        <v>45699</v>
      </c>
      <c r="B3099" s="2">
        <v>45699.472362870372</v>
      </c>
      <c r="C3099" t="s">
        <v>3</v>
      </c>
      <c r="D3099" t="s">
        <v>1180</v>
      </c>
      <c r="E3099">
        <v>30.86</v>
      </c>
      <c r="F3099" t="s">
        <v>14</v>
      </c>
    </row>
    <row r="3100" spans="1:6">
      <c r="A3100" s="1">
        <v>45714</v>
      </c>
      <c r="B3100" s="2">
        <v>45714.724127002315</v>
      </c>
      <c r="C3100" t="s">
        <v>3</v>
      </c>
      <c r="D3100" t="s">
        <v>1180</v>
      </c>
      <c r="E3100">
        <v>30.86</v>
      </c>
      <c r="F3100" t="s">
        <v>14</v>
      </c>
    </row>
    <row r="3101" spans="1:6">
      <c r="A3101" s="1">
        <v>45734</v>
      </c>
      <c r="B3101" s="2">
        <v>45734.632724467592</v>
      </c>
      <c r="C3101" t="s">
        <v>3</v>
      </c>
      <c r="D3101" t="s">
        <v>1180</v>
      </c>
      <c r="E3101">
        <v>30.86</v>
      </c>
      <c r="F3101" t="s">
        <v>14</v>
      </c>
    </row>
    <row r="3102" spans="1:6">
      <c r="A3102" s="1">
        <v>45691</v>
      </c>
      <c r="B3102" s="2">
        <v>45691.756255624998</v>
      </c>
      <c r="C3102" t="s">
        <v>3</v>
      </c>
      <c r="D3102" t="s">
        <v>1181</v>
      </c>
      <c r="E3102">
        <v>25.96</v>
      </c>
      <c r="F3102" t="s">
        <v>11</v>
      </c>
    </row>
    <row r="3103" spans="1:6">
      <c r="A3103" s="1">
        <v>45696</v>
      </c>
      <c r="B3103" s="2">
        <v>45696.532093055554</v>
      </c>
      <c r="C3103" t="s">
        <v>3</v>
      </c>
      <c r="D3103" t="s">
        <v>1181</v>
      </c>
      <c r="E3103">
        <v>25.96</v>
      </c>
      <c r="F3103" t="s">
        <v>11</v>
      </c>
    </row>
    <row r="3104" spans="1:6">
      <c r="A3104" s="1">
        <v>45698</v>
      </c>
      <c r="B3104" s="2">
        <v>45698.547802800924</v>
      </c>
      <c r="C3104" t="s">
        <v>3</v>
      </c>
      <c r="D3104" t="s">
        <v>1181</v>
      </c>
      <c r="E3104">
        <v>25.96</v>
      </c>
      <c r="F3104" t="s">
        <v>11</v>
      </c>
    </row>
    <row r="3105" spans="1:6">
      <c r="A3105" s="1">
        <v>45707</v>
      </c>
      <c r="B3105" s="2">
        <v>45707.423506956016</v>
      </c>
      <c r="C3105" t="s">
        <v>3</v>
      </c>
      <c r="D3105" t="s">
        <v>1181</v>
      </c>
      <c r="E3105">
        <v>25.96</v>
      </c>
      <c r="F3105" t="s">
        <v>11</v>
      </c>
    </row>
    <row r="3106" spans="1:6">
      <c r="A3106" s="1">
        <v>45708</v>
      </c>
      <c r="B3106" s="2">
        <v>45708.387422581021</v>
      </c>
      <c r="C3106" t="s">
        <v>3</v>
      </c>
      <c r="D3106" t="s">
        <v>1181</v>
      </c>
      <c r="E3106">
        <v>25.96</v>
      </c>
      <c r="F3106" t="s">
        <v>11</v>
      </c>
    </row>
    <row r="3107" spans="1:6">
      <c r="A3107" s="1">
        <v>45708</v>
      </c>
      <c r="B3107" s="2">
        <v>45708.430844282404</v>
      </c>
      <c r="C3107" t="s">
        <v>3</v>
      </c>
      <c r="D3107" t="s">
        <v>1181</v>
      </c>
      <c r="E3107">
        <v>25.96</v>
      </c>
      <c r="F3107" t="s">
        <v>11</v>
      </c>
    </row>
    <row r="3108" spans="1:6">
      <c r="A3108" s="1">
        <v>45709</v>
      </c>
      <c r="B3108" s="2">
        <v>45709.539616435184</v>
      </c>
      <c r="C3108" t="s">
        <v>3</v>
      </c>
      <c r="D3108" t="s">
        <v>1181</v>
      </c>
      <c r="E3108">
        <v>25.96</v>
      </c>
      <c r="F3108" t="s">
        <v>11</v>
      </c>
    </row>
    <row r="3109" spans="1:6">
      <c r="A3109" s="1">
        <v>45719</v>
      </c>
      <c r="B3109" s="2">
        <v>45719.658319641203</v>
      </c>
      <c r="C3109" t="s">
        <v>3</v>
      </c>
      <c r="D3109" t="s">
        <v>1181</v>
      </c>
      <c r="E3109">
        <v>25.96</v>
      </c>
      <c r="F3109" t="s">
        <v>11</v>
      </c>
    </row>
    <row r="3110" spans="1:6">
      <c r="A3110" s="1">
        <v>45720</v>
      </c>
      <c r="B3110" s="2">
        <v>45720.490753055557</v>
      </c>
      <c r="C3110" t="s">
        <v>3</v>
      </c>
      <c r="D3110" t="s">
        <v>1181</v>
      </c>
      <c r="E3110">
        <v>25.96</v>
      </c>
      <c r="F3110" t="s">
        <v>11</v>
      </c>
    </row>
    <row r="3111" spans="1:6">
      <c r="A3111" s="1">
        <v>45720</v>
      </c>
      <c r="B3111" s="2">
        <v>45720.491255914349</v>
      </c>
      <c r="C3111" t="s">
        <v>3</v>
      </c>
      <c r="D3111" t="s">
        <v>1181</v>
      </c>
      <c r="E3111">
        <v>25.96</v>
      </c>
      <c r="F3111" t="s">
        <v>11</v>
      </c>
    </row>
    <row r="3112" spans="1:6">
      <c r="A3112" s="1">
        <v>45720</v>
      </c>
      <c r="B3112" s="2">
        <v>45720.700676157408</v>
      </c>
      <c r="C3112" t="s">
        <v>3</v>
      </c>
      <c r="D3112" t="s">
        <v>1181</v>
      </c>
      <c r="E3112">
        <v>25.96</v>
      </c>
      <c r="F3112" t="s">
        <v>11</v>
      </c>
    </row>
    <row r="3113" spans="1:6">
      <c r="A3113" s="1">
        <v>45721</v>
      </c>
      <c r="B3113" s="2">
        <v>45721.401669652776</v>
      </c>
      <c r="C3113" t="s">
        <v>3</v>
      </c>
      <c r="D3113" t="s">
        <v>1181</v>
      </c>
      <c r="E3113">
        <v>25.96</v>
      </c>
      <c r="F3113" t="s">
        <v>11</v>
      </c>
    </row>
    <row r="3114" spans="1:6">
      <c r="A3114" s="1">
        <v>45721</v>
      </c>
      <c r="B3114" s="2">
        <v>45721.487065150461</v>
      </c>
      <c r="C3114" t="s">
        <v>3</v>
      </c>
      <c r="D3114" t="s">
        <v>1181</v>
      </c>
      <c r="E3114">
        <v>25.96</v>
      </c>
      <c r="F3114" t="s">
        <v>11</v>
      </c>
    </row>
    <row r="3115" spans="1:6">
      <c r="A3115" s="1">
        <v>45729</v>
      </c>
      <c r="B3115" s="2">
        <v>45729.470860057867</v>
      </c>
      <c r="C3115" t="s">
        <v>3</v>
      </c>
      <c r="D3115" t="s">
        <v>1181</v>
      </c>
      <c r="E3115">
        <v>25.96</v>
      </c>
      <c r="F3115" t="s">
        <v>11</v>
      </c>
    </row>
    <row r="3116" spans="1:6">
      <c r="A3116" s="1">
        <v>45730</v>
      </c>
      <c r="B3116" s="2">
        <v>45730.723780844906</v>
      </c>
      <c r="C3116" t="s">
        <v>3</v>
      </c>
      <c r="D3116" t="s">
        <v>1181</v>
      </c>
      <c r="E3116">
        <v>25.96</v>
      </c>
      <c r="F3116" t="s">
        <v>11</v>
      </c>
    </row>
    <row r="3117" spans="1:6">
      <c r="A3117" s="1">
        <v>45731</v>
      </c>
      <c r="B3117" s="2">
        <v>45731.580346678238</v>
      </c>
      <c r="C3117" t="s">
        <v>3</v>
      </c>
      <c r="D3117" t="s">
        <v>1181</v>
      </c>
      <c r="E3117">
        <v>25.96</v>
      </c>
      <c r="F3117" t="s">
        <v>11</v>
      </c>
    </row>
    <row r="3118" spans="1:6">
      <c r="A3118" s="1">
        <v>45733</v>
      </c>
      <c r="B3118" s="2">
        <v>45733.699127025466</v>
      </c>
      <c r="C3118" t="s">
        <v>3</v>
      </c>
      <c r="D3118" t="s">
        <v>1181</v>
      </c>
      <c r="E3118">
        <v>25.96</v>
      </c>
      <c r="F3118" t="s">
        <v>11</v>
      </c>
    </row>
    <row r="3119" spans="1:6">
      <c r="A3119" s="1">
        <v>45735</v>
      </c>
      <c r="B3119" s="2">
        <v>45735.687456898151</v>
      </c>
      <c r="C3119" t="s">
        <v>3</v>
      </c>
      <c r="D3119" t="s">
        <v>1181</v>
      </c>
      <c r="E3119">
        <v>25.96</v>
      </c>
      <c r="F3119" t="s">
        <v>11</v>
      </c>
    </row>
    <row r="3120" spans="1:6">
      <c r="A3120" s="1">
        <v>45691</v>
      </c>
      <c r="B3120" s="2">
        <v>45691.864052442128</v>
      </c>
      <c r="C3120" t="s">
        <v>3</v>
      </c>
      <c r="D3120" t="s">
        <v>1182</v>
      </c>
      <c r="E3120">
        <v>35.76</v>
      </c>
      <c r="F3120" t="s">
        <v>18</v>
      </c>
    </row>
    <row r="3121" spans="1:6">
      <c r="A3121" s="1">
        <v>45698</v>
      </c>
      <c r="B3121" s="2">
        <v>45698.549374722221</v>
      </c>
      <c r="C3121" t="s">
        <v>3</v>
      </c>
      <c r="D3121" t="s">
        <v>1182</v>
      </c>
      <c r="E3121">
        <v>35.76</v>
      </c>
      <c r="F3121" t="s">
        <v>18</v>
      </c>
    </row>
    <row r="3122" spans="1:6">
      <c r="A3122" s="1">
        <v>45701</v>
      </c>
      <c r="B3122" s="2">
        <v>45701.400059375002</v>
      </c>
      <c r="C3122" t="s">
        <v>3</v>
      </c>
      <c r="D3122" t="s">
        <v>1182</v>
      </c>
      <c r="E3122">
        <v>35.76</v>
      </c>
      <c r="F3122" t="s">
        <v>18</v>
      </c>
    </row>
    <row r="3123" spans="1:6">
      <c r="A3123" s="1">
        <v>45707</v>
      </c>
      <c r="B3123" s="2">
        <v>45707.531990324074</v>
      </c>
      <c r="C3123" t="s">
        <v>3</v>
      </c>
      <c r="D3123" t="s">
        <v>1182</v>
      </c>
      <c r="E3123">
        <v>35.76</v>
      </c>
      <c r="F3123" t="s">
        <v>18</v>
      </c>
    </row>
    <row r="3124" spans="1:6">
      <c r="A3124" s="1">
        <v>45714</v>
      </c>
      <c r="B3124" s="2">
        <v>45714.551005520836</v>
      </c>
      <c r="C3124" t="s">
        <v>3</v>
      </c>
      <c r="D3124" t="s">
        <v>1182</v>
      </c>
      <c r="E3124">
        <v>35.76</v>
      </c>
      <c r="F3124" t="s">
        <v>18</v>
      </c>
    </row>
    <row r="3125" spans="1:6">
      <c r="A3125" s="1">
        <v>45715</v>
      </c>
      <c r="B3125" s="2">
        <v>45715.464084074076</v>
      </c>
      <c r="C3125" t="s">
        <v>3</v>
      </c>
      <c r="D3125" t="s">
        <v>1182</v>
      </c>
      <c r="E3125">
        <v>35.76</v>
      </c>
      <c r="F3125" t="s">
        <v>18</v>
      </c>
    </row>
    <row r="3126" spans="1:6">
      <c r="A3126" s="1">
        <v>45729</v>
      </c>
      <c r="B3126" s="2">
        <v>45729.388998449074</v>
      </c>
      <c r="C3126" t="s">
        <v>3</v>
      </c>
      <c r="D3126" t="s">
        <v>1182</v>
      </c>
      <c r="E3126">
        <v>35.76</v>
      </c>
      <c r="F3126" t="s">
        <v>7</v>
      </c>
    </row>
    <row r="3127" spans="1:6">
      <c r="A3127" s="1">
        <v>45734</v>
      </c>
      <c r="B3127" s="2">
        <v>45734.356823599534</v>
      </c>
      <c r="C3127" t="s">
        <v>3</v>
      </c>
      <c r="D3127" t="s">
        <v>1182</v>
      </c>
      <c r="E3127">
        <v>35.76</v>
      </c>
      <c r="F3127" t="s">
        <v>7</v>
      </c>
    </row>
    <row r="3128" spans="1:6">
      <c r="A3128" s="1">
        <v>45692</v>
      </c>
      <c r="B3128" s="2">
        <v>45692.524980127317</v>
      </c>
      <c r="C3128" t="s">
        <v>3</v>
      </c>
      <c r="D3128" t="s">
        <v>1183</v>
      </c>
      <c r="E3128">
        <v>30.86</v>
      </c>
      <c r="F3128" t="s">
        <v>14</v>
      </c>
    </row>
    <row r="3129" spans="1:6">
      <c r="A3129" s="1">
        <v>45704</v>
      </c>
      <c r="B3129" s="2">
        <v>45704.451396018521</v>
      </c>
      <c r="C3129" t="s">
        <v>3</v>
      </c>
      <c r="D3129" t="s">
        <v>1183</v>
      </c>
      <c r="E3129">
        <v>25.96</v>
      </c>
      <c r="F3129" t="s">
        <v>11</v>
      </c>
    </row>
    <row r="3130" spans="1:6">
      <c r="A3130" s="1">
        <v>45704</v>
      </c>
      <c r="B3130" s="2">
        <v>45704.452129247686</v>
      </c>
      <c r="C3130" t="s">
        <v>3</v>
      </c>
      <c r="D3130" t="s">
        <v>1183</v>
      </c>
      <c r="E3130">
        <v>30.86</v>
      </c>
      <c r="F3130" t="s">
        <v>14</v>
      </c>
    </row>
    <row r="3131" spans="1:6">
      <c r="A3131" s="1">
        <v>45708</v>
      </c>
      <c r="B3131" s="2">
        <v>45708.838236087962</v>
      </c>
      <c r="C3131" t="s">
        <v>3</v>
      </c>
      <c r="D3131" t="s">
        <v>1183</v>
      </c>
      <c r="E3131">
        <v>35.76</v>
      </c>
      <c r="F3131" t="s">
        <v>7</v>
      </c>
    </row>
    <row r="3132" spans="1:6">
      <c r="A3132" s="1">
        <v>45692</v>
      </c>
      <c r="B3132" s="2">
        <v>45692.593912152777</v>
      </c>
      <c r="C3132" t="s">
        <v>3</v>
      </c>
      <c r="D3132" t="s">
        <v>1184</v>
      </c>
      <c r="E3132">
        <v>25.96</v>
      </c>
      <c r="F3132" t="s">
        <v>11</v>
      </c>
    </row>
    <row r="3133" spans="1:6">
      <c r="A3133" s="1">
        <v>45694</v>
      </c>
      <c r="B3133" s="2">
        <v>45694.715111157406</v>
      </c>
      <c r="C3133" t="s">
        <v>3</v>
      </c>
      <c r="D3133" t="s">
        <v>1184</v>
      </c>
      <c r="E3133">
        <v>35.76</v>
      </c>
      <c r="F3133" t="s">
        <v>18</v>
      </c>
    </row>
    <row r="3134" spans="1:6">
      <c r="A3134" s="1">
        <v>45695</v>
      </c>
      <c r="B3134" s="2">
        <v>45695.669571099534</v>
      </c>
      <c r="C3134" t="s">
        <v>3</v>
      </c>
      <c r="D3134" t="s">
        <v>1184</v>
      </c>
      <c r="E3134">
        <v>25.96</v>
      </c>
      <c r="F3134" t="s">
        <v>28</v>
      </c>
    </row>
    <row r="3135" spans="1:6">
      <c r="A3135" s="1">
        <v>45696</v>
      </c>
      <c r="B3135" s="2">
        <v>45696.560273009258</v>
      </c>
      <c r="C3135" t="s">
        <v>3</v>
      </c>
      <c r="D3135" t="s">
        <v>1184</v>
      </c>
      <c r="E3135">
        <v>25.96</v>
      </c>
      <c r="F3135" t="s">
        <v>11</v>
      </c>
    </row>
    <row r="3136" spans="1:6">
      <c r="A3136" s="1">
        <v>45698</v>
      </c>
      <c r="B3136" s="2">
        <v>45698.681192673612</v>
      </c>
      <c r="C3136" t="s">
        <v>3</v>
      </c>
      <c r="D3136" t="s">
        <v>1184</v>
      </c>
      <c r="E3136">
        <v>35.76</v>
      </c>
      <c r="F3136" t="s">
        <v>18</v>
      </c>
    </row>
    <row r="3137" spans="1:6">
      <c r="A3137" s="1">
        <v>45705</v>
      </c>
      <c r="B3137" s="2">
        <v>45705.682430567133</v>
      </c>
      <c r="C3137" t="s">
        <v>3</v>
      </c>
      <c r="D3137" t="s">
        <v>1184</v>
      </c>
      <c r="E3137">
        <v>25.96</v>
      </c>
      <c r="F3137" t="s">
        <v>11</v>
      </c>
    </row>
    <row r="3138" spans="1:6">
      <c r="A3138" s="1">
        <v>45707</v>
      </c>
      <c r="B3138" s="2">
        <v>45707.36635167824</v>
      </c>
      <c r="C3138" t="s">
        <v>3</v>
      </c>
      <c r="D3138" t="s">
        <v>1184</v>
      </c>
      <c r="E3138">
        <v>25.96</v>
      </c>
      <c r="F3138" t="s">
        <v>11</v>
      </c>
    </row>
    <row r="3139" spans="1:6">
      <c r="A3139" s="1">
        <v>45712</v>
      </c>
      <c r="B3139" s="2">
        <v>45712.708084814818</v>
      </c>
      <c r="C3139" t="s">
        <v>3</v>
      </c>
      <c r="D3139" t="s">
        <v>1184</v>
      </c>
      <c r="E3139">
        <v>25.96</v>
      </c>
      <c r="F3139" t="s">
        <v>11</v>
      </c>
    </row>
    <row r="3140" spans="1:6">
      <c r="A3140" s="1">
        <v>45712</v>
      </c>
      <c r="B3140" s="2">
        <v>45712.708853414355</v>
      </c>
      <c r="C3140" t="s">
        <v>3</v>
      </c>
      <c r="D3140" t="s">
        <v>1184</v>
      </c>
      <c r="E3140">
        <v>25.96</v>
      </c>
      <c r="F3140" t="s">
        <v>11</v>
      </c>
    </row>
    <row r="3141" spans="1:6">
      <c r="A3141" s="1">
        <v>45713</v>
      </c>
      <c r="B3141" s="2">
        <v>45713.460808449076</v>
      </c>
      <c r="C3141" t="s">
        <v>3</v>
      </c>
      <c r="D3141" t="s">
        <v>1184</v>
      </c>
      <c r="E3141">
        <v>25.96</v>
      </c>
      <c r="F3141" t="s">
        <v>11</v>
      </c>
    </row>
    <row r="3142" spans="1:6">
      <c r="A3142" s="1">
        <v>45714</v>
      </c>
      <c r="B3142" s="2">
        <v>45714.373347650464</v>
      </c>
      <c r="C3142" t="s">
        <v>3</v>
      </c>
      <c r="D3142" t="s">
        <v>1184</v>
      </c>
      <c r="E3142">
        <v>25.96</v>
      </c>
      <c r="F3142" t="s">
        <v>11</v>
      </c>
    </row>
    <row r="3143" spans="1:6">
      <c r="A3143" s="1">
        <v>45715</v>
      </c>
      <c r="B3143" s="2">
        <v>45715.658225601852</v>
      </c>
      <c r="C3143" t="s">
        <v>3</v>
      </c>
      <c r="D3143" t="s">
        <v>1184</v>
      </c>
      <c r="E3143">
        <v>25.96</v>
      </c>
      <c r="F3143" t="s">
        <v>11</v>
      </c>
    </row>
    <row r="3144" spans="1:6">
      <c r="A3144" s="1">
        <v>45715</v>
      </c>
      <c r="B3144" s="2">
        <v>45715.686436377313</v>
      </c>
      <c r="C3144" t="s">
        <v>3</v>
      </c>
      <c r="D3144" t="s">
        <v>1184</v>
      </c>
      <c r="E3144">
        <v>25.96</v>
      </c>
      <c r="F3144" t="s">
        <v>11</v>
      </c>
    </row>
    <row r="3145" spans="1:6">
      <c r="A3145" s="1">
        <v>45715</v>
      </c>
      <c r="B3145" s="2">
        <v>45715.724421782405</v>
      </c>
      <c r="C3145" t="s">
        <v>3</v>
      </c>
      <c r="D3145" t="s">
        <v>1184</v>
      </c>
      <c r="E3145">
        <v>25.96</v>
      </c>
      <c r="F3145" t="s">
        <v>11</v>
      </c>
    </row>
    <row r="3146" spans="1:6">
      <c r="A3146" s="1">
        <v>45716</v>
      </c>
      <c r="B3146" s="2">
        <v>45716.687577488425</v>
      </c>
      <c r="C3146" t="s">
        <v>3</v>
      </c>
      <c r="D3146" t="s">
        <v>1184</v>
      </c>
      <c r="E3146">
        <v>25.96</v>
      </c>
      <c r="F3146" t="s">
        <v>11</v>
      </c>
    </row>
    <row r="3147" spans="1:6">
      <c r="A3147" s="1">
        <v>45716</v>
      </c>
      <c r="B3147" s="2">
        <v>45716.730748055554</v>
      </c>
      <c r="C3147" t="s">
        <v>3</v>
      </c>
      <c r="D3147" t="s">
        <v>1184</v>
      </c>
      <c r="E3147">
        <v>25.96</v>
      </c>
      <c r="F3147" t="s">
        <v>11</v>
      </c>
    </row>
    <row r="3148" spans="1:6">
      <c r="A3148" s="1">
        <v>45719</v>
      </c>
      <c r="B3148" s="2">
        <v>45719.702912372682</v>
      </c>
      <c r="C3148" t="s">
        <v>3</v>
      </c>
      <c r="D3148" t="s">
        <v>1184</v>
      </c>
      <c r="E3148">
        <v>25.96</v>
      </c>
      <c r="F3148" t="s">
        <v>11</v>
      </c>
    </row>
    <row r="3149" spans="1:6">
      <c r="A3149" s="1">
        <v>45726</v>
      </c>
      <c r="B3149" s="2">
        <v>45726.64733190972</v>
      </c>
      <c r="C3149" t="s">
        <v>3</v>
      </c>
      <c r="D3149" t="s">
        <v>1184</v>
      </c>
      <c r="E3149">
        <v>25.96</v>
      </c>
      <c r="F3149" t="s">
        <v>11</v>
      </c>
    </row>
    <row r="3150" spans="1:6">
      <c r="A3150" s="1">
        <v>45726</v>
      </c>
      <c r="B3150" s="2">
        <v>45726.76104445602</v>
      </c>
      <c r="C3150" t="s">
        <v>3</v>
      </c>
      <c r="D3150" t="s">
        <v>1184</v>
      </c>
      <c r="E3150">
        <v>25.96</v>
      </c>
      <c r="F3150" t="s">
        <v>11</v>
      </c>
    </row>
    <row r="3151" spans="1:6">
      <c r="A3151" s="1">
        <v>45727</v>
      </c>
      <c r="B3151" s="2">
        <v>45727.365573750001</v>
      </c>
      <c r="C3151" t="s">
        <v>3</v>
      </c>
      <c r="D3151" t="s">
        <v>1184</v>
      </c>
      <c r="E3151">
        <v>25.96</v>
      </c>
      <c r="F3151" t="s">
        <v>11</v>
      </c>
    </row>
    <row r="3152" spans="1:6">
      <c r="A3152" s="1">
        <v>45727</v>
      </c>
      <c r="B3152" s="2">
        <v>45727.43539136574</v>
      </c>
      <c r="C3152" t="s">
        <v>3</v>
      </c>
      <c r="D3152" t="s">
        <v>1184</v>
      </c>
      <c r="E3152">
        <v>25.96</v>
      </c>
      <c r="F3152" t="s">
        <v>11</v>
      </c>
    </row>
    <row r="3153" spans="1:6">
      <c r="A3153" s="1">
        <v>45727</v>
      </c>
      <c r="B3153" s="2">
        <v>45727.523152256945</v>
      </c>
      <c r="C3153" t="s">
        <v>3</v>
      </c>
      <c r="D3153" t="s">
        <v>1184</v>
      </c>
      <c r="E3153">
        <v>25.96</v>
      </c>
      <c r="F3153" t="s">
        <v>11</v>
      </c>
    </row>
    <row r="3154" spans="1:6">
      <c r="A3154" s="1">
        <v>45728</v>
      </c>
      <c r="B3154" s="2">
        <v>45728.757340381948</v>
      </c>
      <c r="C3154" t="s">
        <v>3</v>
      </c>
      <c r="D3154" t="s">
        <v>1184</v>
      </c>
      <c r="E3154">
        <v>25.96</v>
      </c>
      <c r="F3154" t="s">
        <v>11</v>
      </c>
    </row>
    <row r="3155" spans="1:6">
      <c r="A3155" s="1">
        <v>45728</v>
      </c>
      <c r="B3155" s="2">
        <v>45728.779324722222</v>
      </c>
      <c r="C3155" t="s">
        <v>3</v>
      </c>
      <c r="D3155" t="s">
        <v>1184</v>
      </c>
      <c r="E3155">
        <v>25.96</v>
      </c>
      <c r="F3155" t="s">
        <v>11</v>
      </c>
    </row>
    <row r="3156" spans="1:6">
      <c r="A3156" s="1">
        <v>45730</v>
      </c>
      <c r="B3156" s="2">
        <v>45730.32993</v>
      </c>
      <c r="C3156" t="s">
        <v>3</v>
      </c>
      <c r="D3156" t="s">
        <v>1184</v>
      </c>
      <c r="E3156">
        <v>25.96</v>
      </c>
      <c r="F3156" t="s">
        <v>11</v>
      </c>
    </row>
    <row r="3157" spans="1:6">
      <c r="A3157" s="1">
        <v>45730</v>
      </c>
      <c r="B3157" s="2">
        <v>45730.394875011574</v>
      </c>
      <c r="C3157" t="s">
        <v>3</v>
      </c>
      <c r="D3157" t="s">
        <v>1184</v>
      </c>
      <c r="E3157">
        <v>25.96</v>
      </c>
      <c r="F3157" t="s">
        <v>11</v>
      </c>
    </row>
    <row r="3158" spans="1:6">
      <c r="A3158" s="1">
        <v>45730</v>
      </c>
      <c r="B3158" s="2">
        <v>45730.607838912038</v>
      </c>
      <c r="C3158" t="s">
        <v>3</v>
      </c>
      <c r="D3158" t="s">
        <v>1184</v>
      </c>
      <c r="E3158">
        <v>25.96</v>
      </c>
      <c r="F3158" t="s">
        <v>11</v>
      </c>
    </row>
    <row r="3159" spans="1:6">
      <c r="A3159" s="1">
        <v>45730</v>
      </c>
      <c r="B3159" s="2">
        <v>45730.685463148147</v>
      </c>
      <c r="C3159" t="s">
        <v>3</v>
      </c>
      <c r="D3159" t="s">
        <v>1184</v>
      </c>
      <c r="E3159">
        <v>25.96</v>
      </c>
      <c r="F3159" t="s">
        <v>11</v>
      </c>
    </row>
    <row r="3160" spans="1:6">
      <c r="A3160" s="1">
        <v>45732</v>
      </c>
      <c r="B3160" s="2">
        <v>45732.599104548608</v>
      </c>
      <c r="C3160" t="s">
        <v>3</v>
      </c>
      <c r="D3160" t="s">
        <v>1184</v>
      </c>
      <c r="E3160">
        <v>25.96</v>
      </c>
      <c r="F3160" t="s">
        <v>11</v>
      </c>
    </row>
    <row r="3161" spans="1:6">
      <c r="A3161" s="1">
        <v>45736</v>
      </c>
      <c r="B3161" s="2">
        <v>45736.628731423611</v>
      </c>
      <c r="C3161" t="s">
        <v>3</v>
      </c>
      <c r="D3161" t="s">
        <v>1184</v>
      </c>
      <c r="E3161">
        <v>25.96</v>
      </c>
      <c r="F3161" t="s">
        <v>11</v>
      </c>
    </row>
    <row r="3162" spans="1:6">
      <c r="A3162" s="1">
        <v>45737</v>
      </c>
      <c r="B3162" s="2">
        <v>45737.642158738425</v>
      </c>
      <c r="C3162" t="s">
        <v>3</v>
      </c>
      <c r="D3162" t="s">
        <v>1184</v>
      </c>
      <c r="E3162">
        <v>25.96</v>
      </c>
      <c r="F3162" t="s">
        <v>11</v>
      </c>
    </row>
    <row r="3163" spans="1:6">
      <c r="A3163" s="1">
        <v>45737</v>
      </c>
      <c r="B3163" s="2">
        <v>45737.791253136573</v>
      </c>
      <c r="C3163" t="s">
        <v>3</v>
      </c>
      <c r="D3163" t="s">
        <v>1184</v>
      </c>
      <c r="E3163">
        <v>25.96</v>
      </c>
      <c r="F3163" t="s">
        <v>11</v>
      </c>
    </row>
    <row r="3164" spans="1:6">
      <c r="A3164" s="1">
        <v>45692</v>
      </c>
      <c r="B3164" s="2">
        <v>45692.597089629628</v>
      </c>
      <c r="C3164" t="s">
        <v>3</v>
      </c>
      <c r="D3164" t="s">
        <v>1185</v>
      </c>
      <c r="E3164">
        <v>25.96</v>
      </c>
      <c r="F3164" t="s">
        <v>11</v>
      </c>
    </row>
    <row r="3165" spans="1:6">
      <c r="A3165" s="1">
        <v>45693</v>
      </c>
      <c r="B3165" s="2">
        <v>45693.572023437497</v>
      </c>
      <c r="C3165" t="s">
        <v>3</v>
      </c>
      <c r="D3165" t="s">
        <v>1185</v>
      </c>
      <c r="E3165">
        <v>21.06</v>
      </c>
      <c r="F3165" t="s">
        <v>35</v>
      </c>
    </row>
    <row r="3166" spans="1:6">
      <c r="A3166" s="1">
        <v>45693</v>
      </c>
      <c r="B3166" s="2">
        <v>45693.572561458335</v>
      </c>
      <c r="C3166" t="s">
        <v>3</v>
      </c>
      <c r="D3166" t="s">
        <v>1185</v>
      </c>
      <c r="E3166">
        <v>21.06</v>
      </c>
      <c r="F3166" t="s">
        <v>35</v>
      </c>
    </row>
    <row r="3167" spans="1:6">
      <c r="A3167" s="1">
        <v>45694</v>
      </c>
      <c r="B3167" s="2">
        <v>45694.582887222219</v>
      </c>
      <c r="C3167" t="s">
        <v>3</v>
      </c>
      <c r="D3167" t="s">
        <v>1185</v>
      </c>
      <c r="E3167">
        <v>25.96</v>
      </c>
      <c r="F3167" t="s">
        <v>11</v>
      </c>
    </row>
    <row r="3168" spans="1:6">
      <c r="A3168" s="1">
        <v>45707</v>
      </c>
      <c r="B3168" s="2">
        <v>45707.546462754632</v>
      </c>
      <c r="C3168" t="s">
        <v>3</v>
      </c>
      <c r="D3168" t="s">
        <v>1185</v>
      </c>
      <c r="E3168">
        <v>25.96</v>
      </c>
      <c r="F3168" t="s">
        <v>11</v>
      </c>
    </row>
    <row r="3169" spans="1:6">
      <c r="A3169" s="1">
        <v>45726</v>
      </c>
      <c r="B3169" s="2">
        <v>45726.525171250003</v>
      </c>
      <c r="C3169" t="s">
        <v>3</v>
      </c>
      <c r="D3169" t="s">
        <v>1185</v>
      </c>
      <c r="E3169">
        <v>25.96</v>
      </c>
      <c r="F3169" t="s">
        <v>11</v>
      </c>
    </row>
    <row r="3170" spans="1:6">
      <c r="A3170" s="1">
        <v>45727</v>
      </c>
      <c r="B3170" s="2">
        <v>45727.553410763889</v>
      </c>
      <c r="C3170" t="s">
        <v>3</v>
      </c>
      <c r="D3170" t="s">
        <v>1185</v>
      </c>
      <c r="E3170">
        <v>25.96</v>
      </c>
      <c r="F3170" t="s">
        <v>11</v>
      </c>
    </row>
    <row r="3171" spans="1:6">
      <c r="A3171" s="1">
        <v>45692</v>
      </c>
      <c r="B3171" s="2">
        <v>45692.795392534725</v>
      </c>
      <c r="C3171" t="s">
        <v>3</v>
      </c>
      <c r="D3171" t="s">
        <v>1186</v>
      </c>
      <c r="E3171">
        <v>35.76</v>
      </c>
      <c r="F3171" t="s">
        <v>18</v>
      </c>
    </row>
    <row r="3172" spans="1:6">
      <c r="A3172" s="1">
        <v>45692</v>
      </c>
      <c r="B3172" s="2">
        <v>45692.798341747686</v>
      </c>
      <c r="C3172" t="s">
        <v>3</v>
      </c>
      <c r="D3172" t="s">
        <v>1187</v>
      </c>
      <c r="E3172">
        <v>35.76</v>
      </c>
      <c r="F3172" t="s">
        <v>18</v>
      </c>
    </row>
    <row r="3173" spans="1:6">
      <c r="A3173" s="1">
        <v>45692</v>
      </c>
      <c r="B3173" s="2">
        <v>45692.798930254627</v>
      </c>
      <c r="C3173" t="s">
        <v>3</v>
      </c>
      <c r="D3173" t="s">
        <v>1187</v>
      </c>
      <c r="E3173">
        <v>35.76</v>
      </c>
      <c r="F3173" t="s">
        <v>18</v>
      </c>
    </row>
    <row r="3174" spans="1:6">
      <c r="A3174" s="1">
        <v>45692</v>
      </c>
      <c r="B3174" s="2">
        <v>45692.810732442129</v>
      </c>
      <c r="C3174" t="s">
        <v>3</v>
      </c>
      <c r="D3174" t="s">
        <v>1188</v>
      </c>
      <c r="E3174">
        <v>25.96</v>
      </c>
      <c r="F3174" t="s">
        <v>28</v>
      </c>
    </row>
    <row r="3175" spans="1:6">
      <c r="A3175" s="1">
        <v>45720</v>
      </c>
      <c r="B3175" s="2">
        <v>45720.798720729166</v>
      </c>
      <c r="C3175" t="s">
        <v>3</v>
      </c>
      <c r="D3175" t="s">
        <v>1188</v>
      </c>
      <c r="E3175">
        <v>35.76</v>
      </c>
      <c r="F3175" t="s">
        <v>7</v>
      </c>
    </row>
    <row r="3176" spans="1:6">
      <c r="A3176" s="1">
        <v>45693</v>
      </c>
      <c r="B3176" s="2">
        <v>45693.50748699074</v>
      </c>
      <c r="C3176" t="s">
        <v>3</v>
      </c>
      <c r="D3176" t="s">
        <v>1189</v>
      </c>
      <c r="E3176">
        <v>25.96</v>
      </c>
      <c r="F3176" t="s">
        <v>11</v>
      </c>
    </row>
    <row r="3177" spans="1:6">
      <c r="A3177" s="1">
        <v>45693</v>
      </c>
      <c r="B3177" s="2">
        <v>45693.55608991898</v>
      </c>
      <c r="C3177" t="s">
        <v>3</v>
      </c>
      <c r="D3177" t="s">
        <v>1190</v>
      </c>
      <c r="E3177">
        <v>25.96</v>
      </c>
      <c r="F3177" t="s">
        <v>11</v>
      </c>
    </row>
    <row r="3178" spans="1:6">
      <c r="A3178" s="1">
        <v>45699</v>
      </c>
      <c r="B3178" s="2">
        <v>45699.471706921293</v>
      </c>
      <c r="C3178" t="s">
        <v>3</v>
      </c>
      <c r="D3178" t="s">
        <v>1190</v>
      </c>
      <c r="E3178">
        <v>25.96</v>
      </c>
      <c r="F3178" t="s">
        <v>11</v>
      </c>
    </row>
    <row r="3179" spans="1:6">
      <c r="A3179" s="1">
        <v>45720</v>
      </c>
      <c r="B3179" s="2">
        <v>45720.461886273151</v>
      </c>
      <c r="C3179" t="s">
        <v>3</v>
      </c>
      <c r="D3179" t="s">
        <v>1190</v>
      </c>
      <c r="E3179">
        <v>25.96</v>
      </c>
      <c r="F3179" t="s">
        <v>11</v>
      </c>
    </row>
    <row r="3180" spans="1:6">
      <c r="A3180" s="1">
        <v>45693</v>
      </c>
      <c r="B3180" s="2">
        <v>45693.660402476853</v>
      </c>
      <c r="C3180" t="s">
        <v>3</v>
      </c>
      <c r="D3180" t="s">
        <v>1191</v>
      </c>
      <c r="E3180">
        <v>35.76</v>
      </c>
      <c r="F3180" t="s">
        <v>43</v>
      </c>
    </row>
    <row r="3181" spans="1:6">
      <c r="A3181" s="1">
        <v>45712</v>
      </c>
      <c r="B3181" s="2">
        <v>45712.686714490737</v>
      </c>
      <c r="C3181" t="s">
        <v>3</v>
      </c>
      <c r="D3181" t="s">
        <v>1191</v>
      </c>
      <c r="E3181">
        <v>35.76</v>
      </c>
      <c r="F3181" t="s">
        <v>7</v>
      </c>
    </row>
    <row r="3182" spans="1:6">
      <c r="A3182" s="1">
        <v>45693</v>
      </c>
      <c r="B3182" s="2">
        <v>45693.762898460649</v>
      </c>
      <c r="C3182" t="s">
        <v>3</v>
      </c>
      <c r="D3182" t="s">
        <v>1192</v>
      </c>
      <c r="E3182">
        <v>35.76</v>
      </c>
      <c r="F3182" t="s">
        <v>43</v>
      </c>
    </row>
    <row r="3183" spans="1:6">
      <c r="A3183" s="1">
        <v>45695</v>
      </c>
      <c r="B3183" s="2">
        <v>45695.779591909719</v>
      </c>
      <c r="C3183" t="s">
        <v>3</v>
      </c>
      <c r="D3183" t="s">
        <v>1192</v>
      </c>
      <c r="E3183">
        <v>35.76</v>
      </c>
      <c r="F3183" t="s">
        <v>18</v>
      </c>
    </row>
    <row r="3184" spans="1:6">
      <c r="A3184" s="1">
        <v>45697</v>
      </c>
      <c r="B3184" s="2">
        <v>45697.63608679398</v>
      </c>
      <c r="C3184" t="s">
        <v>3</v>
      </c>
      <c r="D3184" t="s">
        <v>1192</v>
      </c>
      <c r="E3184">
        <v>35.76</v>
      </c>
      <c r="F3184" t="s">
        <v>9</v>
      </c>
    </row>
    <row r="3185" spans="1:6">
      <c r="A3185" s="1">
        <v>45698</v>
      </c>
      <c r="B3185" s="2">
        <v>45698.801405798615</v>
      </c>
      <c r="C3185" t="s">
        <v>3</v>
      </c>
      <c r="D3185" t="s">
        <v>1192</v>
      </c>
      <c r="E3185">
        <v>35.76</v>
      </c>
      <c r="F3185" t="s">
        <v>7</v>
      </c>
    </row>
    <row r="3186" spans="1:6">
      <c r="A3186" s="1">
        <v>45700</v>
      </c>
      <c r="B3186" s="2">
        <v>45700.849460347221</v>
      </c>
      <c r="C3186" t="s">
        <v>3</v>
      </c>
      <c r="D3186" t="s">
        <v>1192</v>
      </c>
      <c r="E3186">
        <v>35.76</v>
      </c>
      <c r="F3186" t="s">
        <v>18</v>
      </c>
    </row>
    <row r="3187" spans="1:6">
      <c r="A3187" s="1">
        <v>45701</v>
      </c>
      <c r="B3187" s="2">
        <v>45701.719579050929</v>
      </c>
      <c r="C3187" t="s">
        <v>3</v>
      </c>
      <c r="D3187" t="s">
        <v>1192</v>
      </c>
      <c r="E3187">
        <v>30.86</v>
      </c>
      <c r="F3187" t="s">
        <v>14</v>
      </c>
    </row>
    <row r="3188" spans="1:6">
      <c r="A3188" s="1">
        <v>45709</v>
      </c>
      <c r="B3188" s="2">
        <v>45709.797440104165</v>
      </c>
      <c r="C3188" t="s">
        <v>3</v>
      </c>
      <c r="D3188" t="s">
        <v>1192</v>
      </c>
      <c r="E3188">
        <v>35.76</v>
      </c>
      <c r="F3188" t="s">
        <v>18</v>
      </c>
    </row>
    <row r="3189" spans="1:6">
      <c r="A3189" s="1">
        <v>45709</v>
      </c>
      <c r="B3189" s="2">
        <v>45709.798027210651</v>
      </c>
      <c r="C3189" t="s">
        <v>3</v>
      </c>
      <c r="D3189" t="s">
        <v>1192</v>
      </c>
      <c r="E3189">
        <v>35.76</v>
      </c>
      <c r="F3189" t="s">
        <v>18</v>
      </c>
    </row>
    <row r="3190" spans="1:6">
      <c r="A3190" s="1">
        <v>45719</v>
      </c>
      <c r="B3190" s="2">
        <v>45719.748927581022</v>
      </c>
      <c r="C3190" t="s">
        <v>3</v>
      </c>
      <c r="D3190" t="s">
        <v>1192</v>
      </c>
      <c r="E3190">
        <v>35.76</v>
      </c>
      <c r="F3190" t="s">
        <v>9</v>
      </c>
    </row>
    <row r="3191" spans="1:6">
      <c r="A3191" s="1">
        <v>45693</v>
      </c>
      <c r="B3191" s="2">
        <v>45693.763762476854</v>
      </c>
      <c r="C3191" t="s">
        <v>3</v>
      </c>
      <c r="D3191" t="s">
        <v>1193</v>
      </c>
      <c r="E3191">
        <v>35.76</v>
      </c>
      <c r="F3191" t="s">
        <v>43</v>
      </c>
    </row>
    <row r="3192" spans="1:6">
      <c r="A3192" s="1">
        <v>45695</v>
      </c>
      <c r="B3192" s="2">
        <v>45695.780278749997</v>
      </c>
      <c r="C3192" t="s">
        <v>3</v>
      </c>
      <c r="D3192" t="s">
        <v>1193</v>
      </c>
      <c r="E3192">
        <v>35.76</v>
      </c>
      <c r="F3192" t="s">
        <v>18</v>
      </c>
    </row>
    <row r="3193" spans="1:6">
      <c r="A3193" s="1">
        <v>45697</v>
      </c>
      <c r="B3193" s="2">
        <v>45697.636715555556</v>
      </c>
      <c r="C3193" t="s">
        <v>3</v>
      </c>
      <c r="D3193" t="s">
        <v>1193</v>
      </c>
      <c r="E3193">
        <v>35.76</v>
      </c>
      <c r="F3193" t="s">
        <v>18</v>
      </c>
    </row>
    <row r="3194" spans="1:6">
      <c r="A3194" s="1">
        <v>45701</v>
      </c>
      <c r="B3194" s="2">
        <v>45701.720372650459</v>
      </c>
      <c r="C3194" t="s">
        <v>3</v>
      </c>
      <c r="D3194" t="s">
        <v>1193</v>
      </c>
      <c r="E3194">
        <v>30.86</v>
      </c>
      <c r="F3194" t="s">
        <v>14</v>
      </c>
    </row>
    <row r="3195" spans="1:6">
      <c r="A3195" s="1">
        <v>45703</v>
      </c>
      <c r="B3195" s="2">
        <v>45703.65346577546</v>
      </c>
      <c r="C3195" t="s">
        <v>3</v>
      </c>
      <c r="D3195" t="s">
        <v>1193</v>
      </c>
      <c r="E3195">
        <v>35.76</v>
      </c>
      <c r="F3195" t="s">
        <v>9</v>
      </c>
    </row>
    <row r="3196" spans="1:6">
      <c r="A3196" s="1">
        <v>45707</v>
      </c>
      <c r="B3196" s="2">
        <v>45707.799884143518</v>
      </c>
      <c r="C3196" t="s">
        <v>3</v>
      </c>
      <c r="D3196" t="s">
        <v>1193</v>
      </c>
      <c r="E3196">
        <v>35.76</v>
      </c>
      <c r="F3196" t="s">
        <v>18</v>
      </c>
    </row>
    <row r="3197" spans="1:6">
      <c r="A3197" s="1">
        <v>45707</v>
      </c>
      <c r="B3197" s="2">
        <v>45707.800495115742</v>
      </c>
      <c r="C3197" t="s">
        <v>3</v>
      </c>
      <c r="D3197" t="s">
        <v>1193</v>
      </c>
      <c r="E3197">
        <v>35.76</v>
      </c>
      <c r="F3197" t="s">
        <v>9</v>
      </c>
    </row>
    <row r="3198" spans="1:6">
      <c r="A3198" s="1">
        <v>45712</v>
      </c>
      <c r="B3198" s="2">
        <v>45712.808458437503</v>
      </c>
      <c r="C3198" t="s">
        <v>3</v>
      </c>
      <c r="D3198" t="s">
        <v>1193</v>
      </c>
      <c r="E3198">
        <v>35.76</v>
      </c>
      <c r="F3198" t="s">
        <v>9</v>
      </c>
    </row>
    <row r="3199" spans="1:6">
      <c r="A3199" s="1">
        <v>45712</v>
      </c>
      <c r="B3199" s="2">
        <v>45712.809893136575</v>
      </c>
      <c r="C3199" t="s">
        <v>3</v>
      </c>
      <c r="D3199" t="s">
        <v>1193</v>
      </c>
      <c r="E3199">
        <v>35.76</v>
      </c>
      <c r="F3199" t="s">
        <v>18</v>
      </c>
    </row>
    <row r="3200" spans="1:6">
      <c r="A3200" s="1">
        <v>45715</v>
      </c>
      <c r="B3200" s="2">
        <v>45715.777799108793</v>
      </c>
      <c r="C3200" t="s">
        <v>3</v>
      </c>
      <c r="D3200" t="s">
        <v>1193</v>
      </c>
      <c r="E3200">
        <v>35.76</v>
      </c>
      <c r="F3200" t="s">
        <v>18</v>
      </c>
    </row>
    <row r="3201" spans="1:6">
      <c r="A3201" s="1">
        <v>45715</v>
      </c>
      <c r="B3201" s="2">
        <v>45715.77838019676</v>
      </c>
      <c r="C3201" t="s">
        <v>3</v>
      </c>
      <c r="D3201" t="s">
        <v>1193</v>
      </c>
      <c r="E3201">
        <v>35.76</v>
      </c>
      <c r="F3201" t="s">
        <v>18</v>
      </c>
    </row>
    <row r="3202" spans="1:6">
      <c r="A3202" s="1">
        <v>45719</v>
      </c>
      <c r="B3202" s="2">
        <v>45719.748294999998</v>
      </c>
      <c r="C3202" t="s">
        <v>3</v>
      </c>
      <c r="D3202" t="s">
        <v>1193</v>
      </c>
      <c r="E3202">
        <v>35.76</v>
      </c>
      <c r="F3202" t="s">
        <v>9</v>
      </c>
    </row>
    <row r="3203" spans="1:6">
      <c r="A3203" s="1">
        <v>45693</v>
      </c>
      <c r="B3203" s="2">
        <v>45693.764484791667</v>
      </c>
      <c r="C3203" t="s">
        <v>3</v>
      </c>
      <c r="D3203" t="s">
        <v>1194</v>
      </c>
      <c r="E3203">
        <v>35.76</v>
      </c>
      <c r="F3203" t="s">
        <v>18</v>
      </c>
    </row>
    <row r="3204" spans="1:6">
      <c r="A3204" s="1">
        <v>45693</v>
      </c>
      <c r="B3204" s="2">
        <v>45693.781737638892</v>
      </c>
      <c r="C3204" t="s">
        <v>3</v>
      </c>
      <c r="D3204" t="s">
        <v>1195</v>
      </c>
      <c r="E3204">
        <v>35.76</v>
      </c>
      <c r="F3204" t="s">
        <v>43</v>
      </c>
    </row>
    <row r="3205" spans="1:6">
      <c r="A3205" s="1">
        <v>45693</v>
      </c>
      <c r="B3205" s="2">
        <v>45693.835655428244</v>
      </c>
      <c r="C3205" t="s">
        <v>3</v>
      </c>
      <c r="D3205" t="s">
        <v>1196</v>
      </c>
      <c r="E3205">
        <v>35.76</v>
      </c>
      <c r="F3205" t="s">
        <v>18</v>
      </c>
    </row>
    <row r="3206" spans="1:6">
      <c r="A3206" s="1">
        <v>45707</v>
      </c>
      <c r="B3206" s="2">
        <v>45707.837133935187</v>
      </c>
      <c r="C3206" t="s">
        <v>3</v>
      </c>
      <c r="D3206" t="s">
        <v>1196</v>
      </c>
      <c r="E3206">
        <v>35.76</v>
      </c>
      <c r="F3206" t="s">
        <v>18</v>
      </c>
    </row>
    <row r="3207" spans="1:6">
      <c r="A3207" s="1">
        <v>45694</v>
      </c>
      <c r="B3207" s="2">
        <v>45694.746123159719</v>
      </c>
      <c r="C3207" t="s">
        <v>3</v>
      </c>
      <c r="D3207" t="s">
        <v>1197</v>
      </c>
      <c r="E3207">
        <v>35.76</v>
      </c>
      <c r="F3207" t="s">
        <v>18</v>
      </c>
    </row>
    <row r="3208" spans="1:6">
      <c r="A3208" s="1">
        <v>45694</v>
      </c>
      <c r="B3208" s="2">
        <v>45694.829936354166</v>
      </c>
      <c r="C3208" t="s">
        <v>3</v>
      </c>
      <c r="D3208" t="s">
        <v>1198</v>
      </c>
      <c r="E3208">
        <v>21.06</v>
      </c>
      <c r="F3208" t="s">
        <v>35</v>
      </c>
    </row>
    <row r="3209" spans="1:6">
      <c r="A3209" s="1">
        <v>45703</v>
      </c>
      <c r="B3209" s="2">
        <v>45703.584620694448</v>
      </c>
      <c r="C3209" t="s">
        <v>3</v>
      </c>
      <c r="D3209" t="s">
        <v>1198</v>
      </c>
      <c r="E3209">
        <v>35.76</v>
      </c>
      <c r="F3209" t="s">
        <v>43</v>
      </c>
    </row>
    <row r="3210" spans="1:6">
      <c r="A3210" s="1">
        <v>45709</v>
      </c>
      <c r="B3210" s="2">
        <v>45709.832917997686</v>
      </c>
      <c r="C3210" t="s">
        <v>3</v>
      </c>
      <c r="D3210" t="s">
        <v>1198</v>
      </c>
      <c r="E3210">
        <v>35.76</v>
      </c>
      <c r="F3210" t="s">
        <v>43</v>
      </c>
    </row>
    <row r="3211" spans="1:6">
      <c r="A3211" s="1">
        <v>45712</v>
      </c>
      <c r="B3211" s="2">
        <v>45712.67388855324</v>
      </c>
      <c r="C3211" t="s">
        <v>3</v>
      </c>
      <c r="D3211" t="s">
        <v>1198</v>
      </c>
      <c r="E3211">
        <v>35.76</v>
      </c>
      <c r="F3211" t="s">
        <v>43</v>
      </c>
    </row>
    <row r="3212" spans="1:6">
      <c r="A3212" s="1">
        <v>45713</v>
      </c>
      <c r="B3212" s="2">
        <v>45713.514369293982</v>
      </c>
      <c r="C3212" t="s">
        <v>3</v>
      </c>
      <c r="D3212" t="s">
        <v>1198</v>
      </c>
      <c r="E3212">
        <v>35.76</v>
      </c>
      <c r="F3212" t="s">
        <v>43</v>
      </c>
    </row>
    <row r="3213" spans="1:6">
      <c r="A3213" s="1">
        <v>45715</v>
      </c>
      <c r="B3213" s="2">
        <v>45715.776861759259</v>
      </c>
      <c r="C3213" t="s">
        <v>3</v>
      </c>
      <c r="D3213" t="s">
        <v>1198</v>
      </c>
      <c r="E3213">
        <v>35.76</v>
      </c>
      <c r="F3213" t="s">
        <v>43</v>
      </c>
    </row>
    <row r="3214" spans="1:6">
      <c r="A3214" s="1">
        <v>45717</v>
      </c>
      <c r="B3214" s="2">
        <v>45717.438723865744</v>
      </c>
      <c r="C3214" t="s">
        <v>3</v>
      </c>
      <c r="D3214" t="s">
        <v>1198</v>
      </c>
      <c r="E3214">
        <v>35.76</v>
      </c>
      <c r="F3214" t="s">
        <v>43</v>
      </c>
    </row>
    <row r="3215" spans="1:6">
      <c r="A3215" s="1">
        <v>45717</v>
      </c>
      <c r="B3215" s="2">
        <v>45717.695984363425</v>
      </c>
      <c r="C3215" t="s">
        <v>3</v>
      </c>
      <c r="D3215" t="s">
        <v>1198</v>
      </c>
      <c r="E3215">
        <v>35.76</v>
      </c>
      <c r="F3215" t="s">
        <v>43</v>
      </c>
    </row>
    <row r="3216" spans="1:6">
      <c r="A3216" s="1">
        <v>45719</v>
      </c>
      <c r="B3216" s="2">
        <v>45719.540370972223</v>
      </c>
      <c r="C3216" t="s">
        <v>3</v>
      </c>
      <c r="D3216" t="s">
        <v>1198</v>
      </c>
      <c r="E3216">
        <v>35.76</v>
      </c>
      <c r="F3216" t="s">
        <v>43</v>
      </c>
    </row>
    <row r="3217" spans="1:6">
      <c r="A3217" s="1">
        <v>45721</v>
      </c>
      <c r="B3217" s="2">
        <v>45721.464254259263</v>
      </c>
      <c r="C3217" t="s">
        <v>3</v>
      </c>
      <c r="D3217" t="s">
        <v>1198</v>
      </c>
      <c r="E3217">
        <v>35.76</v>
      </c>
      <c r="F3217" t="s">
        <v>43</v>
      </c>
    </row>
    <row r="3218" spans="1:6">
      <c r="A3218" s="1">
        <v>45723</v>
      </c>
      <c r="B3218" s="2">
        <v>45723.620487962966</v>
      </c>
      <c r="C3218" t="s">
        <v>3</v>
      </c>
      <c r="D3218" t="s">
        <v>1198</v>
      </c>
      <c r="E3218">
        <v>35.76</v>
      </c>
      <c r="F3218" t="s">
        <v>43</v>
      </c>
    </row>
    <row r="3219" spans="1:6">
      <c r="A3219" s="1">
        <v>45725</v>
      </c>
      <c r="B3219" s="2">
        <v>45725.577734699073</v>
      </c>
      <c r="C3219" t="s">
        <v>3</v>
      </c>
      <c r="D3219" t="s">
        <v>1198</v>
      </c>
      <c r="E3219">
        <v>35.76</v>
      </c>
      <c r="F3219" t="s">
        <v>43</v>
      </c>
    </row>
    <row r="3220" spans="1:6">
      <c r="A3220" s="1">
        <v>45727</v>
      </c>
      <c r="B3220" s="2">
        <v>45727.740859178244</v>
      </c>
      <c r="C3220" t="s">
        <v>3</v>
      </c>
      <c r="D3220" t="s">
        <v>1198</v>
      </c>
      <c r="E3220">
        <v>35.76</v>
      </c>
      <c r="F3220" t="s">
        <v>43</v>
      </c>
    </row>
    <row r="3221" spans="1:6">
      <c r="A3221" s="1">
        <v>45694</v>
      </c>
      <c r="B3221" s="2">
        <v>45694.838186400462</v>
      </c>
      <c r="C3221" t="s">
        <v>3</v>
      </c>
      <c r="D3221" t="s">
        <v>1199</v>
      </c>
      <c r="E3221">
        <v>35.76</v>
      </c>
      <c r="F3221" t="s">
        <v>18</v>
      </c>
    </row>
    <row r="3222" spans="1:6">
      <c r="A3222" s="1">
        <v>45706</v>
      </c>
      <c r="B3222" s="2">
        <v>45706.838150416668</v>
      </c>
      <c r="C3222" t="s">
        <v>3</v>
      </c>
      <c r="D3222" t="s">
        <v>1199</v>
      </c>
      <c r="E3222">
        <v>35.76</v>
      </c>
      <c r="F3222" t="s">
        <v>18</v>
      </c>
    </row>
    <row r="3223" spans="1:6">
      <c r="A3223" s="1">
        <v>45727</v>
      </c>
      <c r="B3223" s="2">
        <v>45727.839540844907</v>
      </c>
      <c r="C3223" t="s">
        <v>3</v>
      </c>
      <c r="D3223" t="s">
        <v>1199</v>
      </c>
      <c r="E3223">
        <v>35.76</v>
      </c>
      <c r="F3223" t="s">
        <v>18</v>
      </c>
    </row>
    <row r="3224" spans="1:6">
      <c r="A3224" s="1">
        <v>45694</v>
      </c>
      <c r="B3224" s="2">
        <v>45694.838739641207</v>
      </c>
      <c r="C3224" t="s">
        <v>3</v>
      </c>
      <c r="D3224" t="s">
        <v>1200</v>
      </c>
      <c r="E3224">
        <v>35.76</v>
      </c>
      <c r="F3224" t="s">
        <v>18</v>
      </c>
    </row>
    <row r="3225" spans="1:6">
      <c r="A3225" s="1">
        <v>45695</v>
      </c>
      <c r="B3225" s="2">
        <v>45695.379914976853</v>
      </c>
      <c r="C3225" t="s">
        <v>3</v>
      </c>
      <c r="D3225" t="s">
        <v>1201</v>
      </c>
      <c r="E3225">
        <v>30.86</v>
      </c>
      <c r="F3225" t="s">
        <v>14</v>
      </c>
    </row>
    <row r="3226" spans="1:6">
      <c r="A3226" s="1">
        <v>45720</v>
      </c>
      <c r="B3226" s="2">
        <v>45720.36927398148</v>
      </c>
      <c r="C3226" t="s">
        <v>3</v>
      </c>
      <c r="D3226" t="s">
        <v>1201</v>
      </c>
      <c r="E3226">
        <v>30.86</v>
      </c>
      <c r="F3226" t="s">
        <v>14</v>
      </c>
    </row>
    <row r="3227" spans="1:6">
      <c r="A3227" s="1">
        <v>45695</v>
      </c>
      <c r="B3227" s="2">
        <v>45695.450962986113</v>
      </c>
      <c r="C3227" t="s">
        <v>3</v>
      </c>
      <c r="D3227" t="s">
        <v>1202</v>
      </c>
      <c r="E3227">
        <v>25.96</v>
      </c>
      <c r="F3227" t="s">
        <v>11</v>
      </c>
    </row>
    <row r="3228" spans="1:6">
      <c r="A3228" s="1">
        <v>45700</v>
      </c>
      <c r="B3228" s="2">
        <v>45700.446683738424</v>
      </c>
      <c r="C3228" t="s">
        <v>3</v>
      </c>
      <c r="D3228" t="s">
        <v>1202</v>
      </c>
      <c r="E3228">
        <v>25.96</v>
      </c>
      <c r="F3228" t="s">
        <v>11</v>
      </c>
    </row>
    <row r="3229" spans="1:6">
      <c r="A3229" s="1">
        <v>45695</v>
      </c>
      <c r="B3229" s="2">
        <v>45695.506696666664</v>
      </c>
      <c r="C3229" t="s">
        <v>3</v>
      </c>
      <c r="D3229" t="s">
        <v>1203</v>
      </c>
      <c r="E3229">
        <v>35.76</v>
      </c>
      <c r="F3229" t="s">
        <v>18</v>
      </c>
    </row>
    <row r="3230" spans="1:6">
      <c r="A3230" s="1">
        <v>45697</v>
      </c>
      <c r="B3230" s="2">
        <v>45697.63413392361</v>
      </c>
      <c r="C3230" t="s">
        <v>3</v>
      </c>
      <c r="D3230" t="s">
        <v>1203</v>
      </c>
      <c r="E3230">
        <v>35.76</v>
      </c>
      <c r="F3230" t="s">
        <v>18</v>
      </c>
    </row>
    <row r="3231" spans="1:6">
      <c r="A3231" s="1">
        <v>45697</v>
      </c>
      <c r="B3231" s="2">
        <v>45697.634749363424</v>
      </c>
      <c r="C3231" t="s">
        <v>3</v>
      </c>
      <c r="D3231" t="s">
        <v>1203</v>
      </c>
      <c r="E3231">
        <v>35.76</v>
      </c>
      <c r="F3231" t="s">
        <v>7</v>
      </c>
    </row>
    <row r="3232" spans="1:6">
      <c r="A3232" s="1">
        <v>45699</v>
      </c>
      <c r="B3232" s="2">
        <v>45699.47300928241</v>
      </c>
      <c r="C3232" t="s">
        <v>3</v>
      </c>
      <c r="D3232" t="s">
        <v>1203</v>
      </c>
      <c r="E3232">
        <v>35.76</v>
      </c>
      <c r="F3232" t="s">
        <v>18</v>
      </c>
    </row>
    <row r="3233" spans="1:6">
      <c r="A3233" s="1">
        <v>45718</v>
      </c>
      <c r="B3233" s="2">
        <v>45718.512226574072</v>
      </c>
      <c r="C3233" t="s">
        <v>3</v>
      </c>
      <c r="D3233" t="s">
        <v>1203</v>
      </c>
      <c r="E3233">
        <v>35.76</v>
      </c>
      <c r="F3233" t="s">
        <v>7</v>
      </c>
    </row>
    <row r="3234" spans="1:6">
      <c r="A3234" s="1">
        <v>45720</v>
      </c>
      <c r="B3234" s="2">
        <v>45720.518045972225</v>
      </c>
      <c r="C3234" t="s">
        <v>3</v>
      </c>
      <c r="D3234" t="s">
        <v>1203</v>
      </c>
      <c r="E3234">
        <v>35.76</v>
      </c>
      <c r="F3234" t="s">
        <v>18</v>
      </c>
    </row>
    <row r="3235" spans="1:6">
      <c r="A3235" s="1">
        <v>45723</v>
      </c>
      <c r="B3235" s="2">
        <v>45723.493743680556</v>
      </c>
      <c r="C3235" t="s">
        <v>3</v>
      </c>
      <c r="D3235" t="s">
        <v>1203</v>
      </c>
      <c r="E3235">
        <v>35.76</v>
      </c>
      <c r="F3235" t="s">
        <v>18</v>
      </c>
    </row>
    <row r="3236" spans="1:6">
      <c r="A3236" s="1">
        <v>45695</v>
      </c>
      <c r="B3236" s="2">
        <v>45695.54087704861</v>
      </c>
      <c r="C3236" t="s">
        <v>3</v>
      </c>
      <c r="D3236" t="s">
        <v>1204</v>
      </c>
      <c r="E3236">
        <v>25.96</v>
      </c>
      <c r="F3236" t="s">
        <v>11</v>
      </c>
    </row>
    <row r="3237" spans="1:6">
      <c r="A3237" s="1">
        <v>45710</v>
      </c>
      <c r="B3237" s="2">
        <v>45710.486954259257</v>
      </c>
      <c r="C3237" t="s">
        <v>3</v>
      </c>
      <c r="D3237" t="s">
        <v>1204</v>
      </c>
      <c r="E3237">
        <v>25.96</v>
      </c>
      <c r="F3237" t="s">
        <v>11</v>
      </c>
    </row>
    <row r="3238" spans="1:6">
      <c r="A3238" s="1">
        <v>45714</v>
      </c>
      <c r="B3238" s="2">
        <v>45714.64496824074</v>
      </c>
      <c r="C3238" t="s">
        <v>3</v>
      </c>
      <c r="D3238" t="s">
        <v>1204</v>
      </c>
      <c r="E3238">
        <v>25.96</v>
      </c>
      <c r="F3238" t="s">
        <v>11</v>
      </c>
    </row>
    <row r="3239" spans="1:6">
      <c r="A3239" s="1">
        <v>45715</v>
      </c>
      <c r="B3239" s="2">
        <v>45715.717314803238</v>
      </c>
      <c r="C3239" t="s">
        <v>3</v>
      </c>
      <c r="D3239" t="s">
        <v>1204</v>
      </c>
      <c r="E3239">
        <v>25.96</v>
      </c>
      <c r="F3239" t="s">
        <v>11</v>
      </c>
    </row>
    <row r="3240" spans="1:6">
      <c r="A3240" s="1">
        <v>45716</v>
      </c>
      <c r="B3240" s="2">
        <v>45716.731818842592</v>
      </c>
      <c r="C3240" t="s">
        <v>3</v>
      </c>
      <c r="D3240" t="s">
        <v>1204</v>
      </c>
      <c r="E3240">
        <v>25.96</v>
      </c>
      <c r="F3240" t="s">
        <v>11</v>
      </c>
    </row>
    <row r="3241" spans="1:6">
      <c r="A3241" s="1">
        <v>45717</v>
      </c>
      <c r="B3241" s="2">
        <v>45717.475052164351</v>
      </c>
      <c r="C3241" t="s">
        <v>3</v>
      </c>
      <c r="D3241" t="s">
        <v>1204</v>
      </c>
      <c r="E3241">
        <v>25.96</v>
      </c>
      <c r="F3241" t="s">
        <v>11</v>
      </c>
    </row>
    <row r="3242" spans="1:6">
      <c r="A3242" s="1">
        <v>45718</v>
      </c>
      <c r="B3242" s="2">
        <v>45718.64219017361</v>
      </c>
      <c r="C3242" t="s">
        <v>3</v>
      </c>
      <c r="D3242" t="s">
        <v>1204</v>
      </c>
      <c r="E3242">
        <v>25.96</v>
      </c>
      <c r="F3242" t="s">
        <v>11</v>
      </c>
    </row>
    <row r="3243" spans="1:6">
      <c r="A3243" s="1">
        <v>45724</v>
      </c>
      <c r="B3243" s="2">
        <v>45724.472055300925</v>
      </c>
      <c r="C3243" t="s">
        <v>3</v>
      </c>
      <c r="D3243" t="s">
        <v>1204</v>
      </c>
      <c r="E3243">
        <v>25.96</v>
      </c>
      <c r="F3243" t="s">
        <v>11</v>
      </c>
    </row>
    <row r="3244" spans="1:6">
      <c r="A3244" s="1">
        <v>45724</v>
      </c>
      <c r="B3244" s="2">
        <v>45724.472596956017</v>
      </c>
      <c r="C3244" t="s">
        <v>3</v>
      </c>
      <c r="D3244" t="s">
        <v>1204</v>
      </c>
      <c r="E3244">
        <v>25.96</v>
      </c>
      <c r="F3244" t="s">
        <v>11</v>
      </c>
    </row>
    <row r="3245" spans="1:6">
      <c r="A3245" s="1">
        <v>45695</v>
      </c>
      <c r="B3245" s="2">
        <v>45695.682095960648</v>
      </c>
      <c r="C3245" t="s">
        <v>3</v>
      </c>
      <c r="D3245" t="s">
        <v>1205</v>
      </c>
      <c r="E3245">
        <v>35.76</v>
      </c>
      <c r="F3245" t="s">
        <v>7</v>
      </c>
    </row>
    <row r="3246" spans="1:6">
      <c r="A3246" s="1">
        <v>45698</v>
      </c>
      <c r="B3246" s="2">
        <v>45698.656974965277</v>
      </c>
      <c r="C3246" t="s">
        <v>3</v>
      </c>
      <c r="D3246" t="s">
        <v>1205</v>
      </c>
      <c r="E3246">
        <v>35.76</v>
      </c>
      <c r="F3246" t="s">
        <v>7</v>
      </c>
    </row>
    <row r="3247" spans="1:6">
      <c r="A3247" s="1">
        <v>45700</v>
      </c>
      <c r="B3247" s="2">
        <v>45700.654358506945</v>
      </c>
      <c r="C3247" t="s">
        <v>3</v>
      </c>
      <c r="D3247" t="s">
        <v>1205</v>
      </c>
      <c r="E3247">
        <v>35.76</v>
      </c>
      <c r="F3247" t="s">
        <v>7</v>
      </c>
    </row>
    <row r="3248" spans="1:6">
      <c r="A3248" s="1">
        <v>45705</v>
      </c>
      <c r="B3248" s="2">
        <v>45705.648143136576</v>
      </c>
      <c r="C3248" t="s">
        <v>3</v>
      </c>
      <c r="D3248" t="s">
        <v>1205</v>
      </c>
      <c r="E3248">
        <v>35.76</v>
      </c>
      <c r="F3248" t="s">
        <v>7</v>
      </c>
    </row>
    <row r="3249" spans="1:6">
      <c r="A3249" s="1">
        <v>45707</v>
      </c>
      <c r="B3249" s="2">
        <v>45707.809988032408</v>
      </c>
      <c r="C3249" t="s">
        <v>3</v>
      </c>
      <c r="D3249" t="s">
        <v>1205</v>
      </c>
      <c r="E3249">
        <v>35.76</v>
      </c>
      <c r="F3249" t="s">
        <v>7</v>
      </c>
    </row>
    <row r="3250" spans="1:6">
      <c r="A3250" s="1">
        <v>45709</v>
      </c>
      <c r="B3250" s="2">
        <v>45709.699290196761</v>
      </c>
      <c r="C3250" t="s">
        <v>3</v>
      </c>
      <c r="D3250" t="s">
        <v>1205</v>
      </c>
      <c r="E3250">
        <v>35.76</v>
      </c>
      <c r="F3250" t="s">
        <v>7</v>
      </c>
    </row>
    <row r="3251" spans="1:6">
      <c r="A3251" s="1">
        <v>45712</v>
      </c>
      <c r="B3251" s="2">
        <v>45712.540755891205</v>
      </c>
      <c r="C3251" t="s">
        <v>3</v>
      </c>
      <c r="D3251" t="s">
        <v>1205</v>
      </c>
      <c r="E3251">
        <v>35.76</v>
      </c>
      <c r="F3251" t="s">
        <v>7</v>
      </c>
    </row>
    <row r="3252" spans="1:6">
      <c r="A3252" s="1">
        <v>45712</v>
      </c>
      <c r="B3252" s="2">
        <v>45712.541681458337</v>
      </c>
      <c r="C3252" t="s">
        <v>3</v>
      </c>
      <c r="D3252" t="s">
        <v>1205</v>
      </c>
      <c r="E3252">
        <v>35.76</v>
      </c>
      <c r="F3252" t="s">
        <v>18</v>
      </c>
    </row>
    <row r="3253" spans="1:6">
      <c r="A3253" s="1">
        <v>45712</v>
      </c>
      <c r="B3253" s="2">
        <v>45712.765244965274</v>
      </c>
      <c r="C3253" t="s">
        <v>3</v>
      </c>
      <c r="D3253" t="s">
        <v>1205</v>
      </c>
      <c r="E3253">
        <v>35.76</v>
      </c>
      <c r="F3253" t="s">
        <v>7</v>
      </c>
    </row>
    <row r="3254" spans="1:6">
      <c r="A3254" s="1">
        <v>45714</v>
      </c>
      <c r="B3254" s="2">
        <v>45714.563467719905</v>
      </c>
      <c r="C3254" t="s">
        <v>3</v>
      </c>
      <c r="D3254" t="s">
        <v>1205</v>
      </c>
      <c r="E3254">
        <v>35.76</v>
      </c>
      <c r="F3254" t="s">
        <v>7</v>
      </c>
    </row>
    <row r="3255" spans="1:6">
      <c r="A3255" s="1">
        <v>45714</v>
      </c>
      <c r="B3255" s="2">
        <v>45714.705551493054</v>
      </c>
      <c r="C3255" t="s">
        <v>3</v>
      </c>
      <c r="D3255" t="s">
        <v>1205</v>
      </c>
      <c r="E3255">
        <v>35.76</v>
      </c>
      <c r="F3255" t="s">
        <v>7</v>
      </c>
    </row>
    <row r="3256" spans="1:6">
      <c r="A3256" s="1">
        <v>45716</v>
      </c>
      <c r="B3256" s="2">
        <v>45716.619470011574</v>
      </c>
      <c r="C3256" t="s">
        <v>3</v>
      </c>
      <c r="D3256" t="s">
        <v>1205</v>
      </c>
      <c r="E3256">
        <v>35.76</v>
      </c>
      <c r="F3256" t="s">
        <v>7</v>
      </c>
    </row>
    <row r="3257" spans="1:6">
      <c r="A3257" s="1">
        <v>45716</v>
      </c>
      <c r="B3257" s="2">
        <v>45716.722926956019</v>
      </c>
      <c r="C3257" t="s">
        <v>3</v>
      </c>
      <c r="D3257" t="s">
        <v>1205</v>
      </c>
      <c r="E3257">
        <v>35.76</v>
      </c>
      <c r="F3257" t="s">
        <v>7</v>
      </c>
    </row>
    <row r="3258" spans="1:6">
      <c r="A3258" s="1">
        <v>45719</v>
      </c>
      <c r="B3258" s="2">
        <v>45719.632652800923</v>
      </c>
      <c r="C3258" t="s">
        <v>3</v>
      </c>
      <c r="D3258" t="s">
        <v>1205</v>
      </c>
      <c r="E3258">
        <v>35.76</v>
      </c>
      <c r="F3258" t="s">
        <v>7</v>
      </c>
    </row>
    <row r="3259" spans="1:6">
      <c r="A3259" s="1">
        <v>45719</v>
      </c>
      <c r="B3259" s="2">
        <v>45719.678185648147</v>
      </c>
      <c r="C3259" t="s">
        <v>3</v>
      </c>
      <c r="D3259" t="s">
        <v>1205</v>
      </c>
      <c r="E3259">
        <v>35.76</v>
      </c>
      <c r="F3259" t="s">
        <v>7</v>
      </c>
    </row>
    <row r="3260" spans="1:6">
      <c r="A3260" s="1">
        <v>45721</v>
      </c>
      <c r="B3260" s="2">
        <v>45721.630447025462</v>
      </c>
      <c r="C3260" t="s">
        <v>3</v>
      </c>
      <c r="D3260" t="s">
        <v>1205</v>
      </c>
      <c r="E3260">
        <v>35.76</v>
      </c>
      <c r="F3260" t="s">
        <v>7</v>
      </c>
    </row>
    <row r="3261" spans="1:6">
      <c r="A3261" s="1">
        <v>45721</v>
      </c>
      <c r="B3261" s="2">
        <v>45721.730334247688</v>
      </c>
      <c r="C3261" t="s">
        <v>3</v>
      </c>
      <c r="D3261" t="s">
        <v>1205</v>
      </c>
      <c r="E3261">
        <v>35.76</v>
      </c>
      <c r="F3261" t="s">
        <v>7</v>
      </c>
    </row>
    <row r="3262" spans="1:6">
      <c r="A3262" s="1">
        <v>45723</v>
      </c>
      <c r="B3262" s="2">
        <v>45723.631300057874</v>
      </c>
      <c r="C3262" t="s">
        <v>3</v>
      </c>
      <c r="D3262" t="s">
        <v>1205</v>
      </c>
      <c r="E3262">
        <v>35.76</v>
      </c>
      <c r="F3262" t="s">
        <v>7</v>
      </c>
    </row>
    <row r="3263" spans="1:6">
      <c r="A3263" s="1">
        <v>45723</v>
      </c>
      <c r="B3263" s="2">
        <v>45723.715616724534</v>
      </c>
      <c r="C3263" t="s">
        <v>3</v>
      </c>
      <c r="D3263" t="s">
        <v>1205</v>
      </c>
      <c r="E3263">
        <v>35.76</v>
      </c>
      <c r="F3263" t="s">
        <v>7</v>
      </c>
    </row>
    <row r="3264" spans="1:6">
      <c r="A3264" s="1">
        <v>45726</v>
      </c>
      <c r="B3264" s="2">
        <v>45726.679173530094</v>
      </c>
      <c r="C3264" t="s">
        <v>3</v>
      </c>
      <c r="D3264" t="s">
        <v>1205</v>
      </c>
      <c r="E3264">
        <v>35.76</v>
      </c>
      <c r="F3264" t="s">
        <v>7</v>
      </c>
    </row>
    <row r="3265" spans="1:6">
      <c r="A3265" s="1">
        <v>45728</v>
      </c>
      <c r="B3265" s="2">
        <v>45728.691018287034</v>
      </c>
      <c r="C3265" t="s">
        <v>3</v>
      </c>
      <c r="D3265" t="s">
        <v>1205</v>
      </c>
      <c r="E3265">
        <v>35.76</v>
      </c>
      <c r="F3265" t="s">
        <v>7</v>
      </c>
    </row>
    <row r="3266" spans="1:6">
      <c r="A3266" s="1">
        <v>45729</v>
      </c>
      <c r="B3266" s="2">
        <v>45729.509460243054</v>
      </c>
      <c r="C3266" t="s">
        <v>3</v>
      </c>
      <c r="D3266" t="s">
        <v>1205</v>
      </c>
      <c r="E3266">
        <v>35.76</v>
      </c>
      <c r="F3266" t="s">
        <v>7</v>
      </c>
    </row>
    <row r="3267" spans="1:6">
      <c r="A3267" s="1">
        <v>45730</v>
      </c>
      <c r="B3267" s="2">
        <v>45730.662742812499</v>
      </c>
      <c r="C3267" t="s">
        <v>3</v>
      </c>
      <c r="D3267" t="s">
        <v>1205</v>
      </c>
      <c r="E3267">
        <v>35.76</v>
      </c>
      <c r="F3267" t="s">
        <v>7</v>
      </c>
    </row>
    <row r="3268" spans="1:6">
      <c r="A3268" s="1">
        <v>45730</v>
      </c>
      <c r="B3268" s="2">
        <v>45730.727260185187</v>
      </c>
      <c r="C3268" t="s">
        <v>3</v>
      </c>
      <c r="D3268" t="s">
        <v>1205</v>
      </c>
      <c r="E3268">
        <v>35.76</v>
      </c>
      <c r="F3268" t="s">
        <v>7</v>
      </c>
    </row>
    <row r="3269" spans="1:6">
      <c r="A3269" s="1">
        <v>45733</v>
      </c>
      <c r="B3269" s="2">
        <v>45733.659009895833</v>
      </c>
      <c r="C3269" t="s">
        <v>3</v>
      </c>
      <c r="D3269" t="s">
        <v>1205</v>
      </c>
      <c r="E3269">
        <v>35.76</v>
      </c>
      <c r="F3269" t="s">
        <v>7</v>
      </c>
    </row>
    <row r="3270" spans="1:6">
      <c r="A3270" s="1">
        <v>45735</v>
      </c>
      <c r="B3270" s="2">
        <v>45735.68025391204</v>
      </c>
      <c r="C3270" t="s">
        <v>3</v>
      </c>
      <c r="D3270" t="s">
        <v>1205</v>
      </c>
      <c r="E3270">
        <v>35.76</v>
      </c>
      <c r="F3270" t="s">
        <v>7</v>
      </c>
    </row>
    <row r="3271" spans="1:6">
      <c r="A3271" s="1">
        <v>45737</v>
      </c>
      <c r="B3271" s="2">
        <v>45737.724188368054</v>
      </c>
      <c r="C3271" t="s">
        <v>3</v>
      </c>
      <c r="D3271" t="s">
        <v>1205</v>
      </c>
      <c r="E3271">
        <v>35.76</v>
      </c>
      <c r="F3271" t="s">
        <v>7</v>
      </c>
    </row>
    <row r="3272" spans="1:6">
      <c r="A3272" s="1">
        <v>45695</v>
      </c>
      <c r="B3272" s="2">
        <v>45695.780912523151</v>
      </c>
      <c r="C3272" t="s">
        <v>3</v>
      </c>
      <c r="D3272" t="s">
        <v>1206</v>
      </c>
      <c r="E3272">
        <v>25.96</v>
      </c>
      <c r="F3272" t="s">
        <v>28</v>
      </c>
    </row>
    <row r="3273" spans="1:6">
      <c r="A3273" s="1">
        <v>45695</v>
      </c>
      <c r="B3273" s="2">
        <v>45695.781517094911</v>
      </c>
      <c r="C3273" t="s">
        <v>3</v>
      </c>
      <c r="D3273" t="s">
        <v>1206</v>
      </c>
      <c r="E3273">
        <v>35.76</v>
      </c>
      <c r="F3273" t="s">
        <v>18</v>
      </c>
    </row>
    <row r="3274" spans="1:6">
      <c r="A3274" s="1">
        <v>45705</v>
      </c>
      <c r="B3274" s="2">
        <v>45705.846035856484</v>
      </c>
      <c r="C3274" t="s">
        <v>3</v>
      </c>
      <c r="D3274" t="s">
        <v>1206</v>
      </c>
      <c r="E3274">
        <v>35.76</v>
      </c>
      <c r="F3274" t="s">
        <v>7</v>
      </c>
    </row>
    <row r="3275" spans="1:6">
      <c r="A3275" s="1">
        <v>45695</v>
      </c>
      <c r="B3275" s="2">
        <v>45695.840965428244</v>
      </c>
      <c r="C3275" t="s">
        <v>3</v>
      </c>
      <c r="D3275" t="s">
        <v>1207</v>
      </c>
      <c r="E3275">
        <v>35.76</v>
      </c>
      <c r="F3275" t="s">
        <v>18</v>
      </c>
    </row>
    <row r="3276" spans="1:6">
      <c r="A3276" s="1">
        <v>45696</v>
      </c>
      <c r="B3276" s="2">
        <v>45696.460201215275</v>
      </c>
      <c r="C3276" t="s">
        <v>3</v>
      </c>
      <c r="D3276" t="s">
        <v>1208</v>
      </c>
      <c r="E3276">
        <v>25.96</v>
      </c>
      <c r="F3276" t="s">
        <v>28</v>
      </c>
    </row>
    <row r="3277" spans="1:6">
      <c r="A3277" s="1">
        <v>45699</v>
      </c>
      <c r="B3277" s="2">
        <v>45699.673014340275</v>
      </c>
      <c r="C3277" t="s">
        <v>3</v>
      </c>
      <c r="D3277" t="s">
        <v>1208</v>
      </c>
      <c r="E3277">
        <v>30.86</v>
      </c>
      <c r="F3277" t="s">
        <v>14</v>
      </c>
    </row>
    <row r="3278" spans="1:6">
      <c r="A3278" s="1">
        <v>45705</v>
      </c>
      <c r="B3278" s="2">
        <v>45705.628954826389</v>
      </c>
      <c r="C3278" t="s">
        <v>3</v>
      </c>
      <c r="D3278" t="s">
        <v>1208</v>
      </c>
      <c r="E3278">
        <v>30.86</v>
      </c>
      <c r="F3278" t="s">
        <v>14</v>
      </c>
    </row>
    <row r="3279" spans="1:6">
      <c r="A3279" s="1">
        <v>45729</v>
      </c>
      <c r="B3279" s="2">
        <v>45729.621892986113</v>
      </c>
      <c r="C3279" t="s">
        <v>3</v>
      </c>
      <c r="D3279" t="s">
        <v>1208</v>
      </c>
      <c r="E3279">
        <v>25.96</v>
      </c>
      <c r="F3279" t="s">
        <v>11</v>
      </c>
    </row>
    <row r="3280" spans="1:6">
      <c r="A3280" s="1">
        <v>45696</v>
      </c>
      <c r="B3280" s="2">
        <v>45696.485808819445</v>
      </c>
      <c r="C3280" t="s">
        <v>3</v>
      </c>
      <c r="D3280" t="s">
        <v>1209</v>
      </c>
      <c r="E3280">
        <v>25.96</v>
      </c>
      <c r="F3280" t="s">
        <v>11</v>
      </c>
    </row>
    <row r="3281" spans="1:6">
      <c r="A3281" s="1">
        <v>45697</v>
      </c>
      <c r="B3281" s="2">
        <v>45697.503530173613</v>
      </c>
      <c r="C3281" t="s">
        <v>3</v>
      </c>
      <c r="D3281" t="s">
        <v>1210</v>
      </c>
      <c r="E3281">
        <v>35.76</v>
      </c>
      <c r="F3281" t="s">
        <v>7</v>
      </c>
    </row>
    <row r="3282" spans="1:6">
      <c r="A3282" s="1">
        <v>45704</v>
      </c>
      <c r="B3282" s="2">
        <v>45704.594178807871</v>
      </c>
      <c r="C3282" t="s">
        <v>3</v>
      </c>
      <c r="D3282" t="s">
        <v>1210</v>
      </c>
      <c r="E3282">
        <v>35.76</v>
      </c>
      <c r="F3282" t="s">
        <v>9</v>
      </c>
    </row>
    <row r="3283" spans="1:6">
      <c r="A3283" s="1">
        <v>45704</v>
      </c>
      <c r="B3283" s="2">
        <v>45704.594920416668</v>
      </c>
      <c r="C3283" t="s">
        <v>3</v>
      </c>
      <c r="D3283" t="s">
        <v>1210</v>
      </c>
      <c r="E3283">
        <v>35.76</v>
      </c>
      <c r="F3283" t="s">
        <v>7</v>
      </c>
    </row>
    <row r="3284" spans="1:6">
      <c r="A3284" s="1">
        <v>45708</v>
      </c>
      <c r="B3284" s="2">
        <v>45708.597605312498</v>
      </c>
      <c r="C3284" t="s">
        <v>3</v>
      </c>
      <c r="D3284" t="s">
        <v>1210</v>
      </c>
      <c r="E3284">
        <v>35.76</v>
      </c>
      <c r="F3284" t="s">
        <v>7</v>
      </c>
    </row>
    <row r="3285" spans="1:6">
      <c r="A3285" s="1">
        <v>45719</v>
      </c>
      <c r="B3285" s="2">
        <v>45719.67697296296</v>
      </c>
      <c r="C3285" t="s">
        <v>3</v>
      </c>
      <c r="D3285" t="s">
        <v>1210</v>
      </c>
      <c r="E3285">
        <v>35.76</v>
      </c>
      <c r="F3285" t="s">
        <v>18</v>
      </c>
    </row>
    <row r="3286" spans="1:6">
      <c r="A3286" s="1">
        <v>45739</v>
      </c>
      <c r="B3286" s="2">
        <v>45739.421658310188</v>
      </c>
      <c r="C3286" t="s">
        <v>3</v>
      </c>
      <c r="D3286" t="s">
        <v>1210</v>
      </c>
      <c r="E3286">
        <v>35.76</v>
      </c>
      <c r="F3286" t="s">
        <v>7</v>
      </c>
    </row>
    <row r="3287" spans="1:6">
      <c r="A3287" s="1">
        <v>45698</v>
      </c>
      <c r="B3287" s="2">
        <v>45698.560354988425</v>
      </c>
      <c r="C3287" t="s">
        <v>3</v>
      </c>
      <c r="D3287" t="s">
        <v>1211</v>
      </c>
      <c r="E3287">
        <v>30.86</v>
      </c>
      <c r="F3287" t="s">
        <v>14</v>
      </c>
    </row>
    <row r="3288" spans="1:6">
      <c r="A3288" s="1">
        <v>45698</v>
      </c>
      <c r="B3288" s="2">
        <v>45698.569598715279</v>
      </c>
      <c r="C3288" t="s">
        <v>3</v>
      </c>
      <c r="D3288" t="s">
        <v>1212</v>
      </c>
      <c r="E3288">
        <v>25.96</v>
      </c>
      <c r="F3288" t="s">
        <v>11</v>
      </c>
    </row>
    <row r="3289" spans="1:6">
      <c r="A3289" s="1">
        <v>45702</v>
      </c>
      <c r="B3289" s="2">
        <v>45702.615275532407</v>
      </c>
      <c r="C3289" t="s">
        <v>3</v>
      </c>
      <c r="D3289" t="s">
        <v>1212</v>
      </c>
      <c r="E3289">
        <v>25.96</v>
      </c>
      <c r="F3289" t="s">
        <v>11</v>
      </c>
    </row>
    <row r="3290" spans="1:6">
      <c r="A3290" s="1">
        <v>45702</v>
      </c>
      <c r="B3290" s="2">
        <v>45702.615799861109</v>
      </c>
      <c r="C3290" t="s">
        <v>3</v>
      </c>
      <c r="D3290" t="s">
        <v>1212</v>
      </c>
      <c r="E3290">
        <v>21.06</v>
      </c>
      <c r="F3290" t="s">
        <v>35</v>
      </c>
    </row>
    <row r="3291" spans="1:6">
      <c r="A3291" s="1">
        <v>45706</v>
      </c>
      <c r="B3291" s="2">
        <v>45706.479237916668</v>
      </c>
      <c r="C3291" t="s">
        <v>3</v>
      </c>
      <c r="D3291" t="s">
        <v>1212</v>
      </c>
      <c r="E3291">
        <v>25.96</v>
      </c>
      <c r="F3291" t="s">
        <v>11</v>
      </c>
    </row>
    <row r="3292" spans="1:6">
      <c r="A3292" s="1">
        <v>45707</v>
      </c>
      <c r="B3292" s="2">
        <v>45707.531320277776</v>
      </c>
      <c r="C3292" t="s">
        <v>3</v>
      </c>
      <c r="D3292" t="s">
        <v>1212</v>
      </c>
      <c r="E3292">
        <v>25.96</v>
      </c>
      <c r="F3292" t="s">
        <v>11</v>
      </c>
    </row>
    <row r="3293" spans="1:6">
      <c r="A3293" s="1">
        <v>45708</v>
      </c>
      <c r="B3293" s="2">
        <v>45708.433605868056</v>
      </c>
      <c r="C3293" t="s">
        <v>3</v>
      </c>
      <c r="D3293" t="s">
        <v>1212</v>
      </c>
      <c r="E3293">
        <v>25.96</v>
      </c>
      <c r="F3293" t="s">
        <v>11</v>
      </c>
    </row>
    <row r="3294" spans="1:6">
      <c r="A3294" s="1">
        <v>45709</v>
      </c>
      <c r="B3294" s="2">
        <v>45709.539097199071</v>
      </c>
      <c r="C3294" t="s">
        <v>3</v>
      </c>
      <c r="D3294" t="s">
        <v>1212</v>
      </c>
      <c r="E3294">
        <v>25.96</v>
      </c>
      <c r="F3294" t="s">
        <v>11</v>
      </c>
    </row>
    <row r="3295" spans="1:6">
      <c r="A3295" s="1">
        <v>45717</v>
      </c>
      <c r="B3295" s="2">
        <v>45717.47775928241</v>
      </c>
      <c r="C3295" t="s">
        <v>3</v>
      </c>
      <c r="D3295" t="s">
        <v>1212</v>
      </c>
      <c r="E3295">
        <v>25.96</v>
      </c>
      <c r="F3295" t="s">
        <v>11</v>
      </c>
    </row>
    <row r="3296" spans="1:6">
      <c r="A3296" s="1">
        <v>45719</v>
      </c>
      <c r="B3296" s="2">
        <v>45719.730120138891</v>
      </c>
      <c r="C3296" t="s">
        <v>3</v>
      </c>
      <c r="D3296" t="s">
        <v>1212</v>
      </c>
      <c r="E3296">
        <v>25.96</v>
      </c>
      <c r="F3296" t="s">
        <v>11</v>
      </c>
    </row>
    <row r="3297" spans="1:6">
      <c r="A3297" s="1">
        <v>45719</v>
      </c>
      <c r="B3297" s="2">
        <v>45719.730768946756</v>
      </c>
      <c r="C3297" t="s">
        <v>3</v>
      </c>
      <c r="D3297" t="s">
        <v>1212</v>
      </c>
      <c r="E3297">
        <v>35.76</v>
      </c>
      <c r="F3297" t="s">
        <v>9</v>
      </c>
    </row>
    <row r="3298" spans="1:6">
      <c r="A3298" s="1">
        <v>45719</v>
      </c>
      <c r="B3298" s="2">
        <v>45719.731235567131</v>
      </c>
      <c r="C3298" t="s">
        <v>3</v>
      </c>
      <c r="D3298" t="s">
        <v>1212</v>
      </c>
      <c r="E3298">
        <v>25.96</v>
      </c>
      <c r="F3298" t="s">
        <v>11</v>
      </c>
    </row>
    <row r="3299" spans="1:6">
      <c r="A3299" s="1">
        <v>45721</v>
      </c>
      <c r="B3299" s="2">
        <v>45721.417526574071</v>
      </c>
      <c r="C3299" t="s">
        <v>3</v>
      </c>
      <c r="D3299" t="s">
        <v>1212</v>
      </c>
      <c r="E3299">
        <v>25.96</v>
      </c>
      <c r="F3299" t="s">
        <v>11</v>
      </c>
    </row>
    <row r="3300" spans="1:6">
      <c r="A3300" s="1">
        <v>45721</v>
      </c>
      <c r="B3300" s="2">
        <v>45721.418105289355</v>
      </c>
      <c r="C3300" t="s">
        <v>3</v>
      </c>
      <c r="D3300" t="s">
        <v>1212</v>
      </c>
      <c r="E3300">
        <v>25.96</v>
      </c>
      <c r="F3300" t="s">
        <v>11</v>
      </c>
    </row>
    <row r="3301" spans="1:6">
      <c r="A3301" s="1">
        <v>45721</v>
      </c>
      <c r="B3301" s="2">
        <v>45721.485314606478</v>
      </c>
      <c r="C3301" t="s">
        <v>3</v>
      </c>
      <c r="D3301" t="s">
        <v>1212</v>
      </c>
      <c r="E3301">
        <v>25.96</v>
      </c>
      <c r="F3301" t="s">
        <v>11</v>
      </c>
    </row>
    <row r="3302" spans="1:6">
      <c r="A3302" s="1">
        <v>45722</v>
      </c>
      <c r="B3302" s="2">
        <v>45722.462310462965</v>
      </c>
      <c r="C3302" t="s">
        <v>3</v>
      </c>
      <c r="D3302" t="s">
        <v>1212</v>
      </c>
      <c r="E3302">
        <v>25.96</v>
      </c>
      <c r="F3302" t="s">
        <v>11</v>
      </c>
    </row>
    <row r="3303" spans="1:6">
      <c r="A3303" s="1">
        <v>45698</v>
      </c>
      <c r="B3303" s="2">
        <v>45698.584630081015</v>
      </c>
      <c r="C3303" t="s">
        <v>3</v>
      </c>
      <c r="D3303" t="s">
        <v>1213</v>
      </c>
      <c r="E3303">
        <v>35.76</v>
      </c>
      <c r="F3303" t="s">
        <v>7</v>
      </c>
    </row>
    <row r="3304" spans="1:6">
      <c r="A3304" s="1">
        <v>45728</v>
      </c>
      <c r="B3304" s="2">
        <v>45728.580829178238</v>
      </c>
      <c r="C3304" t="s">
        <v>3</v>
      </c>
      <c r="D3304" t="s">
        <v>1213</v>
      </c>
      <c r="E3304">
        <v>35.76</v>
      </c>
      <c r="F3304" t="s">
        <v>7</v>
      </c>
    </row>
    <row r="3305" spans="1:6">
      <c r="A3305" s="1">
        <v>45698</v>
      </c>
      <c r="B3305" s="2">
        <v>45698.626330439816</v>
      </c>
      <c r="C3305" t="s">
        <v>3</v>
      </c>
      <c r="D3305" t="s">
        <v>1214</v>
      </c>
      <c r="E3305">
        <v>35.76</v>
      </c>
      <c r="F3305" t="s">
        <v>43</v>
      </c>
    </row>
    <row r="3306" spans="1:6">
      <c r="A3306" s="1">
        <v>45700</v>
      </c>
      <c r="B3306" s="2">
        <v>45700.303439398151</v>
      </c>
      <c r="C3306" t="s">
        <v>3</v>
      </c>
      <c r="D3306" t="s">
        <v>1214</v>
      </c>
      <c r="E3306">
        <v>35.76</v>
      </c>
      <c r="F3306" t="s">
        <v>43</v>
      </c>
    </row>
    <row r="3307" spans="1:6">
      <c r="A3307" s="1">
        <v>45700</v>
      </c>
      <c r="B3307" s="2">
        <v>45700.71217579861</v>
      </c>
      <c r="C3307" t="s">
        <v>3</v>
      </c>
      <c r="D3307" t="s">
        <v>1214</v>
      </c>
      <c r="E3307">
        <v>35.76</v>
      </c>
      <c r="F3307" t="s">
        <v>43</v>
      </c>
    </row>
    <row r="3308" spans="1:6">
      <c r="A3308" s="1">
        <v>45702</v>
      </c>
      <c r="B3308" s="2">
        <v>45702.625193784719</v>
      </c>
      <c r="C3308" t="s">
        <v>3</v>
      </c>
      <c r="D3308" t="s">
        <v>1214</v>
      </c>
      <c r="E3308">
        <v>35.76</v>
      </c>
      <c r="F3308" t="s">
        <v>43</v>
      </c>
    </row>
    <row r="3309" spans="1:6">
      <c r="A3309" s="1">
        <v>45703</v>
      </c>
      <c r="B3309" s="2">
        <v>45703.390878819446</v>
      </c>
      <c r="C3309" t="s">
        <v>3</v>
      </c>
      <c r="D3309" t="s">
        <v>1214</v>
      </c>
      <c r="E3309">
        <v>35.76</v>
      </c>
      <c r="F3309" t="s">
        <v>43</v>
      </c>
    </row>
    <row r="3310" spans="1:6">
      <c r="A3310" s="1">
        <v>45703</v>
      </c>
      <c r="B3310" s="2">
        <v>45703.563955254627</v>
      </c>
      <c r="C3310" t="s">
        <v>3</v>
      </c>
      <c r="D3310" t="s">
        <v>1214</v>
      </c>
      <c r="E3310">
        <v>30.86</v>
      </c>
      <c r="F3310" t="s">
        <v>14</v>
      </c>
    </row>
    <row r="3311" spans="1:6">
      <c r="A3311" s="1">
        <v>45705</v>
      </c>
      <c r="B3311" s="2">
        <v>45705.284773784719</v>
      </c>
      <c r="C3311" t="s">
        <v>3</v>
      </c>
      <c r="D3311" t="s">
        <v>1214</v>
      </c>
      <c r="E3311">
        <v>35.76</v>
      </c>
      <c r="F3311" t="s">
        <v>43</v>
      </c>
    </row>
    <row r="3312" spans="1:6">
      <c r="A3312" s="1">
        <v>45698</v>
      </c>
      <c r="B3312" s="2">
        <v>45698.802008402781</v>
      </c>
      <c r="C3312" t="s">
        <v>3</v>
      </c>
      <c r="D3312" t="s">
        <v>1215</v>
      </c>
      <c r="E3312">
        <v>35.76</v>
      </c>
      <c r="F3312" t="s">
        <v>7</v>
      </c>
    </row>
    <row r="3313" spans="1:6">
      <c r="A3313" s="1">
        <v>45703</v>
      </c>
      <c r="B3313" s="2">
        <v>45703.652866516204</v>
      </c>
      <c r="C3313" t="s">
        <v>3</v>
      </c>
      <c r="D3313" t="s">
        <v>1215</v>
      </c>
      <c r="E3313">
        <v>35.76</v>
      </c>
      <c r="F3313" t="s">
        <v>9</v>
      </c>
    </row>
    <row r="3314" spans="1:6">
      <c r="A3314" s="1">
        <v>45699</v>
      </c>
      <c r="B3314" s="2">
        <v>45699.70116892361</v>
      </c>
      <c r="C3314" t="s">
        <v>3</v>
      </c>
      <c r="D3314" t="s">
        <v>1216</v>
      </c>
      <c r="E3314">
        <v>21.06</v>
      </c>
      <c r="F3314" t="s">
        <v>35</v>
      </c>
    </row>
    <row r="3315" spans="1:6">
      <c r="A3315" s="1">
        <v>45702</v>
      </c>
      <c r="B3315" s="2">
        <v>45702.714671828704</v>
      </c>
      <c r="C3315" t="s">
        <v>3</v>
      </c>
      <c r="D3315" t="s">
        <v>1216</v>
      </c>
      <c r="E3315">
        <v>21.06</v>
      </c>
      <c r="F3315" t="s">
        <v>35</v>
      </c>
    </row>
    <row r="3316" spans="1:6">
      <c r="A3316" s="1">
        <v>45705</v>
      </c>
      <c r="B3316" s="2">
        <v>45705.496553275465</v>
      </c>
      <c r="C3316" t="s">
        <v>3</v>
      </c>
      <c r="D3316" t="s">
        <v>1216</v>
      </c>
      <c r="E3316">
        <v>21.06</v>
      </c>
      <c r="F3316" t="s">
        <v>35</v>
      </c>
    </row>
    <row r="3317" spans="1:6">
      <c r="A3317" s="1">
        <v>45699</v>
      </c>
      <c r="B3317" s="2">
        <v>45699.739034652775</v>
      </c>
      <c r="C3317" t="s">
        <v>3</v>
      </c>
      <c r="D3317" t="s">
        <v>1217</v>
      </c>
      <c r="E3317">
        <v>30.86</v>
      </c>
      <c r="F3317" t="s">
        <v>14</v>
      </c>
    </row>
    <row r="3318" spans="1:6">
      <c r="A3318" s="1">
        <v>45699</v>
      </c>
      <c r="B3318" s="2">
        <v>45699.746271215277</v>
      </c>
      <c r="C3318" t="s">
        <v>3</v>
      </c>
      <c r="D3318" t="s">
        <v>1217</v>
      </c>
      <c r="E3318">
        <v>30.86</v>
      </c>
      <c r="F3318" t="s">
        <v>14</v>
      </c>
    </row>
    <row r="3319" spans="1:6">
      <c r="A3319" s="1">
        <v>45705</v>
      </c>
      <c r="B3319" s="2">
        <v>45705.495817256946</v>
      </c>
      <c r="C3319" t="s">
        <v>3</v>
      </c>
      <c r="D3319" t="s">
        <v>1217</v>
      </c>
      <c r="E3319">
        <v>30.86</v>
      </c>
      <c r="F3319" t="s">
        <v>14</v>
      </c>
    </row>
    <row r="3320" spans="1:6">
      <c r="A3320" s="1">
        <v>45706</v>
      </c>
      <c r="B3320" s="2">
        <v>45706.484994756946</v>
      </c>
      <c r="C3320" t="s">
        <v>3</v>
      </c>
      <c r="D3320" t="s">
        <v>1217</v>
      </c>
      <c r="E3320">
        <v>30.86</v>
      </c>
      <c r="F3320" t="s">
        <v>14</v>
      </c>
    </row>
    <row r="3321" spans="1:6">
      <c r="A3321" s="1">
        <v>45708</v>
      </c>
      <c r="B3321" s="2">
        <v>45708.543285277781</v>
      </c>
      <c r="C3321" t="s">
        <v>3</v>
      </c>
      <c r="D3321" t="s">
        <v>1217</v>
      </c>
      <c r="E3321">
        <v>30.86</v>
      </c>
      <c r="F3321" t="s">
        <v>14</v>
      </c>
    </row>
    <row r="3322" spans="1:6">
      <c r="A3322" s="1">
        <v>45709</v>
      </c>
      <c r="B3322" s="2">
        <v>45709.546330173609</v>
      </c>
      <c r="C3322" t="s">
        <v>3</v>
      </c>
      <c r="D3322" t="s">
        <v>1217</v>
      </c>
      <c r="E3322">
        <v>25.96</v>
      </c>
      <c r="F3322" t="s">
        <v>11</v>
      </c>
    </row>
    <row r="3323" spans="1:6">
      <c r="A3323" s="1">
        <v>45709</v>
      </c>
      <c r="B3323" s="2">
        <v>45709.595773182868</v>
      </c>
      <c r="C3323" t="s">
        <v>3</v>
      </c>
      <c r="D3323" t="s">
        <v>1217</v>
      </c>
      <c r="E3323">
        <v>25.96</v>
      </c>
      <c r="F3323" t="s">
        <v>11</v>
      </c>
    </row>
    <row r="3324" spans="1:6">
      <c r="A3324" s="1">
        <v>45709</v>
      </c>
      <c r="B3324" s="2">
        <v>45709.661666898151</v>
      </c>
      <c r="C3324" t="s">
        <v>3</v>
      </c>
      <c r="D3324" t="s">
        <v>1217</v>
      </c>
      <c r="E3324">
        <v>25.96</v>
      </c>
      <c r="F3324" t="s">
        <v>11</v>
      </c>
    </row>
    <row r="3325" spans="1:6">
      <c r="A3325" s="1">
        <v>45733</v>
      </c>
      <c r="B3325" s="2">
        <v>45733.582650405093</v>
      </c>
      <c r="C3325" t="s">
        <v>3</v>
      </c>
      <c r="D3325" t="s">
        <v>1217</v>
      </c>
      <c r="E3325">
        <v>25.96</v>
      </c>
      <c r="F3325" t="s">
        <v>11</v>
      </c>
    </row>
    <row r="3326" spans="1:6">
      <c r="A3326" s="1">
        <v>45734</v>
      </c>
      <c r="B3326" s="2">
        <v>45734.673004363423</v>
      </c>
      <c r="C3326" t="s">
        <v>3</v>
      </c>
      <c r="D3326" t="s">
        <v>1217</v>
      </c>
      <c r="E3326">
        <v>25.96</v>
      </c>
      <c r="F3326" t="s">
        <v>11</v>
      </c>
    </row>
    <row r="3327" spans="1:6">
      <c r="A3327" s="1">
        <v>45734</v>
      </c>
      <c r="B3327" s="2">
        <v>45734.682877569445</v>
      </c>
      <c r="C3327" t="s">
        <v>3</v>
      </c>
      <c r="D3327" t="s">
        <v>1217</v>
      </c>
      <c r="E3327">
        <v>21.06</v>
      </c>
      <c r="F3327" t="s">
        <v>35</v>
      </c>
    </row>
    <row r="3328" spans="1:6">
      <c r="A3328" s="1">
        <v>45699</v>
      </c>
      <c r="B3328" s="2">
        <v>45699.7945721875</v>
      </c>
      <c r="C3328" t="s">
        <v>3</v>
      </c>
      <c r="D3328" t="s">
        <v>1218</v>
      </c>
      <c r="E3328">
        <v>35.76</v>
      </c>
      <c r="F3328" t="s">
        <v>7</v>
      </c>
    </row>
    <row r="3329" spans="1:6">
      <c r="A3329" s="1">
        <v>45699</v>
      </c>
      <c r="B3329" s="2">
        <v>45699.79518321759</v>
      </c>
      <c r="C3329" t="s">
        <v>3</v>
      </c>
      <c r="D3329" t="s">
        <v>1218</v>
      </c>
      <c r="E3329">
        <v>35.76</v>
      </c>
      <c r="F3329" t="s">
        <v>18</v>
      </c>
    </row>
    <row r="3330" spans="1:6">
      <c r="A3330" s="1">
        <v>45700</v>
      </c>
      <c r="B3330" s="2">
        <v>45700.530197731481</v>
      </c>
      <c r="C3330" t="s">
        <v>3</v>
      </c>
      <c r="D3330" t="s">
        <v>1219</v>
      </c>
      <c r="E3330">
        <v>25.96</v>
      </c>
      <c r="F3330" t="s">
        <v>11</v>
      </c>
    </row>
    <row r="3331" spans="1:6">
      <c r="A3331" s="1">
        <v>45700</v>
      </c>
      <c r="B3331" s="2">
        <v>45700.547330150461</v>
      </c>
      <c r="C3331" t="s">
        <v>3</v>
      </c>
      <c r="D3331" t="s">
        <v>1220</v>
      </c>
      <c r="E3331">
        <v>25.96</v>
      </c>
      <c r="F3331" t="s">
        <v>11</v>
      </c>
    </row>
    <row r="3332" spans="1:6">
      <c r="A3332" s="1">
        <v>45705</v>
      </c>
      <c r="B3332" s="2">
        <v>45705.766581458331</v>
      </c>
      <c r="C3332" t="s">
        <v>3</v>
      </c>
      <c r="D3332" t="s">
        <v>1220</v>
      </c>
      <c r="E3332">
        <v>25.96</v>
      </c>
      <c r="F3332" t="s">
        <v>11</v>
      </c>
    </row>
    <row r="3333" spans="1:6">
      <c r="A3333" s="1">
        <v>45701</v>
      </c>
      <c r="B3333" s="2">
        <v>45701.387048854165</v>
      </c>
      <c r="C3333" t="s">
        <v>3</v>
      </c>
      <c r="D3333" t="s">
        <v>1221</v>
      </c>
      <c r="E3333">
        <v>21.06</v>
      </c>
      <c r="F3333" t="s">
        <v>35</v>
      </c>
    </row>
    <row r="3334" spans="1:6">
      <c r="A3334" s="1">
        <v>45707</v>
      </c>
      <c r="B3334" s="2">
        <v>45707.445041550927</v>
      </c>
      <c r="C3334" t="s">
        <v>3</v>
      </c>
      <c r="D3334" t="s">
        <v>1221</v>
      </c>
      <c r="E3334">
        <v>30.86</v>
      </c>
      <c r="F3334" t="s">
        <v>14</v>
      </c>
    </row>
    <row r="3335" spans="1:6">
      <c r="A3335" s="1">
        <v>45722</v>
      </c>
      <c r="B3335" s="2">
        <v>45722.399918229166</v>
      </c>
      <c r="C3335" t="s">
        <v>3</v>
      </c>
      <c r="D3335" t="s">
        <v>1221</v>
      </c>
      <c r="E3335">
        <v>21.06</v>
      </c>
      <c r="F3335" t="s">
        <v>35</v>
      </c>
    </row>
    <row r="3336" spans="1:6">
      <c r="A3336" s="1">
        <v>45722</v>
      </c>
      <c r="B3336" s="2">
        <v>45722.450056793983</v>
      </c>
      <c r="C3336" t="s">
        <v>3</v>
      </c>
      <c r="D3336" t="s">
        <v>1221</v>
      </c>
      <c r="E3336">
        <v>30.86</v>
      </c>
      <c r="F3336" t="s">
        <v>14</v>
      </c>
    </row>
    <row r="3337" spans="1:6">
      <c r="A3337" s="1">
        <v>45724</v>
      </c>
      <c r="B3337" s="2">
        <v>45724.391487777779</v>
      </c>
      <c r="C3337" t="s">
        <v>3</v>
      </c>
      <c r="D3337" t="s">
        <v>1221</v>
      </c>
      <c r="E3337">
        <v>30.86</v>
      </c>
      <c r="F3337" t="s">
        <v>14</v>
      </c>
    </row>
    <row r="3338" spans="1:6">
      <c r="A3338" s="1">
        <v>45729</v>
      </c>
      <c r="B3338" s="2">
        <v>45729.390331261573</v>
      </c>
      <c r="C3338" t="s">
        <v>3</v>
      </c>
      <c r="D3338" t="s">
        <v>1221</v>
      </c>
      <c r="E3338">
        <v>21.06</v>
      </c>
      <c r="F3338" t="s">
        <v>35</v>
      </c>
    </row>
    <row r="3339" spans="1:6">
      <c r="A3339" s="1">
        <v>45730</v>
      </c>
      <c r="B3339" s="2">
        <v>45730.393147037037</v>
      </c>
      <c r="C3339" t="s">
        <v>3</v>
      </c>
      <c r="D3339" t="s">
        <v>1221</v>
      </c>
      <c r="E3339">
        <v>21.06</v>
      </c>
      <c r="F3339" t="s">
        <v>35</v>
      </c>
    </row>
    <row r="3340" spans="1:6">
      <c r="A3340" s="1">
        <v>45701</v>
      </c>
      <c r="B3340" s="2">
        <v>45701.751104791663</v>
      </c>
      <c r="C3340" t="s">
        <v>3</v>
      </c>
      <c r="D3340" t="s">
        <v>1222</v>
      </c>
      <c r="E3340">
        <v>35.76</v>
      </c>
      <c r="F3340" t="s">
        <v>7</v>
      </c>
    </row>
    <row r="3341" spans="1:6">
      <c r="A3341" s="1">
        <v>45715</v>
      </c>
      <c r="B3341" s="2">
        <v>45715.762140844905</v>
      </c>
      <c r="C3341" t="s">
        <v>3</v>
      </c>
      <c r="D3341" t="s">
        <v>1222</v>
      </c>
      <c r="E3341">
        <v>35.76</v>
      </c>
      <c r="F3341" t="s">
        <v>7</v>
      </c>
    </row>
    <row r="3342" spans="1:6">
      <c r="A3342" s="1">
        <v>45701</v>
      </c>
      <c r="B3342" s="2">
        <v>45701.796184872685</v>
      </c>
      <c r="C3342" t="s">
        <v>3</v>
      </c>
      <c r="D3342" t="s">
        <v>1223</v>
      </c>
      <c r="E3342">
        <v>35.76</v>
      </c>
      <c r="F3342" t="s">
        <v>7</v>
      </c>
    </row>
    <row r="3343" spans="1:6">
      <c r="A3343" s="1">
        <v>45727</v>
      </c>
      <c r="B3343" s="2">
        <v>45727.796694143515</v>
      </c>
      <c r="C3343" t="s">
        <v>3</v>
      </c>
      <c r="D3343" t="s">
        <v>1223</v>
      </c>
      <c r="E3343">
        <v>35.76</v>
      </c>
      <c r="F3343" t="s">
        <v>7</v>
      </c>
    </row>
    <row r="3344" spans="1:6">
      <c r="A3344" s="1">
        <v>45702</v>
      </c>
      <c r="B3344" s="2">
        <v>45702.588302465279</v>
      </c>
      <c r="C3344" t="s">
        <v>3</v>
      </c>
      <c r="D3344" t="s">
        <v>1224</v>
      </c>
      <c r="E3344">
        <v>35.76</v>
      </c>
      <c r="F3344" t="s">
        <v>9</v>
      </c>
    </row>
    <row r="3345" spans="1:6">
      <c r="A3345" s="1">
        <v>45705</v>
      </c>
      <c r="B3345" s="2">
        <v>45705.414574212962</v>
      </c>
      <c r="C3345" t="s">
        <v>3</v>
      </c>
      <c r="D3345" t="s">
        <v>1224</v>
      </c>
      <c r="E3345">
        <v>35.76</v>
      </c>
      <c r="F3345" t="s">
        <v>9</v>
      </c>
    </row>
    <row r="3346" spans="1:6">
      <c r="A3346" s="1">
        <v>45706</v>
      </c>
      <c r="B3346" s="2">
        <v>45706.712130185188</v>
      </c>
      <c r="C3346" t="s">
        <v>3</v>
      </c>
      <c r="D3346" t="s">
        <v>1224</v>
      </c>
      <c r="E3346">
        <v>35.76</v>
      </c>
      <c r="F3346" t="s">
        <v>9</v>
      </c>
    </row>
    <row r="3347" spans="1:6">
      <c r="A3347" s="1">
        <v>45722</v>
      </c>
      <c r="B3347" s="2">
        <v>45722.398371481482</v>
      </c>
      <c r="C3347" t="s">
        <v>3</v>
      </c>
      <c r="D3347" t="s">
        <v>1224</v>
      </c>
      <c r="E3347">
        <v>35.76</v>
      </c>
      <c r="F3347" t="s">
        <v>9</v>
      </c>
    </row>
    <row r="3348" spans="1:6">
      <c r="A3348" s="1">
        <v>45723</v>
      </c>
      <c r="B3348" s="2">
        <v>45723.572088483794</v>
      </c>
      <c r="C3348" t="s">
        <v>3</v>
      </c>
      <c r="D3348" t="s">
        <v>1224</v>
      </c>
      <c r="E3348">
        <v>35.76</v>
      </c>
      <c r="F3348" t="s">
        <v>9</v>
      </c>
    </row>
    <row r="3349" spans="1:6">
      <c r="A3349" s="1">
        <v>45726</v>
      </c>
      <c r="B3349" s="2">
        <v>45726.388528784722</v>
      </c>
      <c r="C3349" t="s">
        <v>3</v>
      </c>
      <c r="D3349" t="s">
        <v>1224</v>
      </c>
      <c r="E3349">
        <v>35.76</v>
      </c>
      <c r="F3349" t="s">
        <v>9</v>
      </c>
    </row>
    <row r="3350" spans="1:6">
      <c r="A3350" s="1">
        <v>45727</v>
      </c>
      <c r="B3350" s="2">
        <v>45727.701166087965</v>
      </c>
      <c r="C3350" t="s">
        <v>3</v>
      </c>
      <c r="D3350" t="s">
        <v>1224</v>
      </c>
      <c r="E3350">
        <v>35.76</v>
      </c>
      <c r="F3350" t="s">
        <v>9</v>
      </c>
    </row>
    <row r="3351" spans="1:6">
      <c r="A3351" s="1">
        <v>45702</v>
      </c>
      <c r="B3351" s="2">
        <v>45702.623752858795</v>
      </c>
      <c r="C3351" t="s">
        <v>3</v>
      </c>
      <c r="D3351" t="s">
        <v>1225</v>
      </c>
      <c r="E3351">
        <v>30.86</v>
      </c>
      <c r="F3351" t="s">
        <v>14</v>
      </c>
    </row>
    <row r="3352" spans="1:6">
      <c r="A3352" s="1">
        <v>45702</v>
      </c>
      <c r="B3352" s="2">
        <v>45702.662459108797</v>
      </c>
      <c r="C3352" t="s">
        <v>3</v>
      </c>
      <c r="D3352" t="s">
        <v>1226</v>
      </c>
      <c r="E3352">
        <v>35.76</v>
      </c>
      <c r="F3352" t="s">
        <v>9</v>
      </c>
    </row>
    <row r="3353" spans="1:6">
      <c r="A3353" s="1">
        <v>45702</v>
      </c>
      <c r="B3353" s="2">
        <v>45702.663162268516</v>
      </c>
      <c r="C3353" t="s">
        <v>3</v>
      </c>
      <c r="D3353" t="s">
        <v>1226</v>
      </c>
      <c r="E3353">
        <v>35.76</v>
      </c>
      <c r="F3353" t="s">
        <v>43</v>
      </c>
    </row>
    <row r="3354" spans="1:6">
      <c r="A3354" s="1">
        <v>45706</v>
      </c>
      <c r="B3354" s="2">
        <v>45706.873756932873</v>
      </c>
      <c r="C3354" t="s">
        <v>3</v>
      </c>
      <c r="D3354" t="s">
        <v>1226</v>
      </c>
      <c r="E3354">
        <v>35.76</v>
      </c>
      <c r="F3354" t="s">
        <v>9</v>
      </c>
    </row>
    <row r="3355" spans="1:6">
      <c r="A3355" s="1">
        <v>45726</v>
      </c>
      <c r="B3355" s="2">
        <v>45726.65414204861</v>
      </c>
      <c r="C3355" t="s">
        <v>3</v>
      </c>
      <c r="D3355" t="s">
        <v>1226</v>
      </c>
      <c r="E3355">
        <v>35.76</v>
      </c>
      <c r="F3355" t="s">
        <v>9</v>
      </c>
    </row>
    <row r="3356" spans="1:6">
      <c r="A3356" s="1">
        <v>45702</v>
      </c>
      <c r="B3356" s="2">
        <v>45702.725982303244</v>
      </c>
      <c r="C3356" t="s">
        <v>3</v>
      </c>
      <c r="D3356" t="s">
        <v>1227</v>
      </c>
      <c r="E3356">
        <v>30.86</v>
      </c>
      <c r="F3356" t="s">
        <v>14</v>
      </c>
    </row>
    <row r="3357" spans="1:6">
      <c r="A3357" s="1">
        <v>45702</v>
      </c>
      <c r="B3357" s="2">
        <v>45702.887846712962</v>
      </c>
      <c r="C3357" t="s">
        <v>3</v>
      </c>
      <c r="D3357" t="s">
        <v>1228</v>
      </c>
      <c r="E3357">
        <v>25.96</v>
      </c>
      <c r="F3357" t="s">
        <v>11</v>
      </c>
    </row>
    <row r="3358" spans="1:6">
      <c r="A3358" s="1">
        <v>45730</v>
      </c>
      <c r="B3358" s="2">
        <v>45730.903282245374</v>
      </c>
      <c r="C3358" t="s">
        <v>3</v>
      </c>
      <c r="D3358" t="s">
        <v>1228</v>
      </c>
      <c r="E3358">
        <v>25.96</v>
      </c>
      <c r="F3358" t="s">
        <v>11</v>
      </c>
    </row>
    <row r="3359" spans="1:6">
      <c r="A3359" s="1">
        <v>45703</v>
      </c>
      <c r="B3359" s="2">
        <v>45703.591596319442</v>
      </c>
      <c r="C3359" t="s">
        <v>3</v>
      </c>
      <c r="D3359" t="s">
        <v>1229</v>
      </c>
      <c r="E3359">
        <v>25.96</v>
      </c>
      <c r="F3359" t="s">
        <v>11</v>
      </c>
    </row>
    <row r="3360" spans="1:6">
      <c r="A3360" s="1">
        <v>45706</v>
      </c>
      <c r="B3360" s="2">
        <v>45706.559549861115</v>
      </c>
      <c r="C3360" t="s">
        <v>3</v>
      </c>
      <c r="D3360" t="s">
        <v>1229</v>
      </c>
      <c r="E3360">
        <v>25.96</v>
      </c>
      <c r="F3360" t="s">
        <v>11</v>
      </c>
    </row>
    <row r="3361" spans="1:6">
      <c r="A3361" s="1">
        <v>45715</v>
      </c>
      <c r="B3361" s="2">
        <v>45715.801569699077</v>
      </c>
      <c r="C3361" t="s">
        <v>3</v>
      </c>
      <c r="D3361" t="s">
        <v>1229</v>
      </c>
      <c r="E3361">
        <v>35.76</v>
      </c>
      <c r="F3361" t="s">
        <v>7</v>
      </c>
    </row>
    <row r="3362" spans="1:6">
      <c r="A3362" s="1">
        <v>45722</v>
      </c>
      <c r="B3362" s="2">
        <v>45722.577466446761</v>
      </c>
      <c r="C3362" t="s">
        <v>3</v>
      </c>
      <c r="D3362" t="s">
        <v>1229</v>
      </c>
      <c r="E3362">
        <v>35.76</v>
      </c>
      <c r="F3362" t="s">
        <v>7</v>
      </c>
    </row>
    <row r="3363" spans="1:6">
      <c r="A3363" s="1">
        <v>45734</v>
      </c>
      <c r="B3363" s="2">
        <v>45734.451289444441</v>
      </c>
      <c r="C3363" t="s">
        <v>3</v>
      </c>
      <c r="D3363" t="s">
        <v>1229</v>
      </c>
      <c r="E3363">
        <v>35.76</v>
      </c>
      <c r="F3363" t="s">
        <v>7</v>
      </c>
    </row>
    <row r="3364" spans="1:6">
      <c r="A3364" s="1">
        <v>45734</v>
      </c>
      <c r="B3364" s="2">
        <v>45734.452288356479</v>
      </c>
      <c r="C3364" t="s">
        <v>3</v>
      </c>
      <c r="D3364" t="s">
        <v>1229</v>
      </c>
      <c r="E3364">
        <v>25.96</v>
      </c>
      <c r="F3364" t="s">
        <v>11</v>
      </c>
    </row>
    <row r="3365" spans="1:6">
      <c r="A3365" s="1">
        <v>45704</v>
      </c>
      <c r="B3365" s="2">
        <v>45704.449111377318</v>
      </c>
      <c r="C3365" t="s">
        <v>3</v>
      </c>
      <c r="D3365" t="s">
        <v>1230</v>
      </c>
      <c r="E3365">
        <v>25.96</v>
      </c>
      <c r="F3365" t="s">
        <v>11</v>
      </c>
    </row>
    <row r="3366" spans="1:6">
      <c r="A3366" s="1">
        <v>45722</v>
      </c>
      <c r="B3366" s="2">
        <v>45722.671380821761</v>
      </c>
      <c r="C3366" t="s">
        <v>3</v>
      </c>
      <c r="D3366" t="s">
        <v>1230</v>
      </c>
      <c r="E3366">
        <v>30.86</v>
      </c>
      <c r="F3366" t="s">
        <v>14</v>
      </c>
    </row>
    <row r="3367" spans="1:6">
      <c r="A3367" s="1">
        <v>45704</v>
      </c>
      <c r="B3367" s="2">
        <v>45704.73926829861</v>
      </c>
      <c r="C3367" t="s">
        <v>3</v>
      </c>
      <c r="D3367" t="s">
        <v>1231</v>
      </c>
      <c r="E3367">
        <v>30.86</v>
      </c>
      <c r="F3367" t="s">
        <v>14</v>
      </c>
    </row>
    <row r="3368" spans="1:6">
      <c r="A3368" s="1">
        <v>45707</v>
      </c>
      <c r="B3368" s="2">
        <v>45707.74851892361</v>
      </c>
      <c r="C3368" t="s">
        <v>3</v>
      </c>
      <c r="D3368" t="s">
        <v>1231</v>
      </c>
      <c r="E3368">
        <v>30.86</v>
      </c>
      <c r="F3368" t="s">
        <v>14</v>
      </c>
    </row>
    <row r="3369" spans="1:6">
      <c r="A3369" s="1">
        <v>45718</v>
      </c>
      <c r="B3369" s="2">
        <v>45718.566892777781</v>
      </c>
      <c r="C3369" t="s">
        <v>3</v>
      </c>
      <c r="D3369" t="s">
        <v>1231</v>
      </c>
      <c r="E3369">
        <v>30.86</v>
      </c>
      <c r="F3369" t="s">
        <v>14</v>
      </c>
    </row>
    <row r="3370" spans="1:6">
      <c r="A3370" s="1">
        <v>45725</v>
      </c>
      <c r="B3370" s="2">
        <v>45725.661566296294</v>
      </c>
      <c r="C3370" t="s">
        <v>3</v>
      </c>
      <c r="D3370" t="s">
        <v>1231</v>
      </c>
      <c r="E3370">
        <v>30.86</v>
      </c>
      <c r="F3370" t="s">
        <v>14</v>
      </c>
    </row>
    <row r="3371" spans="1:6">
      <c r="A3371" s="1">
        <v>45731</v>
      </c>
      <c r="B3371" s="2">
        <v>45731.812922511577</v>
      </c>
      <c r="C3371" t="s">
        <v>3</v>
      </c>
      <c r="D3371" t="s">
        <v>1231</v>
      </c>
      <c r="E3371">
        <v>30.86</v>
      </c>
      <c r="F3371" t="s">
        <v>14</v>
      </c>
    </row>
    <row r="3372" spans="1:6">
      <c r="A3372" s="1">
        <v>45705</v>
      </c>
      <c r="B3372" s="2">
        <v>45705.394520624999</v>
      </c>
      <c r="C3372" t="s">
        <v>3</v>
      </c>
      <c r="D3372" t="s">
        <v>1232</v>
      </c>
      <c r="E3372">
        <v>30.86</v>
      </c>
      <c r="F3372" t="s">
        <v>14</v>
      </c>
    </row>
    <row r="3373" spans="1:6">
      <c r="A3373" s="1">
        <v>45705</v>
      </c>
      <c r="B3373" s="2">
        <v>45705.679935162036</v>
      </c>
      <c r="C3373" t="s">
        <v>3</v>
      </c>
      <c r="D3373" t="s">
        <v>1232</v>
      </c>
      <c r="E3373">
        <v>21.06</v>
      </c>
      <c r="F3373" t="s">
        <v>35</v>
      </c>
    </row>
    <row r="3374" spans="1:6">
      <c r="A3374" s="1">
        <v>45706</v>
      </c>
      <c r="B3374" s="2">
        <v>45706.510724247688</v>
      </c>
      <c r="C3374" t="s">
        <v>3</v>
      </c>
      <c r="D3374" t="s">
        <v>1232</v>
      </c>
      <c r="E3374">
        <v>30.86</v>
      </c>
      <c r="F3374" t="s">
        <v>14</v>
      </c>
    </row>
    <row r="3375" spans="1:6">
      <c r="A3375" s="1">
        <v>45705</v>
      </c>
      <c r="B3375" s="2">
        <v>45705.430695196759</v>
      </c>
      <c r="C3375" t="s">
        <v>3</v>
      </c>
      <c r="D3375" t="s">
        <v>1233</v>
      </c>
      <c r="E3375">
        <v>30.86</v>
      </c>
      <c r="F3375" t="s">
        <v>14</v>
      </c>
    </row>
    <row r="3376" spans="1:6">
      <c r="A3376" s="1">
        <v>45735</v>
      </c>
      <c r="B3376" s="2">
        <v>45735.715220289349</v>
      </c>
      <c r="C3376" t="s">
        <v>3</v>
      </c>
      <c r="D3376" t="s">
        <v>1233</v>
      </c>
      <c r="E3376">
        <v>30.86</v>
      </c>
      <c r="F3376" t="s">
        <v>14</v>
      </c>
    </row>
    <row r="3377" spans="1:6">
      <c r="A3377" s="1">
        <v>45705</v>
      </c>
      <c r="B3377" s="2">
        <v>45705.534008344905</v>
      </c>
      <c r="C3377" t="s">
        <v>3</v>
      </c>
      <c r="D3377" t="s">
        <v>1234</v>
      </c>
      <c r="E3377">
        <v>35.76</v>
      </c>
      <c r="F3377" t="s">
        <v>43</v>
      </c>
    </row>
    <row r="3378" spans="1:6">
      <c r="A3378" s="1">
        <v>45707</v>
      </c>
      <c r="B3378" s="2">
        <v>45707.392036770834</v>
      </c>
      <c r="C3378" t="s">
        <v>3</v>
      </c>
      <c r="D3378" t="s">
        <v>1234</v>
      </c>
      <c r="E3378">
        <v>35.76</v>
      </c>
      <c r="F3378" t="s">
        <v>43</v>
      </c>
    </row>
    <row r="3379" spans="1:6">
      <c r="A3379" s="1">
        <v>45712</v>
      </c>
      <c r="B3379" s="2">
        <v>45712.385342187503</v>
      </c>
      <c r="C3379" t="s">
        <v>3</v>
      </c>
      <c r="D3379" t="s">
        <v>1234</v>
      </c>
      <c r="E3379">
        <v>30.86</v>
      </c>
      <c r="F3379" t="s">
        <v>14</v>
      </c>
    </row>
    <row r="3380" spans="1:6">
      <c r="A3380" s="1">
        <v>45705</v>
      </c>
      <c r="B3380" s="2">
        <v>45705.59932760417</v>
      </c>
      <c r="C3380" t="s">
        <v>3</v>
      </c>
      <c r="D3380" t="s">
        <v>1235</v>
      </c>
      <c r="E3380">
        <v>35.76</v>
      </c>
      <c r="F3380" t="s">
        <v>7</v>
      </c>
    </row>
    <row r="3381" spans="1:6">
      <c r="A3381" s="1">
        <v>45705</v>
      </c>
      <c r="B3381" s="2">
        <v>45705.730024432873</v>
      </c>
      <c r="C3381" t="s">
        <v>3</v>
      </c>
      <c r="D3381" t="s">
        <v>1236</v>
      </c>
      <c r="E3381">
        <v>30.86</v>
      </c>
      <c r="F3381" t="s">
        <v>14</v>
      </c>
    </row>
    <row r="3382" spans="1:6">
      <c r="A3382" s="1">
        <v>45706</v>
      </c>
      <c r="B3382" s="2">
        <v>45706.560478125</v>
      </c>
      <c r="C3382" t="s">
        <v>3</v>
      </c>
      <c r="D3382" t="s">
        <v>1236</v>
      </c>
      <c r="E3382">
        <v>30.86</v>
      </c>
      <c r="F3382" t="s">
        <v>14</v>
      </c>
    </row>
    <row r="3383" spans="1:6">
      <c r="A3383" s="1">
        <v>45706</v>
      </c>
      <c r="B3383" s="2">
        <v>45706.876384594907</v>
      </c>
      <c r="C3383" t="s">
        <v>3</v>
      </c>
      <c r="D3383" t="s">
        <v>1236</v>
      </c>
      <c r="E3383">
        <v>30.86</v>
      </c>
      <c r="F3383" t="s">
        <v>14</v>
      </c>
    </row>
    <row r="3384" spans="1:6">
      <c r="A3384" s="1">
        <v>45712</v>
      </c>
      <c r="B3384" s="2">
        <v>45712.73447855324</v>
      </c>
      <c r="C3384" t="s">
        <v>3</v>
      </c>
      <c r="D3384" t="s">
        <v>1236</v>
      </c>
      <c r="E3384">
        <v>30.86</v>
      </c>
      <c r="F3384" t="s">
        <v>14</v>
      </c>
    </row>
    <row r="3385" spans="1:6">
      <c r="A3385" s="1">
        <v>45720</v>
      </c>
      <c r="B3385" s="2">
        <v>45720.461133761572</v>
      </c>
      <c r="C3385" t="s">
        <v>3</v>
      </c>
      <c r="D3385" t="s">
        <v>1236</v>
      </c>
      <c r="E3385">
        <v>30.86</v>
      </c>
      <c r="F3385" t="s">
        <v>14</v>
      </c>
    </row>
    <row r="3386" spans="1:6">
      <c r="A3386" s="1">
        <v>45721</v>
      </c>
      <c r="B3386" s="2">
        <v>45721.715242939812</v>
      </c>
      <c r="C3386" t="s">
        <v>3</v>
      </c>
      <c r="D3386" t="s">
        <v>1236</v>
      </c>
      <c r="E3386">
        <v>30.86</v>
      </c>
      <c r="F3386" t="s">
        <v>14</v>
      </c>
    </row>
    <row r="3387" spans="1:6">
      <c r="A3387" s="1">
        <v>45735</v>
      </c>
      <c r="B3387" s="2">
        <v>45735.727542488428</v>
      </c>
      <c r="C3387" t="s">
        <v>3</v>
      </c>
      <c r="D3387" t="s">
        <v>1236</v>
      </c>
      <c r="E3387">
        <v>30.86</v>
      </c>
      <c r="F3387" t="s">
        <v>14</v>
      </c>
    </row>
    <row r="3388" spans="1:6">
      <c r="A3388" s="1">
        <v>45705</v>
      </c>
      <c r="B3388" s="2">
        <v>45705.801294421297</v>
      </c>
      <c r="C3388" t="s">
        <v>3</v>
      </c>
      <c r="D3388" t="s">
        <v>1237</v>
      </c>
      <c r="E3388">
        <v>25.96</v>
      </c>
      <c r="F3388" t="s">
        <v>11</v>
      </c>
    </row>
    <row r="3389" spans="1:6">
      <c r="A3389" s="1">
        <v>45705</v>
      </c>
      <c r="B3389" s="2">
        <v>45705.802093483799</v>
      </c>
      <c r="C3389" t="s">
        <v>3</v>
      </c>
      <c r="D3389" t="s">
        <v>1237</v>
      </c>
      <c r="E3389">
        <v>25.96</v>
      </c>
      <c r="F3389" t="s">
        <v>11</v>
      </c>
    </row>
    <row r="3390" spans="1:6">
      <c r="A3390" s="1">
        <v>45706</v>
      </c>
      <c r="B3390" s="2">
        <v>45706.544759826385</v>
      </c>
      <c r="C3390" t="s">
        <v>3</v>
      </c>
      <c r="D3390" t="s">
        <v>1238</v>
      </c>
      <c r="E3390">
        <v>35.76</v>
      </c>
      <c r="F3390" t="s">
        <v>18</v>
      </c>
    </row>
    <row r="3391" spans="1:6">
      <c r="A3391" s="1">
        <v>45706</v>
      </c>
      <c r="B3391" s="2">
        <v>45706.714112361115</v>
      </c>
      <c r="C3391" t="s">
        <v>3</v>
      </c>
      <c r="D3391" t="s">
        <v>1239</v>
      </c>
      <c r="E3391">
        <v>30.86</v>
      </c>
      <c r="F3391" t="s">
        <v>14</v>
      </c>
    </row>
    <row r="3392" spans="1:6">
      <c r="A3392" s="1">
        <v>45706</v>
      </c>
      <c r="B3392" s="2">
        <v>45706.714783113428</v>
      </c>
      <c r="C3392" t="s">
        <v>3</v>
      </c>
      <c r="D3392" t="s">
        <v>1239</v>
      </c>
      <c r="E3392">
        <v>21.06</v>
      </c>
      <c r="F3392" t="s">
        <v>35</v>
      </c>
    </row>
    <row r="3393" spans="1:6">
      <c r="A3393" s="1">
        <v>45706</v>
      </c>
      <c r="B3393" s="2">
        <v>45706.715542465281</v>
      </c>
      <c r="C3393" t="s">
        <v>3</v>
      </c>
      <c r="D3393" t="s">
        <v>1239</v>
      </c>
      <c r="E3393">
        <v>35.76</v>
      </c>
      <c r="F3393" t="s">
        <v>18</v>
      </c>
    </row>
    <row r="3394" spans="1:6">
      <c r="A3394" s="1">
        <v>45706</v>
      </c>
      <c r="B3394" s="2">
        <v>45706.716385520835</v>
      </c>
      <c r="C3394" t="s">
        <v>3</v>
      </c>
      <c r="D3394" t="s">
        <v>1239</v>
      </c>
      <c r="E3394">
        <v>35.76</v>
      </c>
      <c r="F3394" t="s">
        <v>18</v>
      </c>
    </row>
    <row r="3395" spans="1:6">
      <c r="A3395" s="1">
        <v>45706</v>
      </c>
      <c r="B3395" s="2">
        <v>45706.816982835648</v>
      </c>
      <c r="C3395" t="s">
        <v>3</v>
      </c>
      <c r="D3395" t="s">
        <v>1240</v>
      </c>
      <c r="E3395">
        <v>35.76</v>
      </c>
      <c r="F3395" t="s">
        <v>18</v>
      </c>
    </row>
    <row r="3396" spans="1:6">
      <c r="A3396" s="1">
        <v>45707</v>
      </c>
      <c r="B3396" s="2">
        <v>45707.429875879629</v>
      </c>
      <c r="C3396" t="s">
        <v>3</v>
      </c>
      <c r="D3396" t="s">
        <v>1241</v>
      </c>
      <c r="E3396">
        <v>35.76</v>
      </c>
      <c r="F3396" t="s">
        <v>9</v>
      </c>
    </row>
    <row r="3397" spans="1:6">
      <c r="A3397" s="1">
        <v>45719</v>
      </c>
      <c r="B3397" s="2">
        <v>45719.431535185184</v>
      </c>
      <c r="C3397" t="s">
        <v>3</v>
      </c>
      <c r="D3397" t="s">
        <v>1241</v>
      </c>
      <c r="E3397">
        <v>35.76</v>
      </c>
      <c r="F3397" t="s">
        <v>9</v>
      </c>
    </row>
    <row r="3398" spans="1:6">
      <c r="A3398" s="1">
        <v>45735</v>
      </c>
      <c r="B3398" s="2">
        <v>45735.429620659721</v>
      </c>
      <c r="C3398" t="s">
        <v>3</v>
      </c>
      <c r="D3398" t="s">
        <v>1241</v>
      </c>
      <c r="E3398">
        <v>35.76</v>
      </c>
      <c r="F3398" t="s">
        <v>9</v>
      </c>
    </row>
    <row r="3399" spans="1:6">
      <c r="A3399" s="1">
        <v>45707</v>
      </c>
      <c r="B3399" s="2">
        <v>45707.774754942133</v>
      </c>
      <c r="C3399" t="s">
        <v>3</v>
      </c>
      <c r="D3399" t="s">
        <v>1242</v>
      </c>
      <c r="E3399">
        <v>35.76</v>
      </c>
      <c r="F3399" t="s">
        <v>43</v>
      </c>
    </row>
    <row r="3400" spans="1:6">
      <c r="A3400" s="1">
        <v>45707</v>
      </c>
      <c r="B3400" s="2">
        <v>45707.792744074075</v>
      </c>
      <c r="C3400" t="s">
        <v>3</v>
      </c>
      <c r="D3400" t="s">
        <v>1243</v>
      </c>
      <c r="E3400">
        <v>35.76</v>
      </c>
      <c r="F3400" t="s">
        <v>7</v>
      </c>
    </row>
    <row r="3401" spans="1:6">
      <c r="A3401" s="1">
        <v>45708</v>
      </c>
      <c r="B3401" s="2">
        <v>45708.638721701391</v>
      </c>
      <c r="C3401" t="s">
        <v>3</v>
      </c>
      <c r="D3401" t="s">
        <v>1244</v>
      </c>
      <c r="E3401">
        <v>21.06</v>
      </c>
      <c r="F3401" t="s">
        <v>35</v>
      </c>
    </row>
    <row r="3402" spans="1:6">
      <c r="A3402" s="1">
        <v>45708</v>
      </c>
      <c r="B3402" s="2">
        <v>45708.707715601849</v>
      </c>
      <c r="C3402" t="s">
        <v>3</v>
      </c>
      <c r="D3402" t="s">
        <v>1245</v>
      </c>
      <c r="E3402">
        <v>35.76</v>
      </c>
      <c r="F3402" t="s">
        <v>43</v>
      </c>
    </row>
    <row r="3403" spans="1:6">
      <c r="A3403" s="1">
        <v>45708</v>
      </c>
      <c r="B3403" s="2">
        <v>45708.70876090278</v>
      </c>
      <c r="C3403" t="s">
        <v>3</v>
      </c>
      <c r="D3403" t="s">
        <v>1245</v>
      </c>
      <c r="E3403">
        <v>35.76</v>
      </c>
      <c r="F3403" t="s">
        <v>9</v>
      </c>
    </row>
    <row r="3404" spans="1:6">
      <c r="A3404" s="1">
        <v>45708</v>
      </c>
      <c r="B3404" s="2">
        <v>45708.789984131945</v>
      </c>
      <c r="C3404" t="s">
        <v>3</v>
      </c>
      <c r="D3404" t="s">
        <v>1246</v>
      </c>
      <c r="E3404">
        <v>25.96</v>
      </c>
      <c r="F3404" t="s">
        <v>11</v>
      </c>
    </row>
    <row r="3405" spans="1:6">
      <c r="A3405" s="1">
        <v>45709</v>
      </c>
      <c r="B3405" s="2">
        <v>45709.429293726855</v>
      </c>
      <c r="C3405" t="s">
        <v>3</v>
      </c>
      <c r="D3405" t="s">
        <v>1246</v>
      </c>
      <c r="E3405">
        <v>25.96</v>
      </c>
      <c r="F3405" t="s">
        <v>11</v>
      </c>
    </row>
    <row r="3406" spans="1:6">
      <c r="A3406" s="1">
        <v>45708</v>
      </c>
      <c r="B3406" s="2">
        <v>45708.792954583332</v>
      </c>
      <c r="C3406" t="s">
        <v>3</v>
      </c>
      <c r="D3406" t="s">
        <v>1247</v>
      </c>
      <c r="E3406">
        <v>35.76</v>
      </c>
      <c r="F3406" t="s">
        <v>9</v>
      </c>
    </row>
    <row r="3407" spans="1:6">
      <c r="A3407" s="1">
        <v>45736</v>
      </c>
      <c r="B3407" s="2">
        <v>45736.788873518519</v>
      </c>
      <c r="C3407" t="s">
        <v>3</v>
      </c>
      <c r="D3407" t="s">
        <v>1247</v>
      </c>
      <c r="E3407">
        <v>35.76</v>
      </c>
      <c r="F3407" t="s">
        <v>9</v>
      </c>
    </row>
    <row r="3408" spans="1:6">
      <c r="A3408" s="1">
        <v>45708</v>
      </c>
      <c r="B3408" s="2">
        <v>45708.796823703706</v>
      </c>
      <c r="C3408" t="s">
        <v>3</v>
      </c>
      <c r="D3408" t="s">
        <v>1248</v>
      </c>
      <c r="E3408">
        <v>35.76</v>
      </c>
      <c r="F3408" t="s">
        <v>18</v>
      </c>
    </row>
    <row r="3409" spans="1:6">
      <c r="A3409" s="1">
        <v>45713</v>
      </c>
      <c r="B3409" s="2">
        <v>45713.763299270831</v>
      </c>
      <c r="C3409" t="s">
        <v>3</v>
      </c>
      <c r="D3409" t="s">
        <v>1248</v>
      </c>
      <c r="E3409">
        <v>35.76</v>
      </c>
      <c r="F3409" t="s">
        <v>18</v>
      </c>
    </row>
    <row r="3410" spans="1:6">
      <c r="A3410" s="1">
        <v>45720</v>
      </c>
      <c r="B3410" s="2">
        <v>45720.780114212961</v>
      </c>
      <c r="C3410" t="s">
        <v>3</v>
      </c>
      <c r="D3410" t="s">
        <v>1248</v>
      </c>
      <c r="E3410">
        <v>35.76</v>
      </c>
      <c r="F3410" t="s">
        <v>18</v>
      </c>
    </row>
    <row r="3411" spans="1:6">
      <c r="A3411" s="1">
        <v>45709</v>
      </c>
      <c r="B3411" s="2">
        <v>45709.40381491898</v>
      </c>
      <c r="C3411" t="s">
        <v>3</v>
      </c>
      <c r="D3411" t="s">
        <v>1249</v>
      </c>
      <c r="E3411">
        <v>35.76</v>
      </c>
      <c r="F3411" t="s">
        <v>7</v>
      </c>
    </row>
    <row r="3412" spans="1:6">
      <c r="A3412" s="1">
        <v>45709</v>
      </c>
      <c r="B3412" s="2">
        <v>45709.409269884258</v>
      </c>
      <c r="C3412" t="s">
        <v>3</v>
      </c>
      <c r="D3412" t="s">
        <v>1250</v>
      </c>
      <c r="E3412">
        <v>35.76</v>
      </c>
      <c r="F3412" t="s">
        <v>43</v>
      </c>
    </row>
    <row r="3413" spans="1:6">
      <c r="A3413" s="1">
        <v>45709</v>
      </c>
      <c r="B3413" s="2">
        <v>45709.410562557867</v>
      </c>
      <c r="C3413" t="s">
        <v>3</v>
      </c>
      <c r="D3413" t="s">
        <v>1251</v>
      </c>
      <c r="E3413">
        <v>21.06</v>
      </c>
      <c r="F3413" t="s">
        <v>35</v>
      </c>
    </row>
    <row r="3414" spans="1:6">
      <c r="A3414" s="1">
        <v>45713</v>
      </c>
      <c r="B3414" s="2">
        <v>45713.418574675925</v>
      </c>
      <c r="C3414" t="s">
        <v>3</v>
      </c>
      <c r="D3414" t="s">
        <v>1251</v>
      </c>
      <c r="E3414">
        <v>21.06</v>
      </c>
      <c r="F3414" t="s">
        <v>35</v>
      </c>
    </row>
    <row r="3415" spans="1:6">
      <c r="A3415" s="1">
        <v>45715</v>
      </c>
      <c r="B3415" s="2">
        <v>45715.45311519676</v>
      </c>
      <c r="C3415" t="s">
        <v>3</v>
      </c>
      <c r="D3415" t="s">
        <v>1251</v>
      </c>
      <c r="E3415">
        <v>21.06</v>
      </c>
      <c r="F3415" t="s">
        <v>35</v>
      </c>
    </row>
    <row r="3416" spans="1:6">
      <c r="A3416" s="1">
        <v>45709</v>
      </c>
      <c r="B3416" s="2">
        <v>45709.505356087961</v>
      </c>
      <c r="C3416" t="s">
        <v>3</v>
      </c>
      <c r="D3416" t="s">
        <v>1252</v>
      </c>
      <c r="E3416">
        <v>25.96</v>
      </c>
      <c r="F3416" t="s">
        <v>11</v>
      </c>
    </row>
    <row r="3417" spans="1:6">
      <c r="A3417" s="1">
        <v>45709</v>
      </c>
      <c r="B3417" s="2">
        <v>45709.673682002314</v>
      </c>
      <c r="C3417" t="s">
        <v>3</v>
      </c>
      <c r="D3417" t="s">
        <v>1253</v>
      </c>
      <c r="E3417">
        <v>35.76</v>
      </c>
      <c r="F3417" t="s">
        <v>18</v>
      </c>
    </row>
    <row r="3418" spans="1:6">
      <c r="A3418" s="1">
        <v>45710</v>
      </c>
      <c r="B3418" s="2">
        <v>45710.452994004627</v>
      </c>
      <c r="C3418" t="s">
        <v>3</v>
      </c>
      <c r="D3418" t="s">
        <v>1254</v>
      </c>
      <c r="E3418">
        <v>35.76</v>
      </c>
      <c r="F3418" t="s">
        <v>9</v>
      </c>
    </row>
    <row r="3419" spans="1:6">
      <c r="A3419" s="1">
        <v>45710</v>
      </c>
      <c r="B3419" s="2">
        <v>45710.478130243057</v>
      </c>
      <c r="C3419" t="s">
        <v>3</v>
      </c>
      <c r="D3419" t="s">
        <v>1255</v>
      </c>
      <c r="E3419">
        <v>25.96</v>
      </c>
      <c r="F3419" t="s">
        <v>11</v>
      </c>
    </row>
    <row r="3420" spans="1:6">
      <c r="A3420" s="1">
        <v>45711</v>
      </c>
      <c r="B3420" s="2">
        <v>45711.57663920139</v>
      </c>
      <c r="C3420" t="s">
        <v>3</v>
      </c>
      <c r="D3420" t="s">
        <v>1256</v>
      </c>
      <c r="E3420">
        <v>35.76</v>
      </c>
      <c r="F3420" t="s">
        <v>43</v>
      </c>
    </row>
    <row r="3421" spans="1:6">
      <c r="A3421" s="1">
        <v>45711</v>
      </c>
      <c r="B3421" s="2">
        <v>45711.727603263891</v>
      </c>
      <c r="C3421" t="s">
        <v>3</v>
      </c>
      <c r="D3421" t="s">
        <v>1257</v>
      </c>
      <c r="E3421">
        <v>25.96</v>
      </c>
      <c r="F3421" t="s">
        <v>11</v>
      </c>
    </row>
    <row r="3422" spans="1:6">
      <c r="A3422" s="1">
        <v>45712</v>
      </c>
      <c r="B3422" s="2">
        <v>45712.406373831021</v>
      </c>
      <c r="C3422" t="s">
        <v>3</v>
      </c>
      <c r="D3422" t="s">
        <v>1258</v>
      </c>
      <c r="E3422">
        <v>35.76</v>
      </c>
      <c r="F3422" t="s">
        <v>7</v>
      </c>
    </row>
    <row r="3423" spans="1:6">
      <c r="A3423" s="1">
        <v>45712</v>
      </c>
      <c r="B3423" s="2">
        <v>45712.44985740741</v>
      </c>
      <c r="C3423" t="s">
        <v>3</v>
      </c>
      <c r="D3423" t="s">
        <v>1258</v>
      </c>
      <c r="E3423">
        <v>35.76</v>
      </c>
      <c r="F3423" t="s">
        <v>18</v>
      </c>
    </row>
    <row r="3424" spans="1:6">
      <c r="A3424" s="1">
        <v>45719</v>
      </c>
      <c r="B3424" s="2">
        <v>45719.407545925926</v>
      </c>
      <c r="C3424" t="s">
        <v>3</v>
      </c>
      <c r="D3424" t="s">
        <v>1258</v>
      </c>
      <c r="E3424">
        <v>35.76</v>
      </c>
      <c r="F3424" t="s">
        <v>18</v>
      </c>
    </row>
    <row r="3425" spans="1:6">
      <c r="A3425" s="1">
        <v>45719</v>
      </c>
      <c r="B3425" s="2">
        <v>45719.40878863426</v>
      </c>
      <c r="C3425" t="s">
        <v>3</v>
      </c>
      <c r="D3425" t="s">
        <v>1258</v>
      </c>
      <c r="E3425">
        <v>35.76</v>
      </c>
      <c r="F3425" t="s">
        <v>7</v>
      </c>
    </row>
    <row r="3426" spans="1:6">
      <c r="A3426" s="1">
        <v>45712</v>
      </c>
      <c r="B3426" s="2">
        <v>45712.423061273148</v>
      </c>
      <c r="C3426" t="s">
        <v>3</v>
      </c>
      <c r="D3426" t="s">
        <v>1259</v>
      </c>
      <c r="E3426">
        <v>30.86</v>
      </c>
      <c r="F3426" t="s">
        <v>14</v>
      </c>
    </row>
    <row r="3427" spans="1:6">
      <c r="A3427" s="1">
        <v>45712</v>
      </c>
      <c r="B3427" s="2">
        <v>45712.423862569442</v>
      </c>
      <c r="C3427" t="s">
        <v>3</v>
      </c>
      <c r="D3427" t="s">
        <v>1259</v>
      </c>
      <c r="E3427">
        <v>30.86</v>
      </c>
      <c r="F3427" t="s">
        <v>14</v>
      </c>
    </row>
    <row r="3428" spans="1:6">
      <c r="A3428" s="1">
        <v>45712</v>
      </c>
      <c r="B3428" s="2">
        <v>45712.666739895831</v>
      </c>
      <c r="C3428" t="s">
        <v>3</v>
      </c>
      <c r="D3428" t="s">
        <v>1260</v>
      </c>
      <c r="E3428">
        <v>35.76</v>
      </c>
      <c r="F3428" t="s">
        <v>18</v>
      </c>
    </row>
    <row r="3429" spans="1:6">
      <c r="A3429" s="1">
        <v>45720</v>
      </c>
      <c r="B3429" s="2">
        <v>45720.839589756943</v>
      </c>
      <c r="C3429" t="s">
        <v>3</v>
      </c>
      <c r="D3429" t="s">
        <v>1260</v>
      </c>
      <c r="E3429">
        <v>35.76</v>
      </c>
      <c r="F3429" t="s">
        <v>7</v>
      </c>
    </row>
    <row r="3430" spans="1:6">
      <c r="A3430" s="1">
        <v>45712</v>
      </c>
      <c r="B3430" s="2">
        <v>45712.808963090276</v>
      </c>
      <c r="C3430" t="s">
        <v>3</v>
      </c>
      <c r="D3430" t="s">
        <v>1261</v>
      </c>
      <c r="E3430">
        <v>35.76</v>
      </c>
      <c r="F3430" t="s">
        <v>7</v>
      </c>
    </row>
    <row r="3431" spans="1:6">
      <c r="A3431" s="1">
        <v>45714</v>
      </c>
      <c r="B3431" s="2">
        <v>45714.637089664349</v>
      </c>
      <c r="C3431" t="s">
        <v>3</v>
      </c>
      <c r="D3431" t="s">
        <v>1261</v>
      </c>
      <c r="E3431">
        <v>25.96</v>
      </c>
      <c r="F3431" t="s">
        <v>28</v>
      </c>
    </row>
    <row r="3432" spans="1:6">
      <c r="A3432" s="1">
        <v>45714</v>
      </c>
      <c r="B3432" s="2">
        <v>45714.424619675927</v>
      </c>
      <c r="C3432" t="s">
        <v>3</v>
      </c>
      <c r="D3432" t="s">
        <v>1262</v>
      </c>
      <c r="E3432">
        <v>30.86</v>
      </c>
      <c r="F3432" t="s">
        <v>14</v>
      </c>
    </row>
    <row r="3433" spans="1:6">
      <c r="A3433" s="1">
        <v>45714</v>
      </c>
      <c r="B3433" s="2">
        <v>45714.425295289351</v>
      </c>
      <c r="C3433" t="s">
        <v>3</v>
      </c>
      <c r="D3433" t="s">
        <v>1262</v>
      </c>
      <c r="E3433">
        <v>30.86</v>
      </c>
      <c r="F3433" t="s">
        <v>14</v>
      </c>
    </row>
    <row r="3434" spans="1:6">
      <c r="A3434" s="1">
        <v>45721</v>
      </c>
      <c r="B3434" s="2">
        <v>45721.444847465275</v>
      </c>
      <c r="C3434" t="s">
        <v>3</v>
      </c>
      <c r="D3434" t="s">
        <v>1262</v>
      </c>
      <c r="E3434">
        <v>30.86</v>
      </c>
      <c r="F3434" t="s">
        <v>14</v>
      </c>
    </row>
    <row r="3435" spans="1:6">
      <c r="A3435" s="1">
        <v>45714</v>
      </c>
      <c r="B3435" s="2">
        <v>45714.635277650465</v>
      </c>
      <c r="C3435" t="s">
        <v>3</v>
      </c>
      <c r="D3435" t="s">
        <v>1263</v>
      </c>
      <c r="E3435">
        <v>25.96</v>
      </c>
      <c r="F3435" t="s">
        <v>11</v>
      </c>
    </row>
    <row r="3436" spans="1:6">
      <c r="A3436" s="1">
        <v>45714</v>
      </c>
      <c r="B3436" s="2">
        <v>45714.638921527781</v>
      </c>
      <c r="C3436" t="s">
        <v>3</v>
      </c>
      <c r="D3436" t="s">
        <v>1264</v>
      </c>
      <c r="E3436">
        <v>35.76</v>
      </c>
      <c r="F3436" t="s">
        <v>9</v>
      </c>
    </row>
    <row r="3437" spans="1:6">
      <c r="A3437" s="1">
        <v>45714</v>
      </c>
      <c r="B3437" s="2">
        <v>45714.639453761571</v>
      </c>
      <c r="C3437" t="s">
        <v>3</v>
      </c>
      <c r="D3437" t="s">
        <v>1264</v>
      </c>
      <c r="E3437">
        <v>25.96</v>
      </c>
      <c r="F3437" t="s">
        <v>11</v>
      </c>
    </row>
    <row r="3438" spans="1:6">
      <c r="A3438" s="1">
        <v>45715</v>
      </c>
      <c r="B3438" s="2">
        <v>45715.53351710648</v>
      </c>
      <c r="C3438" t="s">
        <v>3</v>
      </c>
      <c r="D3438" t="s">
        <v>1265</v>
      </c>
      <c r="E3438">
        <v>35.76</v>
      </c>
      <c r="F3438" t="s">
        <v>18</v>
      </c>
    </row>
    <row r="3439" spans="1:6">
      <c r="A3439" s="1">
        <v>45715</v>
      </c>
      <c r="B3439" s="2">
        <v>45715.562366018516</v>
      </c>
      <c r="C3439" t="s">
        <v>3</v>
      </c>
      <c r="D3439" t="s">
        <v>1266</v>
      </c>
      <c r="E3439">
        <v>30.86</v>
      </c>
      <c r="F3439" t="s">
        <v>14</v>
      </c>
    </row>
    <row r="3440" spans="1:6">
      <c r="A3440" s="1">
        <v>45715</v>
      </c>
      <c r="B3440" s="2">
        <v>45715.613418113426</v>
      </c>
      <c r="C3440" t="s">
        <v>3</v>
      </c>
      <c r="D3440" t="s">
        <v>1267</v>
      </c>
      <c r="E3440">
        <v>35.76</v>
      </c>
      <c r="F3440" t="s">
        <v>7</v>
      </c>
    </row>
    <row r="3441" spans="1:6">
      <c r="A3441" s="1">
        <v>45715</v>
      </c>
      <c r="B3441" s="2">
        <v>45715.745289976854</v>
      </c>
      <c r="C3441" t="s">
        <v>3</v>
      </c>
      <c r="D3441" t="s">
        <v>1268</v>
      </c>
      <c r="E3441">
        <v>35.76</v>
      </c>
      <c r="F3441" t="s">
        <v>7</v>
      </c>
    </row>
    <row r="3442" spans="1:6">
      <c r="A3442" s="1">
        <v>45717</v>
      </c>
      <c r="B3442" s="2">
        <v>45717.613470219905</v>
      </c>
      <c r="C3442" t="s">
        <v>3</v>
      </c>
      <c r="D3442" t="s">
        <v>1268</v>
      </c>
      <c r="E3442">
        <v>35.76</v>
      </c>
      <c r="F3442" t="s">
        <v>7</v>
      </c>
    </row>
    <row r="3443" spans="1:6">
      <c r="A3443" s="1">
        <v>45716</v>
      </c>
      <c r="B3443" s="2">
        <v>45716.34025212963</v>
      </c>
      <c r="C3443" t="s">
        <v>3</v>
      </c>
      <c r="D3443" t="s">
        <v>1269</v>
      </c>
      <c r="E3443">
        <v>21.06</v>
      </c>
      <c r="F3443" t="s">
        <v>35</v>
      </c>
    </row>
    <row r="3444" spans="1:6">
      <c r="A3444" s="1">
        <v>45716</v>
      </c>
      <c r="B3444" s="2">
        <v>45716.729911423608</v>
      </c>
      <c r="C3444" t="s">
        <v>3</v>
      </c>
      <c r="D3444" t="s">
        <v>1270</v>
      </c>
      <c r="E3444">
        <v>30.86</v>
      </c>
      <c r="F3444" t="s">
        <v>14</v>
      </c>
    </row>
    <row r="3445" spans="1:6">
      <c r="A3445" s="1">
        <v>45719</v>
      </c>
      <c r="B3445" s="2">
        <v>45719.728273194443</v>
      </c>
      <c r="C3445" t="s">
        <v>3</v>
      </c>
      <c r="D3445" t="s">
        <v>1270</v>
      </c>
      <c r="E3445">
        <v>30.86</v>
      </c>
      <c r="F3445" t="s">
        <v>14</v>
      </c>
    </row>
    <row r="3446" spans="1:6">
      <c r="A3446" s="1">
        <v>45716</v>
      </c>
      <c r="B3446" s="2">
        <v>45716.787378321758</v>
      </c>
      <c r="C3446" t="s">
        <v>3</v>
      </c>
      <c r="D3446" t="s">
        <v>1271</v>
      </c>
      <c r="E3446">
        <v>35.76</v>
      </c>
      <c r="F3446" t="s">
        <v>7</v>
      </c>
    </row>
    <row r="3447" spans="1:6">
      <c r="A3447" s="1">
        <v>45719</v>
      </c>
      <c r="B3447" s="2">
        <v>45719.782553344907</v>
      </c>
      <c r="C3447" t="s">
        <v>3</v>
      </c>
      <c r="D3447" t="s">
        <v>1271</v>
      </c>
      <c r="E3447">
        <v>35.76</v>
      </c>
      <c r="F3447" t="s">
        <v>7</v>
      </c>
    </row>
    <row r="3448" spans="1:6">
      <c r="A3448" s="1">
        <v>45726</v>
      </c>
      <c r="B3448" s="2">
        <v>45726.783683194444</v>
      </c>
      <c r="C3448" t="s">
        <v>3</v>
      </c>
      <c r="D3448" t="s">
        <v>1271</v>
      </c>
      <c r="E3448">
        <v>35.76</v>
      </c>
      <c r="F3448" t="s">
        <v>7</v>
      </c>
    </row>
    <row r="3449" spans="1:6">
      <c r="A3449" s="1">
        <v>45726</v>
      </c>
      <c r="B3449" s="2">
        <v>45726.784286076392</v>
      </c>
      <c r="C3449" t="s">
        <v>3</v>
      </c>
      <c r="D3449" t="s">
        <v>1271</v>
      </c>
      <c r="E3449">
        <v>35.76</v>
      </c>
      <c r="F3449" t="s">
        <v>7</v>
      </c>
    </row>
    <row r="3450" spans="1:6">
      <c r="A3450" s="1">
        <v>45717</v>
      </c>
      <c r="B3450" s="2">
        <v>45717.714276643521</v>
      </c>
      <c r="C3450" t="s">
        <v>3</v>
      </c>
      <c r="D3450" t="s">
        <v>1272</v>
      </c>
      <c r="E3450">
        <v>25.96</v>
      </c>
      <c r="F3450" t="s">
        <v>11</v>
      </c>
    </row>
    <row r="3451" spans="1:6">
      <c r="A3451" s="1">
        <v>45719</v>
      </c>
      <c r="B3451" s="2">
        <v>45719.433874027774</v>
      </c>
      <c r="C3451" t="s">
        <v>3</v>
      </c>
      <c r="D3451" t="s">
        <v>1273</v>
      </c>
      <c r="E3451">
        <v>35.76</v>
      </c>
      <c r="F3451" t="s">
        <v>9</v>
      </c>
    </row>
    <row r="3452" spans="1:6">
      <c r="A3452" s="1">
        <v>45737</v>
      </c>
      <c r="B3452" s="2">
        <v>45737.709360775465</v>
      </c>
      <c r="C3452" t="s">
        <v>3</v>
      </c>
      <c r="D3452" t="s">
        <v>1273</v>
      </c>
      <c r="E3452">
        <v>35.76</v>
      </c>
      <c r="F3452" t="s">
        <v>9</v>
      </c>
    </row>
    <row r="3453" spans="1:6">
      <c r="A3453" s="1">
        <v>45738</v>
      </c>
      <c r="B3453" s="2">
        <v>45738.468124537038</v>
      </c>
      <c r="C3453" t="s">
        <v>3</v>
      </c>
      <c r="D3453" t="s">
        <v>1273</v>
      </c>
      <c r="E3453">
        <v>35.76</v>
      </c>
      <c r="F3453" t="s">
        <v>9</v>
      </c>
    </row>
    <row r="3454" spans="1:6">
      <c r="A3454" s="1">
        <v>45720</v>
      </c>
      <c r="B3454" s="2">
        <v>45720.415707962966</v>
      </c>
      <c r="C3454" t="s">
        <v>3</v>
      </c>
      <c r="D3454" t="s">
        <v>1274</v>
      </c>
      <c r="E3454">
        <v>25.96</v>
      </c>
      <c r="F3454" t="s">
        <v>11</v>
      </c>
    </row>
    <row r="3455" spans="1:6">
      <c r="A3455" s="1">
        <v>45723</v>
      </c>
      <c r="B3455" s="2">
        <v>45723.580226909726</v>
      </c>
      <c r="C3455" t="s">
        <v>3</v>
      </c>
      <c r="D3455" t="s">
        <v>1274</v>
      </c>
      <c r="E3455">
        <v>25.96</v>
      </c>
      <c r="F3455" t="s">
        <v>11</v>
      </c>
    </row>
    <row r="3456" spans="1:6">
      <c r="A3456" s="1">
        <v>45721</v>
      </c>
      <c r="B3456" s="2">
        <v>45721.424195844906</v>
      </c>
      <c r="C3456" t="s">
        <v>3</v>
      </c>
      <c r="D3456" t="s">
        <v>1275</v>
      </c>
      <c r="E3456">
        <v>35.76</v>
      </c>
      <c r="F3456" t="s">
        <v>43</v>
      </c>
    </row>
    <row r="3457" spans="1:6">
      <c r="A3457" s="1">
        <v>45721</v>
      </c>
      <c r="B3457" s="2">
        <v>45721.465904687502</v>
      </c>
      <c r="C3457" t="s">
        <v>3</v>
      </c>
      <c r="D3457" t="s">
        <v>1276</v>
      </c>
      <c r="E3457">
        <v>35.76</v>
      </c>
      <c r="F3457" t="s">
        <v>18</v>
      </c>
    </row>
    <row r="3458" spans="1:6">
      <c r="A3458" s="1">
        <v>45723</v>
      </c>
      <c r="B3458" s="2">
        <v>45723.445668877313</v>
      </c>
      <c r="C3458" t="s">
        <v>3</v>
      </c>
      <c r="D3458" t="s">
        <v>1276</v>
      </c>
      <c r="E3458">
        <v>35.76</v>
      </c>
      <c r="F3458" t="s">
        <v>18</v>
      </c>
    </row>
    <row r="3459" spans="1:6">
      <c r="A3459" s="1">
        <v>45721</v>
      </c>
      <c r="B3459" s="2">
        <v>45721.71971701389</v>
      </c>
      <c r="C3459" t="s">
        <v>3</v>
      </c>
      <c r="D3459" t="s">
        <v>1277</v>
      </c>
      <c r="E3459">
        <v>21.06</v>
      </c>
      <c r="F3459" t="s">
        <v>35</v>
      </c>
    </row>
    <row r="3460" spans="1:6">
      <c r="A3460" s="1">
        <v>45721</v>
      </c>
      <c r="B3460" s="2">
        <v>45721.793713171297</v>
      </c>
      <c r="C3460" t="s">
        <v>3</v>
      </c>
      <c r="D3460" t="s">
        <v>1278</v>
      </c>
      <c r="E3460">
        <v>35.76</v>
      </c>
      <c r="F3460" t="s">
        <v>18</v>
      </c>
    </row>
    <row r="3461" spans="1:6">
      <c r="A3461" s="1">
        <v>45728</v>
      </c>
      <c r="B3461" s="2">
        <v>45728.762012083331</v>
      </c>
      <c r="C3461" t="s">
        <v>3</v>
      </c>
      <c r="D3461" t="s">
        <v>1278</v>
      </c>
      <c r="E3461">
        <v>35.76</v>
      </c>
      <c r="F3461" t="s">
        <v>18</v>
      </c>
    </row>
    <row r="3462" spans="1:6">
      <c r="A3462" s="1">
        <v>45722</v>
      </c>
      <c r="B3462" s="2">
        <v>45722.470578912034</v>
      </c>
      <c r="C3462" t="s">
        <v>3</v>
      </c>
      <c r="D3462" t="s">
        <v>1279</v>
      </c>
      <c r="E3462">
        <v>35.76</v>
      </c>
      <c r="F3462" t="s">
        <v>43</v>
      </c>
    </row>
    <row r="3463" spans="1:6">
      <c r="A3463" s="1">
        <v>45723</v>
      </c>
      <c r="B3463" s="2">
        <v>45723.435126597222</v>
      </c>
      <c r="C3463" t="s">
        <v>3</v>
      </c>
      <c r="D3463" t="s">
        <v>1280</v>
      </c>
      <c r="E3463">
        <v>30.86</v>
      </c>
      <c r="F3463" t="s">
        <v>14</v>
      </c>
    </row>
    <row r="3464" spans="1:6">
      <c r="A3464" s="1">
        <v>45723</v>
      </c>
      <c r="B3464" s="2">
        <v>45723.435793298609</v>
      </c>
      <c r="C3464" t="s">
        <v>3</v>
      </c>
      <c r="D3464" t="s">
        <v>1280</v>
      </c>
      <c r="E3464">
        <v>30.86</v>
      </c>
      <c r="F3464" t="s">
        <v>14</v>
      </c>
    </row>
    <row r="3465" spans="1:6">
      <c r="A3465" s="1">
        <v>45724</v>
      </c>
      <c r="B3465" s="2">
        <v>45724.528701805553</v>
      </c>
      <c r="C3465" t="s">
        <v>3</v>
      </c>
      <c r="D3465" t="s">
        <v>1281</v>
      </c>
      <c r="E3465">
        <v>30.86</v>
      </c>
      <c r="F3465" t="s">
        <v>14</v>
      </c>
    </row>
    <row r="3466" spans="1:6">
      <c r="A3466" s="1">
        <v>45738</v>
      </c>
      <c r="B3466" s="2">
        <v>45738.55784627315</v>
      </c>
      <c r="C3466" t="s">
        <v>3</v>
      </c>
      <c r="D3466" t="s">
        <v>1281</v>
      </c>
      <c r="E3466">
        <v>30.86</v>
      </c>
      <c r="F3466" t="s">
        <v>14</v>
      </c>
    </row>
    <row r="3467" spans="1:6">
      <c r="A3467" s="1">
        <v>45725</v>
      </c>
      <c r="B3467" s="2">
        <v>45725.404211608795</v>
      </c>
      <c r="C3467" t="s">
        <v>3</v>
      </c>
      <c r="D3467" t="s">
        <v>1282</v>
      </c>
      <c r="E3467">
        <v>21.06</v>
      </c>
      <c r="F3467" t="s">
        <v>35</v>
      </c>
    </row>
    <row r="3468" spans="1:6">
      <c r="A3468" s="1">
        <v>45725</v>
      </c>
      <c r="B3468" s="2">
        <v>45725.476309999998</v>
      </c>
      <c r="C3468" t="s">
        <v>3</v>
      </c>
      <c r="D3468" t="s">
        <v>1283</v>
      </c>
      <c r="E3468">
        <v>30.86</v>
      </c>
      <c r="F3468" t="s">
        <v>14</v>
      </c>
    </row>
    <row r="3469" spans="1:6">
      <c r="A3469" s="1">
        <v>45725</v>
      </c>
      <c r="B3469" s="2">
        <v>45725.662273078706</v>
      </c>
      <c r="C3469" t="s">
        <v>3</v>
      </c>
      <c r="D3469" t="s">
        <v>1284</v>
      </c>
      <c r="E3469">
        <v>35.76</v>
      </c>
      <c r="F3469" t="s">
        <v>18</v>
      </c>
    </row>
    <row r="3470" spans="1:6">
      <c r="A3470" s="1">
        <v>45726</v>
      </c>
      <c r="B3470" s="2">
        <v>45726.357447719907</v>
      </c>
      <c r="C3470" t="s">
        <v>3</v>
      </c>
      <c r="D3470" t="s">
        <v>1285</v>
      </c>
      <c r="E3470">
        <v>25.96</v>
      </c>
      <c r="F3470" t="s">
        <v>11</v>
      </c>
    </row>
    <row r="3471" spans="1:6">
      <c r="A3471" s="1">
        <v>45726</v>
      </c>
      <c r="B3471" s="2">
        <v>45726.358107384258</v>
      </c>
      <c r="C3471" t="s">
        <v>3</v>
      </c>
      <c r="D3471" t="s">
        <v>1285</v>
      </c>
      <c r="E3471">
        <v>35.76</v>
      </c>
      <c r="F3471" t="s">
        <v>7</v>
      </c>
    </row>
    <row r="3472" spans="1:6">
      <c r="A3472" s="1">
        <v>45730</v>
      </c>
      <c r="B3472" s="2">
        <v>45730.374616064815</v>
      </c>
      <c r="C3472" t="s">
        <v>3</v>
      </c>
      <c r="D3472" t="s">
        <v>1285</v>
      </c>
      <c r="E3472">
        <v>25.96</v>
      </c>
      <c r="F3472" t="s">
        <v>11</v>
      </c>
    </row>
    <row r="3473" spans="1:6">
      <c r="A3473" s="1">
        <v>45726</v>
      </c>
      <c r="B3473" s="2">
        <v>45726.410348645833</v>
      </c>
      <c r="C3473" t="s">
        <v>3</v>
      </c>
      <c r="D3473" t="s">
        <v>1286</v>
      </c>
      <c r="E3473">
        <v>35.76</v>
      </c>
      <c r="F3473" t="s">
        <v>18</v>
      </c>
    </row>
    <row r="3474" spans="1:6">
      <c r="A3474" s="1">
        <v>45726</v>
      </c>
      <c r="B3474" s="2">
        <v>45726.429827083331</v>
      </c>
      <c r="C3474" t="s">
        <v>3</v>
      </c>
      <c r="D3474" t="s">
        <v>1287</v>
      </c>
      <c r="E3474">
        <v>35.76</v>
      </c>
      <c r="F3474" t="s">
        <v>9</v>
      </c>
    </row>
    <row r="3475" spans="1:6">
      <c r="A3475" s="1">
        <v>45726</v>
      </c>
      <c r="B3475" s="2">
        <v>45726.683627766201</v>
      </c>
      <c r="C3475" t="s">
        <v>3</v>
      </c>
      <c r="D3475" t="s">
        <v>1288</v>
      </c>
      <c r="E3475">
        <v>35.76</v>
      </c>
      <c r="F3475" t="s">
        <v>43</v>
      </c>
    </row>
    <row r="3476" spans="1:6">
      <c r="A3476" s="1">
        <v>45726</v>
      </c>
      <c r="B3476" s="2">
        <v>45726.684403449071</v>
      </c>
      <c r="C3476" t="s">
        <v>3</v>
      </c>
      <c r="D3476" t="s">
        <v>1288</v>
      </c>
      <c r="E3476">
        <v>30.86</v>
      </c>
      <c r="F3476" t="s">
        <v>14</v>
      </c>
    </row>
    <row r="3477" spans="1:6">
      <c r="A3477" s="1">
        <v>45738</v>
      </c>
      <c r="B3477" s="2">
        <v>45738.378623368058</v>
      </c>
      <c r="C3477" t="s">
        <v>3</v>
      </c>
      <c r="D3477" t="s">
        <v>1288</v>
      </c>
      <c r="E3477">
        <v>30.86</v>
      </c>
      <c r="F3477" t="s">
        <v>14</v>
      </c>
    </row>
    <row r="3478" spans="1:6">
      <c r="A3478" s="1">
        <v>45738</v>
      </c>
      <c r="B3478" s="2">
        <v>45738.68541395833</v>
      </c>
      <c r="C3478" t="s">
        <v>3</v>
      </c>
      <c r="D3478" t="s">
        <v>1288</v>
      </c>
      <c r="E3478">
        <v>35.76</v>
      </c>
      <c r="F3478" t="s">
        <v>7</v>
      </c>
    </row>
    <row r="3479" spans="1:6">
      <c r="A3479" s="1">
        <v>45738</v>
      </c>
      <c r="B3479" s="2">
        <v>45738.745554884263</v>
      </c>
      <c r="C3479" t="s">
        <v>3</v>
      </c>
      <c r="D3479" t="s">
        <v>1288</v>
      </c>
      <c r="E3479">
        <v>30.86</v>
      </c>
      <c r="F3479" t="s">
        <v>14</v>
      </c>
    </row>
    <row r="3480" spans="1:6">
      <c r="A3480" s="1">
        <v>45727</v>
      </c>
      <c r="B3480" s="2">
        <v>45727.39380096065</v>
      </c>
      <c r="C3480" t="s">
        <v>3</v>
      </c>
      <c r="D3480" t="s">
        <v>1289</v>
      </c>
      <c r="E3480">
        <v>35.76</v>
      </c>
      <c r="F3480" t="s">
        <v>7</v>
      </c>
    </row>
    <row r="3481" spans="1:6">
      <c r="A3481" s="1">
        <v>45735</v>
      </c>
      <c r="B3481" s="2">
        <v>45735.708333252318</v>
      </c>
      <c r="C3481" t="s">
        <v>3</v>
      </c>
      <c r="D3481" t="s">
        <v>1289</v>
      </c>
      <c r="E3481">
        <v>35.76</v>
      </c>
      <c r="F3481" t="s">
        <v>18</v>
      </c>
    </row>
    <row r="3482" spans="1:6">
      <c r="A3482" s="1">
        <v>45737</v>
      </c>
      <c r="B3482" s="2">
        <v>45737.558298634256</v>
      </c>
      <c r="C3482" t="s">
        <v>3</v>
      </c>
      <c r="D3482" t="s">
        <v>1289</v>
      </c>
      <c r="E3482">
        <v>35.76</v>
      </c>
      <c r="F3482" t="s">
        <v>7</v>
      </c>
    </row>
    <row r="3483" spans="1:6">
      <c r="A3483" s="1">
        <v>45739</v>
      </c>
      <c r="B3483" s="2">
        <v>45739.75808605324</v>
      </c>
      <c r="C3483" t="s">
        <v>3</v>
      </c>
      <c r="D3483" t="s">
        <v>1289</v>
      </c>
      <c r="E3483">
        <v>35.76</v>
      </c>
      <c r="F3483" t="s">
        <v>7</v>
      </c>
    </row>
    <row r="3484" spans="1:6">
      <c r="A3484" s="1">
        <v>45727</v>
      </c>
      <c r="B3484" s="2">
        <v>45727.687165069445</v>
      </c>
      <c r="C3484" t="s">
        <v>3</v>
      </c>
      <c r="D3484" t="s">
        <v>1290</v>
      </c>
      <c r="E3484">
        <v>35.76</v>
      </c>
      <c r="F3484" t="s">
        <v>9</v>
      </c>
    </row>
    <row r="3485" spans="1:6">
      <c r="A3485" s="1">
        <v>45727</v>
      </c>
      <c r="B3485" s="2">
        <v>45727.687686215279</v>
      </c>
      <c r="C3485" t="s">
        <v>3</v>
      </c>
      <c r="D3485" t="s">
        <v>1290</v>
      </c>
      <c r="E3485">
        <v>35.76</v>
      </c>
      <c r="F3485" t="s">
        <v>18</v>
      </c>
    </row>
    <row r="3486" spans="1:6">
      <c r="A3486" s="1">
        <v>45730</v>
      </c>
      <c r="B3486" s="2">
        <v>45730.688196608797</v>
      </c>
      <c r="C3486" t="s">
        <v>3</v>
      </c>
      <c r="D3486" t="s">
        <v>1290</v>
      </c>
      <c r="E3486">
        <v>35.76</v>
      </c>
      <c r="F3486" t="s">
        <v>18</v>
      </c>
    </row>
    <row r="3487" spans="1:6">
      <c r="A3487" s="1">
        <v>45733</v>
      </c>
      <c r="B3487" s="2">
        <v>45733.598200775465</v>
      </c>
      <c r="C3487" t="s">
        <v>3</v>
      </c>
      <c r="D3487" t="s">
        <v>1290</v>
      </c>
      <c r="E3487">
        <v>35.76</v>
      </c>
      <c r="F3487" t="s">
        <v>18</v>
      </c>
    </row>
    <row r="3488" spans="1:6">
      <c r="A3488" s="1">
        <v>45733</v>
      </c>
      <c r="B3488" s="2">
        <v>45733.598839606479</v>
      </c>
      <c r="C3488" t="s">
        <v>3</v>
      </c>
      <c r="D3488" t="s">
        <v>1290</v>
      </c>
      <c r="E3488">
        <v>35.76</v>
      </c>
      <c r="F3488" t="s">
        <v>18</v>
      </c>
    </row>
    <row r="3489" spans="1:6">
      <c r="A3489" s="1">
        <v>45734</v>
      </c>
      <c r="B3489" s="2">
        <v>45734.833737997687</v>
      </c>
      <c r="C3489" t="s">
        <v>3</v>
      </c>
      <c r="D3489" t="s">
        <v>1290</v>
      </c>
      <c r="E3489">
        <v>35.76</v>
      </c>
      <c r="F3489" t="s">
        <v>18</v>
      </c>
    </row>
    <row r="3490" spans="1:6">
      <c r="A3490" s="1">
        <v>45734</v>
      </c>
      <c r="B3490" s="2">
        <v>45734.834464548614</v>
      </c>
      <c r="C3490" t="s">
        <v>3</v>
      </c>
      <c r="D3490" t="s">
        <v>1290</v>
      </c>
      <c r="E3490">
        <v>35.76</v>
      </c>
      <c r="F3490" t="s">
        <v>18</v>
      </c>
    </row>
    <row r="3491" spans="1:6">
      <c r="A3491" s="1">
        <v>45736</v>
      </c>
      <c r="B3491" s="2">
        <v>45736.640183124997</v>
      </c>
      <c r="C3491" t="s">
        <v>3</v>
      </c>
      <c r="D3491" t="s">
        <v>1290</v>
      </c>
      <c r="E3491">
        <v>25.96</v>
      </c>
      <c r="F3491" t="s">
        <v>11</v>
      </c>
    </row>
    <row r="3492" spans="1:6">
      <c r="A3492" s="1">
        <v>45728</v>
      </c>
      <c r="B3492" s="2">
        <v>45728.46642877315</v>
      </c>
      <c r="C3492" t="s">
        <v>3</v>
      </c>
      <c r="D3492" t="s">
        <v>1291</v>
      </c>
      <c r="E3492">
        <v>35.76</v>
      </c>
      <c r="F3492" t="s">
        <v>18</v>
      </c>
    </row>
    <row r="3493" spans="1:6">
      <c r="A3493" s="1">
        <v>45728</v>
      </c>
      <c r="B3493" s="2">
        <v>45728.504294652776</v>
      </c>
      <c r="C3493" t="s">
        <v>3</v>
      </c>
      <c r="D3493" t="s">
        <v>1292</v>
      </c>
      <c r="E3493">
        <v>25.96</v>
      </c>
      <c r="F3493" t="s">
        <v>11</v>
      </c>
    </row>
    <row r="3494" spans="1:6">
      <c r="A3494" s="1">
        <v>45728</v>
      </c>
      <c r="B3494" s="2">
        <v>45728.538639027778</v>
      </c>
      <c r="C3494" t="s">
        <v>3</v>
      </c>
      <c r="D3494" t="s">
        <v>1293</v>
      </c>
      <c r="E3494">
        <v>35.76</v>
      </c>
      <c r="F3494" t="s">
        <v>9</v>
      </c>
    </row>
    <row r="3495" spans="1:6">
      <c r="A3495" s="1">
        <v>45738</v>
      </c>
      <c r="B3495" s="2">
        <v>45738.487043738423</v>
      </c>
      <c r="C3495" t="s">
        <v>3</v>
      </c>
      <c r="D3495" t="s">
        <v>1293</v>
      </c>
      <c r="E3495">
        <v>35.76</v>
      </c>
      <c r="F3495" t="s">
        <v>18</v>
      </c>
    </row>
    <row r="3496" spans="1:6">
      <c r="A3496" s="1">
        <v>45728</v>
      </c>
      <c r="B3496" s="2">
        <v>45728.54293181713</v>
      </c>
      <c r="C3496" t="s">
        <v>3</v>
      </c>
      <c r="D3496" t="s">
        <v>1294</v>
      </c>
      <c r="E3496">
        <v>35.76</v>
      </c>
      <c r="F3496" t="s">
        <v>7</v>
      </c>
    </row>
    <row r="3497" spans="1:6">
      <c r="A3497" s="1">
        <v>45728</v>
      </c>
      <c r="B3497" s="2">
        <v>45728.685847002314</v>
      </c>
      <c r="C3497" t="s">
        <v>3</v>
      </c>
      <c r="D3497" t="s">
        <v>1295</v>
      </c>
      <c r="E3497">
        <v>35.76</v>
      </c>
      <c r="F3497" t="s">
        <v>43</v>
      </c>
    </row>
    <row r="3498" spans="1:6">
      <c r="A3498" s="1">
        <v>45728</v>
      </c>
      <c r="B3498" s="2">
        <v>45728.767135312497</v>
      </c>
      <c r="C3498" t="s">
        <v>3</v>
      </c>
      <c r="D3498" t="s">
        <v>1296</v>
      </c>
      <c r="E3498">
        <v>25.96</v>
      </c>
      <c r="F3498" t="s">
        <v>11</v>
      </c>
    </row>
    <row r="3499" spans="1:6">
      <c r="A3499" s="1">
        <v>45729</v>
      </c>
      <c r="B3499" s="2">
        <v>45729.401616053241</v>
      </c>
      <c r="C3499" t="s">
        <v>3</v>
      </c>
      <c r="D3499" t="s">
        <v>1297</v>
      </c>
      <c r="E3499">
        <v>25.96</v>
      </c>
      <c r="F3499" t="s">
        <v>11</v>
      </c>
    </row>
    <row r="3500" spans="1:6">
      <c r="A3500" s="1">
        <v>45729</v>
      </c>
      <c r="B3500" s="2">
        <v>45729.402252175925</v>
      </c>
      <c r="C3500" t="s">
        <v>3</v>
      </c>
      <c r="D3500" t="s">
        <v>1298</v>
      </c>
      <c r="E3500">
        <v>30.86</v>
      </c>
      <c r="F3500" t="s">
        <v>14</v>
      </c>
    </row>
    <row r="3501" spans="1:6">
      <c r="A3501" s="1">
        <v>45729</v>
      </c>
      <c r="B3501" s="2">
        <v>45729.620717673613</v>
      </c>
      <c r="C3501" t="s">
        <v>3</v>
      </c>
      <c r="D3501" t="s">
        <v>1299</v>
      </c>
      <c r="E3501">
        <v>30.86</v>
      </c>
      <c r="F3501" t="s">
        <v>14</v>
      </c>
    </row>
    <row r="3502" spans="1:6">
      <c r="A3502" s="1">
        <v>45730</v>
      </c>
      <c r="B3502" s="2">
        <v>45730.342826203705</v>
      </c>
      <c r="C3502" t="s">
        <v>3</v>
      </c>
      <c r="D3502" t="s">
        <v>1300</v>
      </c>
      <c r="E3502">
        <v>30.86</v>
      </c>
      <c r="F3502" t="s">
        <v>14</v>
      </c>
    </row>
    <row r="3503" spans="1:6">
      <c r="A3503" s="1">
        <v>45730</v>
      </c>
      <c r="B3503" s="2">
        <v>45730.375345868059</v>
      </c>
      <c r="C3503" t="s">
        <v>3</v>
      </c>
      <c r="D3503" t="s">
        <v>1301</v>
      </c>
      <c r="E3503">
        <v>35.76</v>
      </c>
      <c r="F3503" t="s">
        <v>7</v>
      </c>
    </row>
    <row r="3504" spans="1:6">
      <c r="A3504" s="1">
        <v>45730</v>
      </c>
      <c r="B3504" s="2">
        <v>45730.450263935185</v>
      </c>
      <c r="C3504" t="s">
        <v>3</v>
      </c>
      <c r="D3504" t="s">
        <v>1302</v>
      </c>
      <c r="E3504">
        <v>35.76</v>
      </c>
      <c r="F3504" t="s">
        <v>7</v>
      </c>
    </row>
    <row r="3505" spans="1:6">
      <c r="A3505" s="1">
        <v>45730</v>
      </c>
      <c r="B3505" s="2">
        <v>45730.451016157407</v>
      </c>
      <c r="C3505" t="s">
        <v>3</v>
      </c>
      <c r="D3505" t="s">
        <v>1302</v>
      </c>
      <c r="E3505">
        <v>35.76</v>
      </c>
      <c r="F3505" t="s">
        <v>43</v>
      </c>
    </row>
    <row r="3506" spans="1:6">
      <c r="A3506" s="1">
        <v>45730</v>
      </c>
      <c r="B3506" s="2">
        <v>45730.688831921296</v>
      </c>
      <c r="C3506" t="s">
        <v>3</v>
      </c>
      <c r="D3506" t="s">
        <v>1303</v>
      </c>
      <c r="E3506">
        <v>35.76</v>
      </c>
      <c r="F3506" t="s">
        <v>18</v>
      </c>
    </row>
    <row r="3507" spans="1:6">
      <c r="A3507" s="1">
        <v>45730</v>
      </c>
      <c r="B3507" s="2">
        <v>45730.689354409726</v>
      </c>
      <c r="C3507" t="s">
        <v>3</v>
      </c>
      <c r="D3507" t="s">
        <v>1303</v>
      </c>
      <c r="E3507">
        <v>35.76</v>
      </c>
      <c r="F3507" t="s">
        <v>18</v>
      </c>
    </row>
    <row r="3508" spans="1:6">
      <c r="A3508" s="1">
        <v>45730</v>
      </c>
      <c r="B3508" s="2">
        <v>45730.712084641207</v>
      </c>
      <c r="C3508" t="s">
        <v>3</v>
      </c>
      <c r="D3508" t="s">
        <v>1304</v>
      </c>
      <c r="E3508">
        <v>25.96</v>
      </c>
      <c r="F3508" t="s">
        <v>11</v>
      </c>
    </row>
    <row r="3509" spans="1:6">
      <c r="A3509" s="1">
        <v>45736</v>
      </c>
      <c r="B3509" s="2">
        <v>45736.597660624997</v>
      </c>
      <c r="C3509" t="s">
        <v>3</v>
      </c>
      <c r="D3509" t="s">
        <v>1304</v>
      </c>
      <c r="E3509">
        <v>25.96</v>
      </c>
      <c r="F3509" t="s">
        <v>11</v>
      </c>
    </row>
    <row r="3510" spans="1:6">
      <c r="A3510" s="1">
        <v>45736</v>
      </c>
      <c r="B3510" s="2">
        <v>45736.598401631942</v>
      </c>
      <c r="C3510" t="s">
        <v>3</v>
      </c>
      <c r="D3510" t="s">
        <v>1304</v>
      </c>
      <c r="E3510">
        <v>21.06</v>
      </c>
      <c r="F3510" t="s">
        <v>35</v>
      </c>
    </row>
    <row r="3511" spans="1:6">
      <c r="A3511" s="1">
        <v>45730</v>
      </c>
      <c r="B3511" s="2">
        <v>45730.847477106479</v>
      </c>
      <c r="C3511" t="s">
        <v>3</v>
      </c>
      <c r="D3511" t="s">
        <v>1305</v>
      </c>
      <c r="E3511">
        <v>25.96</v>
      </c>
      <c r="F3511" t="s">
        <v>11</v>
      </c>
    </row>
    <row r="3512" spans="1:6">
      <c r="A3512" s="1">
        <v>45731</v>
      </c>
      <c r="B3512" s="2">
        <v>45731.827396863424</v>
      </c>
      <c r="C3512" t="s">
        <v>3</v>
      </c>
      <c r="D3512" t="s">
        <v>1306</v>
      </c>
      <c r="E3512">
        <v>35.76</v>
      </c>
      <c r="F3512" t="s">
        <v>43</v>
      </c>
    </row>
    <row r="3513" spans="1:6">
      <c r="A3513" s="1">
        <v>45732</v>
      </c>
      <c r="B3513" s="2">
        <v>45732.400268460646</v>
      </c>
      <c r="C3513" t="s">
        <v>3</v>
      </c>
      <c r="D3513" t="s">
        <v>1307</v>
      </c>
      <c r="E3513">
        <v>30.86</v>
      </c>
      <c r="F3513" t="s">
        <v>14</v>
      </c>
    </row>
    <row r="3514" spans="1:6">
      <c r="A3514" s="1">
        <v>45734</v>
      </c>
      <c r="B3514" s="2">
        <v>45734.613600891207</v>
      </c>
      <c r="C3514" t="s">
        <v>3</v>
      </c>
      <c r="D3514" t="s">
        <v>1307</v>
      </c>
      <c r="E3514">
        <v>30.86</v>
      </c>
      <c r="F3514" t="s">
        <v>14</v>
      </c>
    </row>
    <row r="3515" spans="1:6">
      <c r="A3515" s="1">
        <v>45736</v>
      </c>
      <c r="B3515" s="2">
        <v>45736.421346249997</v>
      </c>
      <c r="C3515" t="s">
        <v>3</v>
      </c>
      <c r="D3515" t="s">
        <v>1307</v>
      </c>
      <c r="E3515">
        <v>30.86</v>
      </c>
      <c r="F3515" t="s">
        <v>14</v>
      </c>
    </row>
    <row r="3516" spans="1:6">
      <c r="A3516" s="1">
        <v>45732</v>
      </c>
      <c r="B3516" s="2">
        <v>45732.451497361108</v>
      </c>
      <c r="C3516" t="s">
        <v>3</v>
      </c>
      <c r="D3516" t="s">
        <v>1308</v>
      </c>
      <c r="E3516">
        <v>35.76</v>
      </c>
      <c r="F3516" t="s">
        <v>7</v>
      </c>
    </row>
    <row r="3517" spans="1:6">
      <c r="A3517" s="1">
        <v>45732</v>
      </c>
      <c r="B3517" s="2">
        <v>45732.500545543982</v>
      </c>
      <c r="C3517" t="s">
        <v>3</v>
      </c>
      <c r="D3517" t="s">
        <v>1308</v>
      </c>
      <c r="E3517">
        <v>35.76</v>
      </c>
      <c r="F3517" t="s">
        <v>9</v>
      </c>
    </row>
    <row r="3518" spans="1:6">
      <c r="A3518" s="1">
        <v>45733</v>
      </c>
      <c r="B3518" s="2">
        <v>45733.616707384259</v>
      </c>
      <c r="C3518" t="s">
        <v>3</v>
      </c>
      <c r="D3518" t="s">
        <v>1309</v>
      </c>
      <c r="E3518">
        <v>35.76</v>
      </c>
      <c r="F3518" t="s">
        <v>7</v>
      </c>
    </row>
    <row r="3519" spans="1:6">
      <c r="A3519" s="1">
        <v>45735</v>
      </c>
      <c r="B3519" s="2">
        <v>45735.633948657407</v>
      </c>
      <c r="C3519" t="s">
        <v>3</v>
      </c>
      <c r="D3519" t="s">
        <v>1309</v>
      </c>
      <c r="E3519">
        <v>35.76</v>
      </c>
      <c r="F3519" t="s">
        <v>7</v>
      </c>
    </row>
    <row r="3520" spans="1:6">
      <c r="A3520" s="1">
        <v>45734</v>
      </c>
      <c r="B3520" s="2">
        <v>45734.349432696756</v>
      </c>
      <c r="C3520" t="s">
        <v>3</v>
      </c>
      <c r="D3520" t="s">
        <v>1310</v>
      </c>
      <c r="E3520">
        <v>30.86</v>
      </c>
      <c r="F3520" t="s">
        <v>14</v>
      </c>
    </row>
    <row r="3521" spans="1:6">
      <c r="A3521" s="1">
        <v>45734</v>
      </c>
      <c r="B3521" s="2">
        <v>45734.491203344907</v>
      </c>
      <c r="C3521" t="s">
        <v>3</v>
      </c>
      <c r="D3521" t="s">
        <v>1311</v>
      </c>
      <c r="E3521">
        <v>35.76</v>
      </c>
      <c r="F3521" t="s">
        <v>9</v>
      </c>
    </row>
    <row r="3522" spans="1:6">
      <c r="A3522" s="1">
        <v>45734</v>
      </c>
      <c r="B3522" s="2">
        <v>45734.492310810187</v>
      </c>
      <c r="C3522" t="s">
        <v>3</v>
      </c>
      <c r="D3522" t="s">
        <v>1311</v>
      </c>
      <c r="E3522">
        <v>35.76</v>
      </c>
      <c r="F3522" t="s">
        <v>9</v>
      </c>
    </row>
    <row r="3523" spans="1:6">
      <c r="A3523" s="1">
        <v>45734</v>
      </c>
      <c r="B3523" s="2">
        <v>45734.889352210645</v>
      </c>
      <c r="C3523" t="s">
        <v>3</v>
      </c>
      <c r="D3523" t="s">
        <v>1312</v>
      </c>
      <c r="E3523">
        <v>35.76</v>
      </c>
      <c r="F3523" t="s">
        <v>7</v>
      </c>
    </row>
    <row r="3524" spans="1:6">
      <c r="A3524" s="1">
        <v>45736</v>
      </c>
      <c r="B3524" s="2">
        <v>45736.909902928244</v>
      </c>
      <c r="C3524" t="s">
        <v>3</v>
      </c>
      <c r="D3524" t="s">
        <v>1312</v>
      </c>
      <c r="E3524">
        <v>35.76</v>
      </c>
      <c r="F3524" t="s">
        <v>7</v>
      </c>
    </row>
    <row r="3525" spans="1:6">
      <c r="A3525" s="1">
        <v>45735</v>
      </c>
      <c r="B3525" s="2">
        <v>45735.54059232639</v>
      </c>
      <c r="C3525" t="s">
        <v>3</v>
      </c>
      <c r="D3525" t="s">
        <v>1313</v>
      </c>
      <c r="E3525">
        <v>25.96</v>
      </c>
      <c r="F3525" t="s">
        <v>11</v>
      </c>
    </row>
    <row r="3526" spans="1:6">
      <c r="A3526" s="1">
        <v>45735</v>
      </c>
      <c r="B3526" s="2">
        <v>45735.63499327546</v>
      </c>
      <c r="C3526" t="s">
        <v>3</v>
      </c>
      <c r="D3526" t="s">
        <v>1314</v>
      </c>
      <c r="E3526">
        <v>35.76</v>
      </c>
      <c r="F3526" t="s">
        <v>7</v>
      </c>
    </row>
    <row r="3527" spans="1:6">
      <c r="A3527" s="1">
        <v>45735</v>
      </c>
      <c r="B3527" s="2">
        <v>45735.770721967594</v>
      </c>
      <c r="C3527" t="s">
        <v>3</v>
      </c>
      <c r="D3527" t="s">
        <v>1315</v>
      </c>
      <c r="E3527">
        <v>25.96</v>
      </c>
      <c r="F3527" t="s">
        <v>28</v>
      </c>
    </row>
    <row r="3528" spans="1:6">
      <c r="A3528" s="1">
        <v>45735</v>
      </c>
      <c r="B3528" s="2">
        <v>45735.771342673608</v>
      </c>
      <c r="C3528" t="s">
        <v>3</v>
      </c>
      <c r="D3528" t="s">
        <v>1316</v>
      </c>
      <c r="E3528">
        <v>21.06</v>
      </c>
      <c r="F3528" t="s">
        <v>35</v>
      </c>
    </row>
    <row r="3529" spans="1:6">
      <c r="A3529" s="1">
        <v>45738</v>
      </c>
      <c r="B3529" s="2">
        <v>45738.665256747685</v>
      </c>
      <c r="C3529" t="s">
        <v>3</v>
      </c>
      <c r="D3529" t="s">
        <v>1316</v>
      </c>
      <c r="E3529">
        <v>21.06</v>
      </c>
      <c r="F3529" t="s">
        <v>35</v>
      </c>
    </row>
    <row r="3530" spans="1:6">
      <c r="A3530" s="1">
        <v>45735</v>
      </c>
      <c r="B3530" s="2">
        <v>45735.77182858796</v>
      </c>
      <c r="C3530" t="s">
        <v>3</v>
      </c>
      <c r="D3530" t="s">
        <v>1317</v>
      </c>
      <c r="E3530">
        <v>21.06</v>
      </c>
      <c r="F3530" t="s">
        <v>35</v>
      </c>
    </row>
    <row r="3531" spans="1:6">
      <c r="A3531" s="1">
        <v>45736</v>
      </c>
      <c r="B3531" s="2">
        <v>45736.34254957176</v>
      </c>
      <c r="C3531" t="s">
        <v>3</v>
      </c>
      <c r="D3531" t="s">
        <v>1318</v>
      </c>
      <c r="E3531">
        <v>30.86</v>
      </c>
      <c r="F3531" t="s">
        <v>14</v>
      </c>
    </row>
    <row r="3532" spans="1:6">
      <c r="A3532" s="1">
        <v>45736</v>
      </c>
      <c r="B3532" s="2">
        <v>45736.448428090276</v>
      </c>
      <c r="C3532" t="s">
        <v>3</v>
      </c>
      <c r="D3532" t="s">
        <v>1319</v>
      </c>
      <c r="E3532">
        <v>25.96</v>
      </c>
      <c r="F3532" t="s">
        <v>11</v>
      </c>
    </row>
    <row r="3533" spans="1:6">
      <c r="A3533" s="1">
        <v>45736</v>
      </c>
      <c r="B3533" s="2">
        <v>45736.533615613429</v>
      </c>
      <c r="C3533" t="s">
        <v>3</v>
      </c>
      <c r="D3533" t="s">
        <v>1320</v>
      </c>
      <c r="E3533">
        <v>25.96</v>
      </c>
      <c r="F3533" t="s">
        <v>11</v>
      </c>
    </row>
    <row r="3534" spans="1:6">
      <c r="A3534" s="1">
        <v>45737</v>
      </c>
      <c r="B3534" s="2">
        <v>45737.344950451392</v>
      </c>
      <c r="C3534" t="s">
        <v>3</v>
      </c>
      <c r="D3534" t="s">
        <v>1320</v>
      </c>
      <c r="E3534">
        <v>25.96</v>
      </c>
      <c r="F3534" t="s">
        <v>11</v>
      </c>
    </row>
    <row r="3535" spans="1:6">
      <c r="A3535" s="1">
        <v>45737</v>
      </c>
      <c r="B3535" s="2">
        <v>45737.543615127317</v>
      </c>
      <c r="C3535" t="s">
        <v>3</v>
      </c>
      <c r="D3535" t="s">
        <v>1320</v>
      </c>
      <c r="E3535">
        <v>25.96</v>
      </c>
      <c r="F3535" t="s">
        <v>11</v>
      </c>
    </row>
    <row r="3536" spans="1:6">
      <c r="A3536" s="1">
        <v>45738</v>
      </c>
      <c r="B3536" s="2">
        <v>45738.518051805557</v>
      </c>
      <c r="C3536" t="s">
        <v>3</v>
      </c>
      <c r="D3536" t="s">
        <v>1320</v>
      </c>
      <c r="E3536">
        <v>25.96</v>
      </c>
      <c r="F3536" t="s">
        <v>11</v>
      </c>
    </row>
    <row r="3537" spans="1:6">
      <c r="A3537" s="1">
        <v>45736</v>
      </c>
      <c r="B3537" s="2">
        <v>45736.600748726851</v>
      </c>
      <c r="C3537" t="s">
        <v>3</v>
      </c>
      <c r="D3537" t="s">
        <v>1321</v>
      </c>
      <c r="E3537">
        <v>25.96</v>
      </c>
      <c r="F3537" t="s">
        <v>28</v>
      </c>
    </row>
    <row r="3538" spans="1:6">
      <c r="A3538" s="1">
        <v>45736</v>
      </c>
      <c r="B3538" s="2">
        <v>45736.601929571756</v>
      </c>
      <c r="C3538" t="s">
        <v>3</v>
      </c>
      <c r="D3538" t="s">
        <v>1322</v>
      </c>
      <c r="E3538">
        <v>35.76</v>
      </c>
      <c r="F3538" t="s">
        <v>43</v>
      </c>
    </row>
    <row r="3539" spans="1:6">
      <c r="A3539" s="1">
        <v>45736</v>
      </c>
      <c r="B3539" s="2">
        <v>45736.724900706016</v>
      </c>
      <c r="C3539" t="s">
        <v>3</v>
      </c>
      <c r="D3539" t="s">
        <v>1323</v>
      </c>
      <c r="E3539">
        <v>25.96</v>
      </c>
      <c r="F3539" t="s">
        <v>11</v>
      </c>
    </row>
    <row r="3540" spans="1:6">
      <c r="A3540" s="1">
        <v>45738</v>
      </c>
      <c r="B3540" s="2">
        <v>45738.546083217596</v>
      </c>
      <c r="C3540" t="s">
        <v>3</v>
      </c>
      <c r="D3540" t="s">
        <v>1323</v>
      </c>
      <c r="E3540">
        <v>25.96</v>
      </c>
      <c r="F3540" t="s">
        <v>11</v>
      </c>
    </row>
    <row r="3541" spans="1:6">
      <c r="A3541" s="1">
        <v>45736</v>
      </c>
      <c r="B3541" s="2">
        <v>45736.817148148148</v>
      </c>
      <c r="C3541" t="s">
        <v>3</v>
      </c>
      <c r="D3541" t="s">
        <v>1324</v>
      </c>
      <c r="E3541">
        <v>35.76</v>
      </c>
      <c r="F3541" t="s">
        <v>18</v>
      </c>
    </row>
    <row r="3542" spans="1:6">
      <c r="A3542" s="1">
        <v>45737</v>
      </c>
      <c r="B3542" s="2">
        <v>45737.357858750001</v>
      </c>
      <c r="C3542" t="s">
        <v>3</v>
      </c>
      <c r="D3542" t="s">
        <v>1325</v>
      </c>
      <c r="E3542">
        <v>35.76</v>
      </c>
      <c r="F3542" t="s">
        <v>43</v>
      </c>
    </row>
    <row r="3543" spans="1:6">
      <c r="A3543" s="1">
        <v>45737</v>
      </c>
      <c r="B3543" s="2">
        <v>45737.631284976851</v>
      </c>
      <c r="C3543" t="s">
        <v>3</v>
      </c>
      <c r="D3543" t="s">
        <v>1326</v>
      </c>
      <c r="E3543">
        <v>35.76</v>
      </c>
      <c r="F3543" t="s">
        <v>43</v>
      </c>
    </row>
    <row r="3544" spans="1:6">
      <c r="A3544" s="1">
        <v>45738</v>
      </c>
      <c r="B3544" s="2">
        <v>45738.51281818287</v>
      </c>
      <c r="C3544" t="s">
        <v>3</v>
      </c>
      <c r="D3544" t="s">
        <v>1327</v>
      </c>
      <c r="E3544">
        <v>30.86</v>
      </c>
      <c r="F3544" t="s">
        <v>14</v>
      </c>
    </row>
    <row r="3545" spans="1:6">
      <c r="A3545" s="1">
        <v>45738</v>
      </c>
      <c r="B3545" s="2">
        <v>45738.803388043983</v>
      </c>
      <c r="C3545" t="s">
        <v>3</v>
      </c>
      <c r="D3545" t="s">
        <v>1328</v>
      </c>
      <c r="E3545">
        <v>30.86</v>
      </c>
      <c r="F3545" t="s">
        <v>14</v>
      </c>
    </row>
    <row r="3546" spans="1:6">
      <c r="A3546" s="1">
        <v>45739</v>
      </c>
      <c r="B3546" s="2">
        <v>45739.613626874998</v>
      </c>
      <c r="C3546" t="s">
        <v>3</v>
      </c>
      <c r="D3546" t="s">
        <v>1329</v>
      </c>
      <c r="E3546">
        <v>35.76</v>
      </c>
      <c r="F3546" t="s">
        <v>18</v>
      </c>
    </row>
    <row r="3547" spans="1:6">
      <c r="A3547" s="1">
        <v>45739</v>
      </c>
      <c r="B3547" s="2">
        <v>45739.614084074077</v>
      </c>
      <c r="C3547" t="s">
        <v>3</v>
      </c>
      <c r="D3547" t="s">
        <v>1329</v>
      </c>
      <c r="E3547">
        <v>35.76</v>
      </c>
      <c r="F3547" t="s">
        <v>18</v>
      </c>
    </row>
    <row r="3548" spans="1:6">
      <c r="A3548" s="1">
        <v>45739</v>
      </c>
      <c r="B3548" s="2">
        <v>45739.65797133102</v>
      </c>
      <c r="C3548" t="s">
        <v>3</v>
      </c>
      <c r="D3548" t="s">
        <v>1330</v>
      </c>
      <c r="E3548">
        <v>25.96</v>
      </c>
      <c r="F3548" t="s">
        <v>11</v>
      </c>
    </row>
    <row r="3549" spans="1:6">
      <c r="A3549" s="1">
        <v>45353</v>
      </c>
      <c r="B3549" s="2">
        <v>45353.437912824076</v>
      </c>
      <c r="C3549" t="s">
        <v>21</v>
      </c>
      <c r="E3549">
        <v>40</v>
      </c>
      <c r="F3549" t="s">
        <v>7</v>
      </c>
    </row>
    <row r="3550" spans="1:6">
      <c r="A3550" s="1">
        <v>45354</v>
      </c>
      <c r="B3550" s="2">
        <v>45354.424120150463</v>
      </c>
      <c r="C3550" t="s">
        <v>21</v>
      </c>
      <c r="E3550">
        <v>40</v>
      </c>
      <c r="F3550" t="s">
        <v>7</v>
      </c>
    </row>
    <row r="3551" spans="1:6">
      <c r="A3551" s="1">
        <v>45357</v>
      </c>
      <c r="B3551" s="2">
        <v>45357.521146863422</v>
      </c>
      <c r="C3551" t="s">
        <v>21</v>
      </c>
      <c r="E3551">
        <v>35</v>
      </c>
      <c r="F3551" t="s">
        <v>14</v>
      </c>
    </row>
    <row r="3552" spans="1:6">
      <c r="A3552" s="1">
        <v>45358</v>
      </c>
      <c r="B3552" s="2">
        <v>45358.42290445602</v>
      </c>
      <c r="C3552" t="s">
        <v>21</v>
      </c>
      <c r="E3552">
        <v>40</v>
      </c>
      <c r="F3552" t="s">
        <v>7</v>
      </c>
    </row>
    <row r="3553" spans="1:6">
      <c r="A3553" s="1">
        <v>45358</v>
      </c>
      <c r="B3553" s="2">
        <v>45358.476203437502</v>
      </c>
      <c r="C3553" t="s">
        <v>21</v>
      </c>
      <c r="E3553">
        <v>40</v>
      </c>
      <c r="F3553" t="s">
        <v>7</v>
      </c>
    </row>
    <row r="3554" spans="1:6">
      <c r="A3554" s="1">
        <v>45360</v>
      </c>
      <c r="B3554" s="2">
        <v>45360.492792731478</v>
      </c>
      <c r="C3554" t="s">
        <v>21</v>
      </c>
      <c r="E3554">
        <v>40</v>
      </c>
      <c r="F3554" t="s">
        <v>9</v>
      </c>
    </row>
    <row r="3555" spans="1:6">
      <c r="A3555" s="1">
        <v>45361</v>
      </c>
      <c r="B3555" s="2">
        <v>45361.322436782408</v>
      </c>
      <c r="C3555" t="s">
        <v>21</v>
      </c>
      <c r="E3555">
        <v>30</v>
      </c>
      <c r="F3555" t="s">
        <v>11</v>
      </c>
    </row>
    <row r="3556" spans="1:6">
      <c r="A3556" s="1">
        <v>45361</v>
      </c>
      <c r="B3556" s="2">
        <v>45361.323257418982</v>
      </c>
      <c r="C3556" t="s">
        <v>21</v>
      </c>
      <c r="E3556">
        <v>35</v>
      </c>
      <c r="F3556" t="s">
        <v>14</v>
      </c>
    </row>
    <row r="3557" spans="1:6">
      <c r="A3557" s="1">
        <v>45361</v>
      </c>
      <c r="B3557" s="2">
        <v>45361.420867592591</v>
      </c>
      <c r="C3557" t="s">
        <v>21</v>
      </c>
      <c r="E3557">
        <v>40</v>
      </c>
      <c r="F3557" t="s">
        <v>7</v>
      </c>
    </row>
    <row r="3558" spans="1:6">
      <c r="A3558" s="1">
        <v>45361</v>
      </c>
      <c r="B3558" s="2">
        <v>45361.74378527778</v>
      </c>
      <c r="C3558" t="s">
        <v>21</v>
      </c>
      <c r="E3558">
        <v>35</v>
      </c>
      <c r="F3558" t="s">
        <v>14</v>
      </c>
    </row>
    <row r="3559" spans="1:6">
      <c r="A3559" s="1">
        <v>45362</v>
      </c>
      <c r="B3559" s="2">
        <v>45362.429707453703</v>
      </c>
      <c r="C3559" t="s">
        <v>21</v>
      </c>
      <c r="E3559">
        <v>40</v>
      </c>
      <c r="F3559" t="s">
        <v>7</v>
      </c>
    </row>
    <row r="3560" spans="1:6">
      <c r="A3560" s="1">
        <v>45362</v>
      </c>
      <c r="B3560" s="2">
        <v>45362.475173865743</v>
      </c>
      <c r="C3560" t="s">
        <v>21</v>
      </c>
      <c r="E3560">
        <v>40</v>
      </c>
      <c r="F3560" t="s">
        <v>43</v>
      </c>
    </row>
    <row r="3561" spans="1:6">
      <c r="A3561" s="1">
        <v>45362</v>
      </c>
      <c r="B3561" s="2">
        <v>45362.47559681713</v>
      </c>
      <c r="C3561" t="s">
        <v>21</v>
      </c>
      <c r="E3561">
        <v>30</v>
      </c>
      <c r="F3561" t="s">
        <v>28</v>
      </c>
    </row>
    <row r="3562" spans="1:6">
      <c r="A3562" s="1">
        <v>45362</v>
      </c>
      <c r="B3562" s="2">
        <v>45362.476900706017</v>
      </c>
      <c r="C3562" t="s">
        <v>21</v>
      </c>
      <c r="E3562">
        <v>30</v>
      </c>
      <c r="F3562" t="s">
        <v>11</v>
      </c>
    </row>
    <row r="3563" spans="1:6">
      <c r="A3563" s="1">
        <v>45363</v>
      </c>
      <c r="B3563" s="2">
        <v>45363.427086770833</v>
      </c>
      <c r="C3563" t="s">
        <v>21</v>
      </c>
      <c r="E3563">
        <v>40</v>
      </c>
      <c r="F3563" t="s">
        <v>7</v>
      </c>
    </row>
    <row r="3564" spans="1:6">
      <c r="A3564" s="1">
        <v>45364</v>
      </c>
      <c r="B3564" s="2">
        <v>45364.523961979168</v>
      </c>
      <c r="C3564" t="s">
        <v>21</v>
      </c>
      <c r="E3564">
        <v>25</v>
      </c>
      <c r="F3564" t="s">
        <v>35</v>
      </c>
    </row>
    <row r="3565" spans="1:6">
      <c r="A3565" s="1">
        <v>45365</v>
      </c>
      <c r="B3565" s="2">
        <v>45365.418197233797</v>
      </c>
      <c r="C3565" t="s">
        <v>21</v>
      </c>
      <c r="E3565">
        <v>40</v>
      </c>
      <c r="F3565" t="s">
        <v>7</v>
      </c>
    </row>
    <row r="3566" spans="1:6">
      <c r="A3566" s="1">
        <v>45366</v>
      </c>
      <c r="B3566" s="2">
        <v>45366.418246909721</v>
      </c>
      <c r="C3566" t="s">
        <v>21</v>
      </c>
      <c r="E3566">
        <v>40</v>
      </c>
      <c r="F3566" t="s">
        <v>7</v>
      </c>
    </row>
    <row r="3567" spans="1:6">
      <c r="A3567" s="1">
        <v>45368</v>
      </c>
      <c r="B3567" s="2">
        <v>45368.423858784721</v>
      </c>
      <c r="C3567" t="s">
        <v>21</v>
      </c>
      <c r="E3567">
        <v>40</v>
      </c>
      <c r="F3567" t="s">
        <v>7</v>
      </c>
    </row>
    <row r="3568" spans="1:6">
      <c r="A3568" s="1">
        <v>45370</v>
      </c>
      <c r="B3568" s="2">
        <v>45370.430856435189</v>
      </c>
      <c r="C3568" t="s">
        <v>21</v>
      </c>
      <c r="E3568">
        <v>30</v>
      </c>
      <c r="F3568" t="s">
        <v>28</v>
      </c>
    </row>
    <row r="3569" spans="1:6">
      <c r="A3569" s="1">
        <v>45370</v>
      </c>
      <c r="B3569" s="2">
        <v>45370.810100428243</v>
      </c>
      <c r="C3569" t="s">
        <v>21</v>
      </c>
      <c r="E3569">
        <v>40</v>
      </c>
      <c r="F3569" t="s">
        <v>9</v>
      </c>
    </row>
    <row r="3570" spans="1:6">
      <c r="A3570" s="1">
        <v>45371</v>
      </c>
      <c r="B3570" s="2">
        <v>45371.514672777776</v>
      </c>
      <c r="C3570" t="s">
        <v>21</v>
      </c>
      <c r="E3570">
        <v>40</v>
      </c>
      <c r="F3570" t="s">
        <v>7</v>
      </c>
    </row>
    <row r="3571" spans="1:6">
      <c r="A3571" s="1">
        <v>45372</v>
      </c>
      <c r="B3571" s="2">
        <v>45372.429826122687</v>
      </c>
      <c r="C3571" t="s">
        <v>21</v>
      </c>
      <c r="E3571">
        <v>40</v>
      </c>
      <c r="F3571" t="s">
        <v>43</v>
      </c>
    </row>
    <row r="3572" spans="1:6">
      <c r="A3572" s="1">
        <v>45372</v>
      </c>
      <c r="B3572" s="2">
        <v>45372.722933483798</v>
      </c>
      <c r="C3572" t="s">
        <v>21</v>
      </c>
      <c r="E3572">
        <v>30</v>
      </c>
      <c r="F3572" t="s">
        <v>11</v>
      </c>
    </row>
    <row r="3573" spans="1:6">
      <c r="A3573" s="1">
        <v>45373</v>
      </c>
      <c r="B3573" s="2">
        <v>45373.677250555556</v>
      </c>
      <c r="C3573" t="s">
        <v>21</v>
      </c>
      <c r="E3573">
        <v>40</v>
      </c>
      <c r="F3573" t="s">
        <v>43</v>
      </c>
    </row>
    <row r="3574" spans="1:6">
      <c r="A3574" s="1">
        <v>45375</v>
      </c>
      <c r="B3574" s="2">
        <v>45375.419398206017</v>
      </c>
      <c r="C3574" t="s">
        <v>21</v>
      </c>
      <c r="E3574">
        <v>40</v>
      </c>
      <c r="F3574" t="s">
        <v>7</v>
      </c>
    </row>
    <row r="3575" spans="1:6">
      <c r="A3575" s="1">
        <v>45376</v>
      </c>
      <c r="B3575" s="2">
        <v>45376.469741562498</v>
      </c>
      <c r="C3575" t="s">
        <v>21</v>
      </c>
      <c r="E3575">
        <v>35</v>
      </c>
      <c r="F3575" t="s">
        <v>14</v>
      </c>
    </row>
    <row r="3576" spans="1:6">
      <c r="A3576" s="1">
        <v>45378</v>
      </c>
      <c r="B3576" s="2">
        <v>45378.813338449072</v>
      </c>
      <c r="C3576" t="s">
        <v>21</v>
      </c>
      <c r="E3576">
        <v>40</v>
      </c>
      <c r="F3576" t="s">
        <v>7</v>
      </c>
    </row>
    <row r="3577" spans="1:6">
      <c r="A3577" s="1">
        <v>45380</v>
      </c>
      <c r="B3577" s="2">
        <v>45380.557460856478</v>
      </c>
      <c r="C3577" t="s">
        <v>21</v>
      </c>
      <c r="E3577">
        <v>40</v>
      </c>
      <c r="F3577" t="s">
        <v>43</v>
      </c>
    </row>
    <row r="3578" spans="1:6">
      <c r="A3578" s="1">
        <v>45381</v>
      </c>
      <c r="B3578" s="2">
        <v>45381.575993229169</v>
      </c>
      <c r="C3578" t="s">
        <v>21</v>
      </c>
      <c r="E3578">
        <v>40</v>
      </c>
      <c r="F3578" t="s">
        <v>43</v>
      </c>
    </row>
    <row r="3579" spans="1:6">
      <c r="A3579" s="1">
        <v>45382</v>
      </c>
      <c r="B3579" s="2">
        <v>45382.817187499997</v>
      </c>
      <c r="C3579" t="s">
        <v>21</v>
      </c>
      <c r="E3579">
        <v>30</v>
      </c>
      <c r="F3579" t="s">
        <v>11</v>
      </c>
    </row>
    <row r="3580" spans="1:6">
      <c r="A3580" s="1">
        <v>45383</v>
      </c>
      <c r="B3580" s="2">
        <v>45383.709524583333</v>
      </c>
      <c r="C3580" t="s">
        <v>21</v>
      </c>
      <c r="E3580">
        <v>40</v>
      </c>
      <c r="F3580" t="s">
        <v>43</v>
      </c>
    </row>
    <row r="3581" spans="1:6">
      <c r="A3581" s="1">
        <v>45384</v>
      </c>
      <c r="B3581" s="2">
        <v>45384.833008587964</v>
      </c>
      <c r="C3581" t="s">
        <v>21</v>
      </c>
      <c r="E3581">
        <v>40</v>
      </c>
      <c r="F3581" t="s">
        <v>43</v>
      </c>
    </row>
    <row r="3582" spans="1:6">
      <c r="A3582" s="1">
        <v>45385</v>
      </c>
      <c r="B3582" s="2">
        <v>45385.650135821757</v>
      </c>
      <c r="C3582" t="s">
        <v>21</v>
      </c>
      <c r="E3582">
        <v>30</v>
      </c>
      <c r="F3582" t="s">
        <v>28</v>
      </c>
    </row>
    <row r="3583" spans="1:6">
      <c r="A3583" s="1">
        <v>45386</v>
      </c>
      <c r="B3583" s="2">
        <v>45386.820922916668</v>
      </c>
      <c r="C3583" t="s">
        <v>21</v>
      </c>
      <c r="E3583">
        <v>40</v>
      </c>
      <c r="F3583" t="s">
        <v>7</v>
      </c>
    </row>
    <row r="3584" spans="1:6">
      <c r="A3584" s="1">
        <v>45387</v>
      </c>
      <c r="B3584" s="2">
        <v>45387.646416469906</v>
      </c>
      <c r="C3584" t="s">
        <v>21</v>
      </c>
      <c r="E3584">
        <v>40</v>
      </c>
      <c r="F3584" t="s">
        <v>7</v>
      </c>
    </row>
    <row r="3585" spans="1:6">
      <c r="A3585" s="1">
        <v>45387</v>
      </c>
      <c r="B3585" s="2">
        <v>45387.662682499998</v>
      </c>
      <c r="C3585" t="s">
        <v>21</v>
      </c>
      <c r="E3585">
        <v>40</v>
      </c>
      <c r="F3585" t="s">
        <v>43</v>
      </c>
    </row>
    <row r="3586" spans="1:6">
      <c r="A3586" s="1">
        <v>45387</v>
      </c>
      <c r="B3586" s="2">
        <v>45387.663552627317</v>
      </c>
      <c r="C3586" t="s">
        <v>21</v>
      </c>
      <c r="E3586">
        <v>30</v>
      </c>
      <c r="F3586" t="s">
        <v>11</v>
      </c>
    </row>
    <row r="3587" spans="1:6">
      <c r="A3587" s="1">
        <v>45387</v>
      </c>
      <c r="B3587" s="2">
        <v>45387.678981192126</v>
      </c>
      <c r="C3587" t="s">
        <v>21</v>
      </c>
      <c r="E3587">
        <v>40</v>
      </c>
      <c r="F3587" t="s">
        <v>18</v>
      </c>
    </row>
    <row r="3588" spans="1:6">
      <c r="A3588" s="1">
        <v>45390</v>
      </c>
      <c r="B3588" s="2">
        <v>45390.537799733793</v>
      </c>
      <c r="C3588" t="s">
        <v>21</v>
      </c>
      <c r="E3588">
        <v>25</v>
      </c>
      <c r="F3588" t="s">
        <v>35</v>
      </c>
    </row>
    <row r="3589" spans="1:6">
      <c r="A3589" s="1">
        <v>45390</v>
      </c>
      <c r="B3589" s="2">
        <v>45390.655287974536</v>
      </c>
      <c r="C3589" t="s">
        <v>21</v>
      </c>
      <c r="E3589">
        <v>35</v>
      </c>
      <c r="F3589" t="s">
        <v>14</v>
      </c>
    </row>
    <row r="3590" spans="1:6">
      <c r="A3590" s="1">
        <v>45391</v>
      </c>
      <c r="B3590" s="2">
        <v>45391.432261099537</v>
      </c>
      <c r="C3590" t="s">
        <v>21</v>
      </c>
      <c r="E3590">
        <v>40</v>
      </c>
      <c r="F3590" t="s">
        <v>43</v>
      </c>
    </row>
    <row r="3591" spans="1:6">
      <c r="A3591" s="1">
        <v>45391</v>
      </c>
      <c r="B3591" s="2">
        <v>45391.433450266202</v>
      </c>
      <c r="C3591" t="s">
        <v>21</v>
      </c>
      <c r="E3591">
        <v>30</v>
      </c>
      <c r="F3591" t="s">
        <v>11</v>
      </c>
    </row>
    <row r="3592" spans="1:6">
      <c r="A3592" s="1">
        <v>45392</v>
      </c>
      <c r="B3592" s="2">
        <v>45392.431552951391</v>
      </c>
      <c r="C3592" t="s">
        <v>21</v>
      </c>
      <c r="E3592">
        <v>25</v>
      </c>
      <c r="F3592" t="s">
        <v>35</v>
      </c>
    </row>
    <row r="3593" spans="1:6">
      <c r="A3593" s="1">
        <v>45392</v>
      </c>
      <c r="B3593" s="2">
        <v>45392.746609004629</v>
      </c>
      <c r="C3593" t="s">
        <v>21</v>
      </c>
      <c r="E3593">
        <v>40</v>
      </c>
      <c r="F3593" t="s">
        <v>9</v>
      </c>
    </row>
    <row r="3594" spans="1:6">
      <c r="A3594" s="1">
        <v>45395</v>
      </c>
      <c r="B3594" s="2">
        <v>45395.629771898151</v>
      </c>
      <c r="C3594" t="s">
        <v>21</v>
      </c>
      <c r="E3594">
        <v>40</v>
      </c>
      <c r="F3594" t="s">
        <v>9</v>
      </c>
    </row>
    <row r="3595" spans="1:6">
      <c r="A3595" s="1">
        <v>45395</v>
      </c>
      <c r="B3595" s="2">
        <v>45395.630508865739</v>
      </c>
      <c r="C3595" t="s">
        <v>21</v>
      </c>
      <c r="E3595">
        <v>40</v>
      </c>
      <c r="F3595" t="s">
        <v>9</v>
      </c>
    </row>
    <row r="3596" spans="1:6">
      <c r="A3596" s="1">
        <v>45396</v>
      </c>
      <c r="B3596" s="2">
        <v>45396.455178310185</v>
      </c>
      <c r="C3596" t="s">
        <v>21</v>
      </c>
      <c r="E3596">
        <v>40</v>
      </c>
      <c r="F3596" t="s">
        <v>7</v>
      </c>
    </row>
    <row r="3597" spans="1:6">
      <c r="A3597" s="1">
        <v>45396</v>
      </c>
      <c r="B3597" s="2">
        <v>45396.51885359954</v>
      </c>
      <c r="C3597" t="s">
        <v>21</v>
      </c>
      <c r="E3597">
        <v>30</v>
      </c>
      <c r="F3597" t="s">
        <v>28</v>
      </c>
    </row>
    <row r="3598" spans="1:6">
      <c r="A3598" s="1">
        <v>45396</v>
      </c>
      <c r="B3598" s="2">
        <v>45396.520218483798</v>
      </c>
      <c r="C3598" t="s">
        <v>21</v>
      </c>
      <c r="E3598">
        <v>30</v>
      </c>
      <c r="F3598" t="s">
        <v>28</v>
      </c>
    </row>
    <row r="3599" spans="1:6">
      <c r="A3599" s="1">
        <v>45396</v>
      </c>
      <c r="B3599" s="2">
        <v>45396.52194486111</v>
      </c>
      <c r="C3599" t="s">
        <v>21</v>
      </c>
      <c r="E3599">
        <v>35</v>
      </c>
      <c r="F3599" t="s">
        <v>14</v>
      </c>
    </row>
    <row r="3600" spans="1:6">
      <c r="A3600" s="1">
        <v>45397</v>
      </c>
      <c r="B3600" s="2">
        <v>45397.820811481484</v>
      </c>
      <c r="C3600" t="s">
        <v>21</v>
      </c>
      <c r="E3600">
        <v>25</v>
      </c>
      <c r="F3600" t="s">
        <v>35</v>
      </c>
    </row>
    <row r="3601" spans="1:6">
      <c r="A3601" s="1">
        <v>45398</v>
      </c>
      <c r="B3601" s="2">
        <v>45398.447105405095</v>
      </c>
      <c r="C3601" t="s">
        <v>21</v>
      </c>
      <c r="E3601">
        <v>35</v>
      </c>
      <c r="F3601" t="s">
        <v>14</v>
      </c>
    </row>
    <row r="3602" spans="1:6">
      <c r="A3602" s="1">
        <v>45399</v>
      </c>
      <c r="B3602" s="2">
        <v>45399.675975810183</v>
      </c>
      <c r="C3602" t="s">
        <v>21</v>
      </c>
      <c r="E3602">
        <v>40</v>
      </c>
      <c r="F3602" t="s">
        <v>43</v>
      </c>
    </row>
    <row r="3603" spans="1:6">
      <c r="A3603" s="1">
        <v>45402</v>
      </c>
      <c r="B3603" s="2">
        <v>45402.475493993057</v>
      </c>
      <c r="C3603" t="s">
        <v>21</v>
      </c>
      <c r="E3603">
        <v>35</v>
      </c>
      <c r="F3603" t="s">
        <v>14</v>
      </c>
    </row>
    <row r="3604" spans="1:6">
      <c r="A3604" s="1">
        <v>45402</v>
      </c>
      <c r="B3604" s="2">
        <v>45402.713865381942</v>
      </c>
      <c r="C3604" t="s">
        <v>21</v>
      </c>
      <c r="E3604">
        <v>39</v>
      </c>
      <c r="F3604" t="s">
        <v>18</v>
      </c>
    </row>
    <row r="3605" spans="1:6">
      <c r="A3605" s="1">
        <v>45403</v>
      </c>
      <c r="B3605" s="2">
        <v>45403.714620358798</v>
      </c>
      <c r="C3605" t="s">
        <v>21</v>
      </c>
      <c r="E3605">
        <v>39</v>
      </c>
      <c r="F3605" t="s">
        <v>43</v>
      </c>
    </row>
    <row r="3606" spans="1:6">
      <c r="A3606" s="1">
        <v>45404</v>
      </c>
      <c r="B3606" s="2">
        <v>45404.778160000002</v>
      </c>
      <c r="C3606" t="s">
        <v>21</v>
      </c>
      <c r="E3606">
        <v>39</v>
      </c>
      <c r="F3606" t="s">
        <v>7</v>
      </c>
    </row>
    <row r="3607" spans="1:6">
      <c r="A3607" s="1">
        <v>45404</v>
      </c>
      <c r="B3607" s="2">
        <v>45404.835059780089</v>
      </c>
      <c r="C3607" t="s">
        <v>21</v>
      </c>
      <c r="E3607">
        <v>39</v>
      </c>
      <c r="F3607" t="s">
        <v>43</v>
      </c>
    </row>
    <row r="3608" spans="1:6">
      <c r="A3608" s="1">
        <v>45414</v>
      </c>
      <c r="B3608" s="2">
        <v>45414.479132870372</v>
      </c>
      <c r="C3608" t="s">
        <v>21</v>
      </c>
      <c r="E3608">
        <v>39</v>
      </c>
      <c r="F3608" t="s">
        <v>7</v>
      </c>
    </row>
    <row r="3609" spans="1:6">
      <c r="A3609" s="1">
        <v>45415</v>
      </c>
      <c r="B3609" s="2">
        <v>45415.424923599538</v>
      </c>
      <c r="C3609" t="s">
        <v>21</v>
      </c>
      <c r="E3609">
        <v>39</v>
      </c>
      <c r="F3609" t="s">
        <v>7</v>
      </c>
    </row>
    <row r="3610" spans="1:6">
      <c r="A3610" s="1">
        <v>45418</v>
      </c>
      <c r="B3610" s="2">
        <v>45418.482183333334</v>
      </c>
      <c r="C3610" t="s">
        <v>21</v>
      </c>
      <c r="E3610">
        <v>29</v>
      </c>
      <c r="F3610" t="s">
        <v>11</v>
      </c>
    </row>
    <row r="3611" spans="1:6">
      <c r="A3611" s="1">
        <v>45419</v>
      </c>
      <c r="B3611" s="2">
        <v>45419.774736516207</v>
      </c>
      <c r="C3611" t="s">
        <v>21</v>
      </c>
      <c r="E3611">
        <v>34</v>
      </c>
      <c r="F3611" t="s">
        <v>14</v>
      </c>
    </row>
    <row r="3612" spans="1:6">
      <c r="A3612" s="1">
        <v>45422</v>
      </c>
      <c r="B3612" s="2">
        <v>45422.423170972223</v>
      </c>
      <c r="C3612" t="s">
        <v>21</v>
      </c>
      <c r="E3612">
        <v>39</v>
      </c>
      <c r="F3612" t="s">
        <v>7</v>
      </c>
    </row>
    <row r="3613" spans="1:6">
      <c r="A3613" s="1">
        <v>45422</v>
      </c>
      <c r="B3613" s="2">
        <v>45422.680730138891</v>
      </c>
      <c r="C3613" t="s">
        <v>21</v>
      </c>
      <c r="E3613">
        <v>34</v>
      </c>
      <c r="F3613" t="s">
        <v>14</v>
      </c>
    </row>
    <row r="3614" spans="1:6">
      <c r="A3614" s="1">
        <v>45423</v>
      </c>
      <c r="B3614" s="2">
        <v>45423.710227407406</v>
      </c>
      <c r="C3614" t="s">
        <v>21</v>
      </c>
      <c r="E3614">
        <v>39</v>
      </c>
      <c r="F3614" t="s">
        <v>7</v>
      </c>
    </row>
    <row r="3615" spans="1:6">
      <c r="A3615" s="1">
        <v>45425</v>
      </c>
      <c r="B3615" s="2">
        <v>45425.64665234954</v>
      </c>
      <c r="C3615" t="s">
        <v>21</v>
      </c>
      <c r="E3615">
        <v>29</v>
      </c>
      <c r="F3615" t="s">
        <v>11</v>
      </c>
    </row>
    <row r="3616" spans="1:6">
      <c r="A3616" s="1">
        <v>45425</v>
      </c>
      <c r="B3616" s="2">
        <v>45425.647116979169</v>
      </c>
      <c r="C3616" t="s">
        <v>21</v>
      </c>
      <c r="E3616">
        <v>29</v>
      </c>
      <c r="F3616" t="s">
        <v>11</v>
      </c>
    </row>
    <row r="3617" spans="1:6">
      <c r="A3617" s="1">
        <v>45427</v>
      </c>
      <c r="B3617" s="2">
        <v>45427.609847766202</v>
      </c>
      <c r="C3617" t="s">
        <v>21</v>
      </c>
      <c r="E3617">
        <v>29</v>
      </c>
      <c r="F3617" t="s">
        <v>11</v>
      </c>
    </row>
    <row r="3618" spans="1:6">
      <c r="A3618" s="1">
        <v>45428</v>
      </c>
      <c r="B3618" s="2">
        <v>45428.488082002317</v>
      </c>
      <c r="C3618" t="s">
        <v>21</v>
      </c>
      <c r="E3618">
        <v>39</v>
      </c>
      <c r="F3618" t="s">
        <v>7</v>
      </c>
    </row>
    <row r="3619" spans="1:6">
      <c r="A3619" s="1">
        <v>45428</v>
      </c>
      <c r="B3619" s="2">
        <v>45428.489129756941</v>
      </c>
      <c r="C3619" t="s">
        <v>21</v>
      </c>
      <c r="E3619">
        <v>39</v>
      </c>
      <c r="F3619" t="s">
        <v>43</v>
      </c>
    </row>
    <row r="3620" spans="1:6">
      <c r="A3620" s="1">
        <v>45429</v>
      </c>
      <c r="B3620" s="2">
        <v>45429.623646527776</v>
      </c>
      <c r="C3620" t="s">
        <v>21</v>
      </c>
      <c r="E3620">
        <v>34</v>
      </c>
      <c r="F3620" t="s">
        <v>14</v>
      </c>
    </row>
    <row r="3621" spans="1:6">
      <c r="A3621" s="1">
        <v>45430</v>
      </c>
      <c r="B3621" s="2">
        <v>45430.920456863423</v>
      </c>
      <c r="C3621" t="s">
        <v>21</v>
      </c>
      <c r="E3621">
        <v>39</v>
      </c>
      <c r="F3621" t="s">
        <v>43</v>
      </c>
    </row>
    <row r="3622" spans="1:6">
      <c r="A3622" s="1">
        <v>45431</v>
      </c>
      <c r="B3622" s="2">
        <v>45431.395019942131</v>
      </c>
      <c r="C3622" t="s">
        <v>21</v>
      </c>
      <c r="E3622">
        <v>24</v>
      </c>
      <c r="F3622" t="s">
        <v>35</v>
      </c>
    </row>
    <row r="3623" spans="1:6">
      <c r="A3623" s="1">
        <v>45432</v>
      </c>
      <c r="B3623" s="2">
        <v>45432.605801527781</v>
      </c>
      <c r="C3623" t="s">
        <v>21</v>
      </c>
      <c r="E3623">
        <v>29</v>
      </c>
      <c r="F3623" t="s">
        <v>11</v>
      </c>
    </row>
    <row r="3624" spans="1:6">
      <c r="A3624" s="1">
        <v>45433</v>
      </c>
      <c r="B3624" s="2">
        <v>45433.405447800928</v>
      </c>
      <c r="C3624" t="s">
        <v>21</v>
      </c>
      <c r="E3624">
        <v>29</v>
      </c>
      <c r="F3624" t="s">
        <v>11</v>
      </c>
    </row>
    <row r="3625" spans="1:6">
      <c r="A3625" s="1">
        <v>45433</v>
      </c>
      <c r="B3625" s="2">
        <v>45433.40602209491</v>
      </c>
      <c r="C3625" t="s">
        <v>21</v>
      </c>
      <c r="E3625">
        <v>34</v>
      </c>
      <c r="F3625" t="s">
        <v>14</v>
      </c>
    </row>
    <row r="3626" spans="1:6">
      <c r="A3626" s="1">
        <v>45433</v>
      </c>
      <c r="B3626" s="2">
        <v>45433.407053587965</v>
      </c>
      <c r="C3626" t="s">
        <v>21</v>
      </c>
      <c r="E3626">
        <v>39</v>
      </c>
      <c r="F3626" t="s">
        <v>18</v>
      </c>
    </row>
    <row r="3627" spans="1:6">
      <c r="A3627" s="1">
        <v>45433</v>
      </c>
      <c r="B3627" s="2">
        <v>45433.420231863427</v>
      </c>
      <c r="C3627" t="s">
        <v>21</v>
      </c>
      <c r="E3627">
        <v>39</v>
      </c>
      <c r="F3627" t="s">
        <v>7</v>
      </c>
    </row>
    <row r="3628" spans="1:6">
      <c r="A3628" s="1">
        <v>45435</v>
      </c>
      <c r="B3628" s="2">
        <v>45435.955288495374</v>
      </c>
      <c r="C3628" t="s">
        <v>21</v>
      </c>
      <c r="E3628">
        <v>39</v>
      </c>
      <c r="F3628" t="s">
        <v>9</v>
      </c>
    </row>
    <row r="3629" spans="1:6">
      <c r="A3629" s="1">
        <v>45437</v>
      </c>
      <c r="B3629" s="2">
        <v>45437.320125208331</v>
      </c>
      <c r="C3629" t="s">
        <v>21</v>
      </c>
      <c r="E3629">
        <v>29</v>
      </c>
      <c r="F3629" t="s">
        <v>11</v>
      </c>
    </row>
    <row r="3630" spans="1:6">
      <c r="A3630" s="1">
        <v>45437</v>
      </c>
      <c r="B3630" s="2">
        <v>45437.528050775465</v>
      </c>
      <c r="C3630" t="s">
        <v>21</v>
      </c>
      <c r="E3630">
        <v>29</v>
      </c>
      <c r="F3630" t="s">
        <v>11</v>
      </c>
    </row>
    <row r="3631" spans="1:6">
      <c r="A3631" s="1">
        <v>45440</v>
      </c>
      <c r="B3631" s="2">
        <v>45440.723425543983</v>
      </c>
      <c r="C3631" t="s">
        <v>21</v>
      </c>
      <c r="E3631">
        <v>39</v>
      </c>
      <c r="F3631" t="s">
        <v>43</v>
      </c>
    </row>
    <row r="3632" spans="1:6">
      <c r="A3632" s="1">
        <v>45441</v>
      </c>
      <c r="B3632" s="2">
        <v>45441.450541446757</v>
      </c>
      <c r="C3632" t="s">
        <v>21</v>
      </c>
      <c r="E3632">
        <v>39</v>
      </c>
      <c r="F3632" t="s">
        <v>7</v>
      </c>
    </row>
    <row r="3633" spans="1:6">
      <c r="A3633" s="1">
        <v>45443</v>
      </c>
      <c r="B3633" s="2">
        <v>45443.391652673614</v>
      </c>
      <c r="C3633" t="s">
        <v>21</v>
      </c>
      <c r="E3633">
        <v>39</v>
      </c>
      <c r="F3633" t="s">
        <v>7</v>
      </c>
    </row>
    <row r="3634" spans="1:6">
      <c r="A3634" s="1">
        <v>45444</v>
      </c>
      <c r="B3634" s="2">
        <v>45444.871519293978</v>
      </c>
      <c r="C3634" t="s">
        <v>21</v>
      </c>
      <c r="E3634">
        <v>39</v>
      </c>
      <c r="F3634" t="s">
        <v>18</v>
      </c>
    </row>
    <row r="3635" spans="1:6">
      <c r="A3635" s="1">
        <v>45445</v>
      </c>
      <c r="B3635" s="2">
        <v>45445.946650879632</v>
      </c>
      <c r="C3635" t="s">
        <v>21</v>
      </c>
      <c r="E3635">
        <v>34</v>
      </c>
      <c r="F3635" t="s">
        <v>14</v>
      </c>
    </row>
    <row r="3636" spans="1:6">
      <c r="A3636" s="1">
        <v>45446</v>
      </c>
      <c r="B3636" s="2">
        <v>45446.904765439816</v>
      </c>
      <c r="C3636" t="s">
        <v>21</v>
      </c>
      <c r="E3636">
        <v>34</v>
      </c>
      <c r="F3636" t="s">
        <v>14</v>
      </c>
    </row>
    <row r="3637" spans="1:6">
      <c r="A3637" s="1">
        <v>45446</v>
      </c>
      <c r="B3637" s="2">
        <v>45446.90529480324</v>
      </c>
      <c r="C3637" t="s">
        <v>21</v>
      </c>
      <c r="E3637">
        <v>34</v>
      </c>
      <c r="F3637" t="s">
        <v>14</v>
      </c>
    </row>
  </sheetData>
  <sortState xmlns:xlrd2="http://schemas.microsoft.com/office/spreadsheetml/2017/richdata2" ref="A2:F3637">
    <sortCondition ref="D1:D363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48"/>
  <sheetViews>
    <sheetView workbookViewId="0"/>
  </sheetViews>
  <sheetFormatPr defaultRowHeight="15"/>
  <cols>
    <col min="1" max="1" width="10.7109375" bestFit="1" customWidth="1"/>
    <col min="2" max="2" width="11.42578125" bestFit="1" customWidth="1"/>
    <col min="3" max="3" width="12.140625" bestFit="1" customWidth="1"/>
    <col min="4" max="4" width="21" bestFit="1" customWidth="1"/>
    <col min="5" max="5" width="9.140625" style="5"/>
    <col min="6" max="6" width="19.5703125" bestFit="1" customWidth="1"/>
  </cols>
  <sheetData>
    <row r="1" spans="1:6">
      <c r="A1" t="s">
        <v>0</v>
      </c>
      <c r="B1" t="s">
        <v>1</v>
      </c>
      <c r="C1" t="s">
        <v>2</v>
      </c>
      <c r="D1" t="s">
        <v>3</v>
      </c>
      <c r="E1" s="5" t="s">
        <v>1331</v>
      </c>
      <c r="F1" t="s">
        <v>5</v>
      </c>
    </row>
    <row r="2" spans="1:6">
      <c r="A2" s="1">
        <v>45352</v>
      </c>
      <c r="B2" s="2">
        <v>45352.427668055556</v>
      </c>
      <c r="C2" t="s">
        <v>3</v>
      </c>
      <c r="D2" t="s">
        <v>6</v>
      </c>
      <c r="E2" s="5">
        <v>38.700000000000003</v>
      </c>
      <c r="F2" t="s">
        <v>7</v>
      </c>
    </row>
    <row r="3" spans="1:6">
      <c r="A3" s="1">
        <v>45355</v>
      </c>
      <c r="B3" s="2">
        <v>45355.41935178241</v>
      </c>
      <c r="C3" t="s">
        <v>3</v>
      </c>
      <c r="D3" t="s">
        <v>6</v>
      </c>
      <c r="E3" s="5">
        <v>38.700000000000003</v>
      </c>
      <c r="F3" t="s">
        <v>7</v>
      </c>
    </row>
    <row r="4" spans="1:6">
      <c r="A4" s="1">
        <v>45356</v>
      </c>
      <c r="B4" s="2">
        <v>45356.416581608799</v>
      </c>
      <c r="C4" t="s">
        <v>3</v>
      </c>
      <c r="D4" t="s">
        <v>6</v>
      </c>
      <c r="E4" s="5">
        <v>38.700000000000003</v>
      </c>
      <c r="F4" t="s">
        <v>7</v>
      </c>
    </row>
    <row r="5" spans="1:6">
      <c r="A5" s="1">
        <v>45384</v>
      </c>
      <c r="B5" s="2">
        <v>45384.417523402779</v>
      </c>
      <c r="C5" t="s">
        <v>3</v>
      </c>
      <c r="D5" t="s">
        <v>6</v>
      </c>
      <c r="E5" s="5">
        <v>38.700000000000003</v>
      </c>
      <c r="F5" t="s">
        <v>7</v>
      </c>
    </row>
    <row r="6" spans="1:6">
      <c r="A6" s="1">
        <v>45401</v>
      </c>
      <c r="B6" s="2">
        <v>45401.424030717593</v>
      </c>
      <c r="C6" t="s">
        <v>3</v>
      </c>
      <c r="D6" t="s">
        <v>6</v>
      </c>
      <c r="E6" s="5">
        <v>38.700000000000003</v>
      </c>
      <c r="F6" t="s">
        <v>7</v>
      </c>
    </row>
    <row r="7" spans="1:6">
      <c r="A7" s="1">
        <v>45403</v>
      </c>
      <c r="B7" s="2">
        <v>45403.469973460647</v>
      </c>
      <c r="C7" t="s">
        <v>3</v>
      </c>
      <c r="D7" t="s">
        <v>6</v>
      </c>
      <c r="E7" s="5">
        <v>37.72</v>
      </c>
      <c r="F7" t="s">
        <v>7</v>
      </c>
    </row>
    <row r="8" spans="1:6">
      <c r="A8" s="1">
        <v>45406</v>
      </c>
      <c r="B8" s="2">
        <v>45406.430304930553</v>
      </c>
      <c r="C8" t="s">
        <v>3</v>
      </c>
      <c r="D8" t="s">
        <v>6</v>
      </c>
      <c r="E8" s="5">
        <v>37.72</v>
      </c>
      <c r="F8" t="s">
        <v>7</v>
      </c>
    </row>
    <row r="9" spans="1:6">
      <c r="A9" s="1">
        <v>45408</v>
      </c>
      <c r="B9" s="2">
        <v>45408.425585856479</v>
      </c>
      <c r="C9" t="s">
        <v>3</v>
      </c>
      <c r="D9" t="s">
        <v>6</v>
      </c>
      <c r="E9" s="5">
        <v>37.72</v>
      </c>
      <c r="F9" t="s">
        <v>7</v>
      </c>
    </row>
    <row r="10" spans="1:6">
      <c r="A10" s="1">
        <v>45410</v>
      </c>
      <c r="B10" s="2">
        <v>45410.439496284722</v>
      </c>
      <c r="C10" t="s">
        <v>3</v>
      </c>
      <c r="D10" t="s">
        <v>6</v>
      </c>
      <c r="E10" s="5">
        <v>37.72</v>
      </c>
      <c r="F10" t="s">
        <v>7</v>
      </c>
    </row>
    <row r="11" spans="1:6">
      <c r="A11" s="1">
        <v>45420</v>
      </c>
      <c r="B11" s="2">
        <v>45420.421861840281</v>
      </c>
      <c r="C11" t="s">
        <v>3</v>
      </c>
      <c r="D11" t="s">
        <v>6</v>
      </c>
      <c r="E11" s="5">
        <v>37.72</v>
      </c>
      <c r="F11" t="s">
        <v>7</v>
      </c>
    </row>
    <row r="12" spans="1:6">
      <c r="A12" s="1">
        <v>45424</v>
      </c>
      <c r="B12" s="2">
        <v>45424.431047592596</v>
      </c>
      <c r="C12" t="s">
        <v>3</v>
      </c>
      <c r="D12" t="s">
        <v>6</v>
      </c>
      <c r="E12" s="5">
        <v>37.72</v>
      </c>
      <c r="F12" t="s">
        <v>7</v>
      </c>
    </row>
    <row r="13" spans="1:6">
      <c r="A13" s="1">
        <v>45432</v>
      </c>
      <c r="B13" s="2">
        <v>45432.457504386577</v>
      </c>
      <c r="C13" t="s">
        <v>3</v>
      </c>
      <c r="D13" t="s">
        <v>6</v>
      </c>
      <c r="E13" s="5">
        <v>37.72</v>
      </c>
      <c r="F13" t="s">
        <v>7</v>
      </c>
    </row>
    <row r="14" spans="1:6">
      <c r="A14" s="1">
        <v>45438</v>
      </c>
      <c r="B14" s="2">
        <v>45438.430581400462</v>
      </c>
      <c r="C14" t="s">
        <v>3</v>
      </c>
      <c r="D14" t="s">
        <v>6</v>
      </c>
      <c r="E14" s="5">
        <v>37.72</v>
      </c>
      <c r="F14" t="s">
        <v>7</v>
      </c>
    </row>
    <row r="15" spans="1:6">
      <c r="A15" s="1">
        <v>45442</v>
      </c>
      <c r="B15" s="2">
        <v>45442.408322824071</v>
      </c>
      <c r="C15" t="s">
        <v>3</v>
      </c>
      <c r="D15" t="s">
        <v>6</v>
      </c>
      <c r="E15" s="5">
        <v>37.72</v>
      </c>
      <c r="F15" t="s">
        <v>7</v>
      </c>
    </row>
    <row r="16" spans="1:6">
      <c r="A16" s="1">
        <v>45446</v>
      </c>
      <c r="B16" s="2">
        <v>45446.425047928242</v>
      </c>
      <c r="C16" t="s">
        <v>3</v>
      </c>
      <c r="D16" t="s">
        <v>6</v>
      </c>
      <c r="E16" s="5">
        <v>37.72</v>
      </c>
      <c r="F16" t="s">
        <v>7</v>
      </c>
    </row>
    <row r="17" spans="1:6">
      <c r="A17" s="1">
        <v>45448</v>
      </c>
      <c r="B17" s="2">
        <v>45448.436696990742</v>
      </c>
      <c r="C17" t="s">
        <v>3</v>
      </c>
      <c r="D17" t="s">
        <v>6</v>
      </c>
      <c r="E17" s="5">
        <v>37.72</v>
      </c>
      <c r="F17" t="s">
        <v>7</v>
      </c>
    </row>
    <row r="18" spans="1:6">
      <c r="A18" s="1">
        <v>45449</v>
      </c>
      <c r="B18" s="2">
        <v>45449.441778553242</v>
      </c>
      <c r="C18" t="s">
        <v>3</v>
      </c>
      <c r="D18" t="s">
        <v>6</v>
      </c>
      <c r="E18" s="5">
        <v>37.72</v>
      </c>
      <c r="F18" t="s">
        <v>7</v>
      </c>
    </row>
    <row r="19" spans="1:6">
      <c r="A19" s="1">
        <v>45352</v>
      </c>
      <c r="B19" s="2">
        <v>45352.513455312503</v>
      </c>
      <c r="C19" t="s">
        <v>3</v>
      </c>
      <c r="D19" t="s">
        <v>8</v>
      </c>
      <c r="E19" s="5">
        <v>38.700000000000003</v>
      </c>
      <c r="F19" t="s">
        <v>9</v>
      </c>
    </row>
    <row r="20" spans="1:6">
      <c r="A20" s="1">
        <v>45352</v>
      </c>
      <c r="B20" s="2">
        <v>45352.514098252315</v>
      </c>
      <c r="C20" t="s">
        <v>3</v>
      </c>
      <c r="D20" t="s">
        <v>8</v>
      </c>
      <c r="E20" s="5">
        <v>38.700000000000003</v>
      </c>
      <c r="F20" t="s">
        <v>9</v>
      </c>
    </row>
    <row r="21" spans="1:6">
      <c r="A21" s="1">
        <v>45352</v>
      </c>
      <c r="B21" s="2">
        <v>45352.573993124999</v>
      </c>
      <c r="C21" t="s">
        <v>3</v>
      </c>
      <c r="D21" t="s">
        <v>10</v>
      </c>
      <c r="E21" s="5">
        <v>28.9</v>
      </c>
      <c r="F21" t="s">
        <v>11</v>
      </c>
    </row>
    <row r="22" spans="1:6">
      <c r="A22" s="1">
        <v>45369</v>
      </c>
      <c r="B22" s="2">
        <v>45369.64698755787</v>
      </c>
      <c r="C22" t="s">
        <v>3</v>
      </c>
      <c r="D22" t="s">
        <v>10</v>
      </c>
      <c r="E22" s="5">
        <v>28.9</v>
      </c>
      <c r="F22" t="s">
        <v>11</v>
      </c>
    </row>
    <row r="23" spans="1:6">
      <c r="A23" s="1">
        <v>45369</v>
      </c>
      <c r="B23" s="2">
        <v>45369.64766480324</v>
      </c>
      <c r="C23" t="s">
        <v>3</v>
      </c>
      <c r="D23" t="s">
        <v>10</v>
      </c>
      <c r="E23" s="5">
        <v>28.9</v>
      </c>
      <c r="F23" t="s">
        <v>11</v>
      </c>
    </row>
    <row r="24" spans="1:6">
      <c r="A24" s="1">
        <v>45369</v>
      </c>
      <c r="B24" s="2">
        <v>45369.648341527776</v>
      </c>
      <c r="C24" t="s">
        <v>3</v>
      </c>
      <c r="D24" t="s">
        <v>10</v>
      </c>
      <c r="E24" s="5">
        <v>28.9</v>
      </c>
      <c r="F24" t="s">
        <v>11</v>
      </c>
    </row>
    <row r="25" spans="1:6">
      <c r="A25" s="1">
        <v>45377</v>
      </c>
      <c r="B25" s="2">
        <v>45377.566583020831</v>
      </c>
      <c r="C25" t="s">
        <v>3</v>
      </c>
      <c r="D25" t="s">
        <v>10</v>
      </c>
      <c r="E25" s="5">
        <v>28.9</v>
      </c>
      <c r="F25" t="s">
        <v>11</v>
      </c>
    </row>
    <row r="26" spans="1:6">
      <c r="A26" s="1">
        <v>45378</v>
      </c>
      <c r="B26" s="2">
        <v>45378.461703402776</v>
      </c>
      <c r="C26" t="s">
        <v>3</v>
      </c>
      <c r="D26" t="s">
        <v>10</v>
      </c>
      <c r="E26" s="5">
        <v>28.9</v>
      </c>
      <c r="F26" t="s">
        <v>28</v>
      </c>
    </row>
    <row r="27" spans="1:6">
      <c r="A27" s="1">
        <v>45378</v>
      </c>
      <c r="B27" s="2">
        <v>45378.462479583337</v>
      </c>
      <c r="C27" t="s">
        <v>3</v>
      </c>
      <c r="D27" t="s">
        <v>10</v>
      </c>
      <c r="E27" s="5">
        <v>33.799999999999997</v>
      </c>
      <c r="F27" t="s">
        <v>14</v>
      </c>
    </row>
    <row r="28" spans="1:6">
      <c r="A28" s="1">
        <v>45384</v>
      </c>
      <c r="B28" s="2">
        <v>45384.679562141202</v>
      </c>
      <c r="C28" t="s">
        <v>3</v>
      </c>
      <c r="D28" t="s">
        <v>10</v>
      </c>
      <c r="E28" s="5">
        <v>28.9</v>
      </c>
      <c r="F28" t="s">
        <v>11</v>
      </c>
    </row>
    <row r="29" spans="1:6">
      <c r="A29" s="1">
        <v>45384</v>
      </c>
      <c r="B29" s="2">
        <v>45384.680190509258</v>
      </c>
      <c r="C29" t="s">
        <v>3</v>
      </c>
      <c r="D29" t="s">
        <v>10</v>
      </c>
      <c r="E29" s="5">
        <v>28.9</v>
      </c>
      <c r="F29" t="s">
        <v>28</v>
      </c>
    </row>
    <row r="30" spans="1:6">
      <c r="A30" s="1">
        <v>45385</v>
      </c>
      <c r="B30" s="2">
        <v>45385.430019027779</v>
      </c>
      <c r="C30" t="s">
        <v>3</v>
      </c>
      <c r="D30" t="s">
        <v>10</v>
      </c>
      <c r="E30" s="5">
        <v>28.9</v>
      </c>
      <c r="F30" t="s">
        <v>28</v>
      </c>
    </row>
    <row r="31" spans="1:6">
      <c r="A31" s="1">
        <v>45385</v>
      </c>
      <c r="B31" s="2">
        <v>45385.430644155094</v>
      </c>
      <c r="C31" t="s">
        <v>3</v>
      </c>
      <c r="D31" t="s">
        <v>10</v>
      </c>
      <c r="E31" s="5">
        <v>28.9</v>
      </c>
      <c r="F31" t="s">
        <v>11</v>
      </c>
    </row>
    <row r="32" spans="1:6">
      <c r="A32" s="1">
        <v>45387</v>
      </c>
      <c r="B32" s="2">
        <v>45387.679439328705</v>
      </c>
      <c r="C32" t="s">
        <v>3</v>
      </c>
      <c r="D32" t="s">
        <v>10</v>
      </c>
      <c r="E32" s="5">
        <v>24</v>
      </c>
      <c r="F32" t="s">
        <v>35</v>
      </c>
    </row>
    <row r="33" spans="1:6">
      <c r="A33" s="1">
        <v>45397</v>
      </c>
      <c r="B33" s="2">
        <v>45397.709564340279</v>
      </c>
      <c r="C33" t="s">
        <v>3</v>
      </c>
      <c r="D33" t="s">
        <v>10</v>
      </c>
      <c r="E33" s="5">
        <v>28.9</v>
      </c>
      <c r="F33" t="s">
        <v>11</v>
      </c>
    </row>
    <row r="34" spans="1:6">
      <c r="A34" s="1">
        <v>45400</v>
      </c>
      <c r="B34" s="2">
        <v>45400.471547372683</v>
      </c>
      <c r="C34" t="s">
        <v>3</v>
      </c>
      <c r="D34" t="s">
        <v>10</v>
      </c>
      <c r="E34" s="5">
        <v>28.9</v>
      </c>
      <c r="F34" t="s">
        <v>11</v>
      </c>
    </row>
    <row r="35" spans="1:6">
      <c r="A35" s="1">
        <v>45400</v>
      </c>
      <c r="B35" s="2">
        <v>45400.47228814815</v>
      </c>
      <c r="C35" t="s">
        <v>3</v>
      </c>
      <c r="D35" t="s">
        <v>10</v>
      </c>
      <c r="E35" s="5">
        <v>28.9</v>
      </c>
      <c r="F35" t="s">
        <v>11</v>
      </c>
    </row>
    <row r="36" spans="1:6">
      <c r="A36" s="1">
        <v>45411</v>
      </c>
      <c r="B36" s="2">
        <v>45411.561075798614</v>
      </c>
      <c r="C36" t="s">
        <v>3</v>
      </c>
      <c r="D36" t="s">
        <v>10</v>
      </c>
      <c r="E36" s="5">
        <v>27.92</v>
      </c>
      <c r="F36" t="s">
        <v>11</v>
      </c>
    </row>
    <row r="37" spans="1:6">
      <c r="A37" s="1">
        <v>45411</v>
      </c>
      <c r="B37" s="2">
        <v>45411.56173494213</v>
      </c>
      <c r="C37" t="s">
        <v>3</v>
      </c>
      <c r="D37" t="s">
        <v>10</v>
      </c>
      <c r="E37" s="5">
        <v>27.92</v>
      </c>
      <c r="F37" t="s">
        <v>28</v>
      </c>
    </row>
    <row r="38" spans="1:6">
      <c r="A38" s="1">
        <v>45427</v>
      </c>
      <c r="B38" s="2">
        <v>45427.565684050925</v>
      </c>
      <c r="C38" t="s">
        <v>3</v>
      </c>
      <c r="D38" t="s">
        <v>10</v>
      </c>
      <c r="E38" s="5">
        <v>27.92</v>
      </c>
      <c r="F38" t="s">
        <v>11</v>
      </c>
    </row>
    <row r="39" spans="1:6">
      <c r="A39" s="1">
        <v>45427</v>
      </c>
      <c r="B39" s="2">
        <v>45427.566309849535</v>
      </c>
      <c r="C39" t="s">
        <v>3</v>
      </c>
      <c r="D39" t="s">
        <v>10</v>
      </c>
      <c r="E39" s="5">
        <v>27.92</v>
      </c>
      <c r="F39" t="s">
        <v>11</v>
      </c>
    </row>
    <row r="40" spans="1:6">
      <c r="A40" s="1">
        <v>45427</v>
      </c>
      <c r="B40" s="2">
        <v>45427.566983090277</v>
      </c>
      <c r="C40" t="s">
        <v>3</v>
      </c>
      <c r="D40" t="s">
        <v>10</v>
      </c>
      <c r="E40" s="5">
        <v>27.92</v>
      </c>
      <c r="F40" t="s">
        <v>11</v>
      </c>
    </row>
    <row r="41" spans="1:6">
      <c r="A41" s="1">
        <v>45432</v>
      </c>
      <c r="B41" s="2">
        <v>45432.56057199074</v>
      </c>
      <c r="C41" t="s">
        <v>3</v>
      </c>
      <c r="D41" t="s">
        <v>10</v>
      </c>
      <c r="E41" s="5">
        <v>27.92</v>
      </c>
      <c r="F41" t="s">
        <v>11</v>
      </c>
    </row>
    <row r="42" spans="1:6">
      <c r="A42" s="1">
        <v>45432</v>
      </c>
      <c r="B42" s="2">
        <v>45432.561231944448</v>
      </c>
      <c r="C42" t="s">
        <v>3</v>
      </c>
      <c r="D42" t="s">
        <v>10</v>
      </c>
      <c r="E42" s="5">
        <v>27.92</v>
      </c>
      <c r="F42" t="s">
        <v>11</v>
      </c>
    </row>
    <row r="43" spans="1:6">
      <c r="A43" s="1">
        <v>45502</v>
      </c>
      <c r="B43" s="2">
        <v>45502.388704652774</v>
      </c>
      <c r="C43" t="s">
        <v>3</v>
      </c>
      <c r="D43" t="s">
        <v>10</v>
      </c>
      <c r="E43" s="5">
        <v>23.02</v>
      </c>
      <c r="F43" t="s">
        <v>11</v>
      </c>
    </row>
    <row r="44" spans="1:6">
      <c r="A44" s="1">
        <v>45511</v>
      </c>
      <c r="B44" s="2">
        <v>45511.508643518522</v>
      </c>
      <c r="C44" t="s">
        <v>3</v>
      </c>
      <c r="D44" t="s">
        <v>10</v>
      </c>
      <c r="E44" s="5">
        <v>23.02</v>
      </c>
      <c r="F44" t="s">
        <v>11</v>
      </c>
    </row>
    <row r="45" spans="1:6">
      <c r="A45" s="1">
        <v>45511</v>
      </c>
      <c r="B45" s="2">
        <v>45511.509498425927</v>
      </c>
      <c r="C45" t="s">
        <v>3</v>
      </c>
      <c r="D45" t="s">
        <v>10</v>
      </c>
      <c r="E45" s="5">
        <v>23.02</v>
      </c>
      <c r="F45" t="s">
        <v>11</v>
      </c>
    </row>
    <row r="46" spans="1:6">
      <c r="A46" s="1">
        <v>45530</v>
      </c>
      <c r="B46" s="2">
        <v>45530.531402291665</v>
      </c>
      <c r="C46" t="s">
        <v>3</v>
      </c>
      <c r="D46" t="s">
        <v>10</v>
      </c>
      <c r="E46" s="5">
        <v>23.02</v>
      </c>
      <c r="F46" t="s">
        <v>11</v>
      </c>
    </row>
    <row r="47" spans="1:6">
      <c r="A47" s="1">
        <v>45530</v>
      </c>
      <c r="B47" s="2">
        <v>45530.532218101849</v>
      </c>
      <c r="C47" t="s">
        <v>3</v>
      </c>
      <c r="D47" t="s">
        <v>10</v>
      </c>
      <c r="E47" s="5">
        <v>23.02</v>
      </c>
      <c r="F47" t="s">
        <v>11</v>
      </c>
    </row>
    <row r="48" spans="1:6">
      <c r="A48" s="1">
        <v>45569</v>
      </c>
      <c r="B48" s="2">
        <v>45569.396841099537</v>
      </c>
      <c r="C48" t="s">
        <v>3</v>
      </c>
      <c r="D48" t="s">
        <v>10</v>
      </c>
      <c r="E48" s="5">
        <v>25.96</v>
      </c>
      <c r="F48" t="s">
        <v>11</v>
      </c>
    </row>
    <row r="49" spans="1:6">
      <c r="A49" s="1">
        <v>45575</v>
      </c>
      <c r="B49" s="2">
        <v>45575.366746527776</v>
      </c>
      <c r="C49" t="s">
        <v>3</v>
      </c>
      <c r="D49" t="s">
        <v>10</v>
      </c>
      <c r="E49" s="5">
        <v>25.96</v>
      </c>
      <c r="F49" t="s">
        <v>11</v>
      </c>
    </row>
    <row r="50" spans="1:6">
      <c r="A50" s="1">
        <v>45583</v>
      </c>
      <c r="B50" s="2">
        <v>45583.397702557872</v>
      </c>
      <c r="C50" t="s">
        <v>3</v>
      </c>
      <c r="D50" t="s">
        <v>10</v>
      </c>
      <c r="E50" s="5">
        <v>35.76</v>
      </c>
      <c r="F50" t="s">
        <v>18</v>
      </c>
    </row>
    <row r="51" spans="1:6">
      <c r="A51" s="1">
        <v>45583</v>
      </c>
      <c r="B51" s="2">
        <v>45583.398703946761</v>
      </c>
      <c r="C51" t="s">
        <v>3</v>
      </c>
      <c r="D51" t="s">
        <v>10</v>
      </c>
      <c r="E51" s="5">
        <v>35.76</v>
      </c>
      <c r="F51" t="s">
        <v>18</v>
      </c>
    </row>
    <row r="52" spans="1:6">
      <c r="A52" s="1">
        <v>45352</v>
      </c>
      <c r="B52" s="2">
        <v>45352.575169282405</v>
      </c>
      <c r="C52" t="s">
        <v>3</v>
      </c>
      <c r="D52" t="s">
        <v>12</v>
      </c>
      <c r="E52" s="5">
        <v>38.700000000000003</v>
      </c>
      <c r="F52" t="s">
        <v>7</v>
      </c>
    </row>
    <row r="53" spans="1:6">
      <c r="A53" s="1">
        <v>45353</v>
      </c>
      <c r="B53" s="2">
        <v>45353.732580659722</v>
      </c>
      <c r="C53" t="s">
        <v>3</v>
      </c>
      <c r="D53" t="s">
        <v>12</v>
      </c>
      <c r="E53" s="5">
        <v>28.9</v>
      </c>
      <c r="F53" t="s">
        <v>11</v>
      </c>
    </row>
    <row r="54" spans="1:6">
      <c r="A54" s="1">
        <v>45363</v>
      </c>
      <c r="B54" s="2">
        <v>45363.532213831022</v>
      </c>
      <c r="C54" t="s">
        <v>3</v>
      </c>
      <c r="D54" t="s">
        <v>12</v>
      </c>
      <c r="E54" s="5">
        <v>33.799999999999997</v>
      </c>
      <c r="F54" t="s">
        <v>14</v>
      </c>
    </row>
    <row r="55" spans="1:6">
      <c r="A55" s="1">
        <v>45363</v>
      </c>
      <c r="B55" s="2">
        <v>45363.532940127312</v>
      </c>
      <c r="C55" t="s">
        <v>3</v>
      </c>
      <c r="D55" t="s">
        <v>12</v>
      </c>
      <c r="E55" s="5">
        <v>28.9</v>
      </c>
      <c r="F55" t="s">
        <v>11</v>
      </c>
    </row>
    <row r="56" spans="1:6">
      <c r="A56" s="1">
        <v>45364</v>
      </c>
      <c r="B56" s="2">
        <v>45364.491860567126</v>
      </c>
      <c r="C56" t="s">
        <v>3</v>
      </c>
      <c r="D56" t="s">
        <v>12</v>
      </c>
      <c r="E56" s="5">
        <v>28.9</v>
      </c>
      <c r="F56" t="s">
        <v>11</v>
      </c>
    </row>
    <row r="57" spans="1:6">
      <c r="A57" s="1">
        <v>45383</v>
      </c>
      <c r="B57" s="2">
        <v>45383.436662048611</v>
      </c>
      <c r="C57" t="s">
        <v>3</v>
      </c>
      <c r="D57" t="s">
        <v>12</v>
      </c>
      <c r="E57" s="5">
        <v>28.9</v>
      </c>
      <c r="F57" t="s">
        <v>11</v>
      </c>
    </row>
    <row r="58" spans="1:6">
      <c r="A58" s="1">
        <v>45383</v>
      </c>
      <c r="B58" s="2">
        <v>45383.437295347219</v>
      </c>
      <c r="C58" t="s">
        <v>3</v>
      </c>
      <c r="D58" t="s">
        <v>12</v>
      </c>
      <c r="E58" s="5">
        <v>33.799999999999997</v>
      </c>
      <c r="F58" t="s">
        <v>14</v>
      </c>
    </row>
    <row r="59" spans="1:6">
      <c r="A59" s="1">
        <v>45383</v>
      </c>
      <c r="B59" s="2">
        <v>45383.438006192133</v>
      </c>
      <c r="C59" t="s">
        <v>3</v>
      </c>
      <c r="D59" t="s">
        <v>12</v>
      </c>
      <c r="E59" s="5">
        <v>33.799999999999997</v>
      </c>
      <c r="F59" t="s">
        <v>14</v>
      </c>
    </row>
    <row r="60" spans="1:6">
      <c r="A60" s="1">
        <v>45397</v>
      </c>
      <c r="B60" s="2">
        <v>45397.71029800926</v>
      </c>
      <c r="C60" t="s">
        <v>3</v>
      </c>
      <c r="D60" t="s">
        <v>12</v>
      </c>
      <c r="E60" s="5">
        <v>33.799999999999997</v>
      </c>
      <c r="F60" t="s">
        <v>14</v>
      </c>
    </row>
    <row r="61" spans="1:6">
      <c r="A61" s="1">
        <v>45554</v>
      </c>
      <c r="B61" s="2">
        <v>45554.54136127315</v>
      </c>
      <c r="C61" t="s">
        <v>3</v>
      </c>
      <c r="D61" t="s">
        <v>12</v>
      </c>
      <c r="E61" s="5">
        <v>23.02</v>
      </c>
      <c r="F61" t="s">
        <v>11</v>
      </c>
    </row>
    <row r="62" spans="1:6">
      <c r="A62" s="1">
        <v>45554</v>
      </c>
      <c r="B62" s="2">
        <v>45554.542055740741</v>
      </c>
      <c r="C62" t="s">
        <v>3</v>
      </c>
      <c r="D62" t="s">
        <v>12</v>
      </c>
      <c r="E62" s="5">
        <v>27.92</v>
      </c>
      <c r="F62" t="s">
        <v>14</v>
      </c>
    </row>
    <row r="63" spans="1:6">
      <c r="A63" s="1">
        <v>45569</v>
      </c>
      <c r="B63" s="2">
        <v>45569.396088402777</v>
      </c>
      <c r="C63" t="s">
        <v>3</v>
      </c>
      <c r="D63" t="s">
        <v>12</v>
      </c>
      <c r="E63" s="5">
        <v>30.86</v>
      </c>
      <c r="F63" t="s">
        <v>14</v>
      </c>
    </row>
    <row r="64" spans="1:6">
      <c r="A64" s="1">
        <v>45352</v>
      </c>
      <c r="B64" s="2">
        <v>45352.65263571759</v>
      </c>
      <c r="C64" t="s">
        <v>3</v>
      </c>
      <c r="D64" t="s">
        <v>13</v>
      </c>
      <c r="E64" s="5">
        <v>33.799999999999997</v>
      </c>
      <c r="F64" t="s">
        <v>14</v>
      </c>
    </row>
    <row r="65" spans="1:6">
      <c r="A65" s="1">
        <v>45352</v>
      </c>
      <c r="B65" s="2">
        <v>45352.679893009263</v>
      </c>
      <c r="C65" t="s">
        <v>3</v>
      </c>
      <c r="D65" t="s">
        <v>15</v>
      </c>
      <c r="E65" s="5">
        <v>38.700000000000003</v>
      </c>
      <c r="F65" t="s">
        <v>9</v>
      </c>
    </row>
    <row r="66" spans="1:6">
      <c r="A66" s="1">
        <v>45352</v>
      </c>
      <c r="B66" s="2">
        <v>45352.777124768516</v>
      </c>
      <c r="C66" t="s">
        <v>3</v>
      </c>
      <c r="D66" t="s">
        <v>16</v>
      </c>
      <c r="E66" s="5">
        <v>33.799999999999997</v>
      </c>
      <c r="F66" t="s">
        <v>14</v>
      </c>
    </row>
    <row r="67" spans="1:6">
      <c r="A67" s="1">
        <v>45352</v>
      </c>
      <c r="B67" s="2">
        <v>45352.806964837961</v>
      </c>
      <c r="C67" t="s">
        <v>3</v>
      </c>
      <c r="D67" t="s">
        <v>17</v>
      </c>
      <c r="E67" s="5">
        <v>38.700000000000003</v>
      </c>
      <c r="F67" t="s">
        <v>18</v>
      </c>
    </row>
    <row r="68" spans="1:6">
      <c r="A68" s="1">
        <v>45352</v>
      </c>
      <c r="B68" s="2">
        <v>45352.807822766204</v>
      </c>
      <c r="C68" t="s">
        <v>3</v>
      </c>
      <c r="D68" t="s">
        <v>17</v>
      </c>
      <c r="E68" s="5">
        <v>33.799999999999997</v>
      </c>
      <c r="F68" t="s">
        <v>14</v>
      </c>
    </row>
    <row r="69" spans="1:6">
      <c r="A69" s="1">
        <v>45352</v>
      </c>
      <c r="B69" s="2">
        <v>45352.812006840279</v>
      </c>
      <c r="C69" t="s">
        <v>3</v>
      </c>
      <c r="D69" t="s">
        <v>19</v>
      </c>
      <c r="E69" s="5">
        <v>33.799999999999997</v>
      </c>
      <c r="F69" t="s">
        <v>14</v>
      </c>
    </row>
    <row r="70" spans="1:6">
      <c r="A70" s="1">
        <v>45356</v>
      </c>
      <c r="B70" s="2">
        <v>45356.734830486108</v>
      </c>
      <c r="C70" t="s">
        <v>3</v>
      </c>
      <c r="D70" t="s">
        <v>19</v>
      </c>
      <c r="E70" s="5">
        <v>38.700000000000003</v>
      </c>
      <c r="F70" t="s">
        <v>9</v>
      </c>
    </row>
    <row r="71" spans="1:6">
      <c r="A71" s="1">
        <v>45360</v>
      </c>
      <c r="B71" s="2">
        <v>45360.588910057872</v>
      </c>
      <c r="C71" t="s">
        <v>3</v>
      </c>
      <c r="D71" t="s">
        <v>19</v>
      </c>
      <c r="E71" s="5">
        <v>33.799999999999997</v>
      </c>
      <c r="F71" t="s">
        <v>14</v>
      </c>
    </row>
    <row r="72" spans="1:6">
      <c r="A72" s="1">
        <v>45360</v>
      </c>
      <c r="B72" s="2">
        <v>45360.804138564818</v>
      </c>
      <c r="C72" t="s">
        <v>3</v>
      </c>
      <c r="D72" t="s">
        <v>19</v>
      </c>
      <c r="E72" s="5">
        <v>38.700000000000003</v>
      </c>
      <c r="F72" t="s">
        <v>43</v>
      </c>
    </row>
    <row r="73" spans="1:6">
      <c r="A73" s="1">
        <v>45360</v>
      </c>
      <c r="B73" s="2">
        <v>45360.804977824075</v>
      </c>
      <c r="C73" t="s">
        <v>3</v>
      </c>
      <c r="D73" t="s">
        <v>19</v>
      </c>
      <c r="E73" s="5">
        <v>38.700000000000003</v>
      </c>
      <c r="F73" t="s">
        <v>9</v>
      </c>
    </row>
    <row r="74" spans="1:6">
      <c r="A74" s="1">
        <v>45367</v>
      </c>
      <c r="B74" s="2">
        <v>45367.665491412037</v>
      </c>
      <c r="C74" t="s">
        <v>3</v>
      </c>
      <c r="D74" t="s">
        <v>19</v>
      </c>
      <c r="E74" s="5">
        <v>28.9</v>
      </c>
      <c r="F74" t="s">
        <v>28</v>
      </c>
    </row>
    <row r="75" spans="1:6">
      <c r="A75" s="1">
        <v>45367</v>
      </c>
      <c r="B75" s="2">
        <v>45367.66900159722</v>
      </c>
      <c r="C75" t="s">
        <v>3</v>
      </c>
      <c r="D75" t="s">
        <v>19</v>
      </c>
      <c r="E75" s="5">
        <v>28.9</v>
      </c>
      <c r="F75" t="s">
        <v>28</v>
      </c>
    </row>
    <row r="76" spans="1:6">
      <c r="A76" s="1">
        <v>45374</v>
      </c>
      <c r="B76" s="2">
        <v>45374.667342430555</v>
      </c>
      <c r="C76" t="s">
        <v>3</v>
      </c>
      <c r="D76" t="s">
        <v>19</v>
      </c>
      <c r="E76" s="5">
        <v>28.9</v>
      </c>
      <c r="F76" t="s">
        <v>28</v>
      </c>
    </row>
    <row r="77" spans="1:6">
      <c r="A77" s="1">
        <v>45376</v>
      </c>
      <c r="B77" s="2">
        <v>45376.438741319442</v>
      </c>
      <c r="C77" t="s">
        <v>3</v>
      </c>
      <c r="D77" t="s">
        <v>19</v>
      </c>
      <c r="E77" s="5">
        <v>38.700000000000003</v>
      </c>
      <c r="F77" t="s">
        <v>7</v>
      </c>
    </row>
    <row r="78" spans="1:6">
      <c r="A78" s="1">
        <v>45377</v>
      </c>
      <c r="B78" s="2">
        <v>45377.46652008102</v>
      </c>
      <c r="C78" t="s">
        <v>3</v>
      </c>
      <c r="D78" t="s">
        <v>19</v>
      </c>
      <c r="E78" s="5">
        <v>28.9</v>
      </c>
      <c r="F78" t="s">
        <v>28</v>
      </c>
    </row>
    <row r="79" spans="1:6">
      <c r="A79" s="1">
        <v>45377</v>
      </c>
      <c r="B79" s="2">
        <v>45377.774243611108</v>
      </c>
      <c r="C79" t="s">
        <v>3</v>
      </c>
      <c r="D79" t="s">
        <v>19</v>
      </c>
      <c r="E79" s="5">
        <v>38.700000000000003</v>
      </c>
      <c r="F79" t="s">
        <v>9</v>
      </c>
    </row>
    <row r="80" spans="1:6">
      <c r="A80" s="1">
        <v>45381</v>
      </c>
      <c r="B80" s="2">
        <v>45381.692135567129</v>
      </c>
      <c r="C80" t="s">
        <v>3</v>
      </c>
      <c r="D80" t="s">
        <v>19</v>
      </c>
      <c r="E80" s="5">
        <v>38.700000000000003</v>
      </c>
      <c r="F80" t="s">
        <v>7</v>
      </c>
    </row>
    <row r="81" spans="1:6">
      <c r="A81" s="1">
        <v>45381</v>
      </c>
      <c r="B81" s="2">
        <v>45381.6930272338</v>
      </c>
      <c r="C81" t="s">
        <v>3</v>
      </c>
      <c r="D81" t="s">
        <v>19</v>
      </c>
      <c r="E81" s="5">
        <v>33.799999999999997</v>
      </c>
      <c r="F81" t="s">
        <v>14</v>
      </c>
    </row>
    <row r="82" spans="1:6">
      <c r="A82" s="1">
        <v>45383</v>
      </c>
      <c r="B82" s="2">
        <v>45383.46925736111</v>
      </c>
      <c r="C82" t="s">
        <v>3</v>
      </c>
      <c r="D82" t="s">
        <v>19</v>
      </c>
      <c r="E82" s="5">
        <v>33.799999999999997</v>
      </c>
      <c r="F82" t="s">
        <v>14</v>
      </c>
    </row>
    <row r="83" spans="1:6">
      <c r="A83" s="1">
        <v>45388</v>
      </c>
      <c r="B83" s="2">
        <v>45388.617941932869</v>
      </c>
      <c r="C83" t="s">
        <v>3</v>
      </c>
      <c r="D83" t="s">
        <v>19</v>
      </c>
      <c r="E83" s="5">
        <v>38.700000000000003</v>
      </c>
      <c r="F83" t="s">
        <v>7</v>
      </c>
    </row>
    <row r="84" spans="1:6">
      <c r="A84" s="1">
        <v>45392</v>
      </c>
      <c r="B84" s="2">
        <v>45392.767352893519</v>
      </c>
      <c r="C84" t="s">
        <v>3</v>
      </c>
      <c r="D84" t="s">
        <v>19</v>
      </c>
      <c r="E84" s="5">
        <v>38.700000000000003</v>
      </c>
      <c r="F84" t="s">
        <v>43</v>
      </c>
    </row>
    <row r="85" spans="1:6">
      <c r="A85" s="1">
        <v>45394</v>
      </c>
      <c r="B85" s="2">
        <v>45394.818323946762</v>
      </c>
      <c r="C85" t="s">
        <v>3</v>
      </c>
      <c r="D85" t="s">
        <v>19</v>
      </c>
      <c r="E85" s="5">
        <v>28.9</v>
      </c>
      <c r="F85" t="s">
        <v>28</v>
      </c>
    </row>
    <row r="86" spans="1:6">
      <c r="A86" s="1">
        <v>45395</v>
      </c>
      <c r="B86" s="2">
        <v>45395.520368321762</v>
      </c>
      <c r="C86" t="s">
        <v>3</v>
      </c>
      <c r="D86" t="s">
        <v>19</v>
      </c>
      <c r="E86" s="5">
        <v>38.700000000000003</v>
      </c>
      <c r="F86" t="s">
        <v>7</v>
      </c>
    </row>
    <row r="87" spans="1:6">
      <c r="A87" s="1">
        <v>45397</v>
      </c>
      <c r="B87" s="2">
        <v>45397.814618472221</v>
      </c>
      <c r="C87" t="s">
        <v>3</v>
      </c>
      <c r="D87" t="s">
        <v>19</v>
      </c>
      <c r="E87" s="5">
        <v>33.799999999999997</v>
      </c>
      <c r="F87" t="s">
        <v>14</v>
      </c>
    </row>
    <row r="88" spans="1:6">
      <c r="A88" s="1">
        <v>45398</v>
      </c>
      <c r="B88" s="2">
        <v>45398.738460185188</v>
      </c>
      <c r="C88" t="s">
        <v>3</v>
      </c>
      <c r="D88" t="s">
        <v>19</v>
      </c>
      <c r="E88" s="5">
        <v>38.700000000000003</v>
      </c>
      <c r="F88" t="s">
        <v>43</v>
      </c>
    </row>
    <row r="89" spans="1:6">
      <c r="A89" s="1">
        <v>45400</v>
      </c>
      <c r="B89" s="2">
        <v>45400.820011041666</v>
      </c>
      <c r="C89" t="s">
        <v>3</v>
      </c>
      <c r="D89" t="s">
        <v>19</v>
      </c>
      <c r="E89" s="5">
        <v>38.700000000000003</v>
      </c>
      <c r="F89" t="s">
        <v>9</v>
      </c>
    </row>
    <row r="90" spans="1:6">
      <c r="A90" s="1">
        <v>45401</v>
      </c>
      <c r="B90" s="2">
        <v>45401.767748148151</v>
      </c>
      <c r="C90" t="s">
        <v>3</v>
      </c>
      <c r="D90" t="s">
        <v>19</v>
      </c>
      <c r="E90" s="5">
        <v>33.799999999999997</v>
      </c>
      <c r="F90" t="s">
        <v>14</v>
      </c>
    </row>
    <row r="91" spans="1:6">
      <c r="A91" s="1">
        <v>45402</v>
      </c>
      <c r="B91" s="2">
        <v>45402.632642708333</v>
      </c>
      <c r="C91" t="s">
        <v>3</v>
      </c>
      <c r="D91" t="s">
        <v>19</v>
      </c>
      <c r="E91" s="5">
        <v>33.799999999999997</v>
      </c>
      <c r="F91" t="s">
        <v>14</v>
      </c>
    </row>
    <row r="92" spans="1:6">
      <c r="A92" s="1">
        <v>45404</v>
      </c>
      <c r="B92" s="2">
        <v>45404.81880508102</v>
      </c>
      <c r="C92" t="s">
        <v>3</v>
      </c>
      <c r="D92" t="s">
        <v>19</v>
      </c>
      <c r="E92" s="5">
        <v>37.72</v>
      </c>
      <c r="F92" t="s">
        <v>7</v>
      </c>
    </row>
    <row r="93" spans="1:6">
      <c r="A93" s="1">
        <v>45405</v>
      </c>
      <c r="B93" s="2">
        <v>45405.600665682869</v>
      </c>
      <c r="C93" t="s">
        <v>3</v>
      </c>
      <c r="D93" t="s">
        <v>19</v>
      </c>
      <c r="E93" s="5">
        <v>37.72</v>
      </c>
      <c r="F93" t="s">
        <v>43</v>
      </c>
    </row>
    <row r="94" spans="1:6">
      <c r="A94" s="1">
        <v>45406</v>
      </c>
      <c r="B94" s="2">
        <v>45406.693835914353</v>
      </c>
      <c r="C94" t="s">
        <v>3</v>
      </c>
      <c r="D94" t="s">
        <v>19</v>
      </c>
      <c r="E94" s="5">
        <v>32.82</v>
      </c>
      <c r="F94" t="s">
        <v>14</v>
      </c>
    </row>
    <row r="95" spans="1:6">
      <c r="A95" s="1">
        <v>45407</v>
      </c>
      <c r="B95" s="2">
        <v>45407.63781216435</v>
      </c>
      <c r="C95" t="s">
        <v>3</v>
      </c>
      <c r="D95" t="s">
        <v>19</v>
      </c>
      <c r="E95" s="5">
        <v>37.72</v>
      </c>
      <c r="F95" t="s">
        <v>7</v>
      </c>
    </row>
    <row r="96" spans="1:6">
      <c r="A96" s="1">
        <v>45408</v>
      </c>
      <c r="B96" s="2">
        <v>45408.813971203701</v>
      </c>
      <c r="C96" t="s">
        <v>3</v>
      </c>
      <c r="D96" t="s">
        <v>19</v>
      </c>
      <c r="E96" s="5">
        <v>37.72</v>
      </c>
      <c r="F96" t="s">
        <v>9</v>
      </c>
    </row>
    <row r="97" spans="1:6">
      <c r="A97" s="1">
        <v>45408</v>
      </c>
      <c r="B97" s="2">
        <v>45408.81493310185</v>
      </c>
      <c r="C97" t="s">
        <v>3</v>
      </c>
      <c r="D97" t="s">
        <v>19</v>
      </c>
      <c r="E97" s="5">
        <v>37.72</v>
      </c>
      <c r="F97" t="s">
        <v>18</v>
      </c>
    </row>
    <row r="98" spans="1:6">
      <c r="A98" s="1">
        <v>45409</v>
      </c>
      <c r="B98" s="2">
        <v>45409.64375787037</v>
      </c>
      <c r="C98" t="s">
        <v>3</v>
      </c>
      <c r="D98" t="s">
        <v>19</v>
      </c>
      <c r="E98" s="5">
        <v>37.72</v>
      </c>
      <c r="F98" t="s">
        <v>43</v>
      </c>
    </row>
    <row r="99" spans="1:6">
      <c r="A99" s="1">
        <v>45423</v>
      </c>
      <c r="B99" s="2">
        <v>45423.722574050924</v>
      </c>
      <c r="C99" t="s">
        <v>3</v>
      </c>
      <c r="D99" t="s">
        <v>19</v>
      </c>
      <c r="E99" s="5">
        <v>32.82</v>
      </c>
      <c r="F99" t="s">
        <v>14</v>
      </c>
    </row>
    <row r="100" spans="1:6">
      <c r="A100" s="1">
        <v>45424</v>
      </c>
      <c r="B100" s="2">
        <v>45424.820492696759</v>
      </c>
      <c r="C100" t="s">
        <v>3</v>
      </c>
      <c r="D100" t="s">
        <v>19</v>
      </c>
      <c r="E100" s="5">
        <v>32.82</v>
      </c>
      <c r="F100" t="s">
        <v>14</v>
      </c>
    </row>
    <row r="101" spans="1:6">
      <c r="A101" s="1">
        <v>45426</v>
      </c>
      <c r="B101" s="2">
        <v>45426.587504374998</v>
      </c>
      <c r="C101" t="s">
        <v>3</v>
      </c>
      <c r="D101" t="s">
        <v>19</v>
      </c>
      <c r="E101" s="5">
        <v>32.82</v>
      </c>
      <c r="F101" t="s">
        <v>14</v>
      </c>
    </row>
    <row r="102" spans="1:6">
      <c r="A102" s="1">
        <v>45429</v>
      </c>
      <c r="B102" s="2">
        <v>45429.831096655093</v>
      </c>
      <c r="C102" t="s">
        <v>3</v>
      </c>
      <c r="D102" t="s">
        <v>19</v>
      </c>
      <c r="E102" s="5">
        <v>37.72</v>
      </c>
      <c r="F102" t="s">
        <v>43</v>
      </c>
    </row>
    <row r="103" spans="1:6">
      <c r="A103" s="1">
        <v>45430</v>
      </c>
      <c r="B103" s="2">
        <v>45430.849225821759</v>
      </c>
      <c r="C103" t="s">
        <v>3</v>
      </c>
      <c r="D103" t="s">
        <v>19</v>
      </c>
      <c r="E103" s="5">
        <v>37.72</v>
      </c>
      <c r="F103" t="s">
        <v>7</v>
      </c>
    </row>
    <row r="104" spans="1:6">
      <c r="A104" s="1">
        <v>45434</v>
      </c>
      <c r="B104" s="2">
        <v>45434.583570590279</v>
      </c>
      <c r="C104" t="s">
        <v>3</v>
      </c>
      <c r="D104" t="s">
        <v>19</v>
      </c>
      <c r="E104" s="5">
        <v>32.82</v>
      </c>
      <c r="F104" t="s">
        <v>14</v>
      </c>
    </row>
    <row r="105" spans="1:6">
      <c r="A105" s="1">
        <v>45440</v>
      </c>
      <c r="B105" s="2">
        <v>45440.850372743058</v>
      </c>
      <c r="C105" t="s">
        <v>3</v>
      </c>
      <c r="D105" t="s">
        <v>19</v>
      </c>
      <c r="E105" s="5">
        <v>32.82</v>
      </c>
      <c r="F105" t="s">
        <v>14</v>
      </c>
    </row>
    <row r="106" spans="1:6">
      <c r="A106" s="1">
        <v>45442</v>
      </c>
      <c r="B106" s="2">
        <v>45442.865437905093</v>
      </c>
      <c r="C106" t="s">
        <v>3</v>
      </c>
      <c r="D106" t="s">
        <v>19</v>
      </c>
      <c r="E106" s="5">
        <v>37.72</v>
      </c>
      <c r="F106" t="s">
        <v>9</v>
      </c>
    </row>
    <row r="107" spans="1:6">
      <c r="A107" s="1">
        <v>45442</v>
      </c>
      <c r="B107" s="2">
        <v>45442.866222060184</v>
      </c>
      <c r="C107" t="s">
        <v>3</v>
      </c>
      <c r="D107" t="s">
        <v>19</v>
      </c>
      <c r="E107" s="5">
        <v>32.82</v>
      </c>
      <c r="F107" t="s">
        <v>14</v>
      </c>
    </row>
    <row r="108" spans="1:6">
      <c r="A108" s="1">
        <v>45444</v>
      </c>
      <c r="B108" s="2">
        <v>45444.910474201388</v>
      </c>
      <c r="C108" t="s">
        <v>3</v>
      </c>
      <c r="D108" t="s">
        <v>19</v>
      </c>
      <c r="E108" s="5">
        <v>32.82</v>
      </c>
      <c r="F108" t="s">
        <v>14</v>
      </c>
    </row>
    <row r="109" spans="1:6">
      <c r="A109" s="1">
        <v>45445</v>
      </c>
      <c r="B109" s="2">
        <v>45445.835715266207</v>
      </c>
      <c r="C109" t="s">
        <v>3</v>
      </c>
      <c r="D109" t="s">
        <v>19</v>
      </c>
      <c r="E109" s="5">
        <v>37.72</v>
      </c>
      <c r="F109" t="s">
        <v>7</v>
      </c>
    </row>
    <row r="110" spans="1:6">
      <c r="A110" s="1">
        <v>45446</v>
      </c>
      <c r="B110" s="2">
        <v>45446.607024560188</v>
      </c>
      <c r="C110" t="s">
        <v>3</v>
      </c>
      <c r="D110" t="s">
        <v>19</v>
      </c>
      <c r="E110" s="5">
        <v>37.72</v>
      </c>
      <c r="F110" t="s">
        <v>7</v>
      </c>
    </row>
    <row r="111" spans="1:6">
      <c r="A111" s="1">
        <v>45456</v>
      </c>
      <c r="B111" s="2">
        <v>45456.866873865743</v>
      </c>
      <c r="C111" t="s">
        <v>3</v>
      </c>
      <c r="D111" t="s">
        <v>19</v>
      </c>
      <c r="E111" s="5">
        <v>32.82</v>
      </c>
      <c r="F111" t="s">
        <v>14</v>
      </c>
    </row>
    <row r="112" spans="1:6">
      <c r="A112" s="1">
        <v>45456</v>
      </c>
      <c r="B112" s="2">
        <v>45456.876717326391</v>
      </c>
      <c r="C112" t="s">
        <v>3</v>
      </c>
      <c r="D112" t="s">
        <v>19</v>
      </c>
      <c r="E112" s="5">
        <v>32.82</v>
      </c>
      <c r="F112" t="s">
        <v>14</v>
      </c>
    </row>
    <row r="113" spans="1:6">
      <c r="A113" s="1">
        <v>45460</v>
      </c>
      <c r="B113" s="2">
        <v>45460.88624403935</v>
      </c>
      <c r="C113" t="s">
        <v>3</v>
      </c>
      <c r="D113" t="s">
        <v>19</v>
      </c>
      <c r="E113" s="5">
        <v>32.82</v>
      </c>
      <c r="F113" t="s">
        <v>14</v>
      </c>
    </row>
    <row r="114" spans="1:6">
      <c r="A114" s="1">
        <v>45462</v>
      </c>
      <c r="B114" s="2">
        <v>45462.813556631947</v>
      </c>
      <c r="C114" t="s">
        <v>3</v>
      </c>
      <c r="D114" t="s">
        <v>19</v>
      </c>
      <c r="E114" s="5">
        <v>32.82</v>
      </c>
      <c r="F114" t="s">
        <v>14</v>
      </c>
    </row>
    <row r="115" spans="1:6">
      <c r="A115" s="1">
        <v>45463</v>
      </c>
      <c r="B115" s="2">
        <v>45463.915052708333</v>
      </c>
      <c r="C115" t="s">
        <v>3</v>
      </c>
      <c r="D115" t="s">
        <v>19</v>
      </c>
      <c r="E115" s="5">
        <v>37.72</v>
      </c>
      <c r="F115" t="s">
        <v>7</v>
      </c>
    </row>
    <row r="116" spans="1:6">
      <c r="A116" s="1">
        <v>45463</v>
      </c>
      <c r="B116" s="2">
        <v>45463.916175902777</v>
      </c>
      <c r="C116" t="s">
        <v>3</v>
      </c>
      <c r="D116" t="s">
        <v>19</v>
      </c>
      <c r="E116" s="5">
        <v>32.82</v>
      </c>
      <c r="F116" t="s">
        <v>14</v>
      </c>
    </row>
    <row r="117" spans="1:6">
      <c r="A117" s="1">
        <v>45464</v>
      </c>
      <c r="B117" s="2">
        <v>45464.812808460651</v>
      </c>
      <c r="C117" t="s">
        <v>3</v>
      </c>
      <c r="D117" t="s">
        <v>19</v>
      </c>
      <c r="E117" s="5">
        <v>37.72</v>
      </c>
      <c r="F117" t="s">
        <v>7</v>
      </c>
    </row>
    <row r="118" spans="1:6">
      <c r="A118" s="1">
        <v>45465</v>
      </c>
      <c r="B118" s="2">
        <v>45465.650927511575</v>
      </c>
      <c r="C118" t="s">
        <v>3</v>
      </c>
      <c r="D118" t="s">
        <v>19</v>
      </c>
      <c r="E118" s="5">
        <v>37.72</v>
      </c>
      <c r="F118" t="s">
        <v>7</v>
      </c>
    </row>
    <row r="119" spans="1:6">
      <c r="A119" s="1">
        <v>45469</v>
      </c>
      <c r="B119" s="2">
        <v>45469.890200185182</v>
      </c>
      <c r="C119" t="s">
        <v>3</v>
      </c>
      <c r="D119" t="s">
        <v>19</v>
      </c>
      <c r="E119" s="5">
        <v>37.72</v>
      </c>
      <c r="F119" t="s">
        <v>7</v>
      </c>
    </row>
    <row r="120" spans="1:6">
      <c r="A120" s="1">
        <v>45469</v>
      </c>
      <c r="B120" s="2">
        <v>45469.893759340281</v>
      </c>
      <c r="C120" t="s">
        <v>3</v>
      </c>
      <c r="D120" t="s">
        <v>19</v>
      </c>
      <c r="E120" s="5">
        <v>37.72</v>
      </c>
      <c r="F120" t="s">
        <v>43</v>
      </c>
    </row>
    <row r="121" spans="1:6">
      <c r="A121" s="1">
        <v>45472</v>
      </c>
      <c r="B121" s="2">
        <v>45472.894009826392</v>
      </c>
      <c r="C121" t="s">
        <v>3</v>
      </c>
      <c r="D121" t="s">
        <v>19</v>
      </c>
      <c r="E121" s="5">
        <v>37.72</v>
      </c>
      <c r="F121" t="s">
        <v>7</v>
      </c>
    </row>
    <row r="122" spans="1:6">
      <c r="A122" s="1">
        <v>45473</v>
      </c>
      <c r="B122" s="2">
        <v>45473.7046490625</v>
      </c>
      <c r="C122" t="s">
        <v>3</v>
      </c>
      <c r="D122" t="s">
        <v>19</v>
      </c>
      <c r="E122" s="5">
        <v>37.72</v>
      </c>
      <c r="F122" t="s">
        <v>9</v>
      </c>
    </row>
    <row r="123" spans="1:6">
      <c r="A123" s="1">
        <v>45476</v>
      </c>
      <c r="B123" s="2">
        <v>45476.795939074073</v>
      </c>
      <c r="C123" t="s">
        <v>3</v>
      </c>
      <c r="D123" t="s">
        <v>19</v>
      </c>
      <c r="E123" s="5">
        <v>37.72</v>
      </c>
      <c r="F123" t="s">
        <v>7</v>
      </c>
    </row>
    <row r="124" spans="1:6">
      <c r="A124" s="1">
        <v>45479</v>
      </c>
      <c r="B124" s="2">
        <v>45479.719282893515</v>
      </c>
      <c r="C124" t="s">
        <v>3</v>
      </c>
      <c r="D124" t="s">
        <v>19</v>
      </c>
      <c r="E124" s="5">
        <v>32.82</v>
      </c>
      <c r="F124" t="s">
        <v>7</v>
      </c>
    </row>
    <row r="125" spans="1:6">
      <c r="A125" s="1">
        <v>45479</v>
      </c>
      <c r="B125" s="2">
        <v>45479.720150995374</v>
      </c>
      <c r="C125" t="s">
        <v>3</v>
      </c>
      <c r="D125" t="s">
        <v>19</v>
      </c>
      <c r="E125" s="5">
        <v>32.82</v>
      </c>
      <c r="F125" t="s">
        <v>7</v>
      </c>
    </row>
    <row r="126" spans="1:6">
      <c r="A126" s="1">
        <v>45491</v>
      </c>
      <c r="B126" s="2">
        <v>45491.813085208334</v>
      </c>
      <c r="C126" t="s">
        <v>3</v>
      </c>
      <c r="D126" t="s">
        <v>19</v>
      </c>
      <c r="E126" s="5">
        <v>32.82</v>
      </c>
      <c r="F126" t="s">
        <v>7</v>
      </c>
    </row>
    <row r="127" spans="1:6">
      <c r="A127" s="1">
        <v>45496</v>
      </c>
      <c r="B127" s="2">
        <v>45496.876164490743</v>
      </c>
      <c r="C127" t="s">
        <v>3</v>
      </c>
      <c r="D127" t="s">
        <v>19</v>
      </c>
      <c r="E127" s="5">
        <v>32.82</v>
      </c>
      <c r="F127" t="s">
        <v>7</v>
      </c>
    </row>
    <row r="128" spans="1:6">
      <c r="A128" s="1">
        <v>45497</v>
      </c>
      <c r="B128" s="2">
        <v>45497.637853263892</v>
      </c>
      <c r="C128" t="s">
        <v>3</v>
      </c>
      <c r="D128" t="s">
        <v>19</v>
      </c>
      <c r="E128" s="5">
        <v>32.82</v>
      </c>
      <c r="F128" t="s">
        <v>7</v>
      </c>
    </row>
    <row r="129" spans="1:6">
      <c r="A129" s="1">
        <v>45499</v>
      </c>
      <c r="B129" s="2">
        <v>45499.885527916667</v>
      </c>
      <c r="C129" t="s">
        <v>3</v>
      </c>
      <c r="D129" t="s">
        <v>19</v>
      </c>
      <c r="E129" s="5">
        <v>32.82</v>
      </c>
      <c r="F129" t="s">
        <v>7</v>
      </c>
    </row>
    <row r="130" spans="1:6">
      <c r="A130" s="1">
        <v>45500</v>
      </c>
      <c r="B130" s="2">
        <v>45500.871761284725</v>
      </c>
      <c r="C130" t="s">
        <v>3</v>
      </c>
      <c r="D130" t="s">
        <v>19</v>
      </c>
      <c r="E130" s="5">
        <v>32.82</v>
      </c>
      <c r="F130" t="s">
        <v>7</v>
      </c>
    </row>
    <row r="131" spans="1:6">
      <c r="A131" s="1">
        <v>45504</v>
      </c>
      <c r="B131" s="2">
        <v>45504.811633576392</v>
      </c>
      <c r="C131" t="s">
        <v>3</v>
      </c>
      <c r="D131" t="s">
        <v>19</v>
      </c>
      <c r="E131" s="5">
        <v>32.82</v>
      </c>
      <c r="F131" t="s">
        <v>7</v>
      </c>
    </row>
    <row r="132" spans="1:6">
      <c r="A132" s="1">
        <v>45506</v>
      </c>
      <c r="B132" s="2">
        <v>45506.891022673612</v>
      </c>
      <c r="C132" t="s">
        <v>3</v>
      </c>
      <c r="D132" t="s">
        <v>19</v>
      </c>
      <c r="E132" s="5">
        <v>32.82</v>
      </c>
      <c r="F132" t="s">
        <v>7</v>
      </c>
    </row>
    <row r="133" spans="1:6">
      <c r="A133" s="1">
        <v>45509</v>
      </c>
      <c r="B133" s="2">
        <v>45509.815873657404</v>
      </c>
      <c r="C133" t="s">
        <v>3</v>
      </c>
      <c r="D133" t="s">
        <v>19</v>
      </c>
      <c r="E133" s="5">
        <v>32.82</v>
      </c>
      <c r="F133" t="s">
        <v>7</v>
      </c>
    </row>
    <row r="134" spans="1:6">
      <c r="A134" s="1">
        <v>45511</v>
      </c>
      <c r="B134" s="2">
        <v>45511.816929849534</v>
      </c>
      <c r="C134" t="s">
        <v>3</v>
      </c>
      <c r="D134" t="s">
        <v>19</v>
      </c>
      <c r="E134" s="5">
        <v>32.82</v>
      </c>
      <c r="F134" t="s">
        <v>7</v>
      </c>
    </row>
    <row r="135" spans="1:6">
      <c r="A135" s="1">
        <v>45514</v>
      </c>
      <c r="B135" s="2">
        <v>45514.670973206019</v>
      </c>
      <c r="C135" t="s">
        <v>3</v>
      </c>
      <c r="D135" t="s">
        <v>19</v>
      </c>
      <c r="E135" s="5">
        <v>32.82</v>
      </c>
      <c r="F135" t="s">
        <v>7</v>
      </c>
    </row>
    <row r="136" spans="1:6">
      <c r="A136" s="1">
        <v>45353</v>
      </c>
      <c r="B136" s="2">
        <v>45353.432024965281</v>
      </c>
      <c r="C136" t="s">
        <v>3</v>
      </c>
      <c r="D136" t="s">
        <v>20</v>
      </c>
      <c r="E136" s="5">
        <v>28.9</v>
      </c>
      <c r="F136" t="s">
        <v>11</v>
      </c>
    </row>
    <row r="137" spans="1:6">
      <c r="A137" s="1">
        <v>45353</v>
      </c>
      <c r="B137" s="2">
        <v>45353.445616307872</v>
      </c>
      <c r="C137" t="s">
        <v>3</v>
      </c>
      <c r="D137" t="s">
        <v>22</v>
      </c>
      <c r="E137" s="5">
        <v>33.799999999999997</v>
      </c>
      <c r="F137" t="s">
        <v>14</v>
      </c>
    </row>
    <row r="138" spans="1:6">
      <c r="A138" s="1">
        <v>45353</v>
      </c>
      <c r="B138" s="2">
        <v>45353.499831990739</v>
      </c>
      <c r="C138" t="s">
        <v>3</v>
      </c>
      <c r="D138" t="s">
        <v>23</v>
      </c>
      <c r="E138" s="5">
        <v>33.799999999999997</v>
      </c>
      <c r="F138" t="s">
        <v>14</v>
      </c>
    </row>
    <row r="139" spans="1:6">
      <c r="A139" s="1">
        <v>45354</v>
      </c>
      <c r="B139" s="2">
        <v>45354.518704837959</v>
      </c>
      <c r="C139" t="s">
        <v>3</v>
      </c>
      <c r="D139" t="s">
        <v>23</v>
      </c>
      <c r="E139" s="5">
        <v>28.9</v>
      </c>
      <c r="F139" t="s">
        <v>11</v>
      </c>
    </row>
    <row r="140" spans="1:6">
      <c r="A140" s="1">
        <v>45355</v>
      </c>
      <c r="B140" s="2">
        <v>45355.461992870369</v>
      </c>
      <c r="C140" t="s">
        <v>3</v>
      </c>
      <c r="D140" t="s">
        <v>23</v>
      </c>
      <c r="E140" s="5">
        <v>33.799999999999997</v>
      </c>
      <c r="F140" t="s">
        <v>14</v>
      </c>
    </row>
    <row r="141" spans="1:6">
      <c r="A141" s="1">
        <v>45357</v>
      </c>
      <c r="B141" s="2">
        <v>45357.558422071757</v>
      </c>
      <c r="C141" t="s">
        <v>3</v>
      </c>
      <c r="D141" t="s">
        <v>23</v>
      </c>
      <c r="E141" s="5">
        <v>28.9</v>
      </c>
      <c r="F141" t="s">
        <v>11</v>
      </c>
    </row>
    <row r="142" spans="1:6">
      <c r="A142" s="1">
        <v>45357</v>
      </c>
      <c r="B142" s="2">
        <v>45357.559193877314</v>
      </c>
      <c r="C142" t="s">
        <v>3</v>
      </c>
      <c r="D142" t="s">
        <v>23</v>
      </c>
      <c r="E142" s="5">
        <v>28.9</v>
      </c>
      <c r="F142" t="s">
        <v>28</v>
      </c>
    </row>
    <row r="143" spans="1:6">
      <c r="A143" s="1">
        <v>45359</v>
      </c>
      <c r="B143" s="2">
        <v>45359.44075559028</v>
      </c>
      <c r="C143" t="s">
        <v>3</v>
      </c>
      <c r="D143" t="s">
        <v>23</v>
      </c>
      <c r="E143" s="5">
        <v>28.9</v>
      </c>
      <c r="F143" t="s">
        <v>28</v>
      </c>
    </row>
    <row r="144" spans="1:6">
      <c r="A144" s="1">
        <v>45359</v>
      </c>
      <c r="B144" s="2">
        <v>45359.61403571759</v>
      </c>
      <c r="C144" t="s">
        <v>3</v>
      </c>
      <c r="D144" t="s">
        <v>23</v>
      </c>
      <c r="E144" s="5">
        <v>28.9</v>
      </c>
      <c r="F144" t="s">
        <v>11</v>
      </c>
    </row>
    <row r="145" spans="1:6">
      <c r="A145" s="1">
        <v>45359</v>
      </c>
      <c r="B145" s="2">
        <v>45359.615406886573</v>
      </c>
      <c r="C145" t="s">
        <v>3</v>
      </c>
      <c r="D145" t="s">
        <v>23</v>
      </c>
      <c r="E145" s="5">
        <v>33.799999999999997</v>
      </c>
      <c r="F145" t="s">
        <v>14</v>
      </c>
    </row>
    <row r="146" spans="1:6">
      <c r="A146" s="1">
        <v>45360</v>
      </c>
      <c r="B146" s="2">
        <v>45360.506802245371</v>
      </c>
      <c r="C146" t="s">
        <v>3</v>
      </c>
      <c r="D146" t="s">
        <v>23</v>
      </c>
      <c r="E146" s="5">
        <v>38.700000000000003</v>
      </c>
      <c r="F146" t="s">
        <v>43</v>
      </c>
    </row>
    <row r="147" spans="1:6">
      <c r="A147" s="1">
        <v>45365</v>
      </c>
      <c r="B147" s="2">
        <v>45365.560758518521</v>
      </c>
      <c r="C147" t="s">
        <v>3</v>
      </c>
      <c r="D147" t="s">
        <v>23</v>
      </c>
      <c r="E147" s="5">
        <v>28.9</v>
      </c>
      <c r="F147" t="s">
        <v>28</v>
      </c>
    </row>
    <row r="148" spans="1:6">
      <c r="A148" s="1">
        <v>45365</v>
      </c>
      <c r="B148" s="2">
        <v>45365.561394988428</v>
      </c>
      <c r="C148" t="s">
        <v>3</v>
      </c>
      <c r="D148" t="s">
        <v>23</v>
      </c>
      <c r="E148" s="5">
        <v>28.9</v>
      </c>
      <c r="F148" t="s">
        <v>11</v>
      </c>
    </row>
    <row r="149" spans="1:6">
      <c r="A149" s="1">
        <v>45365</v>
      </c>
      <c r="B149" s="2">
        <v>45365.791766932867</v>
      </c>
      <c r="C149" t="s">
        <v>3</v>
      </c>
      <c r="D149" t="s">
        <v>23</v>
      </c>
      <c r="E149" s="5">
        <v>28.9</v>
      </c>
      <c r="F149" t="s">
        <v>28</v>
      </c>
    </row>
    <row r="150" spans="1:6">
      <c r="A150" s="1">
        <v>45366</v>
      </c>
      <c r="B150" s="2">
        <v>45366.763517615742</v>
      </c>
      <c r="C150" t="s">
        <v>3</v>
      </c>
      <c r="D150" t="s">
        <v>23</v>
      </c>
      <c r="E150" s="5">
        <v>28.9</v>
      </c>
      <c r="F150" t="s">
        <v>11</v>
      </c>
    </row>
    <row r="151" spans="1:6">
      <c r="A151" s="1">
        <v>45367</v>
      </c>
      <c r="B151" s="2">
        <v>45367.669576898152</v>
      </c>
      <c r="C151" t="s">
        <v>3</v>
      </c>
      <c r="D151" t="s">
        <v>23</v>
      </c>
      <c r="E151" s="5">
        <v>28.9</v>
      </c>
      <c r="F151" t="s">
        <v>28</v>
      </c>
    </row>
    <row r="152" spans="1:6">
      <c r="A152" s="1">
        <v>45371</v>
      </c>
      <c r="B152" s="2">
        <v>45371.486995405096</v>
      </c>
      <c r="C152" t="s">
        <v>3</v>
      </c>
      <c r="D152" t="s">
        <v>23</v>
      </c>
      <c r="E152" s="5">
        <v>28.9</v>
      </c>
      <c r="F152" t="s">
        <v>28</v>
      </c>
    </row>
    <row r="153" spans="1:6">
      <c r="A153" s="1">
        <v>45372</v>
      </c>
      <c r="B153" s="2">
        <v>45372.517467523146</v>
      </c>
      <c r="C153" t="s">
        <v>3</v>
      </c>
      <c r="D153" t="s">
        <v>23</v>
      </c>
      <c r="E153" s="5">
        <v>28.9</v>
      </c>
      <c r="F153" t="s">
        <v>28</v>
      </c>
    </row>
    <row r="154" spans="1:6">
      <c r="A154" s="1">
        <v>45372</v>
      </c>
      <c r="B154" s="2">
        <v>45372.518257268515</v>
      </c>
      <c r="C154" t="s">
        <v>3</v>
      </c>
      <c r="D154" t="s">
        <v>23</v>
      </c>
      <c r="E154" s="5">
        <v>38.700000000000003</v>
      </c>
      <c r="F154" t="s">
        <v>43</v>
      </c>
    </row>
    <row r="155" spans="1:6">
      <c r="A155" s="1">
        <v>45372</v>
      </c>
      <c r="B155" s="2">
        <v>45372.723626770836</v>
      </c>
      <c r="C155" t="s">
        <v>3</v>
      </c>
      <c r="D155" t="s">
        <v>23</v>
      </c>
      <c r="E155" s="5">
        <v>28.9</v>
      </c>
      <c r="F155" t="s">
        <v>28</v>
      </c>
    </row>
    <row r="156" spans="1:6">
      <c r="A156" s="1">
        <v>45373</v>
      </c>
      <c r="B156" s="2">
        <v>45373.720181990742</v>
      </c>
      <c r="C156" t="s">
        <v>3</v>
      </c>
      <c r="D156" t="s">
        <v>23</v>
      </c>
      <c r="E156" s="5">
        <v>28.9</v>
      </c>
      <c r="F156" t="s">
        <v>11</v>
      </c>
    </row>
    <row r="157" spans="1:6">
      <c r="A157" s="1">
        <v>45373</v>
      </c>
      <c r="B157" s="2">
        <v>45373.720821655093</v>
      </c>
      <c r="C157" t="s">
        <v>3</v>
      </c>
      <c r="D157" t="s">
        <v>23</v>
      </c>
      <c r="E157" s="5">
        <v>24</v>
      </c>
      <c r="F157" t="s">
        <v>35</v>
      </c>
    </row>
    <row r="158" spans="1:6">
      <c r="A158" s="1">
        <v>45378</v>
      </c>
      <c r="B158" s="2">
        <v>45378.598977569447</v>
      </c>
      <c r="C158" t="s">
        <v>3</v>
      </c>
      <c r="D158" t="s">
        <v>23</v>
      </c>
      <c r="E158" s="5">
        <v>38.700000000000003</v>
      </c>
      <c r="F158" t="s">
        <v>43</v>
      </c>
    </row>
    <row r="159" spans="1:6">
      <c r="A159" s="1">
        <v>45378</v>
      </c>
      <c r="B159" s="2">
        <v>45378.599715046294</v>
      </c>
      <c r="C159" t="s">
        <v>3</v>
      </c>
      <c r="D159" t="s">
        <v>23</v>
      </c>
      <c r="E159" s="5">
        <v>28.9</v>
      </c>
      <c r="F159" t="s">
        <v>11</v>
      </c>
    </row>
    <row r="160" spans="1:6">
      <c r="A160" s="1">
        <v>45379</v>
      </c>
      <c r="B160" s="2">
        <v>45379.725535231482</v>
      </c>
      <c r="C160" t="s">
        <v>3</v>
      </c>
      <c r="D160" t="s">
        <v>23</v>
      </c>
      <c r="E160" s="5">
        <v>28.9</v>
      </c>
      <c r="F160" t="s">
        <v>28</v>
      </c>
    </row>
    <row r="161" spans="1:6">
      <c r="A161" s="1">
        <v>45379</v>
      </c>
      <c r="B161" s="2">
        <v>45379.727144722223</v>
      </c>
      <c r="C161" t="s">
        <v>3</v>
      </c>
      <c r="D161" t="s">
        <v>23</v>
      </c>
      <c r="E161" s="5">
        <v>28.9</v>
      </c>
      <c r="F161" t="s">
        <v>11</v>
      </c>
    </row>
    <row r="162" spans="1:6">
      <c r="A162" s="1">
        <v>45385</v>
      </c>
      <c r="B162" s="2">
        <v>45385.550062118054</v>
      </c>
      <c r="C162" t="s">
        <v>3</v>
      </c>
      <c r="D162" t="s">
        <v>23</v>
      </c>
      <c r="E162" s="5">
        <v>38.700000000000003</v>
      </c>
      <c r="F162" t="s">
        <v>43</v>
      </c>
    </row>
    <row r="163" spans="1:6">
      <c r="A163" s="1">
        <v>45387</v>
      </c>
      <c r="B163" s="2">
        <v>45387.445905138891</v>
      </c>
      <c r="C163" t="s">
        <v>3</v>
      </c>
      <c r="D163" t="s">
        <v>23</v>
      </c>
      <c r="E163" s="5">
        <v>28.9</v>
      </c>
      <c r="F163" t="s">
        <v>11</v>
      </c>
    </row>
    <row r="164" spans="1:6">
      <c r="A164" s="1">
        <v>45390</v>
      </c>
      <c r="B164" s="2">
        <v>45390.45926462963</v>
      </c>
      <c r="C164" t="s">
        <v>3</v>
      </c>
      <c r="D164" t="s">
        <v>23</v>
      </c>
      <c r="E164" s="5">
        <v>28.9</v>
      </c>
      <c r="F164" t="s">
        <v>11</v>
      </c>
    </row>
    <row r="165" spans="1:6">
      <c r="A165" s="1">
        <v>45395</v>
      </c>
      <c r="B165" s="2">
        <v>45395.529888761572</v>
      </c>
      <c r="C165" t="s">
        <v>3</v>
      </c>
      <c r="D165" t="s">
        <v>23</v>
      </c>
      <c r="E165" s="5">
        <v>28.9</v>
      </c>
      <c r="F165" t="s">
        <v>11</v>
      </c>
    </row>
    <row r="166" spans="1:6">
      <c r="A166" s="1">
        <v>45395</v>
      </c>
      <c r="B166" s="2">
        <v>45395.745361539353</v>
      </c>
      <c r="C166" t="s">
        <v>3</v>
      </c>
      <c r="D166" t="s">
        <v>23</v>
      </c>
      <c r="E166" s="5">
        <v>38.700000000000003</v>
      </c>
      <c r="F166" t="s">
        <v>43</v>
      </c>
    </row>
    <row r="167" spans="1:6">
      <c r="A167" s="1">
        <v>45396</v>
      </c>
      <c r="B167" s="2">
        <v>45396.599671655094</v>
      </c>
      <c r="C167" t="s">
        <v>3</v>
      </c>
      <c r="D167" t="s">
        <v>23</v>
      </c>
      <c r="E167" s="5">
        <v>28.9</v>
      </c>
      <c r="F167" t="s">
        <v>11</v>
      </c>
    </row>
    <row r="168" spans="1:6">
      <c r="A168" s="1">
        <v>45396</v>
      </c>
      <c r="B168" s="2">
        <v>45396.600311689814</v>
      </c>
      <c r="C168" t="s">
        <v>3</v>
      </c>
      <c r="D168" t="s">
        <v>23</v>
      </c>
      <c r="E168" s="5">
        <v>28.9</v>
      </c>
      <c r="F168" t="s">
        <v>11</v>
      </c>
    </row>
    <row r="169" spans="1:6">
      <c r="A169" s="1">
        <v>45396</v>
      </c>
      <c r="B169" s="2">
        <v>45396.600904189814</v>
      </c>
      <c r="C169" t="s">
        <v>3</v>
      </c>
      <c r="D169" t="s">
        <v>23</v>
      </c>
      <c r="E169" s="5">
        <v>28.9</v>
      </c>
      <c r="F169" t="s">
        <v>11</v>
      </c>
    </row>
    <row r="170" spans="1:6">
      <c r="A170" s="1">
        <v>45396</v>
      </c>
      <c r="B170" s="2">
        <v>45396.708273414355</v>
      </c>
      <c r="C170" t="s">
        <v>3</v>
      </c>
      <c r="D170" t="s">
        <v>23</v>
      </c>
      <c r="E170" s="5">
        <v>28.9</v>
      </c>
      <c r="F170" t="s">
        <v>28</v>
      </c>
    </row>
    <row r="171" spans="1:6">
      <c r="A171" s="1">
        <v>45399</v>
      </c>
      <c r="B171" s="2">
        <v>45399.564580925929</v>
      </c>
      <c r="C171" t="s">
        <v>3</v>
      </c>
      <c r="D171" t="s">
        <v>23</v>
      </c>
      <c r="E171" s="5">
        <v>28.9</v>
      </c>
      <c r="F171" t="s">
        <v>11</v>
      </c>
    </row>
    <row r="172" spans="1:6">
      <c r="A172" s="1">
        <v>45402</v>
      </c>
      <c r="B172" s="2">
        <v>45402.640749039354</v>
      </c>
      <c r="C172" t="s">
        <v>3</v>
      </c>
      <c r="D172" t="s">
        <v>23</v>
      </c>
      <c r="E172" s="5">
        <v>32.82</v>
      </c>
      <c r="F172" t="s">
        <v>14</v>
      </c>
    </row>
    <row r="173" spans="1:6">
      <c r="A173" s="1">
        <v>45404</v>
      </c>
      <c r="B173" s="2">
        <v>45404.464773287036</v>
      </c>
      <c r="C173" t="s">
        <v>3</v>
      </c>
      <c r="D173" t="s">
        <v>23</v>
      </c>
      <c r="E173" s="5">
        <v>27.92</v>
      </c>
      <c r="F173" t="s">
        <v>11</v>
      </c>
    </row>
    <row r="174" spans="1:6">
      <c r="A174" s="1">
        <v>45407</v>
      </c>
      <c r="B174" s="2">
        <v>45407.715087199074</v>
      </c>
      <c r="C174" t="s">
        <v>3</v>
      </c>
      <c r="D174" t="s">
        <v>23</v>
      </c>
      <c r="E174" s="5">
        <v>27.92</v>
      </c>
      <c r="F174" t="s">
        <v>11</v>
      </c>
    </row>
    <row r="175" spans="1:6">
      <c r="A175" s="1">
        <v>45407</v>
      </c>
      <c r="B175" s="2">
        <v>45407.715846678242</v>
      </c>
      <c r="C175" t="s">
        <v>3</v>
      </c>
      <c r="D175" t="s">
        <v>23</v>
      </c>
      <c r="E175" s="5">
        <v>27.92</v>
      </c>
      <c r="F175" t="s">
        <v>11</v>
      </c>
    </row>
    <row r="176" spans="1:6">
      <c r="A176" s="1">
        <v>45408</v>
      </c>
      <c r="B176" s="2">
        <v>45408.647631828702</v>
      </c>
      <c r="C176" t="s">
        <v>3</v>
      </c>
      <c r="D176" t="s">
        <v>23</v>
      </c>
      <c r="E176" s="5">
        <v>27.92</v>
      </c>
      <c r="F176" t="s">
        <v>11</v>
      </c>
    </row>
    <row r="177" spans="1:6">
      <c r="A177" s="1">
        <v>45408</v>
      </c>
      <c r="B177" s="2">
        <v>45408.648300138891</v>
      </c>
      <c r="C177" t="s">
        <v>3</v>
      </c>
      <c r="D177" t="s">
        <v>23</v>
      </c>
      <c r="E177" s="5">
        <v>27.92</v>
      </c>
      <c r="F177" t="s">
        <v>11</v>
      </c>
    </row>
    <row r="178" spans="1:6">
      <c r="A178" s="1">
        <v>45410</v>
      </c>
      <c r="B178" s="2">
        <v>45410.768845254628</v>
      </c>
      <c r="C178" t="s">
        <v>3</v>
      </c>
      <c r="D178" t="s">
        <v>23</v>
      </c>
      <c r="E178" s="5">
        <v>27.92</v>
      </c>
      <c r="F178" t="s">
        <v>11</v>
      </c>
    </row>
    <row r="179" spans="1:6">
      <c r="A179" s="1">
        <v>45410</v>
      </c>
      <c r="B179" s="2">
        <v>45410.769576516206</v>
      </c>
      <c r="C179" t="s">
        <v>3</v>
      </c>
      <c r="D179" t="s">
        <v>23</v>
      </c>
      <c r="E179" s="5">
        <v>27.92</v>
      </c>
      <c r="F179" t="s">
        <v>11</v>
      </c>
    </row>
    <row r="180" spans="1:6">
      <c r="A180" s="1">
        <v>45423</v>
      </c>
      <c r="B180" s="2">
        <v>45423.728404305555</v>
      </c>
      <c r="C180" t="s">
        <v>3</v>
      </c>
      <c r="D180" t="s">
        <v>23</v>
      </c>
      <c r="E180" s="5">
        <v>32.82</v>
      </c>
      <c r="F180" t="s">
        <v>14</v>
      </c>
    </row>
    <row r="181" spans="1:6">
      <c r="A181" s="1">
        <v>45424</v>
      </c>
      <c r="B181" s="2">
        <v>45424.66968903935</v>
      </c>
      <c r="C181" t="s">
        <v>3</v>
      </c>
      <c r="D181" t="s">
        <v>23</v>
      </c>
      <c r="E181" s="5">
        <v>32.82</v>
      </c>
      <c r="F181" t="s">
        <v>14</v>
      </c>
    </row>
    <row r="182" spans="1:6">
      <c r="A182" s="1">
        <v>45426</v>
      </c>
      <c r="B182" s="2">
        <v>45426.359890983797</v>
      </c>
      <c r="C182" t="s">
        <v>3</v>
      </c>
      <c r="D182" t="s">
        <v>23</v>
      </c>
      <c r="E182" s="5">
        <v>27.92</v>
      </c>
      <c r="F182" t="s">
        <v>11</v>
      </c>
    </row>
    <row r="183" spans="1:6">
      <c r="A183" s="1">
        <v>45426</v>
      </c>
      <c r="B183" s="2">
        <v>45426.360711284724</v>
      </c>
      <c r="C183" t="s">
        <v>3</v>
      </c>
      <c r="D183" t="s">
        <v>23</v>
      </c>
      <c r="E183" s="5">
        <v>27.92</v>
      </c>
      <c r="F183" t="s">
        <v>11</v>
      </c>
    </row>
    <row r="184" spans="1:6">
      <c r="A184" s="1">
        <v>45426</v>
      </c>
      <c r="B184" s="2">
        <v>45426.361313472225</v>
      </c>
      <c r="C184" t="s">
        <v>3</v>
      </c>
      <c r="D184" t="s">
        <v>23</v>
      </c>
      <c r="E184" s="5">
        <v>27.92</v>
      </c>
      <c r="F184" t="s">
        <v>11</v>
      </c>
    </row>
    <row r="185" spans="1:6">
      <c r="A185" s="1">
        <v>45426</v>
      </c>
      <c r="B185" s="2">
        <v>45426.430129328706</v>
      </c>
      <c r="C185" t="s">
        <v>3</v>
      </c>
      <c r="D185" t="s">
        <v>23</v>
      </c>
      <c r="E185" s="5">
        <v>37.72</v>
      </c>
      <c r="F185" t="s">
        <v>43</v>
      </c>
    </row>
    <row r="186" spans="1:6">
      <c r="A186" s="1">
        <v>45427</v>
      </c>
      <c r="B186" s="2">
        <v>45427.468279548608</v>
      </c>
      <c r="C186" t="s">
        <v>3</v>
      </c>
      <c r="D186" t="s">
        <v>23</v>
      </c>
      <c r="E186" s="5">
        <v>23.02</v>
      </c>
      <c r="F186" t="s">
        <v>35</v>
      </c>
    </row>
    <row r="187" spans="1:6">
      <c r="A187" s="1">
        <v>45427</v>
      </c>
      <c r="B187" s="2">
        <v>45427.47164408565</v>
      </c>
      <c r="C187" t="s">
        <v>3</v>
      </c>
      <c r="D187" t="s">
        <v>23</v>
      </c>
      <c r="E187" s="5">
        <v>27.92</v>
      </c>
      <c r="F187" t="s">
        <v>11</v>
      </c>
    </row>
    <row r="188" spans="1:6">
      <c r="A188" s="1">
        <v>45427</v>
      </c>
      <c r="B188" s="2">
        <v>45427.610930173614</v>
      </c>
      <c r="C188" t="s">
        <v>3</v>
      </c>
      <c r="D188" t="s">
        <v>23</v>
      </c>
      <c r="E188" s="5">
        <v>27.92</v>
      </c>
      <c r="F188" t="s">
        <v>28</v>
      </c>
    </row>
    <row r="189" spans="1:6">
      <c r="A189" s="1">
        <v>45429</v>
      </c>
      <c r="B189" s="2">
        <v>45429.830075625003</v>
      </c>
      <c r="C189" t="s">
        <v>3</v>
      </c>
      <c r="D189" t="s">
        <v>23</v>
      </c>
      <c r="E189" s="5">
        <v>32.82</v>
      </c>
      <c r="F189" t="s">
        <v>14</v>
      </c>
    </row>
    <row r="190" spans="1:6">
      <c r="A190" s="1">
        <v>45431</v>
      </c>
      <c r="B190" s="2">
        <v>45431.613657974536</v>
      </c>
      <c r="C190" t="s">
        <v>3</v>
      </c>
      <c r="D190" t="s">
        <v>23</v>
      </c>
      <c r="E190" s="5">
        <v>27.92</v>
      </c>
      <c r="F190" t="s">
        <v>11</v>
      </c>
    </row>
    <row r="191" spans="1:6">
      <c r="A191" s="1">
        <v>45432</v>
      </c>
      <c r="B191" s="2">
        <v>45432.900624837966</v>
      </c>
      <c r="C191" t="s">
        <v>3</v>
      </c>
      <c r="D191" t="s">
        <v>23</v>
      </c>
      <c r="E191" s="5">
        <v>32.82</v>
      </c>
      <c r="F191" t="s">
        <v>14</v>
      </c>
    </row>
    <row r="192" spans="1:6">
      <c r="A192" s="1">
        <v>45432</v>
      </c>
      <c r="B192" s="2">
        <v>45432.901363159719</v>
      </c>
      <c r="C192" t="s">
        <v>3</v>
      </c>
      <c r="D192" t="s">
        <v>23</v>
      </c>
      <c r="E192" s="5">
        <v>32.82</v>
      </c>
      <c r="F192" t="s">
        <v>14</v>
      </c>
    </row>
    <row r="193" spans="1:6">
      <c r="A193" s="1">
        <v>45433</v>
      </c>
      <c r="B193" s="2">
        <v>45433.759305532411</v>
      </c>
      <c r="C193" t="s">
        <v>3</v>
      </c>
      <c r="D193" t="s">
        <v>23</v>
      </c>
      <c r="E193" s="5">
        <v>23.02</v>
      </c>
      <c r="F193" t="s">
        <v>35</v>
      </c>
    </row>
    <row r="194" spans="1:6">
      <c r="A194" s="1">
        <v>45434</v>
      </c>
      <c r="B194" s="2">
        <v>45434.520727326388</v>
      </c>
      <c r="C194" t="s">
        <v>3</v>
      </c>
      <c r="D194" t="s">
        <v>23</v>
      </c>
      <c r="E194" s="5">
        <v>27.92</v>
      </c>
      <c r="F194" t="s">
        <v>11</v>
      </c>
    </row>
    <row r="195" spans="1:6">
      <c r="A195" s="1">
        <v>45434</v>
      </c>
      <c r="B195" s="2">
        <v>45434.521335034726</v>
      </c>
      <c r="C195" t="s">
        <v>3</v>
      </c>
      <c r="D195" t="s">
        <v>23</v>
      </c>
      <c r="E195" s="5">
        <v>27.92</v>
      </c>
      <c r="F195" t="s">
        <v>11</v>
      </c>
    </row>
    <row r="196" spans="1:6">
      <c r="A196" s="1">
        <v>45436</v>
      </c>
      <c r="B196" s="2">
        <v>45436.468846539348</v>
      </c>
      <c r="C196" t="s">
        <v>3</v>
      </c>
      <c r="D196" t="s">
        <v>23</v>
      </c>
      <c r="E196" s="5">
        <v>27.92</v>
      </c>
      <c r="F196" t="s">
        <v>11</v>
      </c>
    </row>
    <row r="197" spans="1:6">
      <c r="A197" s="1">
        <v>45436</v>
      </c>
      <c r="B197" s="2">
        <v>45436.469595092596</v>
      </c>
      <c r="C197" t="s">
        <v>3</v>
      </c>
      <c r="D197" t="s">
        <v>23</v>
      </c>
      <c r="E197" s="5">
        <v>27.92</v>
      </c>
      <c r="F197" t="s">
        <v>11</v>
      </c>
    </row>
    <row r="198" spans="1:6">
      <c r="A198" s="1">
        <v>45439</v>
      </c>
      <c r="B198" s="2">
        <v>45439.482583935183</v>
      </c>
      <c r="C198" t="s">
        <v>3</v>
      </c>
      <c r="D198" t="s">
        <v>23</v>
      </c>
      <c r="E198" s="5">
        <v>27.92</v>
      </c>
      <c r="F198" t="s">
        <v>11</v>
      </c>
    </row>
    <row r="199" spans="1:6">
      <c r="A199" s="1">
        <v>45440</v>
      </c>
      <c r="B199" s="2">
        <v>45440.359132268517</v>
      </c>
      <c r="C199" t="s">
        <v>3</v>
      </c>
      <c r="D199" t="s">
        <v>23</v>
      </c>
      <c r="E199" s="5">
        <v>32.82</v>
      </c>
      <c r="F199" t="s">
        <v>14</v>
      </c>
    </row>
    <row r="200" spans="1:6">
      <c r="A200" s="1">
        <v>45440</v>
      </c>
      <c r="B200" s="2">
        <v>45440.868280659721</v>
      </c>
      <c r="C200" t="s">
        <v>3</v>
      </c>
      <c r="D200" t="s">
        <v>23</v>
      </c>
      <c r="E200" s="5">
        <v>27.92</v>
      </c>
      <c r="F200" t="s">
        <v>11</v>
      </c>
    </row>
    <row r="201" spans="1:6">
      <c r="A201" s="1">
        <v>45442</v>
      </c>
      <c r="B201" s="2">
        <v>45442.637252962966</v>
      </c>
      <c r="C201" t="s">
        <v>3</v>
      </c>
      <c r="D201" t="s">
        <v>23</v>
      </c>
      <c r="E201" s="5">
        <v>23.02</v>
      </c>
      <c r="F201" t="s">
        <v>35</v>
      </c>
    </row>
    <row r="202" spans="1:6">
      <c r="A202" s="1">
        <v>45456</v>
      </c>
      <c r="B202" s="2">
        <v>45456.847821319447</v>
      </c>
      <c r="C202" t="s">
        <v>3</v>
      </c>
      <c r="D202" t="s">
        <v>23</v>
      </c>
      <c r="E202" s="5">
        <v>32.82</v>
      </c>
      <c r="F202" t="s">
        <v>14</v>
      </c>
    </row>
    <row r="203" spans="1:6">
      <c r="A203" s="1">
        <v>45456</v>
      </c>
      <c r="B203" s="2">
        <v>45456.863726747688</v>
      </c>
      <c r="C203" t="s">
        <v>3</v>
      </c>
      <c r="D203" t="s">
        <v>23</v>
      </c>
      <c r="E203" s="5">
        <v>23.02</v>
      </c>
      <c r="F203" t="s">
        <v>35</v>
      </c>
    </row>
    <row r="204" spans="1:6">
      <c r="A204" s="1">
        <v>45460</v>
      </c>
      <c r="B204" s="2">
        <v>45460.701544456017</v>
      </c>
      <c r="C204" t="s">
        <v>3</v>
      </c>
      <c r="D204" t="s">
        <v>23</v>
      </c>
      <c r="E204" s="5">
        <v>37.72</v>
      </c>
      <c r="F204" t="s">
        <v>43</v>
      </c>
    </row>
    <row r="205" spans="1:6">
      <c r="A205" s="1">
        <v>45460</v>
      </c>
      <c r="B205" s="2">
        <v>45460.702211087962</v>
      </c>
      <c r="C205" t="s">
        <v>3</v>
      </c>
      <c r="D205" t="s">
        <v>23</v>
      </c>
      <c r="E205" s="5">
        <v>37.72</v>
      </c>
      <c r="F205" t="s">
        <v>43</v>
      </c>
    </row>
    <row r="206" spans="1:6">
      <c r="A206" s="1">
        <v>45460</v>
      </c>
      <c r="B206" s="2">
        <v>45460.703198333336</v>
      </c>
      <c r="C206" t="s">
        <v>3</v>
      </c>
      <c r="D206" t="s">
        <v>23</v>
      </c>
      <c r="E206" s="5">
        <v>27.92</v>
      </c>
      <c r="F206" t="s">
        <v>11</v>
      </c>
    </row>
    <row r="207" spans="1:6">
      <c r="A207" s="1">
        <v>45461</v>
      </c>
      <c r="B207" s="2">
        <v>45461.889462106483</v>
      </c>
      <c r="C207" t="s">
        <v>3</v>
      </c>
      <c r="D207" t="s">
        <v>23</v>
      </c>
      <c r="E207" s="5">
        <v>32.82</v>
      </c>
      <c r="F207" t="s">
        <v>14</v>
      </c>
    </row>
    <row r="208" spans="1:6">
      <c r="A208" s="1">
        <v>45461</v>
      </c>
      <c r="B208" s="2">
        <v>45461.890492106482</v>
      </c>
      <c r="C208" t="s">
        <v>3</v>
      </c>
      <c r="D208" t="s">
        <v>23</v>
      </c>
      <c r="E208" s="5">
        <v>32.82</v>
      </c>
      <c r="F208" t="s">
        <v>14</v>
      </c>
    </row>
    <row r="209" spans="1:6">
      <c r="A209" s="1">
        <v>45464</v>
      </c>
      <c r="B209" s="2">
        <v>45464.55508583333</v>
      </c>
      <c r="C209" t="s">
        <v>3</v>
      </c>
      <c r="D209" t="s">
        <v>23</v>
      </c>
      <c r="E209" s="5">
        <v>32.82</v>
      </c>
      <c r="F209" t="s">
        <v>14</v>
      </c>
    </row>
    <row r="210" spans="1:6">
      <c r="A210" s="1">
        <v>45464</v>
      </c>
      <c r="B210" s="2">
        <v>45464.555920289349</v>
      </c>
      <c r="C210" t="s">
        <v>3</v>
      </c>
      <c r="D210" t="s">
        <v>23</v>
      </c>
      <c r="E210" s="5">
        <v>32.82</v>
      </c>
      <c r="F210" t="s">
        <v>14</v>
      </c>
    </row>
    <row r="211" spans="1:6">
      <c r="A211" s="1">
        <v>45466</v>
      </c>
      <c r="B211" s="2">
        <v>45466.758349606484</v>
      </c>
      <c r="C211" t="s">
        <v>3</v>
      </c>
      <c r="D211" t="s">
        <v>23</v>
      </c>
      <c r="E211" s="5">
        <v>32.82</v>
      </c>
      <c r="F211" t="s">
        <v>14</v>
      </c>
    </row>
    <row r="212" spans="1:6">
      <c r="A212" s="1">
        <v>45466</v>
      </c>
      <c r="B212" s="2">
        <v>45466.759613865739</v>
      </c>
      <c r="C212" t="s">
        <v>3</v>
      </c>
      <c r="D212" t="s">
        <v>23</v>
      </c>
      <c r="E212" s="5">
        <v>32.82</v>
      </c>
      <c r="F212" t="s">
        <v>14</v>
      </c>
    </row>
    <row r="213" spans="1:6">
      <c r="A213" s="1">
        <v>45468</v>
      </c>
      <c r="B213" s="2">
        <v>45468.436416759258</v>
      </c>
      <c r="C213" t="s">
        <v>3</v>
      </c>
      <c r="D213" t="s">
        <v>23</v>
      </c>
      <c r="E213" s="5">
        <v>32.82</v>
      </c>
      <c r="F213" t="s">
        <v>14</v>
      </c>
    </row>
    <row r="214" spans="1:6">
      <c r="A214" s="1">
        <v>45474</v>
      </c>
      <c r="B214" s="2">
        <v>45474.755170833334</v>
      </c>
      <c r="C214" t="s">
        <v>3</v>
      </c>
      <c r="D214" t="s">
        <v>23</v>
      </c>
      <c r="E214" s="5">
        <v>23.02</v>
      </c>
      <c r="F214" t="s">
        <v>35</v>
      </c>
    </row>
    <row r="215" spans="1:6">
      <c r="A215" s="1">
        <v>45476</v>
      </c>
      <c r="B215" s="2">
        <v>45476.577256192133</v>
      </c>
      <c r="C215" t="s">
        <v>3</v>
      </c>
      <c r="D215" t="s">
        <v>23</v>
      </c>
      <c r="E215" s="5">
        <v>32.82</v>
      </c>
      <c r="F215" t="s">
        <v>14</v>
      </c>
    </row>
    <row r="216" spans="1:6">
      <c r="A216" s="1">
        <v>45477</v>
      </c>
      <c r="B216" s="2">
        <v>45477.435766909723</v>
      </c>
      <c r="C216" t="s">
        <v>3</v>
      </c>
      <c r="D216" t="s">
        <v>23</v>
      </c>
      <c r="E216" s="5">
        <v>27.92</v>
      </c>
      <c r="F216" t="s">
        <v>11</v>
      </c>
    </row>
    <row r="217" spans="1:6">
      <c r="A217" s="1">
        <v>45479</v>
      </c>
      <c r="B217" s="2">
        <v>45479.798450312497</v>
      </c>
      <c r="C217" t="s">
        <v>3</v>
      </c>
      <c r="D217" t="s">
        <v>23</v>
      </c>
      <c r="E217" s="5">
        <v>32.82</v>
      </c>
      <c r="F217" t="s">
        <v>7</v>
      </c>
    </row>
    <row r="218" spans="1:6">
      <c r="A218" s="1">
        <v>45479</v>
      </c>
      <c r="B218" s="2">
        <v>45479.799069212961</v>
      </c>
      <c r="C218" t="s">
        <v>3</v>
      </c>
      <c r="D218" t="s">
        <v>23</v>
      </c>
      <c r="E218" s="5">
        <v>27.92</v>
      </c>
      <c r="F218" t="s">
        <v>14</v>
      </c>
    </row>
    <row r="219" spans="1:6">
      <c r="A219" s="1">
        <v>45496</v>
      </c>
      <c r="B219" s="2">
        <v>45496.891128483796</v>
      </c>
      <c r="C219" t="s">
        <v>3</v>
      </c>
      <c r="D219" t="s">
        <v>23</v>
      </c>
      <c r="E219" s="5">
        <v>23.02</v>
      </c>
      <c r="F219" t="s">
        <v>11</v>
      </c>
    </row>
    <row r="220" spans="1:6">
      <c r="A220" s="1">
        <v>45496</v>
      </c>
      <c r="B220" s="2">
        <v>45496.891928344907</v>
      </c>
      <c r="C220" t="s">
        <v>3</v>
      </c>
      <c r="D220" t="s">
        <v>23</v>
      </c>
      <c r="E220" s="5">
        <v>23.02</v>
      </c>
      <c r="F220" t="s">
        <v>11</v>
      </c>
    </row>
    <row r="221" spans="1:6">
      <c r="A221" s="1">
        <v>45497</v>
      </c>
      <c r="B221" s="2">
        <v>45497.615159328707</v>
      </c>
      <c r="C221" t="s">
        <v>3</v>
      </c>
      <c r="D221" t="s">
        <v>23</v>
      </c>
      <c r="E221" s="5">
        <v>18.12</v>
      </c>
      <c r="F221" t="s">
        <v>35</v>
      </c>
    </row>
    <row r="222" spans="1:6">
      <c r="A222" s="1">
        <v>45497</v>
      </c>
      <c r="B222" s="2">
        <v>45497.892563576388</v>
      </c>
      <c r="C222" t="s">
        <v>3</v>
      </c>
      <c r="D222" t="s">
        <v>23</v>
      </c>
      <c r="E222" s="5">
        <v>23.02</v>
      </c>
      <c r="F222" t="s">
        <v>11</v>
      </c>
    </row>
    <row r="223" spans="1:6">
      <c r="A223" s="1">
        <v>45498</v>
      </c>
      <c r="B223" s="2">
        <v>45498.329721469905</v>
      </c>
      <c r="C223" t="s">
        <v>3</v>
      </c>
      <c r="D223" t="s">
        <v>23</v>
      </c>
      <c r="E223" s="5">
        <v>23.02</v>
      </c>
      <c r="F223" t="s">
        <v>11</v>
      </c>
    </row>
    <row r="224" spans="1:6">
      <c r="A224" s="1">
        <v>45501</v>
      </c>
      <c r="B224" s="2">
        <v>45501.463494444448</v>
      </c>
      <c r="C224" t="s">
        <v>3</v>
      </c>
      <c r="D224" t="s">
        <v>23</v>
      </c>
      <c r="E224" s="5">
        <v>18.12</v>
      </c>
      <c r="F224" t="s">
        <v>35</v>
      </c>
    </row>
    <row r="225" spans="1:6">
      <c r="A225" s="1">
        <v>45502</v>
      </c>
      <c r="B225" s="2">
        <v>45502.378333009263</v>
      </c>
      <c r="C225" t="s">
        <v>3</v>
      </c>
      <c r="D225" t="s">
        <v>23</v>
      </c>
      <c r="E225" s="5">
        <v>23.02</v>
      </c>
      <c r="F225" t="s">
        <v>11</v>
      </c>
    </row>
    <row r="226" spans="1:6">
      <c r="A226" s="1">
        <v>45514</v>
      </c>
      <c r="B226" s="2">
        <v>45514.494836064812</v>
      </c>
      <c r="C226" t="s">
        <v>3</v>
      </c>
      <c r="D226" t="s">
        <v>23</v>
      </c>
      <c r="E226" s="5">
        <v>23.02</v>
      </c>
      <c r="F226" t="s">
        <v>28</v>
      </c>
    </row>
    <row r="227" spans="1:6">
      <c r="A227" s="1">
        <v>45514</v>
      </c>
      <c r="B227" s="2">
        <v>45514.49610571759</v>
      </c>
      <c r="C227" t="s">
        <v>3</v>
      </c>
      <c r="D227" t="s">
        <v>23</v>
      </c>
      <c r="E227" s="5">
        <v>23.02</v>
      </c>
      <c r="F227" t="s">
        <v>11</v>
      </c>
    </row>
    <row r="228" spans="1:6">
      <c r="A228" s="1">
        <v>45518</v>
      </c>
      <c r="B228" s="2">
        <v>45518.815876516201</v>
      </c>
      <c r="C228" t="s">
        <v>3</v>
      </c>
      <c r="D228" t="s">
        <v>23</v>
      </c>
      <c r="E228" s="5">
        <v>32.82</v>
      </c>
      <c r="F228" t="s">
        <v>7</v>
      </c>
    </row>
    <row r="229" spans="1:6">
      <c r="A229" s="1">
        <v>45518</v>
      </c>
      <c r="B229" s="2">
        <v>45518.81653408565</v>
      </c>
      <c r="C229" t="s">
        <v>3</v>
      </c>
      <c r="D229" t="s">
        <v>23</v>
      </c>
      <c r="E229" s="5">
        <v>23.02</v>
      </c>
      <c r="F229" t="s">
        <v>28</v>
      </c>
    </row>
    <row r="230" spans="1:6">
      <c r="A230" s="1">
        <v>45519</v>
      </c>
      <c r="B230" s="2">
        <v>45519.595696562501</v>
      </c>
      <c r="C230" t="s">
        <v>3</v>
      </c>
      <c r="D230" t="s">
        <v>23</v>
      </c>
      <c r="E230" s="5">
        <v>23.02</v>
      </c>
      <c r="F230" t="s">
        <v>11</v>
      </c>
    </row>
    <row r="231" spans="1:6">
      <c r="A231" s="1">
        <v>45519</v>
      </c>
      <c r="B231" s="2">
        <v>45519.596421030095</v>
      </c>
      <c r="C231" t="s">
        <v>3</v>
      </c>
      <c r="D231" t="s">
        <v>23</v>
      </c>
      <c r="E231" s="5">
        <v>18.12</v>
      </c>
      <c r="F231" t="s">
        <v>35</v>
      </c>
    </row>
    <row r="232" spans="1:6">
      <c r="A232" s="1">
        <v>45520</v>
      </c>
      <c r="B232" s="2">
        <v>45520.638098807867</v>
      </c>
      <c r="C232" t="s">
        <v>3</v>
      </c>
      <c r="D232" t="s">
        <v>23</v>
      </c>
      <c r="E232" s="5">
        <v>18.12</v>
      </c>
      <c r="F232" t="s">
        <v>35</v>
      </c>
    </row>
    <row r="233" spans="1:6">
      <c r="A233" s="1">
        <v>45520</v>
      </c>
      <c r="B233" s="2">
        <v>45520.638649004628</v>
      </c>
      <c r="C233" t="s">
        <v>3</v>
      </c>
      <c r="D233" t="s">
        <v>23</v>
      </c>
      <c r="E233" s="5">
        <v>18.12</v>
      </c>
      <c r="F233" t="s">
        <v>35</v>
      </c>
    </row>
    <row r="234" spans="1:6">
      <c r="A234" s="1">
        <v>45542</v>
      </c>
      <c r="B234" s="2">
        <v>45542.471490358796</v>
      </c>
      <c r="C234" t="s">
        <v>3</v>
      </c>
      <c r="D234" t="s">
        <v>23</v>
      </c>
      <c r="E234" s="5">
        <v>27.92</v>
      </c>
      <c r="F234" t="s">
        <v>14</v>
      </c>
    </row>
    <row r="235" spans="1:6">
      <c r="A235" s="1">
        <v>45542</v>
      </c>
      <c r="B235" s="2">
        <v>45542.472883113427</v>
      </c>
      <c r="C235" t="s">
        <v>3</v>
      </c>
      <c r="D235" t="s">
        <v>23</v>
      </c>
      <c r="E235" s="5">
        <v>18.12</v>
      </c>
      <c r="F235" t="s">
        <v>35</v>
      </c>
    </row>
    <row r="236" spans="1:6">
      <c r="A236" s="1">
        <v>45542</v>
      </c>
      <c r="B236" s="2">
        <v>45542.681242037041</v>
      </c>
      <c r="C236" t="s">
        <v>3</v>
      </c>
      <c r="D236" t="s">
        <v>23</v>
      </c>
      <c r="E236" s="5">
        <v>18.12</v>
      </c>
      <c r="F236" t="s">
        <v>35</v>
      </c>
    </row>
    <row r="237" spans="1:6">
      <c r="A237" s="1">
        <v>45545</v>
      </c>
      <c r="B237" s="2">
        <v>45545.895538842589</v>
      </c>
      <c r="C237" t="s">
        <v>3</v>
      </c>
      <c r="D237" t="s">
        <v>23</v>
      </c>
      <c r="E237" s="5">
        <v>27.92</v>
      </c>
      <c r="F237" t="s">
        <v>14</v>
      </c>
    </row>
    <row r="238" spans="1:6">
      <c r="A238" s="1">
        <v>45545</v>
      </c>
      <c r="B238" s="2">
        <v>45545.896146250001</v>
      </c>
      <c r="C238" t="s">
        <v>3</v>
      </c>
      <c r="D238" t="s">
        <v>23</v>
      </c>
      <c r="E238" s="5">
        <v>23.02</v>
      </c>
      <c r="F238" t="s">
        <v>11</v>
      </c>
    </row>
    <row r="239" spans="1:6">
      <c r="A239" s="1">
        <v>45570</v>
      </c>
      <c r="B239" s="2">
        <v>45570.839329374998</v>
      </c>
      <c r="C239" t="s">
        <v>3</v>
      </c>
      <c r="D239" t="s">
        <v>23</v>
      </c>
      <c r="E239" s="5">
        <v>25.96</v>
      </c>
      <c r="F239" t="s">
        <v>11</v>
      </c>
    </row>
    <row r="240" spans="1:6">
      <c r="A240" s="1">
        <v>45570</v>
      </c>
      <c r="B240" s="2">
        <v>45570.839972766204</v>
      </c>
      <c r="C240" t="s">
        <v>3</v>
      </c>
      <c r="D240" t="s">
        <v>23</v>
      </c>
      <c r="E240" s="5">
        <v>25.96</v>
      </c>
      <c r="F240" t="s">
        <v>11</v>
      </c>
    </row>
    <row r="241" spans="1:6">
      <c r="A241" s="1">
        <v>45576</v>
      </c>
      <c r="B241" s="2">
        <v>45576.561833993059</v>
      </c>
      <c r="C241" t="s">
        <v>3</v>
      </c>
      <c r="D241" t="s">
        <v>23</v>
      </c>
      <c r="E241" s="5">
        <v>25.96</v>
      </c>
      <c r="F241" t="s">
        <v>11</v>
      </c>
    </row>
    <row r="242" spans="1:6">
      <c r="A242" s="1">
        <v>45576</v>
      </c>
      <c r="B242" s="2">
        <v>45576.562604409723</v>
      </c>
      <c r="C242" t="s">
        <v>3</v>
      </c>
      <c r="D242" t="s">
        <v>23</v>
      </c>
      <c r="E242" s="5">
        <v>25.96</v>
      </c>
      <c r="F242" t="s">
        <v>11</v>
      </c>
    </row>
    <row r="243" spans="1:6">
      <c r="A243" s="1">
        <v>45583</v>
      </c>
      <c r="B243" s="2">
        <v>45583.362494085646</v>
      </c>
      <c r="C243" t="s">
        <v>3</v>
      </c>
      <c r="D243" t="s">
        <v>23</v>
      </c>
      <c r="E243" s="5">
        <v>35.76</v>
      </c>
      <c r="F243" t="s">
        <v>18</v>
      </c>
    </row>
    <row r="244" spans="1:6">
      <c r="A244" s="1">
        <v>45583</v>
      </c>
      <c r="B244" s="2">
        <v>45583.885187997686</v>
      </c>
      <c r="C244" t="s">
        <v>3</v>
      </c>
      <c r="D244" t="s">
        <v>23</v>
      </c>
      <c r="E244" s="5">
        <v>35.76</v>
      </c>
      <c r="F244" t="s">
        <v>18</v>
      </c>
    </row>
    <row r="245" spans="1:6">
      <c r="A245" s="1">
        <v>45583</v>
      </c>
      <c r="B245" s="2">
        <v>45583.885677233797</v>
      </c>
      <c r="C245" t="s">
        <v>3</v>
      </c>
      <c r="D245" t="s">
        <v>23</v>
      </c>
      <c r="E245" s="5">
        <v>35.76</v>
      </c>
      <c r="F245" t="s">
        <v>18</v>
      </c>
    </row>
    <row r="246" spans="1:6">
      <c r="A246" s="1">
        <v>45585</v>
      </c>
      <c r="B246" s="2">
        <v>45585.77380077546</v>
      </c>
      <c r="C246" t="s">
        <v>3</v>
      </c>
      <c r="D246" t="s">
        <v>23</v>
      </c>
      <c r="E246" s="5">
        <v>35.76</v>
      </c>
      <c r="F246" t="s">
        <v>18</v>
      </c>
    </row>
    <row r="247" spans="1:6">
      <c r="A247" s="1">
        <v>45585</v>
      </c>
      <c r="B247" s="2">
        <v>45585.774400023147</v>
      </c>
      <c r="C247" t="s">
        <v>3</v>
      </c>
      <c r="D247" t="s">
        <v>23</v>
      </c>
      <c r="E247" s="5">
        <v>35.76</v>
      </c>
      <c r="F247" t="s">
        <v>18</v>
      </c>
    </row>
    <row r="248" spans="1:6">
      <c r="A248" s="1">
        <v>45590</v>
      </c>
      <c r="B248" s="2">
        <v>45590.492857361111</v>
      </c>
      <c r="C248" t="s">
        <v>3</v>
      </c>
      <c r="D248" t="s">
        <v>23</v>
      </c>
      <c r="E248" s="5">
        <v>35.76</v>
      </c>
      <c r="F248" t="s">
        <v>18</v>
      </c>
    </row>
    <row r="249" spans="1:6">
      <c r="A249" s="1">
        <v>45590</v>
      </c>
      <c r="B249" s="2">
        <v>45590.49340738426</v>
      </c>
      <c r="C249" t="s">
        <v>3</v>
      </c>
      <c r="D249" t="s">
        <v>23</v>
      </c>
      <c r="E249" s="5">
        <v>35.76</v>
      </c>
      <c r="F249" t="s">
        <v>18</v>
      </c>
    </row>
    <row r="250" spans="1:6">
      <c r="A250" s="1">
        <v>45597</v>
      </c>
      <c r="B250" s="2">
        <v>45597.528779340275</v>
      </c>
      <c r="C250" t="s">
        <v>3</v>
      </c>
      <c r="D250" t="s">
        <v>23</v>
      </c>
      <c r="E250" s="5">
        <v>35.76</v>
      </c>
      <c r="F250" t="s">
        <v>18</v>
      </c>
    </row>
    <row r="251" spans="1:6">
      <c r="A251" s="1">
        <v>45597</v>
      </c>
      <c r="B251" s="2">
        <v>45597.529380069442</v>
      </c>
      <c r="C251" t="s">
        <v>3</v>
      </c>
      <c r="D251" t="s">
        <v>23</v>
      </c>
      <c r="E251" s="5">
        <v>35.76</v>
      </c>
      <c r="F251" t="s">
        <v>18</v>
      </c>
    </row>
    <row r="252" spans="1:6">
      <c r="A252" s="1">
        <v>45600</v>
      </c>
      <c r="B252" s="2">
        <v>45600.614329317126</v>
      </c>
      <c r="C252" t="s">
        <v>3</v>
      </c>
      <c r="D252" t="s">
        <v>23</v>
      </c>
      <c r="E252" s="5">
        <v>35.76</v>
      </c>
      <c r="F252" t="s">
        <v>18</v>
      </c>
    </row>
    <row r="253" spans="1:6">
      <c r="A253" s="1">
        <v>45600</v>
      </c>
      <c r="B253" s="2">
        <v>45600.614815104163</v>
      </c>
      <c r="C253" t="s">
        <v>3</v>
      </c>
      <c r="D253" t="s">
        <v>23</v>
      </c>
      <c r="E253" s="5">
        <v>35.76</v>
      </c>
      <c r="F253" t="s">
        <v>18</v>
      </c>
    </row>
    <row r="254" spans="1:6">
      <c r="A254" s="1">
        <v>45601</v>
      </c>
      <c r="B254" s="2">
        <v>45601.44565105324</v>
      </c>
      <c r="C254" t="s">
        <v>3</v>
      </c>
      <c r="D254" t="s">
        <v>23</v>
      </c>
      <c r="E254" s="5">
        <v>30.86</v>
      </c>
      <c r="F254" t="s">
        <v>14</v>
      </c>
    </row>
    <row r="255" spans="1:6">
      <c r="A255" s="1">
        <v>45615</v>
      </c>
      <c r="B255" s="2">
        <v>45615.682412974536</v>
      </c>
      <c r="C255" t="s">
        <v>3</v>
      </c>
      <c r="D255" t="s">
        <v>23</v>
      </c>
      <c r="E255" s="5">
        <v>35.76</v>
      </c>
      <c r="F255" t="s">
        <v>18</v>
      </c>
    </row>
    <row r="256" spans="1:6">
      <c r="A256" s="1">
        <v>45615</v>
      </c>
      <c r="B256" s="2">
        <v>45615.683326828701</v>
      </c>
      <c r="C256" t="s">
        <v>3</v>
      </c>
      <c r="D256" t="s">
        <v>23</v>
      </c>
      <c r="E256" s="5">
        <v>35.76</v>
      </c>
      <c r="F256" t="s">
        <v>18</v>
      </c>
    </row>
    <row r="257" spans="1:6">
      <c r="A257" s="1">
        <v>45624</v>
      </c>
      <c r="B257" s="2">
        <v>45624.85048645833</v>
      </c>
      <c r="C257" t="s">
        <v>3</v>
      </c>
      <c r="D257" t="s">
        <v>23</v>
      </c>
      <c r="E257" s="5">
        <v>30.86</v>
      </c>
      <c r="F257" t="s">
        <v>14</v>
      </c>
    </row>
    <row r="258" spans="1:6">
      <c r="A258" s="1">
        <v>45642</v>
      </c>
      <c r="B258" s="2">
        <v>45642.766053761574</v>
      </c>
      <c r="C258" t="s">
        <v>3</v>
      </c>
      <c r="D258" t="s">
        <v>23</v>
      </c>
      <c r="E258" s="5">
        <v>35.76</v>
      </c>
      <c r="F258" t="s">
        <v>7</v>
      </c>
    </row>
    <row r="259" spans="1:6">
      <c r="A259" s="1">
        <v>45642</v>
      </c>
      <c r="B259" s="2">
        <v>45642.766683032409</v>
      </c>
      <c r="C259" t="s">
        <v>3</v>
      </c>
      <c r="D259" t="s">
        <v>23</v>
      </c>
      <c r="E259" s="5">
        <v>30.86</v>
      </c>
      <c r="F259" t="s">
        <v>14</v>
      </c>
    </row>
    <row r="260" spans="1:6">
      <c r="A260" s="1">
        <v>45657</v>
      </c>
      <c r="B260" s="2">
        <v>45657.654329780089</v>
      </c>
      <c r="C260" t="s">
        <v>3</v>
      </c>
      <c r="D260" t="s">
        <v>23</v>
      </c>
      <c r="E260" s="5">
        <v>21.06</v>
      </c>
      <c r="F260" t="s">
        <v>35</v>
      </c>
    </row>
    <row r="261" spans="1:6">
      <c r="A261" s="1">
        <v>45657</v>
      </c>
      <c r="B261" s="2">
        <v>45657.655015046294</v>
      </c>
      <c r="C261" t="s">
        <v>3</v>
      </c>
      <c r="D261" t="s">
        <v>23</v>
      </c>
      <c r="E261" s="5">
        <v>25.96</v>
      </c>
      <c r="F261" t="s">
        <v>11</v>
      </c>
    </row>
    <row r="262" spans="1:6">
      <c r="A262" s="1">
        <v>45666</v>
      </c>
      <c r="B262" s="2">
        <v>45666.854503148148</v>
      </c>
      <c r="C262" t="s">
        <v>3</v>
      </c>
      <c r="D262" t="s">
        <v>23</v>
      </c>
      <c r="E262" s="5">
        <v>30.86</v>
      </c>
      <c r="F262" t="s">
        <v>14</v>
      </c>
    </row>
    <row r="263" spans="1:6">
      <c r="A263" s="1">
        <v>45669</v>
      </c>
      <c r="B263" s="2">
        <v>45669.492943344907</v>
      </c>
      <c r="C263" t="s">
        <v>3</v>
      </c>
      <c r="D263" t="s">
        <v>23</v>
      </c>
      <c r="E263" s="5">
        <v>30.86</v>
      </c>
      <c r="F263" t="s">
        <v>14</v>
      </c>
    </row>
    <row r="264" spans="1:6">
      <c r="A264" s="1">
        <v>45673</v>
      </c>
      <c r="B264" s="2">
        <v>45673.445612048614</v>
      </c>
      <c r="C264" t="s">
        <v>3</v>
      </c>
      <c r="D264" t="s">
        <v>23</v>
      </c>
      <c r="E264" s="5">
        <v>30.86</v>
      </c>
      <c r="F264" t="s">
        <v>14</v>
      </c>
    </row>
    <row r="265" spans="1:6">
      <c r="A265" s="1">
        <v>45674</v>
      </c>
      <c r="B265" s="2">
        <v>45674.394194652778</v>
      </c>
      <c r="C265" t="s">
        <v>3</v>
      </c>
      <c r="D265" t="s">
        <v>23</v>
      </c>
      <c r="E265" s="5">
        <v>30.86</v>
      </c>
      <c r="F265" t="s">
        <v>14</v>
      </c>
    </row>
    <row r="266" spans="1:6">
      <c r="A266" s="1">
        <v>45677</v>
      </c>
      <c r="B266" s="2">
        <v>45677.354027303241</v>
      </c>
      <c r="C266" t="s">
        <v>3</v>
      </c>
      <c r="D266" t="s">
        <v>23</v>
      </c>
      <c r="E266" s="5">
        <v>30.86</v>
      </c>
      <c r="F266" t="s">
        <v>14</v>
      </c>
    </row>
    <row r="267" spans="1:6">
      <c r="A267" s="1">
        <v>45353</v>
      </c>
      <c r="B267" s="2">
        <v>45353.610133506947</v>
      </c>
      <c r="C267" t="s">
        <v>3</v>
      </c>
      <c r="D267" t="s">
        <v>24</v>
      </c>
      <c r="E267" s="5">
        <v>28.9</v>
      </c>
      <c r="F267" t="s">
        <v>11</v>
      </c>
    </row>
    <row r="268" spans="1:6">
      <c r="A268" s="1">
        <v>45353</v>
      </c>
      <c r="B268" s="2">
        <v>45353.692644386574</v>
      </c>
      <c r="C268" t="s">
        <v>3</v>
      </c>
      <c r="D268" t="s">
        <v>25</v>
      </c>
      <c r="E268" s="5">
        <v>33.799999999999997</v>
      </c>
      <c r="F268" t="s">
        <v>14</v>
      </c>
    </row>
    <row r="269" spans="1:6">
      <c r="A269" s="1">
        <v>45354</v>
      </c>
      <c r="B269" s="2">
        <v>45354.435631493056</v>
      </c>
      <c r="C269" t="s">
        <v>3</v>
      </c>
      <c r="D269" t="s">
        <v>26</v>
      </c>
      <c r="E269" s="5">
        <v>38.700000000000003</v>
      </c>
      <c r="F269" t="s">
        <v>7</v>
      </c>
    </row>
    <row r="270" spans="1:6">
      <c r="A270" s="1">
        <v>45354</v>
      </c>
      <c r="B270" s="2">
        <v>45354.481899513892</v>
      </c>
      <c r="C270" t="s">
        <v>3</v>
      </c>
      <c r="D270" t="s">
        <v>27</v>
      </c>
      <c r="E270" s="5">
        <v>28.9</v>
      </c>
      <c r="F270" t="s">
        <v>28</v>
      </c>
    </row>
    <row r="271" spans="1:6">
      <c r="A271" s="1">
        <v>45354</v>
      </c>
      <c r="B271" s="2">
        <v>45354.548337048611</v>
      </c>
      <c r="C271" t="s">
        <v>3</v>
      </c>
      <c r="D271" t="s">
        <v>29</v>
      </c>
      <c r="E271" s="5">
        <v>38.700000000000003</v>
      </c>
      <c r="F271" t="s">
        <v>9</v>
      </c>
    </row>
    <row r="272" spans="1:6">
      <c r="A272" s="1">
        <v>45376</v>
      </c>
      <c r="B272" s="2">
        <v>45376.60376554398</v>
      </c>
      <c r="C272" t="s">
        <v>3</v>
      </c>
      <c r="D272" t="s">
        <v>29</v>
      </c>
      <c r="E272" s="5">
        <v>38.700000000000003</v>
      </c>
      <c r="F272" t="s">
        <v>7</v>
      </c>
    </row>
    <row r="273" spans="1:6">
      <c r="A273" s="1">
        <v>45381</v>
      </c>
      <c r="B273" s="2">
        <v>45381.67536789352</v>
      </c>
      <c r="C273" t="s">
        <v>3</v>
      </c>
      <c r="D273" t="s">
        <v>29</v>
      </c>
      <c r="E273" s="5">
        <v>38.700000000000003</v>
      </c>
      <c r="F273" t="s">
        <v>7</v>
      </c>
    </row>
    <row r="274" spans="1:6">
      <c r="A274" s="1">
        <v>45390</v>
      </c>
      <c r="B274" s="2">
        <v>45390.695576458333</v>
      </c>
      <c r="C274" t="s">
        <v>3</v>
      </c>
      <c r="D274" t="s">
        <v>29</v>
      </c>
      <c r="E274" s="5">
        <v>38.700000000000003</v>
      </c>
      <c r="F274" t="s">
        <v>7</v>
      </c>
    </row>
    <row r="275" spans="1:6">
      <c r="A275" s="1">
        <v>45393</v>
      </c>
      <c r="B275" s="2">
        <v>45393.691239224536</v>
      </c>
      <c r="C275" t="s">
        <v>3</v>
      </c>
      <c r="D275" t="s">
        <v>29</v>
      </c>
      <c r="E275" s="5">
        <v>38.700000000000003</v>
      </c>
      <c r="F275" t="s">
        <v>7</v>
      </c>
    </row>
    <row r="276" spans="1:6">
      <c r="A276" s="1">
        <v>45396</v>
      </c>
      <c r="B276" s="2">
        <v>45396.657265428243</v>
      </c>
      <c r="C276" t="s">
        <v>3</v>
      </c>
      <c r="D276" t="s">
        <v>29</v>
      </c>
      <c r="E276" s="5">
        <v>38.700000000000003</v>
      </c>
      <c r="F276" t="s">
        <v>43</v>
      </c>
    </row>
    <row r="277" spans="1:6">
      <c r="A277" s="1">
        <v>45354</v>
      </c>
      <c r="B277" s="2">
        <v>45354.712966099534</v>
      </c>
      <c r="C277" t="s">
        <v>3</v>
      </c>
      <c r="D277" t="s">
        <v>30</v>
      </c>
      <c r="E277" s="5">
        <v>38.700000000000003</v>
      </c>
      <c r="F277" t="s">
        <v>18</v>
      </c>
    </row>
    <row r="278" spans="1:6">
      <c r="A278" s="1">
        <v>45354</v>
      </c>
      <c r="B278" s="2">
        <v>45354.714420081022</v>
      </c>
      <c r="C278" t="s">
        <v>3</v>
      </c>
      <c r="D278" t="s">
        <v>31</v>
      </c>
      <c r="E278" s="5">
        <v>28.9</v>
      </c>
      <c r="F278" t="s">
        <v>28</v>
      </c>
    </row>
    <row r="279" spans="1:6">
      <c r="A279" s="1">
        <v>45365</v>
      </c>
      <c r="B279" s="2">
        <v>45365.790924236113</v>
      </c>
      <c r="C279" t="s">
        <v>3</v>
      </c>
      <c r="D279" t="s">
        <v>31</v>
      </c>
      <c r="E279" s="5">
        <v>38.700000000000003</v>
      </c>
      <c r="F279" t="s">
        <v>9</v>
      </c>
    </row>
    <row r="280" spans="1:6">
      <c r="A280" s="1">
        <v>45394</v>
      </c>
      <c r="B280" s="2">
        <v>45394.794252349537</v>
      </c>
      <c r="C280" t="s">
        <v>3</v>
      </c>
      <c r="D280" t="s">
        <v>31</v>
      </c>
      <c r="E280" s="5">
        <v>38.700000000000003</v>
      </c>
      <c r="F280" t="s">
        <v>9</v>
      </c>
    </row>
    <row r="281" spans="1:6">
      <c r="A281" s="1">
        <v>45396</v>
      </c>
      <c r="B281" s="2">
        <v>45396.708858645834</v>
      </c>
      <c r="C281" t="s">
        <v>3</v>
      </c>
      <c r="D281" t="s">
        <v>31</v>
      </c>
      <c r="E281" s="5">
        <v>38.700000000000003</v>
      </c>
      <c r="F281" t="s">
        <v>7</v>
      </c>
    </row>
    <row r="282" spans="1:6">
      <c r="A282" s="1">
        <v>45410</v>
      </c>
      <c r="B282" s="2">
        <v>45410.770166365743</v>
      </c>
      <c r="C282" t="s">
        <v>3</v>
      </c>
      <c r="D282" t="s">
        <v>31</v>
      </c>
      <c r="E282" s="5">
        <v>37.72</v>
      </c>
      <c r="F282" t="s">
        <v>7</v>
      </c>
    </row>
    <row r="283" spans="1:6">
      <c r="A283" s="1">
        <v>45475</v>
      </c>
      <c r="B283" s="2">
        <v>45475.53339329861</v>
      </c>
      <c r="C283" t="s">
        <v>3</v>
      </c>
      <c r="D283" t="s">
        <v>31</v>
      </c>
      <c r="E283" s="5">
        <v>37.72</v>
      </c>
      <c r="F283" t="s">
        <v>7</v>
      </c>
    </row>
    <row r="284" spans="1:6">
      <c r="A284" s="1">
        <v>45481</v>
      </c>
      <c r="B284" s="2">
        <v>45481.926923379629</v>
      </c>
      <c r="C284" t="s">
        <v>3</v>
      </c>
      <c r="D284" t="s">
        <v>31</v>
      </c>
      <c r="E284" s="5">
        <v>32.82</v>
      </c>
      <c r="F284" t="s">
        <v>7</v>
      </c>
    </row>
    <row r="285" spans="1:6">
      <c r="A285" s="1">
        <v>45509</v>
      </c>
      <c r="B285" s="2">
        <v>45509.805586539354</v>
      </c>
      <c r="C285" t="s">
        <v>3</v>
      </c>
      <c r="D285" t="s">
        <v>31</v>
      </c>
      <c r="E285" s="5">
        <v>32.82</v>
      </c>
      <c r="F285" t="s">
        <v>7</v>
      </c>
    </row>
    <row r="286" spans="1:6">
      <c r="A286" s="1">
        <v>45510</v>
      </c>
      <c r="B286" s="2">
        <v>45510.794497037037</v>
      </c>
      <c r="C286" t="s">
        <v>3</v>
      </c>
      <c r="D286" t="s">
        <v>31</v>
      </c>
      <c r="E286" s="5">
        <v>32.82</v>
      </c>
      <c r="F286" t="s">
        <v>7</v>
      </c>
    </row>
    <row r="287" spans="1:6">
      <c r="A287" s="1">
        <v>45539</v>
      </c>
      <c r="B287" s="2">
        <v>45539.491707673609</v>
      </c>
      <c r="C287" t="s">
        <v>3</v>
      </c>
      <c r="D287" t="s">
        <v>31</v>
      </c>
      <c r="E287" s="5">
        <v>23.02</v>
      </c>
      <c r="F287" t="s">
        <v>11</v>
      </c>
    </row>
    <row r="288" spans="1:6">
      <c r="A288" s="1">
        <v>45540</v>
      </c>
      <c r="B288" s="2">
        <v>45540.462854155092</v>
      </c>
      <c r="C288" t="s">
        <v>3</v>
      </c>
      <c r="D288" t="s">
        <v>31</v>
      </c>
      <c r="E288" s="5">
        <v>23.02</v>
      </c>
      <c r="F288" t="s">
        <v>11</v>
      </c>
    </row>
    <row r="289" spans="1:6">
      <c r="A289" s="1">
        <v>45542</v>
      </c>
      <c r="B289" s="2">
        <v>45542.472222476848</v>
      </c>
      <c r="C289" t="s">
        <v>3</v>
      </c>
      <c r="D289" t="s">
        <v>31</v>
      </c>
      <c r="E289" s="5">
        <v>23.02</v>
      </c>
      <c r="F289" t="s">
        <v>11</v>
      </c>
    </row>
    <row r="290" spans="1:6">
      <c r="A290" s="1">
        <v>45542</v>
      </c>
      <c r="B290" s="2">
        <v>45542.680567418982</v>
      </c>
      <c r="C290" t="s">
        <v>3</v>
      </c>
      <c r="D290" t="s">
        <v>31</v>
      </c>
      <c r="E290" s="5">
        <v>23.02</v>
      </c>
      <c r="F290" t="s">
        <v>11</v>
      </c>
    </row>
    <row r="291" spans="1:6">
      <c r="A291" s="1">
        <v>45584</v>
      </c>
      <c r="B291" s="2">
        <v>45584.557014907405</v>
      </c>
      <c r="C291" t="s">
        <v>3</v>
      </c>
      <c r="D291" t="s">
        <v>31</v>
      </c>
      <c r="E291" s="5">
        <v>35.76</v>
      </c>
      <c r="F291" t="s">
        <v>7</v>
      </c>
    </row>
    <row r="292" spans="1:6">
      <c r="A292" s="1">
        <v>45610</v>
      </c>
      <c r="B292" s="2">
        <v>45610.892032245371</v>
      </c>
      <c r="C292" t="s">
        <v>3</v>
      </c>
      <c r="D292" t="s">
        <v>31</v>
      </c>
      <c r="E292" s="5">
        <v>35.76</v>
      </c>
      <c r="F292" t="s">
        <v>7</v>
      </c>
    </row>
    <row r="293" spans="1:6">
      <c r="A293" s="1">
        <v>45624</v>
      </c>
      <c r="B293" s="2">
        <v>45624.851221331017</v>
      </c>
      <c r="C293" t="s">
        <v>3</v>
      </c>
      <c r="D293" t="s">
        <v>31</v>
      </c>
      <c r="E293" s="5">
        <v>35.76</v>
      </c>
      <c r="F293" t="s">
        <v>7</v>
      </c>
    </row>
    <row r="294" spans="1:6">
      <c r="A294" s="1">
        <v>45691</v>
      </c>
      <c r="B294" s="2">
        <v>45691.61599766204</v>
      </c>
      <c r="C294" t="s">
        <v>3</v>
      </c>
      <c r="D294" t="s">
        <v>31</v>
      </c>
      <c r="E294" s="5">
        <v>35.76</v>
      </c>
      <c r="F294" t="s">
        <v>7</v>
      </c>
    </row>
    <row r="295" spans="1:6">
      <c r="A295" s="1">
        <v>45713</v>
      </c>
      <c r="B295" s="2">
        <v>45713.701127256943</v>
      </c>
      <c r="C295" t="s">
        <v>3</v>
      </c>
      <c r="D295" t="s">
        <v>31</v>
      </c>
      <c r="E295" s="5">
        <v>25.96</v>
      </c>
      <c r="F295" t="s">
        <v>11</v>
      </c>
    </row>
    <row r="296" spans="1:6">
      <c r="A296" s="1">
        <v>45713</v>
      </c>
      <c r="B296" s="2">
        <v>45713.701803368058</v>
      </c>
      <c r="C296" t="s">
        <v>3</v>
      </c>
      <c r="D296" t="s">
        <v>31</v>
      </c>
      <c r="E296" s="5">
        <v>25.96</v>
      </c>
      <c r="F296" t="s">
        <v>11</v>
      </c>
    </row>
    <row r="297" spans="1:6">
      <c r="A297" s="1">
        <v>45735</v>
      </c>
      <c r="B297" s="2">
        <v>45735.335628425928</v>
      </c>
      <c r="C297" t="s">
        <v>3</v>
      </c>
      <c r="D297" t="s">
        <v>31</v>
      </c>
      <c r="E297" s="5">
        <v>25.96</v>
      </c>
      <c r="F297" t="s">
        <v>11</v>
      </c>
    </row>
    <row r="298" spans="1:6">
      <c r="A298" s="1">
        <v>45737</v>
      </c>
      <c r="B298" s="2">
        <v>45737.493837152775</v>
      </c>
      <c r="C298" t="s">
        <v>3</v>
      </c>
      <c r="D298" t="s">
        <v>31</v>
      </c>
      <c r="E298" s="5">
        <v>35.76</v>
      </c>
      <c r="F298" t="s">
        <v>7</v>
      </c>
    </row>
    <row r="299" spans="1:6">
      <c r="A299" s="1">
        <v>45354</v>
      </c>
      <c r="B299" s="2">
        <v>45354.752353807868</v>
      </c>
      <c r="C299" t="s">
        <v>3</v>
      </c>
      <c r="D299" t="s">
        <v>32</v>
      </c>
      <c r="E299" s="5">
        <v>33.799999999999997</v>
      </c>
      <c r="F299" t="s">
        <v>14</v>
      </c>
    </row>
    <row r="300" spans="1:6">
      <c r="A300" s="1">
        <v>45354</v>
      </c>
      <c r="B300" s="2">
        <v>45354.753101226852</v>
      </c>
      <c r="C300" t="s">
        <v>3</v>
      </c>
      <c r="D300" t="s">
        <v>32</v>
      </c>
      <c r="E300" s="5">
        <v>33.799999999999997</v>
      </c>
      <c r="F300" t="s">
        <v>14</v>
      </c>
    </row>
    <row r="301" spans="1:6">
      <c r="A301" s="1">
        <v>45354</v>
      </c>
      <c r="B301" s="2">
        <v>45354.755612951391</v>
      </c>
      <c r="C301" t="s">
        <v>3</v>
      </c>
      <c r="D301" t="s">
        <v>32</v>
      </c>
      <c r="E301" s="5">
        <v>38.700000000000003</v>
      </c>
      <c r="F301" t="s">
        <v>9</v>
      </c>
    </row>
    <row r="302" spans="1:6">
      <c r="A302" s="1">
        <v>45355</v>
      </c>
      <c r="B302" s="2">
        <v>45355.454756458334</v>
      </c>
      <c r="C302" t="s">
        <v>3</v>
      </c>
      <c r="D302" t="s">
        <v>33</v>
      </c>
      <c r="E302" s="5">
        <v>38.700000000000003</v>
      </c>
      <c r="F302" t="s">
        <v>7</v>
      </c>
    </row>
    <row r="303" spans="1:6">
      <c r="A303" s="1">
        <v>45355</v>
      </c>
      <c r="B303" s="2">
        <v>45355.586547847219</v>
      </c>
      <c r="C303" t="s">
        <v>3</v>
      </c>
      <c r="D303" t="s">
        <v>34</v>
      </c>
      <c r="E303" s="5">
        <v>24</v>
      </c>
      <c r="F303" t="s">
        <v>35</v>
      </c>
    </row>
    <row r="304" spans="1:6">
      <c r="A304" s="1">
        <v>45356</v>
      </c>
      <c r="B304" s="2">
        <v>45356.60759216435</v>
      </c>
      <c r="C304" t="s">
        <v>3</v>
      </c>
      <c r="D304" t="s">
        <v>36</v>
      </c>
      <c r="E304" s="5">
        <v>38.700000000000003</v>
      </c>
      <c r="F304" t="s">
        <v>7</v>
      </c>
    </row>
    <row r="305" spans="1:6">
      <c r="A305" s="1">
        <v>45356</v>
      </c>
      <c r="B305" s="2">
        <v>45356.732014386573</v>
      </c>
      <c r="C305" t="s">
        <v>3</v>
      </c>
      <c r="D305" t="s">
        <v>37</v>
      </c>
      <c r="E305" s="5">
        <v>38.700000000000003</v>
      </c>
      <c r="F305" t="s">
        <v>7</v>
      </c>
    </row>
    <row r="306" spans="1:6">
      <c r="A306" s="1">
        <v>45376</v>
      </c>
      <c r="B306" s="2">
        <v>45376.776049189815</v>
      </c>
      <c r="C306" t="s">
        <v>3</v>
      </c>
      <c r="D306" t="s">
        <v>37</v>
      </c>
      <c r="E306" s="5">
        <v>33.799999999999997</v>
      </c>
      <c r="F306" t="s">
        <v>14</v>
      </c>
    </row>
    <row r="307" spans="1:6">
      <c r="A307" s="1">
        <v>45377</v>
      </c>
      <c r="B307" s="2">
        <v>45377.773363055552</v>
      </c>
      <c r="C307" t="s">
        <v>3</v>
      </c>
      <c r="D307" t="s">
        <v>37</v>
      </c>
      <c r="E307" s="5">
        <v>38.700000000000003</v>
      </c>
      <c r="F307" t="s">
        <v>7</v>
      </c>
    </row>
    <row r="308" spans="1:6">
      <c r="A308" s="1">
        <v>45383</v>
      </c>
      <c r="B308" s="2">
        <v>45383.762990416668</v>
      </c>
      <c r="C308" t="s">
        <v>3</v>
      </c>
      <c r="D308" t="s">
        <v>37</v>
      </c>
      <c r="E308" s="5">
        <v>33.799999999999997</v>
      </c>
      <c r="F308" t="s">
        <v>14</v>
      </c>
    </row>
    <row r="309" spans="1:6">
      <c r="A309" s="1">
        <v>45390</v>
      </c>
      <c r="B309" s="2">
        <v>45390.807262465278</v>
      </c>
      <c r="C309" t="s">
        <v>3</v>
      </c>
      <c r="D309" t="s">
        <v>37</v>
      </c>
      <c r="E309" s="5">
        <v>33.799999999999997</v>
      </c>
      <c r="F309" t="s">
        <v>14</v>
      </c>
    </row>
    <row r="310" spans="1:6">
      <c r="A310" s="1">
        <v>45393</v>
      </c>
      <c r="B310" s="2">
        <v>45393.804590497683</v>
      </c>
      <c r="C310" t="s">
        <v>3</v>
      </c>
      <c r="D310" t="s">
        <v>37</v>
      </c>
      <c r="E310" s="5">
        <v>33.799999999999997</v>
      </c>
      <c r="F310" t="s">
        <v>14</v>
      </c>
    </row>
    <row r="311" spans="1:6">
      <c r="A311" s="1">
        <v>45398</v>
      </c>
      <c r="B311" s="2">
        <v>45398.737548703706</v>
      </c>
      <c r="C311" t="s">
        <v>3</v>
      </c>
      <c r="D311" t="s">
        <v>37</v>
      </c>
      <c r="E311" s="5">
        <v>33.799999999999997</v>
      </c>
      <c r="F311" t="s">
        <v>14</v>
      </c>
    </row>
    <row r="312" spans="1:6">
      <c r="A312" s="1">
        <v>45400</v>
      </c>
      <c r="B312" s="2">
        <v>45400.819342511575</v>
      </c>
      <c r="C312" t="s">
        <v>3</v>
      </c>
      <c r="D312" t="s">
        <v>37</v>
      </c>
      <c r="E312" s="5">
        <v>38.700000000000003</v>
      </c>
      <c r="F312" t="s">
        <v>9</v>
      </c>
    </row>
    <row r="313" spans="1:6">
      <c r="A313" s="1">
        <v>45401</v>
      </c>
      <c r="B313" s="2">
        <v>45401.766195729164</v>
      </c>
      <c r="C313" t="s">
        <v>3</v>
      </c>
      <c r="D313" t="s">
        <v>37</v>
      </c>
      <c r="E313" s="5">
        <v>38.700000000000003</v>
      </c>
      <c r="F313" t="s">
        <v>18</v>
      </c>
    </row>
    <row r="314" spans="1:6">
      <c r="A314" s="1">
        <v>45405</v>
      </c>
      <c r="B314" s="2">
        <v>45405.59992064815</v>
      </c>
      <c r="C314" t="s">
        <v>3</v>
      </c>
      <c r="D314" t="s">
        <v>37</v>
      </c>
      <c r="E314" s="5">
        <v>32.82</v>
      </c>
      <c r="F314" t="s">
        <v>14</v>
      </c>
    </row>
    <row r="315" spans="1:6">
      <c r="A315" s="1">
        <v>45414</v>
      </c>
      <c r="B315" s="2">
        <v>45414.77860208333</v>
      </c>
      <c r="C315" t="s">
        <v>3</v>
      </c>
      <c r="D315" t="s">
        <v>37</v>
      </c>
      <c r="E315" s="5">
        <v>32.82</v>
      </c>
      <c r="F315" t="s">
        <v>14</v>
      </c>
    </row>
    <row r="316" spans="1:6">
      <c r="A316" s="1">
        <v>45446</v>
      </c>
      <c r="B316" s="2">
        <v>45446.606261018518</v>
      </c>
      <c r="C316" t="s">
        <v>3</v>
      </c>
      <c r="D316" t="s">
        <v>37</v>
      </c>
      <c r="E316" s="5">
        <v>32.82</v>
      </c>
      <c r="F316" t="s">
        <v>14</v>
      </c>
    </row>
    <row r="317" spans="1:6">
      <c r="A317" s="1">
        <v>45356</v>
      </c>
      <c r="B317" s="2">
        <v>45356.732928483798</v>
      </c>
      <c r="C317" t="s">
        <v>3</v>
      </c>
      <c r="D317" t="s">
        <v>38</v>
      </c>
      <c r="E317" s="5">
        <v>38.700000000000003</v>
      </c>
      <c r="F317" t="s">
        <v>9</v>
      </c>
    </row>
    <row r="318" spans="1:6">
      <c r="A318" s="1">
        <v>45405</v>
      </c>
      <c r="B318" s="2">
        <v>45405.599027719909</v>
      </c>
      <c r="C318" t="s">
        <v>3</v>
      </c>
      <c r="D318" t="s">
        <v>38</v>
      </c>
      <c r="E318" s="5">
        <v>37.72</v>
      </c>
      <c r="F318" t="s">
        <v>43</v>
      </c>
    </row>
    <row r="319" spans="1:6">
      <c r="A319" s="1">
        <v>45426</v>
      </c>
      <c r="B319" s="2">
        <v>45426.586742824074</v>
      </c>
      <c r="C319" t="s">
        <v>3</v>
      </c>
      <c r="D319" t="s">
        <v>38</v>
      </c>
      <c r="E319" s="5">
        <v>37.72</v>
      </c>
      <c r="F319" t="s">
        <v>43</v>
      </c>
    </row>
    <row r="320" spans="1:6">
      <c r="A320" s="1">
        <v>45446</v>
      </c>
      <c r="B320" s="2">
        <v>45446.605351134262</v>
      </c>
      <c r="C320" t="s">
        <v>3</v>
      </c>
      <c r="D320" t="s">
        <v>38</v>
      </c>
      <c r="E320" s="5">
        <v>37.72</v>
      </c>
      <c r="F320" t="s">
        <v>43</v>
      </c>
    </row>
    <row r="321" spans="1:6">
      <c r="A321" s="1">
        <v>45356</v>
      </c>
      <c r="B321" s="2">
        <v>45356.733664016203</v>
      </c>
      <c r="C321" t="s">
        <v>3</v>
      </c>
      <c r="D321" t="s">
        <v>39</v>
      </c>
      <c r="E321" s="5">
        <v>38.700000000000003</v>
      </c>
      <c r="F321" t="s">
        <v>18</v>
      </c>
    </row>
    <row r="322" spans="1:6">
      <c r="A322" s="1">
        <v>45423</v>
      </c>
      <c r="B322" s="2">
        <v>45423.723566168985</v>
      </c>
      <c r="C322" t="s">
        <v>3</v>
      </c>
      <c r="D322" t="s">
        <v>39</v>
      </c>
      <c r="E322" s="5">
        <v>37.72</v>
      </c>
      <c r="F322" t="s">
        <v>18</v>
      </c>
    </row>
    <row r="323" spans="1:6">
      <c r="A323" s="1">
        <v>45356</v>
      </c>
      <c r="B323" s="2">
        <v>45356.734185868052</v>
      </c>
      <c r="C323" t="s">
        <v>3</v>
      </c>
      <c r="D323" t="s">
        <v>40</v>
      </c>
      <c r="E323" s="5">
        <v>38.700000000000003</v>
      </c>
      <c r="F323" t="s">
        <v>9</v>
      </c>
    </row>
    <row r="324" spans="1:6">
      <c r="A324" s="1">
        <v>45356</v>
      </c>
      <c r="B324" s="2">
        <v>45356.747404814814</v>
      </c>
      <c r="C324" t="s">
        <v>3</v>
      </c>
      <c r="D324" t="s">
        <v>41</v>
      </c>
      <c r="E324" s="5">
        <v>28.9</v>
      </c>
      <c r="F324" t="s">
        <v>28</v>
      </c>
    </row>
    <row r="325" spans="1:6">
      <c r="A325" s="1">
        <v>45356</v>
      </c>
      <c r="B325" s="2">
        <v>45356.751056041663</v>
      </c>
      <c r="C325" t="s">
        <v>3</v>
      </c>
      <c r="D325" t="s">
        <v>41</v>
      </c>
      <c r="E325" s="5">
        <v>38.700000000000003</v>
      </c>
      <c r="F325" t="s">
        <v>9</v>
      </c>
    </row>
    <row r="326" spans="1:6">
      <c r="A326" s="1">
        <v>45357</v>
      </c>
      <c r="B326" s="2">
        <v>45357.619464826392</v>
      </c>
      <c r="C326" t="s">
        <v>3</v>
      </c>
      <c r="D326" t="s">
        <v>42</v>
      </c>
      <c r="E326" s="5">
        <v>38.700000000000003</v>
      </c>
      <c r="F326" t="s">
        <v>43</v>
      </c>
    </row>
    <row r="327" spans="1:6">
      <c r="A327" s="1">
        <v>45357</v>
      </c>
      <c r="B327" s="2">
        <v>45357.620351203703</v>
      </c>
      <c r="C327" t="s">
        <v>3</v>
      </c>
      <c r="D327" t="s">
        <v>42</v>
      </c>
      <c r="E327" s="5">
        <v>38.700000000000003</v>
      </c>
      <c r="F327" t="s">
        <v>43</v>
      </c>
    </row>
    <row r="328" spans="1:6">
      <c r="A328" s="1">
        <v>45358</v>
      </c>
      <c r="B328" s="2">
        <v>45358.429635914355</v>
      </c>
      <c r="C328" t="s">
        <v>3</v>
      </c>
      <c r="D328" t="s">
        <v>44</v>
      </c>
      <c r="E328" s="5">
        <v>38.700000000000003</v>
      </c>
      <c r="F328" t="s">
        <v>9</v>
      </c>
    </row>
    <row r="329" spans="1:6">
      <c r="A329" s="1">
        <v>45358</v>
      </c>
      <c r="B329" s="2">
        <v>45358.461099259257</v>
      </c>
      <c r="C329" t="s">
        <v>3</v>
      </c>
      <c r="D329" t="s">
        <v>45</v>
      </c>
      <c r="E329" s="5">
        <v>38.700000000000003</v>
      </c>
      <c r="F329" t="s">
        <v>7</v>
      </c>
    </row>
    <row r="330" spans="1:6">
      <c r="A330" s="1">
        <v>45358</v>
      </c>
      <c r="B330" s="2">
        <v>45358.653039421297</v>
      </c>
      <c r="C330" t="s">
        <v>3</v>
      </c>
      <c r="D330" t="s">
        <v>46</v>
      </c>
      <c r="E330" s="5">
        <v>28.9</v>
      </c>
      <c r="F330" t="s">
        <v>11</v>
      </c>
    </row>
    <row r="331" spans="1:6">
      <c r="A331" s="1">
        <v>45377</v>
      </c>
      <c r="B331" s="2">
        <v>45377.567241249999</v>
      </c>
      <c r="C331" t="s">
        <v>3</v>
      </c>
      <c r="D331" t="s">
        <v>46</v>
      </c>
      <c r="E331" s="5">
        <v>28.9</v>
      </c>
      <c r="F331" t="s">
        <v>28</v>
      </c>
    </row>
    <row r="332" spans="1:6">
      <c r="A332" s="1">
        <v>45358</v>
      </c>
      <c r="B332" s="2">
        <v>45358.65380537037</v>
      </c>
      <c r="C332" t="s">
        <v>3</v>
      </c>
      <c r="D332" t="s">
        <v>47</v>
      </c>
      <c r="E332" s="5">
        <v>33.799999999999997</v>
      </c>
      <c r="F332" t="s">
        <v>14</v>
      </c>
    </row>
    <row r="333" spans="1:6">
      <c r="A333" s="1">
        <v>45359</v>
      </c>
      <c r="B333" s="2">
        <v>45359.614711203707</v>
      </c>
      <c r="C333" t="s">
        <v>3</v>
      </c>
      <c r="D333" t="s">
        <v>47</v>
      </c>
      <c r="E333" s="5">
        <v>28.9</v>
      </c>
      <c r="F333" t="s">
        <v>11</v>
      </c>
    </row>
    <row r="334" spans="1:6">
      <c r="A334" s="1">
        <v>45363</v>
      </c>
      <c r="B334" s="2">
        <v>45363.427483136576</v>
      </c>
      <c r="C334" t="s">
        <v>3</v>
      </c>
      <c r="D334" t="s">
        <v>47</v>
      </c>
      <c r="E334" s="5">
        <v>28.9</v>
      </c>
      <c r="F334" t="s">
        <v>11</v>
      </c>
    </row>
    <row r="335" spans="1:6">
      <c r="A335" s="1">
        <v>45363</v>
      </c>
      <c r="B335" s="2">
        <v>45363.428065810185</v>
      </c>
      <c r="C335" t="s">
        <v>3</v>
      </c>
      <c r="D335" t="s">
        <v>47</v>
      </c>
      <c r="E335" s="5">
        <v>28.9</v>
      </c>
      <c r="F335" t="s">
        <v>28</v>
      </c>
    </row>
    <row r="336" spans="1:6">
      <c r="A336" s="1">
        <v>45429</v>
      </c>
      <c r="B336" s="2">
        <v>45429.37556083333</v>
      </c>
      <c r="C336" t="s">
        <v>3</v>
      </c>
      <c r="D336" t="s">
        <v>47</v>
      </c>
      <c r="E336" s="5">
        <v>27.92</v>
      </c>
      <c r="F336" t="s">
        <v>11</v>
      </c>
    </row>
    <row r="337" spans="1:6">
      <c r="A337" s="1">
        <v>45359</v>
      </c>
      <c r="B337" s="2">
        <v>45359.515609409726</v>
      </c>
      <c r="C337" t="s">
        <v>3</v>
      </c>
      <c r="D337" t="s">
        <v>48</v>
      </c>
      <c r="E337" s="5">
        <v>38.700000000000003</v>
      </c>
      <c r="F337" t="s">
        <v>43</v>
      </c>
    </row>
    <row r="338" spans="1:6">
      <c r="A338" s="1">
        <v>45359</v>
      </c>
      <c r="B338" s="2">
        <v>45359.578495856484</v>
      </c>
      <c r="C338" t="s">
        <v>3</v>
      </c>
      <c r="D338" t="s">
        <v>49</v>
      </c>
      <c r="E338" s="5">
        <v>28.9</v>
      </c>
      <c r="F338" t="s">
        <v>11</v>
      </c>
    </row>
    <row r="339" spans="1:6">
      <c r="A339" s="1">
        <v>45362</v>
      </c>
      <c r="B339" s="2">
        <v>45362.481235891202</v>
      </c>
      <c r="C339" t="s">
        <v>3</v>
      </c>
      <c r="D339" t="s">
        <v>49</v>
      </c>
      <c r="E339" s="5">
        <v>38.700000000000003</v>
      </c>
      <c r="F339" t="s">
        <v>43</v>
      </c>
    </row>
    <row r="340" spans="1:6">
      <c r="A340" s="1">
        <v>45359</v>
      </c>
      <c r="B340" s="2">
        <v>45359.790178831019</v>
      </c>
      <c r="C340" t="s">
        <v>3</v>
      </c>
      <c r="D340" t="s">
        <v>50</v>
      </c>
      <c r="E340" s="5">
        <v>38.700000000000003</v>
      </c>
      <c r="F340" t="s">
        <v>7</v>
      </c>
    </row>
    <row r="341" spans="1:6">
      <c r="A341" s="1">
        <v>45359</v>
      </c>
      <c r="B341" s="2">
        <v>45359.791260891201</v>
      </c>
      <c r="C341" t="s">
        <v>3</v>
      </c>
      <c r="D341" t="s">
        <v>51</v>
      </c>
      <c r="E341" s="5">
        <v>38.700000000000003</v>
      </c>
      <c r="F341" t="s">
        <v>7</v>
      </c>
    </row>
    <row r="342" spans="1:6">
      <c r="A342" s="1">
        <v>45360</v>
      </c>
      <c r="B342" s="2">
        <v>45360.50365230324</v>
      </c>
      <c r="C342" t="s">
        <v>3</v>
      </c>
      <c r="D342" t="s">
        <v>52</v>
      </c>
      <c r="E342" s="5">
        <v>24</v>
      </c>
      <c r="F342" t="s">
        <v>35</v>
      </c>
    </row>
    <row r="343" spans="1:6">
      <c r="A343" s="1">
        <v>45360</v>
      </c>
      <c r="B343" s="2">
        <v>45360.505304108796</v>
      </c>
      <c r="C343" t="s">
        <v>3</v>
      </c>
      <c r="D343" t="s">
        <v>53</v>
      </c>
      <c r="E343" s="5">
        <v>28.9</v>
      </c>
      <c r="F343" t="s">
        <v>11</v>
      </c>
    </row>
    <row r="344" spans="1:6">
      <c r="A344" s="1">
        <v>45360</v>
      </c>
      <c r="B344" s="2">
        <v>45360.509068530089</v>
      </c>
      <c r="C344" t="s">
        <v>3</v>
      </c>
      <c r="D344" t="s">
        <v>54</v>
      </c>
      <c r="E344" s="5">
        <v>28.9</v>
      </c>
      <c r="F344" t="s">
        <v>11</v>
      </c>
    </row>
    <row r="345" spans="1:6">
      <c r="A345" s="1">
        <v>45360</v>
      </c>
      <c r="B345" s="2">
        <v>45360.510028449076</v>
      </c>
      <c r="C345" t="s">
        <v>3</v>
      </c>
      <c r="D345" t="s">
        <v>54</v>
      </c>
      <c r="E345" s="5">
        <v>28.9</v>
      </c>
      <c r="F345" t="s">
        <v>11</v>
      </c>
    </row>
    <row r="346" spans="1:6">
      <c r="A346" s="1">
        <v>45388</v>
      </c>
      <c r="B346" s="2">
        <v>45388.592577928241</v>
      </c>
      <c r="C346" t="s">
        <v>3</v>
      </c>
      <c r="D346" t="s">
        <v>54</v>
      </c>
      <c r="E346" s="5">
        <v>38.700000000000003</v>
      </c>
      <c r="F346" t="s">
        <v>43</v>
      </c>
    </row>
    <row r="347" spans="1:6">
      <c r="A347" s="1">
        <v>45388</v>
      </c>
      <c r="B347" s="2">
        <v>45388.593368391201</v>
      </c>
      <c r="C347" t="s">
        <v>3</v>
      </c>
      <c r="D347" t="s">
        <v>54</v>
      </c>
      <c r="E347" s="5">
        <v>28.9</v>
      </c>
      <c r="F347" t="s">
        <v>11</v>
      </c>
    </row>
    <row r="348" spans="1:6">
      <c r="A348" s="1">
        <v>45389</v>
      </c>
      <c r="B348" s="2">
        <v>45389.530925185187</v>
      </c>
      <c r="C348" t="s">
        <v>3</v>
      </c>
      <c r="D348" t="s">
        <v>54</v>
      </c>
      <c r="E348" s="5">
        <v>38.700000000000003</v>
      </c>
      <c r="F348" t="s">
        <v>43</v>
      </c>
    </row>
    <row r="349" spans="1:6">
      <c r="A349" s="1">
        <v>45389</v>
      </c>
      <c r="B349" s="2">
        <v>45389.532003680557</v>
      </c>
      <c r="C349" t="s">
        <v>3</v>
      </c>
      <c r="D349" t="s">
        <v>54</v>
      </c>
      <c r="E349" s="5">
        <v>38.700000000000003</v>
      </c>
      <c r="F349" t="s">
        <v>43</v>
      </c>
    </row>
    <row r="350" spans="1:6">
      <c r="A350" s="1">
        <v>45401</v>
      </c>
      <c r="B350" s="2">
        <v>45401.54985935185</v>
      </c>
      <c r="C350" t="s">
        <v>3</v>
      </c>
      <c r="D350" t="s">
        <v>54</v>
      </c>
      <c r="E350" s="5">
        <v>33.799999999999997</v>
      </c>
      <c r="F350" t="s">
        <v>14</v>
      </c>
    </row>
    <row r="351" spans="1:6">
      <c r="A351" s="1">
        <v>45401</v>
      </c>
      <c r="B351" s="2">
        <v>45401.550936064814</v>
      </c>
      <c r="C351" t="s">
        <v>3</v>
      </c>
      <c r="D351" t="s">
        <v>54</v>
      </c>
      <c r="E351" s="5">
        <v>38.700000000000003</v>
      </c>
      <c r="F351" t="s">
        <v>43</v>
      </c>
    </row>
    <row r="352" spans="1:6">
      <c r="A352" s="1">
        <v>45402</v>
      </c>
      <c r="B352" s="2">
        <v>45402.614098587961</v>
      </c>
      <c r="C352" t="s">
        <v>3</v>
      </c>
      <c r="D352" t="s">
        <v>54</v>
      </c>
      <c r="E352" s="5">
        <v>38.700000000000003</v>
      </c>
      <c r="F352" t="s">
        <v>43</v>
      </c>
    </row>
    <row r="353" spans="1:6">
      <c r="A353" s="1">
        <v>45423</v>
      </c>
      <c r="B353" s="2">
        <v>45423.724968761577</v>
      </c>
      <c r="C353" t="s">
        <v>3</v>
      </c>
      <c r="D353" t="s">
        <v>54</v>
      </c>
      <c r="E353" s="5">
        <v>37.72</v>
      </c>
      <c r="F353" t="s">
        <v>43</v>
      </c>
    </row>
    <row r="354" spans="1:6">
      <c r="A354" s="1">
        <v>45426</v>
      </c>
      <c r="B354" s="2">
        <v>45426.626328530096</v>
      </c>
      <c r="C354" t="s">
        <v>3</v>
      </c>
      <c r="D354" t="s">
        <v>54</v>
      </c>
      <c r="E354" s="5">
        <v>27.92</v>
      </c>
      <c r="F354" t="s">
        <v>11</v>
      </c>
    </row>
    <row r="355" spans="1:6">
      <c r="A355" s="1">
        <v>45430</v>
      </c>
      <c r="B355" s="2">
        <v>45430.83245613426</v>
      </c>
      <c r="C355" t="s">
        <v>3</v>
      </c>
      <c r="D355" t="s">
        <v>54</v>
      </c>
      <c r="E355" s="5">
        <v>32.82</v>
      </c>
      <c r="F355" t="s">
        <v>14</v>
      </c>
    </row>
    <row r="356" spans="1:6">
      <c r="A356" s="1">
        <v>45437</v>
      </c>
      <c r="B356" s="2">
        <v>45437.69941616898</v>
      </c>
      <c r="C356" t="s">
        <v>3</v>
      </c>
      <c r="D356" t="s">
        <v>54</v>
      </c>
      <c r="E356" s="5">
        <v>32.82</v>
      </c>
      <c r="F356" t="s">
        <v>14</v>
      </c>
    </row>
    <row r="357" spans="1:6">
      <c r="A357" s="1">
        <v>45437</v>
      </c>
      <c r="B357" s="2">
        <v>45437.700194837962</v>
      </c>
      <c r="C357" t="s">
        <v>3</v>
      </c>
      <c r="D357" t="s">
        <v>54</v>
      </c>
      <c r="E357" s="5">
        <v>27.92</v>
      </c>
      <c r="F357" t="s">
        <v>11</v>
      </c>
    </row>
    <row r="358" spans="1:6">
      <c r="A358" s="1">
        <v>45445</v>
      </c>
      <c r="B358" s="2">
        <v>45445.85002834491</v>
      </c>
      <c r="C358" t="s">
        <v>3</v>
      </c>
      <c r="D358" t="s">
        <v>54</v>
      </c>
      <c r="E358" s="5">
        <v>32.82</v>
      </c>
      <c r="F358" t="s">
        <v>14</v>
      </c>
    </row>
    <row r="359" spans="1:6">
      <c r="A359" s="1">
        <v>45445</v>
      </c>
      <c r="B359" s="2">
        <v>45445.850778217595</v>
      </c>
      <c r="C359" t="s">
        <v>3</v>
      </c>
      <c r="D359" t="s">
        <v>54</v>
      </c>
      <c r="E359" s="5">
        <v>37.72</v>
      </c>
      <c r="F359" t="s">
        <v>43</v>
      </c>
    </row>
    <row r="360" spans="1:6">
      <c r="A360" s="1">
        <v>45468</v>
      </c>
      <c r="B360" s="2">
        <v>45468.437296412034</v>
      </c>
      <c r="C360" t="s">
        <v>3</v>
      </c>
      <c r="D360" t="s">
        <v>54</v>
      </c>
      <c r="E360" s="5">
        <v>32.82</v>
      </c>
      <c r="F360" t="s">
        <v>14</v>
      </c>
    </row>
    <row r="361" spans="1:6">
      <c r="A361" s="1">
        <v>45478</v>
      </c>
      <c r="B361" s="2">
        <v>45478.572027013892</v>
      </c>
      <c r="C361" t="s">
        <v>3</v>
      </c>
      <c r="D361" t="s">
        <v>54</v>
      </c>
      <c r="E361" s="5">
        <v>32.82</v>
      </c>
      <c r="F361" t="s">
        <v>14</v>
      </c>
    </row>
    <row r="362" spans="1:6">
      <c r="A362" s="1">
        <v>45497</v>
      </c>
      <c r="B362" s="2">
        <v>45497.887231446759</v>
      </c>
      <c r="C362" t="s">
        <v>3</v>
      </c>
      <c r="D362" t="s">
        <v>54</v>
      </c>
      <c r="E362" s="5">
        <v>27.92</v>
      </c>
      <c r="F362" t="s">
        <v>14</v>
      </c>
    </row>
    <row r="363" spans="1:6">
      <c r="A363" s="1">
        <v>45497</v>
      </c>
      <c r="B363" s="2">
        <v>45497.887977939812</v>
      </c>
      <c r="C363" t="s">
        <v>3</v>
      </c>
      <c r="D363" t="s">
        <v>54</v>
      </c>
      <c r="E363" s="5">
        <v>23.02</v>
      </c>
      <c r="F363" t="s">
        <v>11</v>
      </c>
    </row>
    <row r="364" spans="1:6">
      <c r="A364" s="1">
        <v>45500</v>
      </c>
      <c r="B364" s="2">
        <v>45500.518207858797</v>
      </c>
      <c r="C364" t="s">
        <v>3</v>
      </c>
      <c r="D364" t="s">
        <v>54</v>
      </c>
      <c r="E364" s="5">
        <v>18.12</v>
      </c>
      <c r="F364" t="s">
        <v>35</v>
      </c>
    </row>
    <row r="365" spans="1:6">
      <c r="A365" s="1">
        <v>45504</v>
      </c>
      <c r="B365" s="2">
        <v>45504.874595057867</v>
      </c>
      <c r="C365" t="s">
        <v>3</v>
      </c>
      <c r="D365" t="s">
        <v>54</v>
      </c>
      <c r="E365" s="5">
        <v>27.92</v>
      </c>
      <c r="F365" t="s">
        <v>14</v>
      </c>
    </row>
    <row r="366" spans="1:6">
      <c r="A366" s="1">
        <v>45507</v>
      </c>
      <c r="B366" s="2">
        <v>45507.497646157404</v>
      </c>
      <c r="C366" t="s">
        <v>3</v>
      </c>
      <c r="D366" t="s">
        <v>54</v>
      </c>
      <c r="E366" s="5">
        <v>18.12</v>
      </c>
      <c r="F366" t="s">
        <v>35</v>
      </c>
    </row>
    <row r="367" spans="1:6">
      <c r="A367" s="1">
        <v>45507</v>
      </c>
      <c r="B367" s="2">
        <v>45507.498278622683</v>
      </c>
      <c r="C367" t="s">
        <v>3</v>
      </c>
      <c r="D367" t="s">
        <v>54</v>
      </c>
      <c r="E367" s="5">
        <v>27.92</v>
      </c>
      <c r="F367" t="s">
        <v>14</v>
      </c>
    </row>
    <row r="368" spans="1:6">
      <c r="A368" s="1">
        <v>45507</v>
      </c>
      <c r="B368" s="2">
        <v>45507.50249741898</v>
      </c>
      <c r="C368" t="s">
        <v>3</v>
      </c>
      <c r="D368" t="s">
        <v>54</v>
      </c>
      <c r="E368" s="5">
        <v>27.92</v>
      </c>
      <c r="F368" t="s">
        <v>14</v>
      </c>
    </row>
    <row r="369" spans="1:6">
      <c r="A369" s="1">
        <v>45508</v>
      </c>
      <c r="B369" s="2">
        <v>45508.442952581019</v>
      </c>
      <c r="C369" t="s">
        <v>3</v>
      </c>
      <c r="D369" t="s">
        <v>54</v>
      </c>
      <c r="E369" s="5">
        <v>27.92</v>
      </c>
      <c r="F369" t="s">
        <v>14</v>
      </c>
    </row>
    <row r="370" spans="1:6">
      <c r="A370" s="1">
        <v>45519</v>
      </c>
      <c r="B370" s="2">
        <v>45519.899537962963</v>
      </c>
      <c r="C370" t="s">
        <v>3</v>
      </c>
      <c r="D370" t="s">
        <v>54</v>
      </c>
      <c r="E370" s="5">
        <v>18.12</v>
      </c>
      <c r="F370" t="s">
        <v>35</v>
      </c>
    </row>
    <row r="371" spans="1:6">
      <c r="A371" s="1">
        <v>45519</v>
      </c>
      <c r="B371" s="2">
        <v>45519.900127696761</v>
      </c>
      <c r="C371" t="s">
        <v>3</v>
      </c>
      <c r="D371" t="s">
        <v>54</v>
      </c>
      <c r="E371" s="5">
        <v>27.92</v>
      </c>
      <c r="F371" t="s">
        <v>14</v>
      </c>
    </row>
    <row r="372" spans="1:6">
      <c r="A372" s="1">
        <v>45521</v>
      </c>
      <c r="B372" s="2">
        <v>45521.888157476853</v>
      </c>
      <c r="C372" t="s">
        <v>3</v>
      </c>
      <c r="D372" t="s">
        <v>54</v>
      </c>
      <c r="E372" s="5">
        <v>27.92</v>
      </c>
      <c r="F372" t="s">
        <v>14</v>
      </c>
    </row>
    <row r="373" spans="1:6">
      <c r="A373" s="1">
        <v>45522</v>
      </c>
      <c r="B373" s="2">
        <v>45522.604416724535</v>
      </c>
      <c r="C373" t="s">
        <v>3</v>
      </c>
      <c r="D373" t="s">
        <v>54</v>
      </c>
      <c r="E373" s="5">
        <v>27.92</v>
      </c>
      <c r="F373" t="s">
        <v>14</v>
      </c>
    </row>
    <row r="374" spans="1:6">
      <c r="A374" s="1">
        <v>45540</v>
      </c>
      <c r="B374" s="2">
        <v>45540.893389305558</v>
      </c>
      <c r="C374" t="s">
        <v>3</v>
      </c>
      <c r="D374" t="s">
        <v>54</v>
      </c>
      <c r="E374" s="5">
        <v>27.92</v>
      </c>
      <c r="F374" t="s">
        <v>14</v>
      </c>
    </row>
    <row r="375" spans="1:6">
      <c r="A375" s="1">
        <v>45540</v>
      </c>
      <c r="B375" s="2">
        <v>45540.894096863427</v>
      </c>
      <c r="C375" t="s">
        <v>3</v>
      </c>
      <c r="D375" t="s">
        <v>54</v>
      </c>
      <c r="E375" s="5">
        <v>27.92</v>
      </c>
      <c r="F375" t="s">
        <v>14</v>
      </c>
    </row>
    <row r="376" spans="1:6">
      <c r="A376" s="1">
        <v>45553</v>
      </c>
      <c r="B376" s="2">
        <v>45553.885865254633</v>
      </c>
      <c r="C376" t="s">
        <v>3</v>
      </c>
      <c r="D376" t="s">
        <v>54</v>
      </c>
      <c r="E376" s="5">
        <v>27.92</v>
      </c>
      <c r="F376" t="s">
        <v>14</v>
      </c>
    </row>
    <row r="377" spans="1:6">
      <c r="A377" s="1">
        <v>45553</v>
      </c>
      <c r="B377" s="2">
        <v>45553.887749467591</v>
      </c>
      <c r="C377" t="s">
        <v>3</v>
      </c>
      <c r="D377" t="s">
        <v>54</v>
      </c>
      <c r="E377" s="5">
        <v>27.92</v>
      </c>
      <c r="F377" t="s">
        <v>14</v>
      </c>
    </row>
    <row r="378" spans="1:6">
      <c r="A378" s="1">
        <v>45556</v>
      </c>
      <c r="B378" s="2">
        <v>45556.853969201387</v>
      </c>
      <c r="C378" t="s">
        <v>3</v>
      </c>
      <c r="D378" t="s">
        <v>54</v>
      </c>
      <c r="E378" s="5">
        <v>23.02</v>
      </c>
      <c r="F378" t="s">
        <v>11</v>
      </c>
    </row>
    <row r="379" spans="1:6">
      <c r="A379" s="1">
        <v>45556</v>
      </c>
      <c r="B379" s="2">
        <v>45556.854616689816</v>
      </c>
      <c r="C379" t="s">
        <v>3</v>
      </c>
      <c r="D379" t="s">
        <v>54</v>
      </c>
      <c r="E379" s="5">
        <v>23.02</v>
      </c>
      <c r="F379" t="s">
        <v>11</v>
      </c>
    </row>
    <row r="380" spans="1:6">
      <c r="A380" s="1">
        <v>45573</v>
      </c>
      <c r="B380" s="2">
        <v>45573.892037465281</v>
      </c>
      <c r="C380" t="s">
        <v>3</v>
      </c>
      <c r="D380" t="s">
        <v>54</v>
      </c>
      <c r="E380" s="5">
        <v>30.86</v>
      </c>
      <c r="F380" t="s">
        <v>14</v>
      </c>
    </row>
    <row r="381" spans="1:6">
      <c r="A381" s="1">
        <v>45573</v>
      </c>
      <c r="B381" s="2">
        <v>45573.892731481479</v>
      </c>
      <c r="C381" t="s">
        <v>3</v>
      </c>
      <c r="D381" t="s">
        <v>54</v>
      </c>
      <c r="E381" s="5">
        <v>30.86</v>
      </c>
      <c r="F381" t="s">
        <v>14</v>
      </c>
    </row>
    <row r="382" spans="1:6">
      <c r="A382" s="1">
        <v>45580</v>
      </c>
      <c r="B382" s="2">
        <v>45580.887597326386</v>
      </c>
      <c r="C382" t="s">
        <v>3</v>
      </c>
      <c r="D382" t="s">
        <v>54</v>
      </c>
      <c r="E382" s="5">
        <v>35.76</v>
      </c>
      <c r="F382" t="s">
        <v>9</v>
      </c>
    </row>
    <row r="383" spans="1:6">
      <c r="A383" s="1">
        <v>45580</v>
      </c>
      <c r="B383" s="2">
        <v>45580.899536377314</v>
      </c>
      <c r="C383" t="s">
        <v>3</v>
      </c>
      <c r="D383" t="s">
        <v>54</v>
      </c>
      <c r="E383" s="5">
        <v>35.76</v>
      </c>
      <c r="F383" t="s">
        <v>9</v>
      </c>
    </row>
    <row r="384" spans="1:6">
      <c r="A384" s="1">
        <v>45588</v>
      </c>
      <c r="B384" s="2">
        <v>45588.790954988428</v>
      </c>
      <c r="C384" t="s">
        <v>3</v>
      </c>
      <c r="D384" t="s">
        <v>54</v>
      </c>
      <c r="E384" s="5">
        <v>35.76</v>
      </c>
      <c r="F384" t="s">
        <v>18</v>
      </c>
    </row>
    <row r="385" spans="1:6">
      <c r="A385" s="1">
        <v>45588</v>
      </c>
      <c r="B385" s="2">
        <v>45588.792164687497</v>
      </c>
      <c r="C385" t="s">
        <v>3</v>
      </c>
      <c r="D385" t="s">
        <v>54</v>
      </c>
      <c r="E385" s="5">
        <v>35.76</v>
      </c>
      <c r="F385" t="s">
        <v>43</v>
      </c>
    </row>
    <row r="386" spans="1:6">
      <c r="A386" s="1">
        <v>45591</v>
      </c>
      <c r="B386" s="2">
        <v>45591.512608124998</v>
      </c>
      <c r="C386" t="s">
        <v>3</v>
      </c>
      <c r="D386" t="s">
        <v>54</v>
      </c>
      <c r="E386" s="5">
        <v>35.76</v>
      </c>
      <c r="F386" t="s">
        <v>18</v>
      </c>
    </row>
    <row r="387" spans="1:6">
      <c r="A387" s="1">
        <v>45599</v>
      </c>
      <c r="B387" s="2">
        <v>45599.407708622683</v>
      </c>
      <c r="C387" t="s">
        <v>3</v>
      </c>
      <c r="D387" t="s">
        <v>54</v>
      </c>
      <c r="E387" s="5">
        <v>30.86</v>
      </c>
      <c r="F387" t="s">
        <v>14</v>
      </c>
    </row>
    <row r="388" spans="1:6">
      <c r="A388" s="1">
        <v>45599</v>
      </c>
      <c r="B388" s="2">
        <v>45599.408472418982</v>
      </c>
      <c r="C388" t="s">
        <v>3</v>
      </c>
      <c r="D388" t="s">
        <v>54</v>
      </c>
      <c r="E388" s="5">
        <v>30.86</v>
      </c>
      <c r="F388" t="s">
        <v>14</v>
      </c>
    </row>
    <row r="389" spans="1:6">
      <c r="A389" s="1">
        <v>45627</v>
      </c>
      <c r="B389" s="2">
        <v>45627.427450196759</v>
      </c>
      <c r="C389" t="s">
        <v>3</v>
      </c>
      <c r="D389" t="s">
        <v>54</v>
      </c>
      <c r="E389" s="5">
        <v>30.86</v>
      </c>
      <c r="F389" t="s">
        <v>14</v>
      </c>
    </row>
    <row r="390" spans="1:6">
      <c r="A390" s="1">
        <v>45627</v>
      </c>
      <c r="B390" s="2">
        <v>45627.428147268518</v>
      </c>
      <c r="C390" t="s">
        <v>3</v>
      </c>
      <c r="D390" t="s">
        <v>54</v>
      </c>
      <c r="E390" s="5">
        <v>30.86</v>
      </c>
      <c r="F390" t="s">
        <v>14</v>
      </c>
    </row>
    <row r="391" spans="1:6">
      <c r="A391" s="1">
        <v>45640</v>
      </c>
      <c r="B391" s="2">
        <v>45640.687487673611</v>
      </c>
      <c r="C391" t="s">
        <v>3</v>
      </c>
      <c r="D391" t="s">
        <v>54</v>
      </c>
      <c r="E391" s="5">
        <v>25.96</v>
      </c>
      <c r="F391" t="s">
        <v>11</v>
      </c>
    </row>
    <row r="392" spans="1:6">
      <c r="A392" s="1">
        <v>45640</v>
      </c>
      <c r="B392" s="2">
        <v>45640.688076157407</v>
      </c>
      <c r="C392" t="s">
        <v>3</v>
      </c>
      <c r="D392" t="s">
        <v>54</v>
      </c>
      <c r="E392" s="5">
        <v>25.96</v>
      </c>
      <c r="F392" t="s">
        <v>11</v>
      </c>
    </row>
    <row r="393" spans="1:6">
      <c r="A393" s="1">
        <v>45645</v>
      </c>
      <c r="B393" s="2">
        <v>45645.799080567129</v>
      </c>
      <c r="C393" t="s">
        <v>3</v>
      </c>
      <c r="D393" t="s">
        <v>54</v>
      </c>
      <c r="E393" s="5">
        <v>35.76</v>
      </c>
      <c r="F393" t="s">
        <v>43</v>
      </c>
    </row>
    <row r="394" spans="1:6">
      <c r="A394" s="1">
        <v>45360</v>
      </c>
      <c r="B394" s="2">
        <v>45360.548173946758</v>
      </c>
      <c r="C394" t="s">
        <v>3</v>
      </c>
      <c r="D394" t="s">
        <v>55</v>
      </c>
      <c r="E394" s="5">
        <v>38.700000000000003</v>
      </c>
      <c r="F394" t="s">
        <v>7</v>
      </c>
    </row>
    <row r="395" spans="1:6">
      <c r="A395" s="1">
        <v>45360</v>
      </c>
      <c r="B395" s="2">
        <v>45360.570210266204</v>
      </c>
      <c r="C395" t="s">
        <v>3</v>
      </c>
      <c r="D395" t="s">
        <v>56</v>
      </c>
      <c r="E395" s="5">
        <v>33.799999999999997</v>
      </c>
      <c r="F395" t="s">
        <v>14</v>
      </c>
    </row>
    <row r="396" spans="1:6">
      <c r="A396" s="1">
        <v>45460</v>
      </c>
      <c r="B396" s="2">
        <v>45460.455458425924</v>
      </c>
      <c r="C396" t="s">
        <v>3</v>
      </c>
      <c r="D396" t="s">
        <v>56</v>
      </c>
      <c r="E396" s="5">
        <v>37.72</v>
      </c>
      <c r="F396" t="s">
        <v>43</v>
      </c>
    </row>
    <row r="397" spans="1:6">
      <c r="A397" s="1">
        <v>45649</v>
      </c>
      <c r="B397" s="2">
        <v>45649.445872870368</v>
      </c>
      <c r="C397" t="s">
        <v>3</v>
      </c>
      <c r="D397" t="s">
        <v>56</v>
      </c>
      <c r="E397" s="5">
        <v>30.86</v>
      </c>
      <c r="F397" t="s">
        <v>14</v>
      </c>
    </row>
    <row r="398" spans="1:6">
      <c r="A398" s="1">
        <v>45360</v>
      </c>
      <c r="B398" s="2">
        <v>45360.578592685182</v>
      </c>
      <c r="C398" t="s">
        <v>3</v>
      </c>
      <c r="D398" t="s">
        <v>57</v>
      </c>
      <c r="E398" s="5">
        <v>28.9</v>
      </c>
      <c r="F398" t="s">
        <v>28</v>
      </c>
    </row>
    <row r="399" spans="1:6">
      <c r="A399" s="1">
        <v>45360</v>
      </c>
      <c r="B399" s="2">
        <v>45360.579592916663</v>
      </c>
      <c r="C399" t="s">
        <v>3</v>
      </c>
      <c r="D399" t="s">
        <v>57</v>
      </c>
      <c r="E399" s="5">
        <v>38.700000000000003</v>
      </c>
      <c r="F399" t="s">
        <v>43</v>
      </c>
    </row>
    <row r="400" spans="1:6">
      <c r="A400" s="1">
        <v>45360</v>
      </c>
      <c r="B400" s="2">
        <v>45360.602000844905</v>
      </c>
      <c r="C400" t="s">
        <v>3</v>
      </c>
      <c r="D400" t="s">
        <v>58</v>
      </c>
      <c r="E400" s="5">
        <v>38.700000000000003</v>
      </c>
      <c r="F400" t="s">
        <v>9</v>
      </c>
    </row>
    <row r="401" spans="1:6">
      <c r="A401" s="1">
        <v>45361</v>
      </c>
      <c r="B401" s="2">
        <v>45361.471768101852</v>
      </c>
      <c r="C401" t="s">
        <v>3</v>
      </c>
      <c r="D401" t="s">
        <v>59</v>
      </c>
      <c r="E401" s="5">
        <v>24</v>
      </c>
      <c r="F401" t="s">
        <v>35</v>
      </c>
    </row>
    <row r="402" spans="1:6">
      <c r="A402" s="1">
        <v>45361</v>
      </c>
      <c r="B402" s="2">
        <v>45361.815283310185</v>
      </c>
      <c r="C402" t="s">
        <v>3</v>
      </c>
      <c r="D402" t="s">
        <v>60</v>
      </c>
      <c r="E402" s="5">
        <v>38.700000000000003</v>
      </c>
      <c r="F402" t="s">
        <v>7</v>
      </c>
    </row>
    <row r="403" spans="1:6">
      <c r="A403" s="1">
        <v>45361</v>
      </c>
      <c r="B403" s="2">
        <v>45361.816605462962</v>
      </c>
      <c r="C403" t="s">
        <v>3</v>
      </c>
      <c r="D403" t="s">
        <v>60</v>
      </c>
      <c r="E403" s="5">
        <v>28.9</v>
      </c>
      <c r="F403" t="s">
        <v>28</v>
      </c>
    </row>
    <row r="404" spans="1:6">
      <c r="A404" s="1">
        <v>45701</v>
      </c>
      <c r="B404" s="2">
        <v>45701.760515624999</v>
      </c>
      <c r="C404" t="s">
        <v>3</v>
      </c>
      <c r="D404" t="s">
        <v>60</v>
      </c>
      <c r="E404" s="5">
        <v>35.76</v>
      </c>
      <c r="F404" t="s">
        <v>43</v>
      </c>
    </row>
    <row r="405" spans="1:6">
      <c r="A405" s="1">
        <v>45715</v>
      </c>
      <c r="B405" s="2">
        <v>45715.834805636572</v>
      </c>
      <c r="C405" t="s">
        <v>3</v>
      </c>
      <c r="D405" t="s">
        <v>60</v>
      </c>
      <c r="E405" s="5">
        <v>35.76</v>
      </c>
      <c r="F405" t="s">
        <v>43</v>
      </c>
    </row>
    <row r="406" spans="1:6">
      <c r="A406" s="1">
        <v>45731</v>
      </c>
      <c r="B406" s="2">
        <v>45731.71554863426</v>
      </c>
      <c r="C406" t="s">
        <v>3</v>
      </c>
      <c r="D406" t="s">
        <v>60</v>
      </c>
      <c r="E406" s="5">
        <v>35.76</v>
      </c>
      <c r="F406" t="s">
        <v>43</v>
      </c>
    </row>
    <row r="407" spans="1:6">
      <c r="A407" s="1">
        <v>45362</v>
      </c>
      <c r="B407" s="2">
        <v>45362.68363890046</v>
      </c>
      <c r="C407" t="s">
        <v>3</v>
      </c>
      <c r="D407" t="s">
        <v>61</v>
      </c>
      <c r="E407" s="5">
        <v>28.9</v>
      </c>
      <c r="F407" t="s">
        <v>11</v>
      </c>
    </row>
    <row r="408" spans="1:6">
      <c r="A408" s="1">
        <v>45362</v>
      </c>
      <c r="B408" s="2">
        <v>45362.684556296299</v>
      </c>
      <c r="C408" t="s">
        <v>3</v>
      </c>
      <c r="D408" t="s">
        <v>61</v>
      </c>
      <c r="E408" s="5">
        <v>38.700000000000003</v>
      </c>
      <c r="F408" t="s">
        <v>7</v>
      </c>
    </row>
    <row r="409" spans="1:6">
      <c r="A409" s="1">
        <v>45362</v>
      </c>
      <c r="B409" s="2">
        <v>45362.701963055559</v>
      </c>
      <c r="C409" t="s">
        <v>3</v>
      </c>
      <c r="D409" t="s">
        <v>62</v>
      </c>
      <c r="E409" s="5">
        <v>28.9</v>
      </c>
      <c r="F409" t="s">
        <v>28</v>
      </c>
    </row>
    <row r="410" spans="1:6">
      <c r="A410" s="1">
        <v>45364</v>
      </c>
      <c r="B410" s="2">
        <v>45364.462998124996</v>
      </c>
      <c r="C410" t="s">
        <v>3</v>
      </c>
      <c r="D410" t="s">
        <v>62</v>
      </c>
      <c r="E410" s="5">
        <v>38.700000000000003</v>
      </c>
      <c r="F410" t="s">
        <v>9</v>
      </c>
    </row>
    <row r="411" spans="1:6">
      <c r="A411" s="1">
        <v>45363</v>
      </c>
      <c r="B411" s="2">
        <v>45363.472750370369</v>
      </c>
      <c r="C411" t="s">
        <v>3</v>
      </c>
      <c r="D411" t="s">
        <v>63</v>
      </c>
      <c r="E411" s="5">
        <v>38.700000000000003</v>
      </c>
      <c r="F411" t="s">
        <v>9</v>
      </c>
    </row>
    <row r="412" spans="1:6">
      <c r="A412" s="1">
        <v>45370</v>
      </c>
      <c r="B412" s="2">
        <v>45370.628198020837</v>
      </c>
      <c r="C412" t="s">
        <v>3</v>
      </c>
      <c r="D412" t="s">
        <v>63</v>
      </c>
      <c r="E412" s="5">
        <v>38.700000000000003</v>
      </c>
      <c r="F412" t="s">
        <v>9</v>
      </c>
    </row>
    <row r="413" spans="1:6">
      <c r="A413" s="1">
        <v>45371</v>
      </c>
      <c r="B413" s="2">
        <v>45371.521400092592</v>
      </c>
      <c r="C413" t="s">
        <v>3</v>
      </c>
      <c r="D413" t="s">
        <v>63</v>
      </c>
      <c r="E413" s="5">
        <v>28.9</v>
      </c>
      <c r="F413" t="s">
        <v>28</v>
      </c>
    </row>
    <row r="414" spans="1:6">
      <c r="A414" s="1">
        <v>45391</v>
      </c>
      <c r="B414" s="2">
        <v>45391.725971481479</v>
      </c>
      <c r="C414" t="s">
        <v>3</v>
      </c>
      <c r="D414" t="s">
        <v>63</v>
      </c>
      <c r="E414" s="5">
        <v>38.700000000000003</v>
      </c>
      <c r="F414" t="s">
        <v>9</v>
      </c>
    </row>
    <row r="415" spans="1:6">
      <c r="A415" s="1">
        <v>45363</v>
      </c>
      <c r="B415" s="2">
        <v>45363.677584780089</v>
      </c>
      <c r="C415" t="s">
        <v>3</v>
      </c>
      <c r="D415" t="s">
        <v>64</v>
      </c>
      <c r="E415" s="5">
        <v>28.9</v>
      </c>
      <c r="F415" t="s">
        <v>11</v>
      </c>
    </row>
    <row r="416" spans="1:6">
      <c r="A416" s="1">
        <v>45365</v>
      </c>
      <c r="B416" s="2">
        <v>45365.704608819447</v>
      </c>
      <c r="C416" t="s">
        <v>3</v>
      </c>
      <c r="D416" t="s">
        <v>64</v>
      </c>
      <c r="E416" s="5">
        <v>24</v>
      </c>
      <c r="F416" t="s">
        <v>35</v>
      </c>
    </row>
    <row r="417" spans="1:6">
      <c r="A417" s="1">
        <v>45371</v>
      </c>
      <c r="B417" s="2">
        <v>45371.696274502312</v>
      </c>
      <c r="C417" t="s">
        <v>3</v>
      </c>
      <c r="D417" t="s">
        <v>64</v>
      </c>
      <c r="E417" s="5">
        <v>38.700000000000003</v>
      </c>
      <c r="F417" t="s">
        <v>18</v>
      </c>
    </row>
    <row r="418" spans="1:6">
      <c r="A418" s="1">
        <v>45373</v>
      </c>
      <c r="B418" s="2">
        <v>45373.722795023146</v>
      </c>
      <c r="C418" t="s">
        <v>3</v>
      </c>
      <c r="D418" t="s">
        <v>64</v>
      </c>
      <c r="E418" s="5">
        <v>28.9</v>
      </c>
      <c r="F418" t="s">
        <v>11</v>
      </c>
    </row>
    <row r="419" spans="1:6">
      <c r="A419" s="1">
        <v>45377</v>
      </c>
      <c r="B419" s="2">
        <v>45377.581871261573</v>
      </c>
      <c r="C419" t="s">
        <v>3</v>
      </c>
      <c r="D419" t="s">
        <v>64</v>
      </c>
      <c r="E419" s="5">
        <v>28.9</v>
      </c>
      <c r="F419" t="s">
        <v>11</v>
      </c>
    </row>
    <row r="420" spans="1:6">
      <c r="A420" s="1">
        <v>45398</v>
      </c>
      <c r="B420" s="2">
        <v>45398.756311030091</v>
      </c>
      <c r="C420" t="s">
        <v>3</v>
      </c>
      <c r="D420" t="s">
        <v>64</v>
      </c>
      <c r="E420" s="5">
        <v>38.700000000000003</v>
      </c>
      <c r="F420" t="s">
        <v>18</v>
      </c>
    </row>
    <row r="421" spans="1:6">
      <c r="A421" s="1">
        <v>45573</v>
      </c>
      <c r="B421" s="2">
        <v>45573.638797488427</v>
      </c>
      <c r="C421" t="s">
        <v>3</v>
      </c>
      <c r="D421" t="s">
        <v>64</v>
      </c>
      <c r="E421" s="5">
        <v>25.96</v>
      </c>
      <c r="F421" t="s">
        <v>11</v>
      </c>
    </row>
    <row r="422" spans="1:6">
      <c r="A422" s="1">
        <v>45670</v>
      </c>
      <c r="B422" s="2">
        <v>45670.8689615162</v>
      </c>
      <c r="C422" t="s">
        <v>3</v>
      </c>
      <c r="D422" t="s">
        <v>64</v>
      </c>
      <c r="E422" s="5">
        <v>21.06</v>
      </c>
      <c r="F422" t="s">
        <v>35</v>
      </c>
    </row>
    <row r="423" spans="1:6">
      <c r="A423" s="1">
        <v>45364</v>
      </c>
      <c r="B423" s="2">
        <v>45364.512573333333</v>
      </c>
      <c r="C423" t="s">
        <v>3</v>
      </c>
      <c r="D423" t="s">
        <v>65</v>
      </c>
      <c r="E423" s="5">
        <v>28.9</v>
      </c>
      <c r="F423" t="s">
        <v>11</v>
      </c>
    </row>
    <row r="424" spans="1:6">
      <c r="A424" s="1">
        <v>45364</v>
      </c>
      <c r="B424" s="2">
        <v>45364.513253796293</v>
      </c>
      <c r="C424" t="s">
        <v>3</v>
      </c>
      <c r="D424" t="s">
        <v>65</v>
      </c>
      <c r="E424" s="5">
        <v>28.9</v>
      </c>
      <c r="F424" t="s">
        <v>11</v>
      </c>
    </row>
    <row r="425" spans="1:6">
      <c r="A425" s="1">
        <v>45364</v>
      </c>
      <c r="B425" s="2">
        <v>45364.601861979165</v>
      </c>
      <c r="C425" t="s">
        <v>3</v>
      </c>
      <c r="D425" t="s">
        <v>66</v>
      </c>
      <c r="E425" s="5">
        <v>33.799999999999997</v>
      </c>
      <c r="F425" t="s">
        <v>14</v>
      </c>
    </row>
    <row r="426" spans="1:6">
      <c r="A426" s="1">
        <v>45364</v>
      </c>
      <c r="B426" s="2">
        <v>45364.653035428244</v>
      </c>
      <c r="C426" t="s">
        <v>3</v>
      </c>
      <c r="D426" t="s">
        <v>67</v>
      </c>
      <c r="E426" s="5">
        <v>24</v>
      </c>
      <c r="F426" t="s">
        <v>35</v>
      </c>
    </row>
    <row r="427" spans="1:6">
      <c r="A427" s="1">
        <v>45364</v>
      </c>
      <c r="B427" s="2">
        <v>45364.653708611113</v>
      </c>
      <c r="C427" t="s">
        <v>3</v>
      </c>
      <c r="D427" t="s">
        <v>67</v>
      </c>
      <c r="E427" s="5">
        <v>24</v>
      </c>
      <c r="F427" t="s">
        <v>35</v>
      </c>
    </row>
    <row r="428" spans="1:6">
      <c r="A428" s="1">
        <v>45364</v>
      </c>
      <c r="B428" s="2">
        <v>45364.699414039351</v>
      </c>
      <c r="C428" t="s">
        <v>3</v>
      </c>
      <c r="D428" t="s">
        <v>68</v>
      </c>
      <c r="E428" s="5">
        <v>24</v>
      </c>
      <c r="F428" t="s">
        <v>35</v>
      </c>
    </row>
    <row r="429" spans="1:6">
      <c r="A429" s="1">
        <v>45583</v>
      </c>
      <c r="B429" s="2">
        <v>45583.363184907408</v>
      </c>
      <c r="C429" t="s">
        <v>3</v>
      </c>
      <c r="D429" t="s">
        <v>68</v>
      </c>
      <c r="E429" s="5">
        <v>35.76</v>
      </c>
      <c r="F429" t="s">
        <v>18</v>
      </c>
    </row>
    <row r="430" spans="1:6">
      <c r="A430" s="1">
        <v>45365</v>
      </c>
      <c r="B430" s="2">
        <v>45365.436493252317</v>
      </c>
      <c r="C430" t="s">
        <v>3</v>
      </c>
      <c r="D430" t="s">
        <v>69</v>
      </c>
      <c r="E430" s="5">
        <v>38.700000000000003</v>
      </c>
      <c r="F430" t="s">
        <v>7</v>
      </c>
    </row>
    <row r="431" spans="1:6">
      <c r="A431" s="1">
        <v>45365</v>
      </c>
      <c r="B431" s="2">
        <v>45365.437202349538</v>
      </c>
      <c r="C431" t="s">
        <v>3</v>
      </c>
      <c r="D431" t="s">
        <v>69</v>
      </c>
      <c r="E431" s="5">
        <v>38.700000000000003</v>
      </c>
      <c r="F431" t="s">
        <v>9</v>
      </c>
    </row>
    <row r="432" spans="1:6">
      <c r="A432" s="1">
        <v>45377</v>
      </c>
      <c r="B432" s="2">
        <v>45377.441547210648</v>
      </c>
      <c r="C432" t="s">
        <v>3</v>
      </c>
      <c r="D432" t="s">
        <v>69</v>
      </c>
      <c r="E432" s="5">
        <v>38.700000000000003</v>
      </c>
      <c r="F432" t="s">
        <v>18</v>
      </c>
    </row>
    <row r="433" spans="1:6">
      <c r="A433" s="1">
        <v>45377</v>
      </c>
      <c r="B433" s="2">
        <v>45377.44208508102</v>
      </c>
      <c r="C433" t="s">
        <v>3</v>
      </c>
      <c r="D433" t="s">
        <v>69</v>
      </c>
      <c r="E433" s="5">
        <v>38.700000000000003</v>
      </c>
      <c r="F433" t="s">
        <v>7</v>
      </c>
    </row>
    <row r="434" spans="1:6">
      <c r="A434" s="1">
        <v>45365</v>
      </c>
      <c r="B434" s="2">
        <v>45365.577776678241</v>
      </c>
      <c r="C434" t="s">
        <v>3</v>
      </c>
      <c r="D434" t="s">
        <v>70</v>
      </c>
      <c r="E434" s="5">
        <v>33.799999999999997</v>
      </c>
      <c r="F434" t="s">
        <v>14</v>
      </c>
    </row>
    <row r="435" spans="1:6">
      <c r="A435" s="1">
        <v>45365</v>
      </c>
      <c r="B435" s="2">
        <v>45365.578428796296</v>
      </c>
      <c r="C435" t="s">
        <v>3</v>
      </c>
      <c r="D435" t="s">
        <v>71</v>
      </c>
      <c r="E435" s="5">
        <v>24</v>
      </c>
      <c r="F435" t="s">
        <v>35</v>
      </c>
    </row>
    <row r="436" spans="1:6">
      <c r="A436" s="1">
        <v>45365</v>
      </c>
      <c r="B436" s="2">
        <v>45365.639332951388</v>
      </c>
      <c r="C436" t="s">
        <v>3</v>
      </c>
      <c r="D436" t="s">
        <v>72</v>
      </c>
      <c r="E436" s="5">
        <v>38.700000000000003</v>
      </c>
      <c r="F436" t="s">
        <v>7</v>
      </c>
    </row>
    <row r="437" spans="1:6">
      <c r="A437" s="1">
        <v>45478</v>
      </c>
      <c r="B437" s="2">
        <v>45478.514220717596</v>
      </c>
      <c r="C437" t="s">
        <v>3</v>
      </c>
      <c r="D437" t="s">
        <v>72</v>
      </c>
      <c r="E437" s="5">
        <v>37.72</v>
      </c>
      <c r="F437" t="s">
        <v>18</v>
      </c>
    </row>
    <row r="438" spans="1:6">
      <c r="A438" s="1">
        <v>45365</v>
      </c>
      <c r="B438" s="2">
        <v>45365.669554467589</v>
      </c>
      <c r="C438" t="s">
        <v>3</v>
      </c>
      <c r="D438" t="s">
        <v>73</v>
      </c>
      <c r="E438" s="5">
        <v>33.799999999999997</v>
      </c>
      <c r="F438" t="s">
        <v>14</v>
      </c>
    </row>
    <row r="439" spans="1:6">
      <c r="A439" s="1">
        <v>45377</v>
      </c>
      <c r="B439" s="2">
        <v>45377.568052349539</v>
      </c>
      <c r="C439" t="s">
        <v>3</v>
      </c>
      <c r="D439" t="s">
        <v>73</v>
      </c>
      <c r="E439" s="5">
        <v>28.9</v>
      </c>
      <c r="F439" t="s">
        <v>28</v>
      </c>
    </row>
    <row r="440" spans="1:6">
      <c r="A440" s="1">
        <v>45406</v>
      </c>
      <c r="B440" s="2">
        <v>45406.527190949077</v>
      </c>
      <c r="C440" t="s">
        <v>3</v>
      </c>
      <c r="D440" t="s">
        <v>73</v>
      </c>
      <c r="E440" s="5">
        <v>32.82</v>
      </c>
      <c r="F440" t="s">
        <v>14</v>
      </c>
    </row>
    <row r="441" spans="1:6">
      <c r="A441" s="1">
        <v>45459</v>
      </c>
      <c r="B441" s="2">
        <v>45459.447123333332</v>
      </c>
      <c r="C441" t="s">
        <v>3</v>
      </c>
      <c r="D441" t="s">
        <v>73</v>
      </c>
      <c r="E441" s="5">
        <v>32.82</v>
      </c>
      <c r="F441" t="s">
        <v>14</v>
      </c>
    </row>
    <row r="442" spans="1:6">
      <c r="A442" s="1">
        <v>45459</v>
      </c>
      <c r="B442" s="2">
        <v>45459.739783182871</v>
      </c>
      <c r="C442" t="s">
        <v>3</v>
      </c>
      <c r="D442" t="s">
        <v>73</v>
      </c>
      <c r="E442" s="5">
        <v>32.82</v>
      </c>
      <c r="F442" t="s">
        <v>14</v>
      </c>
    </row>
    <row r="443" spans="1:6">
      <c r="A443" s="1">
        <v>45459</v>
      </c>
      <c r="B443" s="2">
        <v>45459.740469375</v>
      </c>
      <c r="C443" t="s">
        <v>3</v>
      </c>
      <c r="D443" t="s">
        <v>73</v>
      </c>
      <c r="E443" s="5">
        <v>32.82</v>
      </c>
      <c r="F443" t="s">
        <v>14</v>
      </c>
    </row>
    <row r="444" spans="1:6">
      <c r="A444" s="1">
        <v>45491</v>
      </c>
      <c r="B444" s="2">
        <v>45491.481245648145</v>
      </c>
      <c r="C444" t="s">
        <v>3</v>
      </c>
      <c r="D444" t="s">
        <v>73</v>
      </c>
      <c r="E444" s="5">
        <v>23.02</v>
      </c>
      <c r="F444" t="s">
        <v>11</v>
      </c>
    </row>
    <row r="445" spans="1:6">
      <c r="A445" s="1">
        <v>45491</v>
      </c>
      <c r="B445" s="2">
        <v>45491.482505057873</v>
      </c>
      <c r="C445" t="s">
        <v>3</v>
      </c>
      <c r="D445" t="s">
        <v>73</v>
      </c>
      <c r="E445" s="5">
        <v>23.02</v>
      </c>
      <c r="F445" t="s">
        <v>11</v>
      </c>
    </row>
    <row r="446" spans="1:6">
      <c r="A446" s="1">
        <v>45491</v>
      </c>
      <c r="B446" s="2">
        <v>45491.483235011576</v>
      </c>
      <c r="C446" t="s">
        <v>3</v>
      </c>
      <c r="D446" t="s">
        <v>73</v>
      </c>
      <c r="E446" s="5">
        <v>23.02</v>
      </c>
      <c r="F446" t="s">
        <v>28</v>
      </c>
    </row>
    <row r="447" spans="1:6">
      <c r="A447" s="1">
        <v>45499</v>
      </c>
      <c r="B447" s="2">
        <v>45499.38928638889</v>
      </c>
      <c r="C447" t="s">
        <v>3</v>
      </c>
      <c r="D447" t="s">
        <v>73</v>
      </c>
      <c r="E447" s="5">
        <v>18.12</v>
      </c>
      <c r="F447" t="s">
        <v>35</v>
      </c>
    </row>
    <row r="448" spans="1:6">
      <c r="A448" s="1">
        <v>45500</v>
      </c>
      <c r="B448" s="2">
        <v>45500.517478182868</v>
      </c>
      <c r="C448" t="s">
        <v>3</v>
      </c>
      <c r="D448" t="s">
        <v>73</v>
      </c>
      <c r="E448" s="5">
        <v>27.92</v>
      </c>
      <c r="F448" t="s">
        <v>14</v>
      </c>
    </row>
    <row r="449" spans="1:6">
      <c r="A449" s="1">
        <v>45500</v>
      </c>
      <c r="B449" s="2">
        <v>45500.523183680554</v>
      </c>
      <c r="C449" t="s">
        <v>3</v>
      </c>
      <c r="D449" t="s">
        <v>73</v>
      </c>
      <c r="E449" s="5">
        <v>27.92</v>
      </c>
      <c r="F449" t="s">
        <v>14</v>
      </c>
    </row>
    <row r="450" spans="1:6">
      <c r="A450" s="1">
        <v>45366</v>
      </c>
      <c r="B450" s="2">
        <v>45366.453497453702</v>
      </c>
      <c r="C450" t="s">
        <v>3</v>
      </c>
      <c r="D450" t="s">
        <v>74</v>
      </c>
      <c r="E450" s="5">
        <v>38.700000000000003</v>
      </c>
      <c r="F450" t="s">
        <v>9</v>
      </c>
    </row>
    <row r="451" spans="1:6">
      <c r="A451" s="1">
        <v>45367</v>
      </c>
      <c r="B451" s="2">
        <v>45367.504805659722</v>
      </c>
      <c r="C451" t="s">
        <v>3</v>
      </c>
      <c r="D451" t="s">
        <v>75</v>
      </c>
      <c r="E451" s="5">
        <v>33.799999999999997</v>
      </c>
      <c r="F451" t="s">
        <v>14</v>
      </c>
    </row>
    <row r="452" spans="1:6">
      <c r="A452" s="1">
        <v>45367</v>
      </c>
      <c r="B452" s="2">
        <v>45367.505485127316</v>
      </c>
      <c r="C452" t="s">
        <v>3</v>
      </c>
      <c r="D452" t="s">
        <v>75</v>
      </c>
      <c r="E452" s="5">
        <v>28.9</v>
      </c>
      <c r="F452" t="s">
        <v>11</v>
      </c>
    </row>
    <row r="453" spans="1:6">
      <c r="A453" s="1">
        <v>45367</v>
      </c>
      <c r="B453" s="2">
        <v>45367.748694918984</v>
      </c>
      <c r="C453" t="s">
        <v>3</v>
      </c>
      <c r="D453" t="s">
        <v>76</v>
      </c>
      <c r="E453" s="5">
        <v>33.799999999999997</v>
      </c>
      <c r="F453" t="s">
        <v>14</v>
      </c>
    </row>
    <row r="454" spans="1:6">
      <c r="A454" s="1">
        <v>45368</v>
      </c>
      <c r="B454" s="2">
        <v>45368.538496122688</v>
      </c>
      <c r="C454" t="s">
        <v>3</v>
      </c>
      <c r="D454" t="s">
        <v>77</v>
      </c>
      <c r="E454" s="5">
        <v>28.9</v>
      </c>
      <c r="F454" t="s">
        <v>28</v>
      </c>
    </row>
    <row r="455" spans="1:6">
      <c r="A455" s="1">
        <v>45369</v>
      </c>
      <c r="B455" s="2">
        <v>45369.47082952546</v>
      </c>
      <c r="C455" t="s">
        <v>3</v>
      </c>
      <c r="D455" t="s">
        <v>78</v>
      </c>
      <c r="E455" s="5">
        <v>28.9</v>
      </c>
      <c r="F455" t="s">
        <v>28</v>
      </c>
    </row>
    <row r="456" spans="1:6">
      <c r="A456" s="1">
        <v>45397</v>
      </c>
      <c r="B456" s="2">
        <v>45397.489868275465</v>
      </c>
      <c r="C456" t="s">
        <v>3</v>
      </c>
      <c r="D456" t="s">
        <v>78</v>
      </c>
      <c r="E456" s="5">
        <v>28.9</v>
      </c>
      <c r="F456" t="s">
        <v>11</v>
      </c>
    </row>
    <row r="457" spans="1:6">
      <c r="A457" s="1">
        <v>45398</v>
      </c>
      <c r="B457" s="2">
        <v>45398.536200810187</v>
      </c>
      <c r="C457" t="s">
        <v>3</v>
      </c>
      <c r="D457" t="s">
        <v>78</v>
      </c>
      <c r="E457" s="5">
        <v>28.9</v>
      </c>
      <c r="F457" t="s">
        <v>28</v>
      </c>
    </row>
    <row r="458" spans="1:6">
      <c r="A458" s="1">
        <v>45370</v>
      </c>
      <c r="B458" s="2">
        <v>45370.584971481483</v>
      </c>
      <c r="C458" t="s">
        <v>3</v>
      </c>
      <c r="D458" t="s">
        <v>79</v>
      </c>
      <c r="E458" s="5">
        <v>38.700000000000003</v>
      </c>
      <c r="F458" t="s">
        <v>7</v>
      </c>
    </row>
    <row r="459" spans="1:6">
      <c r="A459" s="1">
        <v>45370</v>
      </c>
      <c r="B459" s="2">
        <v>45370.58564542824</v>
      </c>
      <c r="C459" t="s">
        <v>3</v>
      </c>
      <c r="D459" t="s">
        <v>79</v>
      </c>
      <c r="E459" s="5">
        <v>38.700000000000003</v>
      </c>
      <c r="F459" t="s">
        <v>7</v>
      </c>
    </row>
    <row r="460" spans="1:6">
      <c r="A460" s="1">
        <v>45370</v>
      </c>
      <c r="B460" s="2">
        <v>45370.704035949071</v>
      </c>
      <c r="C460" t="s">
        <v>3</v>
      </c>
      <c r="D460" t="s">
        <v>80</v>
      </c>
      <c r="E460" s="5">
        <v>33.799999999999997</v>
      </c>
      <c r="F460" t="s">
        <v>14</v>
      </c>
    </row>
    <row r="461" spans="1:6">
      <c r="A461" s="1">
        <v>45371</v>
      </c>
      <c r="B461" s="2">
        <v>45371.553326319445</v>
      </c>
      <c r="C461" t="s">
        <v>3</v>
      </c>
      <c r="D461" t="s">
        <v>81</v>
      </c>
      <c r="E461" s="5">
        <v>38.700000000000003</v>
      </c>
      <c r="F461" t="s">
        <v>43</v>
      </c>
    </row>
    <row r="462" spans="1:6">
      <c r="A462" s="1">
        <v>45371</v>
      </c>
      <c r="B462" s="2">
        <v>45371.743388668983</v>
      </c>
      <c r="C462" t="s">
        <v>3</v>
      </c>
      <c r="D462" t="s">
        <v>82</v>
      </c>
      <c r="E462" s="5">
        <v>38.700000000000003</v>
      </c>
      <c r="F462" t="s">
        <v>7</v>
      </c>
    </row>
    <row r="463" spans="1:6">
      <c r="A463" s="1">
        <v>45372</v>
      </c>
      <c r="B463" s="2">
        <v>45372.805978101853</v>
      </c>
      <c r="C463" t="s">
        <v>3</v>
      </c>
      <c r="D463" t="s">
        <v>83</v>
      </c>
      <c r="E463" s="5">
        <v>38.700000000000003</v>
      </c>
      <c r="F463" t="s">
        <v>7</v>
      </c>
    </row>
    <row r="464" spans="1:6">
      <c r="A464" s="1">
        <v>45381</v>
      </c>
      <c r="B464" s="2">
        <v>45381.499535347219</v>
      </c>
      <c r="C464" t="s">
        <v>3</v>
      </c>
      <c r="D464" t="s">
        <v>83</v>
      </c>
      <c r="E464" s="5">
        <v>38.700000000000003</v>
      </c>
      <c r="F464" t="s">
        <v>7</v>
      </c>
    </row>
    <row r="465" spans="1:6">
      <c r="A465" s="1">
        <v>45400</v>
      </c>
      <c r="B465" s="2">
        <v>45400.739071655094</v>
      </c>
      <c r="C465" t="s">
        <v>3</v>
      </c>
      <c r="D465" t="s">
        <v>83</v>
      </c>
      <c r="E465" s="5">
        <v>38.700000000000003</v>
      </c>
      <c r="F465" t="s">
        <v>7</v>
      </c>
    </row>
    <row r="466" spans="1:6">
      <c r="A466" s="1">
        <v>45423</v>
      </c>
      <c r="B466" s="2">
        <v>45423.486028680556</v>
      </c>
      <c r="C466" t="s">
        <v>3</v>
      </c>
      <c r="D466" t="s">
        <v>83</v>
      </c>
      <c r="E466" s="5">
        <v>37.72</v>
      </c>
      <c r="F466" t="s">
        <v>7</v>
      </c>
    </row>
    <row r="467" spans="1:6">
      <c r="A467" s="1">
        <v>45428</v>
      </c>
      <c r="B467" s="2">
        <v>45428.73925402778</v>
      </c>
      <c r="C467" t="s">
        <v>3</v>
      </c>
      <c r="D467" t="s">
        <v>83</v>
      </c>
      <c r="E467" s="5">
        <v>37.72</v>
      </c>
      <c r="F467" t="s">
        <v>7</v>
      </c>
    </row>
    <row r="468" spans="1:6">
      <c r="A468" s="1">
        <v>45373</v>
      </c>
      <c r="B468" s="2">
        <v>45373.441592812502</v>
      </c>
      <c r="C468" t="s">
        <v>3</v>
      </c>
      <c r="D468" t="s">
        <v>84</v>
      </c>
      <c r="E468" s="5">
        <v>33.799999999999997</v>
      </c>
      <c r="F468" t="s">
        <v>14</v>
      </c>
    </row>
    <row r="469" spans="1:6">
      <c r="A469" s="1">
        <v>45373</v>
      </c>
      <c r="B469" s="2">
        <v>45373.562041006946</v>
      </c>
      <c r="C469" t="s">
        <v>3</v>
      </c>
      <c r="D469" t="s">
        <v>85</v>
      </c>
      <c r="E469" s="5">
        <v>33.799999999999997</v>
      </c>
      <c r="F469" t="s">
        <v>14</v>
      </c>
    </row>
    <row r="470" spans="1:6">
      <c r="A470" s="1">
        <v>45374</v>
      </c>
      <c r="B470" s="2">
        <v>45374.447217118053</v>
      </c>
      <c r="C470" t="s">
        <v>3</v>
      </c>
      <c r="D470" t="s">
        <v>86</v>
      </c>
      <c r="E470" s="5">
        <v>38.700000000000003</v>
      </c>
      <c r="F470" t="s">
        <v>7</v>
      </c>
    </row>
    <row r="471" spans="1:6">
      <c r="A471" s="1">
        <v>45374</v>
      </c>
      <c r="B471" s="2">
        <v>45374.447999502314</v>
      </c>
      <c r="C471" t="s">
        <v>3</v>
      </c>
      <c r="D471" t="s">
        <v>87</v>
      </c>
      <c r="E471" s="5">
        <v>33.799999999999997</v>
      </c>
      <c r="F471" t="s">
        <v>14</v>
      </c>
    </row>
    <row r="472" spans="1:6">
      <c r="A472" s="1">
        <v>45374</v>
      </c>
      <c r="B472" s="2">
        <v>45374.548699780091</v>
      </c>
      <c r="C472" t="s">
        <v>3</v>
      </c>
      <c r="D472" t="s">
        <v>88</v>
      </c>
      <c r="E472" s="5">
        <v>38.700000000000003</v>
      </c>
      <c r="F472" t="s">
        <v>43</v>
      </c>
    </row>
    <row r="473" spans="1:6">
      <c r="A473" s="1">
        <v>45374</v>
      </c>
      <c r="B473" s="2">
        <v>45374.549447106481</v>
      </c>
      <c r="C473" t="s">
        <v>3</v>
      </c>
      <c r="D473" t="s">
        <v>88</v>
      </c>
      <c r="E473" s="5">
        <v>38.700000000000003</v>
      </c>
      <c r="F473" t="s">
        <v>18</v>
      </c>
    </row>
    <row r="474" spans="1:6">
      <c r="A474" s="1">
        <v>45374</v>
      </c>
      <c r="B474" s="2">
        <v>45374.614366620372</v>
      </c>
      <c r="C474" t="s">
        <v>3</v>
      </c>
      <c r="D474" t="s">
        <v>89</v>
      </c>
      <c r="E474" s="5">
        <v>33.799999999999997</v>
      </c>
      <c r="F474" t="s">
        <v>14</v>
      </c>
    </row>
    <row r="475" spans="1:6">
      <c r="A475" s="1">
        <v>45374</v>
      </c>
      <c r="B475" s="2">
        <v>45374.657859513885</v>
      </c>
      <c r="C475" t="s">
        <v>3</v>
      </c>
      <c r="D475" t="s">
        <v>90</v>
      </c>
      <c r="E475" s="5">
        <v>38.700000000000003</v>
      </c>
      <c r="F475" t="s">
        <v>7</v>
      </c>
    </row>
    <row r="476" spans="1:6">
      <c r="A476" s="1">
        <v>45374</v>
      </c>
      <c r="B476" s="2">
        <v>45374.659419131945</v>
      </c>
      <c r="C476" t="s">
        <v>3</v>
      </c>
      <c r="D476" t="s">
        <v>90</v>
      </c>
      <c r="E476" s="5">
        <v>33.799999999999997</v>
      </c>
      <c r="F476" t="s">
        <v>14</v>
      </c>
    </row>
    <row r="477" spans="1:6">
      <c r="A477" s="1">
        <v>45375</v>
      </c>
      <c r="B477" s="2">
        <v>45375.781347187498</v>
      </c>
      <c r="C477" t="s">
        <v>3</v>
      </c>
      <c r="D477" t="s">
        <v>91</v>
      </c>
      <c r="E477" s="5">
        <v>38.700000000000003</v>
      </c>
      <c r="F477" t="s">
        <v>7</v>
      </c>
    </row>
    <row r="478" spans="1:6">
      <c r="A478" s="1">
        <v>45419</v>
      </c>
      <c r="B478" s="2">
        <v>45419.558043321762</v>
      </c>
      <c r="C478" t="s">
        <v>3</v>
      </c>
      <c r="D478" t="s">
        <v>91</v>
      </c>
      <c r="E478" s="5">
        <v>27.92</v>
      </c>
      <c r="F478" t="s">
        <v>28</v>
      </c>
    </row>
    <row r="479" spans="1:6">
      <c r="A479" s="1">
        <v>45424</v>
      </c>
      <c r="B479" s="2">
        <v>45424.63634045139</v>
      </c>
      <c r="C479" t="s">
        <v>3</v>
      </c>
      <c r="D479" t="s">
        <v>91</v>
      </c>
      <c r="E479" s="5">
        <v>37.72</v>
      </c>
      <c r="F479" t="s">
        <v>7</v>
      </c>
    </row>
    <row r="480" spans="1:6">
      <c r="A480" s="1">
        <v>45435</v>
      </c>
      <c r="B480" s="2">
        <v>45435.695139386575</v>
      </c>
      <c r="C480" t="s">
        <v>3</v>
      </c>
      <c r="D480" t="s">
        <v>91</v>
      </c>
      <c r="E480" s="5">
        <v>37.72</v>
      </c>
      <c r="F480" t="s">
        <v>7</v>
      </c>
    </row>
    <row r="481" spans="1:6">
      <c r="A481" s="1">
        <v>45500</v>
      </c>
      <c r="B481" s="2">
        <v>45500.619365694445</v>
      </c>
      <c r="C481" t="s">
        <v>3</v>
      </c>
      <c r="D481" t="s">
        <v>91</v>
      </c>
      <c r="E481" s="5">
        <v>32.82</v>
      </c>
      <c r="F481" t="s">
        <v>7</v>
      </c>
    </row>
    <row r="482" spans="1:6">
      <c r="A482" s="1">
        <v>45529</v>
      </c>
      <c r="B482" s="2">
        <v>45529.620170127317</v>
      </c>
      <c r="C482" t="s">
        <v>3</v>
      </c>
      <c r="D482" t="s">
        <v>91</v>
      </c>
      <c r="E482" s="5">
        <v>32.82</v>
      </c>
      <c r="F482" t="s">
        <v>7</v>
      </c>
    </row>
    <row r="483" spans="1:6">
      <c r="A483" s="1">
        <v>45376</v>
      </c>
      <c r="B483" s="2">
        <v>45376.602189386576</v>
      </c>
      <c r="C483" t="s">
        <v>3</v>
      </c>
      <c r="D483" t="s">
        <v>92</v>
      </c>
      <c r="E483" s="5">
        <v>38.700000000000003</v>
      </c>
      <c r="F483" t="s">
        <v>7</v>
      </c>
    </row>
    <row r="484" spans="1:6">
      <c r="A484" s="1">
        <v>45376</v>
      </c>
      <c r="B484" s="2">
        <v>45376.815561828706</v>
      </c>
      <c r="C484" t="s">
        <v>3</v>
      </c>
      <c r="D484" t="s">
        <v>93</v>
      </c>
      <c r="E484" s="5">
        <v>38.700000000000003</v>
      </c>
      <c r="F484" t="s">
        <v>43</v>
      </c>
    </row>
    <row r="485" spans="1:6">
      <c r="A485" s="1">
        <v>45377</v>
      </c>
      <c r="B485" s="2">
        <v>45377.446182523148</v>
      </c>
      <c r="C485" t="s">
        <v>3</v>
      </c>
      <c r="D485" t="s">
        <v>94</v>
      </c>
      <c r="E485" s="5">
        <v>38.700000000000003</v>
      </c>
      <c r="F485" t="s">
        <v>7</v>
      </c>
    </row>
    <row r="486" spans="1:6">
      <c r="A486" s="1">
        <v>45377</v>
      </c>
      <c r="B486" s="2">
        <v>45377.658359606481</v>
      </c>
      <c r="C486" t="s">
        <v>3</v>
      </c>
      <c r="D486" t="s">
        <v>95</v>
      </c>
      <c r="E486" s="5">
        <v>38.700000000000003</v>
      </c>
      <c r="F486" t="s">
        <v>7</v>
      </c>
    </row>
    <row r="487" spans="1:6">
      <c r="A487" s="1">
        <v>45436</v>
      </c>
      <c r="B487" s="2">
        <v>45436.671757129632</v>
      </c>
      <c r="C487" t="s">
        <v>3</v>
      </c>
      <c r="D487" t="s">
        <v>95</v>
      </c>
      <c r="E487" s="5">
        <v>37.72</v>
      </c>
      <c r="F487" t="s">
        <v>9</v>
      </c>
    </row>
    <row r="488" spans="1:6">
      <c r="A488" s="1">
        <v>45378</v>
      </c>
      <c r="B488" s="2">
        <v>45378.539588680556</v>
      </c>
      <c r="C488" t="s">
        <v>3</v>
      </c>
      <c r="D488" t="s">
        <v>96</v>
      </c>
      <c r="E488" s="5">
        <v>33.799999999999997</v>
      </c>
      <c r="F488" t="s">
        <v>14</v>
      </c>
    </row>
    <row r="489" spans="1:6">
      <c r="A489" s="1">
        <v>45378</v>
      </c>
      <c r="B489" s="2">
        <v>45378.56620415509</v>
      </c>
      <c r="C489" t="s">
        <v>3</v>
      </c>
      <c r="D489" t="s">
        <v>97</v>
      </c>
      <c r="E489" s="5">
        <v>38.700000000000003</v>
      </c>
      <c r="F489" t="s">
        <v>9</v>
      </c>
    </row>
    <row r="490" spans="1:6">
      <c r="A490" s="1">
        <v>45378</v>
      </c>
      <c r="B490" s="2">
        <v>45378.770970289355</v>
      </c>
      <c r="C490" t="s">
        <v>3</v>
      </c>
      <c r="D490" t="s">
        <v>98</v>
      </c>
      <c r="E490" s="5">
        <v>28.9</v>
      </c>
      <c r="F490" t="s">
        <v>28</v>
      </c>
    </row>
    <row r="491" spans="1:6">
      <c r="A491" s="1">
        <v>45590</v>
      </c>
      <c r="B491" s="2">
        <v>45590.346409490739</v>
      </c>
      <c r="C491" t="s">
        <v>3</v>
      </c>
      <c r="D491" t="s">
        <v>98</v>
      </c>
      <c r="E491" s="5">
        <v>35.76</v>
      </c>
      <c r="F491" t="s">
        <v>18</v>
      </c>
    </row>
    <row r="492" spans="1:6">
      <c r="A492" s="1">
        <v>45379</v>
      </c>
      <c r="B492" s="2">
        <v>45379.600545046298</v>
      </c>
      <c r="C492" t="s">
        <v>3</v>
      </c>
      <c r="D492" t="s">
        <v>99</v>
      </c>
      <c r="E492" s="5">
        <v>28.9</v>
      </c>
      <c r="F492" t="s">
        <v>28</v>
      </c>
    </row>
    <row r="493" spans="1:6">
      <c r="A493" s="1">
        <v>45400</v>
      </c>
      <c r="B493" s="2">
        <v>45400.764652141203</v>
      </c>
      <c r="C493" t="s">
        <v>3</v>
      </c>
      <c r="D493" t="s">
        <v>99</v>
      </c>
      <c r="E493" s="5">
        <v>38.700000000000003</v>
      </c>
      <c r="F493" t="s">
        <v>43</v>
      </c>
    </row>
    <row r="494" spans="1:6">
      <c r="A494" s="1">
        <v>45379</v>
      </c>
      <c r="B494" s="2">
        <v>45379.731072361108</v>
      </c>
      <c r="C494" t="s">
        <v>3</v>
      </c>
      <c r="D494" t="s">
        <v>100</v>
      </c>
      <c r="E494" s="5">
        <v>38.700000000000003</v>
      </c>
      <c r="F494" t="s">
        <v>7</v>
      </c>
    </row>
    <row r="495" spans="1:6">
      <c r="A495" s="1">
        <v>45380</v>
      </c>
      <c r="B495" s="2">
        <v>45380.455781192133</v>
      </c>
      <c r="C495" t="s">
        <v>3</v>
      </c>
      <c r="D495" t="s">
        <v>101</v>
      </c>
      <c r="E495" s="5">
        <v>38.700000000000003</v>
      </c>
      <c r="F495" t="s">
        <v>7</v>
      </c>
    </row>
    <row r="496" spans="1:6">
      <c r="A496" s="1">
        <v>45380</v>
      </c>
      <c r="B496" s="2">
        <v>45380.52381230324</v>
      </c>
      <c r="C496" t="s">
        <v>3</v>
      </c>
      <c r="D496" t="s">
        <v>102</v>
      </c>
      <c r="E496" s="5">
        <v>38.700000000000003</v>
      </c>
      <c r="F496" t="s">
        <v>43</v>
      </c>
    </row>
    <row r="497" spans="1:6">
      <c r="A497" s="1">
        <v>45380</v>
      </c>
      <c r="B497" s="2">
        <v>45380.528844039349</v>
      </c>
      <c r="C497" t="s">
        <v>3</v>
      </c>
      <c r="D497" t="s">
        <v>102</v>
      </c>
      <c r="E497" s="5">
        <v>38.700000000000003</v>
      </c>
      <c r="F497" t="s">
        <v>43</v>
      </c>
    </row>
    <row r="498" spans="1:6">
      <c r="A498" s="1">
        <v>45382</v>
      </c>
      <c r="B498" s="2">
        <v>45382.444496793978</v>
      </c>
      <c r="C498" t="s">
        <v>3</v>
      </c>
      <c r="D498" t="s">
        <v>103</v>
      </c>
      <c r="E498" s="5">
        <v>38.700000000000003</v>
      </c>
      <c r="F498" t="s">
        <v>43</v>
      </c>
    </row>
    <row r="499" spans="1:6">
      <c r="A499" s="1">
        <v>45383</v>
      </c>
      <c r="B499" s="2">
        <v>45383.781567546299</v>
      </c>
      <c r="C499" t="s">
        <v>3</v>
      </c>
      <c r="D499" t="s">
        <v>104</v>
      </c>
      <c r="E499" s="5">
        <v>38.700000000000003</v>
      </c>
      <c r="F499" t="s">
        <v>9</v>
      </c>
    </row>
    <row r="500" spans="1:6">
      <c r="A500" s="1">
        <v>45386</v>
      </c>
      <c r="B500" s="2">
        <v>45386.447870231481</v>
      </c>
      <c r="C500" t="s">
        <v>3</v>
      </c>
      <c r="D500" t="s">
        <v>105</v>
      </c>
      <c r="E500" s="5">
        <v>38.700000000000003</v>
      </c>
      <c r="F500" t="s">
        <v>7</v>
      </c>
    </row>
    <row r="501" spans="1:6">
      <c r="A501" s="1">
        <v>45389</v>
      </c>
      <c r="B501" s="2">
        <v>45389.42561578704</v>
      </c>
      <c r="C501" t="s">
        <v>3</v>
      </c>
      <c r="D501" t="s">
        <v>105</v>
      </c>
      <c r="E501" s="5">
        <v>38.700000000000003</v>
      </c>
      <c r="F501" t="s">
        <v>7</v>
      </c>
    </row>
    <row r="502" spans="1:6">
      <c r="A502" s="1">
        <v>45391</v>
      </c>
      <c r="B502" s="2">
        <v>45391.487829490739</v>
      </c>
      <c r="C502" t="s">
        <v>3</v>
      </c>
      <c r="D502" t="s">
        <v>105</v>
      </c>
      <c r="E502" s="5">
        <v>38.700000000000003</v>
      </c>
      <c r="F502" t="s">
        <v>7</v>
      </c>
    </row>
    <row r="503" spans="1:6">
      <c r="A503" s="1">
        <v>45386</v>
      </c>
      <c r="B503" s="2">
        <v>45386.476829687497</v>
      </c>
      <c r="C503" t="s">
        <v>3</v>
      </c>
      <c r="D503" t="s">
        <v>106</v>
      </c>
      <c r="E503" s="5">
        <v>38.700000000000003</v>
      </c>
      <c r="F503" t="s">
        <v>7</v>
      </c>
    </row>
    <row r="504" spans="1:6">
      <c r="A504" s="1">
        <v>45386</v>
      </c>
      <c r="B504" s="2">
        <v>45386.477643645834</v>
      </c>
      <c r="C504" t="s">
        <v>3</v>
      </c>
      <c r="D504" t="s">
        <v>107</v>
      </c>
      <c r="E504" s="5">
        <v>38.700000000000003</v>
      </c>
      <c r="F504" t="s">
        <v>43</v>
      </c>
    </row>
    <row r="505" spans="1:6">
      <c r="A505" s="1">
        <v>45386</v>
      </c>
      <c r="B505" s="2">
        <v>45386.515997870367</v>
      </c>
      <c r="C505" t="s">
        <v>3</v>
      </c>
      <c r="D505" t="s">
        <v>108</v>
      </c>
      <c r="E505" s="5">
        <v>28.9</v>
      </c>
      <c r="F505" t="s">
        <v>28</v>
      </c>
    </row>
    <row r="506" spans="1:6">
      <c r="A506" s="1">
        <v>45387</v>
      </c>
      <c r="B506" s="2">
        <v>45387.444938981484</v>
      </c>
      <c r="C506" t="s">
        <v>3</v>
      </c>
      <c r="D506" t="s">
        <v>109</v>
      </c>
      <c r="E506" s="5">
        <v>28.9</v>
      </c>
      <c r="F506" t="s">
        <v>11</v>
      </c>
    </row>
    <row r="507" spans="1:6">
      <c r="A507" s="1">
        <v>45518</v>
      </c>
      <c r="B507" s="2">
        <v>45518.485507893522</v>
      </c>
      <c r="C507" t="s">
        <v>3</v>
      </c>
      <c r="D507" t="s">
        <v>109</v>
      </c>
      <c r="E507" s="5">
        <v>18.12</v>
      </c>
      <c r="F507" t="s">
        <v>35</v>
      </c>
    </row>
    <row r="508" spans="1:6">
      <c r="A508" s="1">
        <v>45541</v>
      </c>
      <c r="B508" s="2">
        <v>45541.474599421294</v>
      </c>
      <c r="C508" t="s">
        <v>3</v>
      </c>
      <c r="D508" t="s">
        <v>109</v>
      </c>
      <c r="E508" s="5">
        <v>18.12</v>
      </c>
      <c r="F508" t="s">
        <v>35</v>
      </c>
    </row>
    <row r="509" spans="1:6">
      <c r="A509" s="1">
        <v>45710</v>
      </c>
      <c r="B509" s="2">
        <v>45710.541456631945</v>
      </c>
      <c r="C509" t="s">
        <v>3</v>
      </c>
      <c r="D509" t="s">
        <v>109</v>
      </c>
      <c r="E509" s="5">
        <v>21.06</v>
      </c>
      <c r="F509" t="s">
        <v>35</v>
      </c>
    </row>
    <row r="510" spans="1:6">
      <c r="A510" s="1">
        <v>45387</v>
      </c>
      <c r="B510" s="2">
        <v>45387.462669479166</v>
      </c>
      <c r="C510" t="s">
        <v>3</v>
      </c>
      <c r="D510" t="s">
        <v>110</v>
      </c>
      <c r="E510" s="5">
        <v>28.9</v>
      </c>
      <c r="F510" t="s">
        <v>28</v>
      </c>
    </row>
    <row r="511" spans="1:6">
      <c r="A511" s="1">
        <v>45387</v>
      </c>
      <c r="B511" s="2">
        <v>45387.510046006944</v>
      </c>
      <c r="C511" t="s">
        <v>3</v>
      </c>
      <c r="D511" t="s">
        <v>111</v>
      </c>
      <c r="E511" s="5">
        <v>33.799999999999997</v>
      </c>
      <c r="F511" t="s">
        <v>14</v>
      </c>
    </row>
    <row r="512" spans="1:6">
      <c r="A512" s="1">
        <v>45428</v>
      </c>
      <c r="B512" s="2">
        <v>45428.443546967595</v>
      </c>
      <c r="C512" t="s">
        <v>3</v>
      </c>
      <c r="D512" t="s">
        <v>111</v>
      </c>
      <c r="E512" s="5">
        <v>32.82</v>
      </c>
      <c r="F512" t="s">
        <v>14</v>
      </c>
    </row>
    <row r="513" spans="1:6">
      <c r="A513" s="1">
        <v>45430</v>
      </c>
      <c r="B513" s="2">
        <v>45430.701008460645</v>
      </c>
      <c r="C513" t="s">
        <v>3</v>
      </c>
      <c r="D513" t="s">
        <v>111</v>
      </c>
      <c r="E513" s="5">
        <v>32.82</v>
      </c>
      <c r="F513" t="s">
        <v>14</v>
      </c>
    </row>
    <row r="514" spans="1:6">
      <c r="A514" s="1">
        <v>45434</v>
      </c>
      <c r="B514" s="2">
        <v>45434.482580648146</v>
      </c>
      <c r="C514" t="s">
        <v>3</v>
      </c>
      <c r="D514" t="s">
        <v>111</v>
      </c>
      <c r="E514" s="5">
        <v>32.82</v>
      </c>
      <c r="F514" t="s">
        <v>14</v>
      </c>
    </row>
    <row r="515" spans="1:6">
      <c r="A515" s="1">
        <v>45440</v>
      </c>
      <c r="B515" s="2">
        <v>45440.389013148146</v>
      </c>
      <c r="C515" t="s">
        <v>3</v>
      </c>
      <c r="D515" t="s">
        <v>111</v>
      </c>
      <c r="E515" s="5">
        <v>32.82</v>
      </c>
      <c r="F515" t="s">
        <v>14</v>
      </c>
    </row>
    <row r="516" spans="1:6">
      <c r="A516" s="1">
        <v>45442</v>
      </c>
      <c r="B516" s="2">
        <v>45442.622401307868</v>
      </c>
      <c r="C516" t="s">
        <v>3</v>
      </c>
      <c r="D516" t="s">
        <v>111</v>
      </c>
      <c r="E516" s="5">
        <v>32.82</v>
      </c>
      <c r="F516" t="s">
        <v>14</v>
      </c>
    </row>
    <row r="517" spans="1:6">
      <c r="A517" s="1">
        <v>45444</v>
      </c>
      <c r="B517" s="2">
        <v>45444.603399756947</v>
      </c>
      <c r="C517" t="s">
        <v>3</v>
      </c>
      <c r="D517" t="s">
        <v>111</v>
      </c>
      <c r="E517" s="5">
        <v>32.82</v>
      </c>
      <c r="F517" t="s">
        <v>14</v>
      </c>
    </row>
    <row r="518" spans="1:6">
      <c r="A518" s="1">
        <v>45445</v>
      </c>
      <c r="B518" s="2">
        <v>45445.880098738424</v>
      </c>
      <c r="C518" t="s">
        <v>3</v>
      </c>
      <c r="D518" t="s">
        <v>111</v>
      </c>
      <c r="E518" s="5">
        <v>32.82</v>
      </c>
      <c r="F518" t="s">
        <v>14</v>
      </c>
    </row>
    <row r="519" spans="1:6">
      <c r="A519" s="1">
        <v>45447</v>
      </c>
      <c r="B519" s="2">
        <v>45447.435578414355</v>
      </c>
      <c r="C519" t="s">
        <v>3</v>
      </c>
      <c r="D519" t="s">
        <v>111</v>
      </c>
      <c r="E519" s="5">
        <v>32.82</v>
      </c>
      <c r="F519" t="s">
        <v>14</v>
      </c>
    </row>
    <row r="520" spans="1:6">
      <c r="A520" s="1">
        <v>45448</v>
      </c>
      <c r="B520" s="2">
        <v>45448.445060046295</v>
      </c>
      <c r="C520" t="s">
        <v>3</v>
      </c>
      <c r="D520" t="s">
        <v>111</v>
      </c>
      <c r="E520" s="5">
        <v>32.82</v>
      </c>
      <c r="F520" t="s">
        <v>14</v>
      </c>
    </row>
    <row r="521" spans="1:6">
      <c r="A521" s="1">
        <v>45449</v>
      </c>
      <c r="B521" s="2">
        <v>45449.37009665509</v>
      </c>
      <c r="C521" t="s">
        <v>3</v>
      </c>
      <c r="D521" t="s">
        <v>111</v>
      </c>
      <c r="E521" s="5">
        <v>32.82</v>
      </c>
      <c r="F521" t="s">
        <v>14</v>
      </c>
    </row>
    <row r="522" spans="1:6">
      <c r="A522" s="1">
        <v>45449</v>
      </c>
      <c r="B522" s="2">
        <v>45449.370931192127</v>
      </c>
      <c r="C522" t="s">
        <v>3</v>
      </c>
      <c r="D522" t="s">
        <v>111</v>
      </c>
      <c r="E522" s="5">
        <v>32.82</v>
      </c>
      <c r="F522" t="s">
        <v>14</v>
      </c>
    </row>
    <row r="523" spans="1:6">
      <c r="A523" s="1">
        <v>45451</v>
      </c>
      <c r="B523" s="2">
        <v>45451.393184722219</v>
      </c>
      <c r="C523" t="s">
        <v>3</v>
      </c>
      <c r="D523" t="s">
        <v>111</v>
      </c>
      <c r="E523" s="5">
        <v>32.82</v>
      </c>
      <c r="F523" t="s">
        <v>14</v>
      </c>
    </row>
    <row r="524" spans="1:6">
      <c r="A524" s="1">
        <v>45452</v>
      </c>
      <c r="B524" s="2">
        <v>45452.344360648145</v>
      </c>
      <c r="C524" t="s">
        <v>3</v>
      </c>
      <c r="D524" t="s">
        <v>111</v>
      </c>
      <c r="E524" s="5">
        <v>37.72</v>
      </c>
      <c r="F524" t="s">
        <v>7</v>
      </c>
    </row>
    <row r="525" spans="1:6">
      <c r="A525" s="1">
        <v>45453</v>
      </c>
      <c r="B525" s="2">
        <v>45453.539447546296</v>
      </c>
      <c r="C525" t="s">
        <v>3</v>
      </c>
      <c r="D525" t="s">
        <v>111</v>
      </c>
      <c r="E525" s="5">
        <v>37.72</v>
      </c>
      <c r="F525" t="s">
        <v>7</v>
      </c>
    </row>
    <row r="526" spans="1:6">
      <c r="A526" s="1">
        <v>45456</v>
      </c>
      <c r="B526" s="2">
        <v>45456.37321287037</v>
      </c>
      <c r="C526" t="s">
        <v>3</v>
      </c>
      <c r="D526" t="s">
        <v>111</v>
      </c>
      <c r="E526" s="5">
        <v>37.72</v>
      </c>
      <c r="F526" t="s">
        <v>7</v>
      </c>
    </row>
    <row r="527" spans="1:6">
      <c r="A527" s="1">
        <v>45457</v>
      </c>
      <c r="B527" s="2">
        <v>45457.510204814818</v>
      </c>
      <c r="C527" t="s">
        <v>3</v>
      </c>
      <c r="D527" t="s">
        <v>111</v>
      </c>
      <c r="E527" s="5">
        <v>37.72</v>
      </c>
      <c r="F527" t="s">
        <v>7</v>
      </c>
    </row>
    <row r="528" spans="1:6">
      <c r="A528" s="1">
        <v>45463</v>
      </c>
      <c r="B528" s="2">
        <v>45463.451463576392</v>
      </c>
      <c r="C528" t="s">
        <v>3</v>
      </c>
      <c r="D528" t="s">
        <v>111</v>
      </c>
      <c r="E528" s="5">
        <v>37.72</v>
      </c>
      <c r="F528" t="s">
        <v>7</v>
      </c>
    </row>
    <row r="529" spans="1:6">
      <c r="A529" s="1">
        <v>45472</v>
      </c>
      <c r="B529" s="2">
        <v>45472.407758148147</v>
      </c>
      <c r="C529" t="s">
        <v>3</v>
      </c>
      <c r="D529" t="s">
        <v>111</v>
      </c>
      <c r="E529" s="5">
        <v>32.82</v>
      </c>
      <c r="F529" t="s">
        <v>14</v>
      </c>
    </row>
    <row r="530" spans="1:6">
      <c r="A530" s="1">
        <v>45473</v>
      </c>
      <c r="B530" s="2">
        <v>45473.877890578704</v>
      </c>
      <c r="C530" t="s">
        <v>3</v>
      </c>
      <c r="D530" t="s">
        <v>111</v>
      </c>
      <c r="E530" s="5">
        <v>32.82</v>
      </c>
      <c r="F530" t="s">
        <v>14</v>
      </c>
    </row>
    <row r="531" spans="1:6">
      <c r="A531" s="1">
        <v>45497</v>
      </c>
      <c r="B531" s="2">
        <v>45497.386224699076</v>
      </c>
      <c r="C531" t="s">
        <v>3</v>
      </c>
      <c r="D531" t="s">
        <v>111</v>
      </c>
      <c r="E531" s="5">
        <v>27.92</v>
      </c>
      <c r="F531" t="s">
        <v>14</v>
      </c>
    </row>
    <row r="532" spans="1:6">
      <c r="A532" s="1">
        <v>45499</v>
      </c>
      <c r="B532" s="2">
        <v>45499.388627037035</v>
      </c>
      <c r="C532" t="s">
        <v>3</v>
      </c>
      <c r="D532" t="s">
        <v>111</v>
      </c>
      <c r="E532" s="5">
        <v>27.92</v>
      </c>
      <c r="F532" t="s">
        <v>14</v>
      </c>
    </row>
    <row r="533" spans="1:6">
      <c r="A533" s="1">
        <v>45500</v>
      </c>
      <c r="B533" s="2">
        <v>45500.381440474535</v>
      </c>
      <c r="C533" t="s">
        <v>3</v>
      </c>
      <c r="D533" t="s">
        <v>111</v>
      </c>
      <c r="E533" s="5">
        <v>32.82</v>
      </c>
      <c r="F533" t="s">
        <v>43</v>
      </c>
    </row>
    <row r="534" spans="1:6">
      <c r="A534" s="1">
        <v>45502</v>
      </c>
      <c r="B534" s="2">
        <v>45502.385950868054</v>
      </c>
      <c r="C534" t="s">
        <v>3</v>
      </c>
      <c r="D534" t="s">
        <v>111</v>
      </c>
      <c r="E534" s="5">
        <v>27.92</v>
      </c>
      <c r="F534" t="s">
        <v>14</v>
      </c>
    </row>
    <row r="535" spans="1:6">
      <c r="A535" s="1">
        <v>45503</v>
      </c>
      <c r="B535" s="2">
        <v>45503.384527974536</v>
      </c>
      <c r="C535" t="s">
        <v>3</v>
      </c>
      <c r="D535" t="s">
        <v>111</v>
      </c>
      <c r="E535" s="5">
        <v>27.92</v>
      </c>
      <c r="F535" t="s">
        <v>14</v>
      </c>
    </row>
    <row r="536" spans="1:6">
      <c r="A536" s="1">
        <v>45503</v>
      </c>
      <c r="B536" s="2">
        <v>45503.870739189813</v>
      </c>
      <c r="C536" t="s">
        <v>3</v>
      </c>
      <c r="D536" t="s">
        <v>111</v>
      </c>
      <c r="E536" s="5">
        <v>27.92</v>
      </c>
      <c r="F536" t="s">
        <v>14</v>
      </c>
    </row>
    <row r="537" spans="1:6">
      <c r="A537" s="1">
        <v>45503</v>
      </c>
      <c r="B537" s="2">
        <v>45503.871369398148</v>
      </c>
      <c r="C537" t="s">
        <v>3</v>
      </c>
      <c r="D537" t="s">
        <v>111</v>
      </c>
      <c r="E537" s="5">
        <v>27.92</v>
      </c>
      <c r="F537" t="s">
        <v>14</v>
      </c>
    </row>
    <row r="538" spans="1:6">
      <c r="A538" s="1">
        <v>45505</v>
      </c>
      <c r="B538" s="2">
        <v>45505.461273923611</v>
      </c>
      <c r="C538" t="s">
        <v>3</v>
      </c>
      <c r="D538" t="s">
        <v>111</v>
      </c>
      <c r="E538" s="5">
        <v>27.92</v>
      </c>
      <c r="F538" t="s">
        <v>14</v>
      </c>
    </row>
    <row r="539" spans="1:6">
      <c r="A539" s="1">
        <v>45506</v>
      </c>
      <c r="B539" s="2">
        <v>45506.399339108793</v>
      </c>
      <c r="C539" t="s">
        <v>3</v>
      </c>
      <c r="D539" t="s">
        <v>111</v>
      </c>
      <c r="E539" s="5">
        <v>27.92</v>
      </c>
      <c r="F539" t="s">
        <v>14</v>
      </c>
    </row>
    <row r="540" spans="1:6">
      <c r="A540" s="1">
        <v>45507</v>
      </c>
      <c r="B540" s="2">
        <v>45507.370678831016</v>
      </c>
      <c r="C540" t="s">
        <v>3</v>
      </c>
      <c r="D540" t="s">
        <v>111</v>
      </c>
      <c r="E540" s="5">
        <v>27.92</v>
      </c>
      <c r="F540" t="s">
        <v>14</v>
      </c>
    </row>
    <row r="541" spans="1:6">
      <c r="A541" s="1">
        <v>45509</v>
      </c>
      <c r="B541" s="2">
        <v>45509.388416388887</v>
      </c>
      <c r="C541" t="s">
        <v>3</v>
      </c>
      <c r="D541" t="s">
        <v>111</v>
      </c>
      <c r="E541" s="5">
        <v>27.92</v>
      </c>
      <c r="F541" t="s">
        <v>14</v>
      </c>
    </row>
    <row r="542" spans="1:6">
      <c r="A542" s="1">
        <v>45516</v>
      </c>
      <c r="B542" s="2">
        <v>45516.753528125002</v>
      </c>
      <c r="C542" t="s">
        <v>3</v>
      </c>
      <c r="D542" t="s">
        <v>111</v>
      </c>
      <c r="E542" s="5">
        <v>27.92</v>
      </c>
      <c r="F542" t="s">
        <v>14</v>
      </c>
    </row>
    <row r="543" spans="1:6">
      <c r="A543" s="1">
        <v>45516</v>
      </c>
      <c r="B543" s="2">
        <v>45516.892932303243</v>
      </c>
      <c r="C543" t="s">
        <v>3</v>
      </c>
      <c r="D543" t="s">
        <v>111</v>
      </c>
      <c r="E543" s="5">
        <v>27.92</v>
      </c>
      <c r="F543" t="s">
        <v>14</v>
      </c>
    </row>
    <row r="544" spans="1:6">
      <c r="A544" s="1">
        <v>45517</v>
      </c>
      <c r="B544" s="2">
        <v>45517.384972199077</v>
      </c>
      <c r="C544" t="s">
        <v>3</v>
      </c>
      <c r="D544" t="s">
        <v>111</v>
      </c>
      <c r="E544" s="5">
        <v>27.92</v>
      </c>
      <c r="F544" t="s">
        <v>14</v>
      </c>
    </row>
    <row r="545" spans="1:6">
      <c r="A545" s="1">
        <v>45517</v>
      </c>
      <c r="B545" s="2">
        <v>45517.663536793982</v>
      </c>
      <c r="C545" t="s">
        <v>3</v>
      </c>
      <c r="D545" t="s">
        <v>111</v>
      </c>
      <c r="E545" s="5">
        <v>27.92</v>
      </c>
      <c r="F545" t="s">
        <v>14</v>
      </c>
    </row>
    <row r="546" spans="1:6">
      <c r="A546" s="1">
        <v>45521</v>
      </c>
      <c r="B546" s="2">
        <v>45521.386730219907</v>
      </c>
      <c r="C546" t="s">
        <v>3</v>
      </c>
      <c r="D546" t="s">
        <v>111</v>
      </c>
      <c r="E546" s="5">
        <v>27.92</v>
      </c>
      <c r="F546" t="s">
        <v>14</v>
      </c>
    </row>
    <row r="547" spans="1:6">
      <c r="A547" s="1">
        <v>45524</v>
      </c>
      <c r="B547" s="2">
        <v>45524.385357465275</v>
      </c>
      <c r="C547" t="s">
        <v>3</v>
      </c>
      <c r="D547" t="s">
        <v>111</v>
      </c>
      <c r="E547" s="5">
        <v>27.92</v>
      </c>
      <c r="F547" t="s">
        <v>14</v>
      </c>
    </row>
    <row r="548" spans="1:6">
      <c r="A548" s="1">
        <v>45530</v>
      </c>
      <c r="B548" s="2">
        <v>45530.390008171293</v>
      </c>
      <c r="C548" t="s">
        <v>3</v>
      </c>
      <c r="D548" t="s">
        <v>111</v>
      </c>
      <c r="E548" s="5">
        <v>27.92</v>
      </c>
      <c r="F548" t="s">
        <v>14</v>
      </c>
    </row>
    <row r="549" spans="1:6">
      <c r="A549" s="1">
        <v>45539</v>
      </c>
      <c r="B549" s="2">
        <v>45539.820624560183</v>
      </c>
      <c r="C549" t="s">
        <v>3</v>
      </c>
      <c r="D549" t="s">
        <v>111</v>
      </c>
      <c r="E549" s="5">
        <v>27.92</v>
      </c>
      <c r="F549" t="s">
        <v>14</v>
      </c>
    </row>
    <row r="550" spans="1:6">
      <c r="A550" s="1">
        <v>45546</v>
      </c>
      <c r="B550" s="2">
        <v>45546.394985613428</v>
      </c>
      <c r="C550" t="s">
        <v>3</v>
      </c>
      <c r="D550" t="s">
        <v>111</v>
      </c>
      <c r="E550" s="5">
        <v>27.92</v>
      </c>
      <c r="F550" t="s">
        <v>14</v>
      </c>
    </row>
    <row r="551" spans="1:6">
      <c r="A551" s="1">
        <v>45551</v>
      </c>
      <c r="B551" s="2">
        <v>45551.901952152781</v>
      </c>
      <c r="C551" t="s">
        <v>3</v>
      </c>
      <c r="D551" t="s">
        <v>111</v>
      </c>
      <c r="E551" s="5">
        <v>27.92</v>
      </c>
      <c r="F551" t="s">
        <v>14</v>
      </c>
    </row>
    <row r="552" spans="1:6">
      <c r="A552" s="1">
        <v>45586</v>
      </c>
      <c r="B552" s="2">
        <v>45586.347180358796</v>
      </c>
      <c r="C552" t="s">
        <v>3</v>
      </c>
      <c r="D552" t="s">
        <v>111</v>
      </c>
      <c r="E552" s="5">
        <v>35.76</v>
      </c>
      <c r="F552" t="s">
        <v>7</v>
      </c>
    </row>
    <row r="553" spans="1:6">
      <c r="A553" s="1">
        <v>45598</v>
      </c>
      <c r="B553" s="2">
        <v>45598.439694004628</v>
      </c>
      <c r="C553" t="s">
        <v>3</v>
      </c>
      <c r="D553" t="s">
        <v>111</v>
      </c>
      <c r="E553" s="5">
        <v>30.86</v>
      </c>
      <c r="F553" t="s">
        <v>14</v>
      </c>
    </row>
    <row r="554" spans="1:6">
      <c r="A554" s="1">
        <v>45626</v>
      </c>
      <c r="B554" s="2">
        <v>45626.648429351852</v>
      </c>
      <c r="C554" t="s">
        <v>3</v>
      </c>
      <c r="D554" t="s">
        <v>111</v>
      </c>
      <c r="E554" s="5">
        <v>30.86</v>
      </c>
      <c r="F554" t="s">
        <v>14</v>
      </c>
    </row>
    <row r="555" spans="1:6">
      <c r="A555" s="1">
        <v>45634</v>
      </c>
      <c r="B555" s="2">
        <v>45634.866191377318</v>
      </c>
      <c r="C555" t="s">
        <v>3</v>
      </c>
      <c r="D555" t="s">
        <v>111</v>
      </c>
      <c r="E555" s="5">
        <v>35.76</v>
      </c>
      <c r="F555" t="s">
        <v>43</v>
      </c>
    </row>
    <row r="556" spans="1:6">
      <c r="A556" s="1">
        <v>45650</v>
      </c>
      <c r="B556" s="2">
        <v>45650.816693657405</v>
      </c>
      <c r="C556" t="s">
        <v>3</v>
      </c>
      <c r="D556" t="s">
        <v>111</v>
      </c>
      <c r="E556" s="5">
        <v>35.76</v>
      </c>
      <c r="F556" t="s">
        <v>43</v>
      </c>
    </row>
    <row r="557" spans="1:6">
      <c r="A557" s="1">
        <v>45651</v>
      </c>
      <c r="B557" s="2">
        <v>45651.835189016201</v>
      </c>
      <c r="C557" t="s">
        <v>3</v>
      </c>
      <c r="D557" t="s">
        <v>111</v>
      </c>
      <c r="E557" s="5">
        <v>35.76</v>
      </c>
      <c r="F557" t="s">
        <v>43</v>
      </c>
    </row>
    <row r="558" spans="1:6">
      <c r="A558" s="1">
        <v>45387</v>
      </c>
      <c r="B558" s="2">
        <v>45387.599772997688</v>
      </c>
      <c r="C558" t="s">
        <v>3</v>
      </c>
      <c r="D558" t="s">
        <v>112</v>
      </c>
      <c r="E558" s="5">
        <v>38.700000000000003</v>
      </c>
      <c r="F558" t="s">
        <v>7</v>
      </c>
    </row>
    <row r="559" spans="1:6">
      <c r="A559" s="1">
        <v>45387</v>
      </c>
      <c r="B559" s="2">
        <v>45387.600583530089</v>
      </c>
      <c r="C559" t="s">
        <v>3</v>
      </c>
      <c r="D559" t="s">
        <v>112</v>
      </c>
      <c r="E559" s="5">
        <v>28.9</v>
      </c>
      <c r="F559" t="s">
        <v>28</v>
      </c>
    </row>
    <row r="560" spans="1:6">
      <c r="A560" s="1">
        <v>45388</v>
      </c>
      <c r="B560" s="2">
        <v>45388.522585625004</v>
      </c>
      <c r="C560" t="s">
        <v>3</v>
      </c>
      <c r="D560" t="s">
        <v>113</v>
      </c>
      <c r="E560" s="5">
        <v>33.799999999999997</v>
      </c>
      <c r="F560" t="s">
        <v>14</v>
      </c>
    </row>
    <row r="561" spans="1:6">
      <c r="A561" s="1">
        <v>45403</v>
      </c>
      <c r="B561" s="2">
        <v>45403.594184502312</v>
      </c>
      <c r="C561" t="s">
        <v>3</v>
      </c>
      <c r="D561" t="s">
        <v>113</v>
      </c>
      <c r="E561" s="5">
        <v>27.92</v>
      </c>
      <c r="F561" t="s">
        <v>11</v>
      </c>
    </row>
    <row r="562" spans="1:6">
      <c r="A562" s="1">
        <v>45478</v>
      </c>
      <c r="B562" s="2">
        <v>45478.829951527776</v>
      </c>
      <c r="C562" t="s">
        <v>3</v>
      </c>
      <c r="D562" t="s">
        <v>113</v>
      </c>
      <c r="E562" s="5">
        <v>27.92</v>
      </c>
      <c r="F562" t="s">
        <v>11</v>
      </c>
    </row>
    <row r="563" spans="1:6">
      <c r="A563" s="1">
        <v>45502</v>
      </c>
      <c r="B563" s="2">
        <v>45502.812688877311</v>
      </c>
      <c r="C563" t="s">
        <v>3</v>
      </c>
      <c r="D563" t="s">
        <v>113</v>
      </c>
      <c r="E563" s="5">
        <v>23.02</v>
      </c>
      <c r="F563" t="s">
        <v>11</v>
      </c>
    </row>
    <row r="564" spans="1:6">
      <c r="A564" s="1">
        <v>45557</v>
      </c>
      <c r="B564" s="2">
        <v>45557.49667734954</v>
      </c>
      <c r="C564" t="s">
        <v>3</v>
      </c>
      <c r="D564" t="s">
        <v>113</v>
      </c>
      <c r="E564" s="5">
        <v>23.02</v>
      </c>
      <c r="F564" t="s">
        <v>11</v>
      </c>
    </row>
    <row r="565" spans="1:6">
      <c r="A565" s="1">
        <v>45389</v>
      </c>
      <c r="B565" s="2">
        <v>45389.594733206017</v>
      </c>
      <c r="C565" t="s">
        <v>3</v>
      </c>
      <c r="D565" t="s">
        <v>114</v>
      </c>
      <c r="E565" s="5">
        <v>28.9</v>
      </c>
      <c r="F565" t="s">
        <v>28</v>
      </c>
    </row>
    <row r="566" spans="1:6">
      <c r="A566" s="1">
        <v>45389</v>
      </c>
      <c r="B566" s="2">
        <v>45389.595493379631</v>
      </c>
      <c r="C566" t="s">
        <v>3</v>
      </c>
      <c r="D566" t="s">
        <v>114</v>
      </c>
      <c r="E566" s="5">
        <v>24</v>
      </c>
      <c r="F566" t="s">
        <v>35</v>
      </c>
    </row>
    <row r="567" spans="1:6">
      <c r="A567" s="1">
        <v>45389</v>
      </c>
      <c r="B567" s="2">
        <v>45389.750886666669</v>
      </c>
      <c r="C567" t="s">
        <v>3</v>
      </c>
      <c r="D567" t="s">
        <v>115</v>
      </c>
      <c r="E567" s="5">
        <v>38.700000000000003</v>
      </c>
      <c r="F567" t="s">
        <v>9</v>
      </c>
    </row>
    <row r="568" spans="1:6">
      <c r="A568" s="1">
        <v>45389</v>
      </c>
      <c r="B568" s="2">
        <v>45389.751433773148</v>
      </c>
      <c r="C568" t="s">
        <v>3</v>
      </c>
      <c r="D568" t="s">
        <v>115</v>
      </c>
      <c r="E568" s="5">
        <v>33.799999999999997</v>
      </c>
      <c r="F568" t="s">
        <v>14</v>
      </c>
    </row>
    <row r="569" spans="1:6">
      <c r="A569" s="1">
        <v>45390</v>
      </c>
      <c r="B569" s="2">
        <v>45390.457188726854</v>
      </c>
      <c r="C569" t="s">
        <v>3</v>
      </c>
      <c r="D569" t="s">
        <v>116</v>
      </c>
      <c r="E569" s="5">
        <v>33.799999999999997</v>
      </c>
      <c r="F569" t="s">
        <v>14</v>
      </c>
    </row>
    <row r="570" spans="1:6">
      <c r="A570" s="1">
        <v>45390</v>
      </c>
      <c r="B570" s="2">
        <v>45390.457957847226</v>
      </c>
      <c r="C570" t="s">
        <v>3</v>
      </c>
      <c r="D570" t="s">
        <v>117</v>
      </c>
      <c r="E570" s="5">
        <v>38.700000000000003</v>
      </c>
      <c r="F570" t="s">
        <v>43</v>
      </c>
    </row>
    <row r="571" spans="1:6">
      <c r="A571" s="1">
        <v>45390</v>
      </c>
      <c r="B571" s="2">
        <v>45390.461655439816</v>
      </c>
      <c r="C571" t="s">
        <v>3</v>
      </c>
      <c r="D571" t="s">
        <v>118</v>
      </c>
      <c r="E571" s="5">
        <v>38.700000000000003</v>
      </c>
      <c r="F571" t="s">
        <v>43</v>
      </c>
    </row>
    <row r="572" spans="1:6">
      <c r="A572" s="1">
        <v>45390</v>
      </c>
      <c r="B572" s="2">
        <v>45390.762612418985</v>
      </c>
      <c r="C572" t="s">
        <v>3</v>
      </c>
      <c r="D572" t="s">
        <v>119</v>
      </c>
      <c r="E572" s="5">
        <v>28.9</v>
      </c>
      <c r="F572" t="s">
        <v>11</v>
      </c>
    </row>
    <row r="573" spans="1:6">
      <c r="A573" s="1">
        <v>45390</v>
      </c>
      <c r="B573" s="2">
        <v>45390.808324861115</v>
      </c>
      <c r="C573" t="s">
        <v>3</v>
      </c>
      <c r="D573" t="s">
        <v>120</v>
      </c>
      <c r="E573" s="5">
        <v>38.700000000000003</v>
      </c>
      <c r="F573" t="s">
        <v>43</v>
      </c>
    </row>
    <row r="574" spans="1:6">
      <c r="A574" s="1">
        <v>45393</v>
      </c>
      <c r="B574" s="2">
        <v>45393.803432731482</v>
      </c>
      <c r="C574" t="s">
        <v>3</v>
      </c>
      <c r="D574" t="s">
        <v>120</v>
      </c>
      <c r="E574" s="5">
        <v>38.700000000000003</v>
      </c>
      <c r="F574" t="s">
        <v>43</v>
      </c>
    </row>
    <row r="575" spans="1:6">
      <c r="A575" s="1">
        <v>45391</v>
      </c>
      <c r="B575" s="2">
        <v>45391.633202777775</v>
      </c>
      <c r="C575" t="s">
        <v>3</v>
      </c>
      <c r="D575" t="s">
        <v>121</v>
      </c>
      <c r="E575" s="5">
        <v>38.700000000000003</v>
      </c>
      <c r="F575" t="s">
        <v>9</v>
      </c>
    </row>
    <row r="576" spans="1:6">
      <c r="A576" s="1">
        <v>45392</v>
      </c>
      <c r="B576" s="2">
        <v>45392.74688939815</v>
      </c>
      <c r="C576" t="s">
        <v>3</v>
      </c>
      <c r="D576" t="s">
        <v>122</v>
      </c>
      <c r="E576" s="5">
        <v>24</v>
      </c>
      <c r="F576" t="s">
        <v>35</v>
      </c>
    </row>
    <row r="577" spans="1:6">
      <c r="A577" s="1">
        <v>45392</v>
      </c>
      <c r="B577" s="2">
        <v>45392.836173449075</v>
      </c>
      <c r="C577" t="s">
        <v>3</v>
      </c>
      <c r="D577" t="s">
        <v>123</v>
      </c>
      <c r="E577" s="5">
        <v>38.700000000000003</v>
      </c>
      <c r="F577" t="s">
        <v>7</v>
      </c>
    </row>
    <row r="578" spans="1:6">
      <c r="A578" s="1">
        <v>45393</v>
      </c>
      <c r="B578" s="2">
        <v>45393.445406886574</v>
      </c>
      <c r="C578" t="s">
        <v>3</v>
      </c>
      <c r="D578" t="s">
        <v>124</v>
      </c>
      <c r="E578" s="5">
        <v>28.9</v>
      </c>
      <c r="F578" t="s">
        <v>11</v>
      </c>
    </row>
    <row r="579" spans="1:6">
      <c r="A579" s="1">
        <v>45393</v>
      </c>
      <c r="B579" s="2">
        <v>45393.446520428239</v>
      </c>
      <c r="C579" t="s">
        <v>3</v>
      </c>
      <c r="D579" t="s">
        <v>124</v>
      </c>
      <c r="E579" s="5">
        <v>28.9</v>
      </c>
      <c r="F579" t="s">
        <v>11</v>
      </c>
    </row>
    <row r="580" spans="1:6">
      <c r="A580" s="1">
        <v>45395</v>
      </c>
      <c r="B580" s="2">
        <v>45395.67921224537</v>
      </c>
      <c r="C580" t="s">
        <v>3</v>
      </c>
      <c r="D580" t="s">
        <v>125</v>
      </c>
      <c r="E580" s="5">
        <v>38.700000000000003</v>
      </c>
      <c r="F580" t="s">
        <v>43</v>
      </c>
    </row>
    <row r="581" spans="1:6">
      <c r="A581" s="1">
        <v>45395</v>
      </c>
      <c r="B581" s="2">
        <v>45395.680321747685</v>
      </c>
      <c r="C581" t="s">
        <v>3</v>
      </c>
      <c r="D581" t="s">
        <v>125</v>
      </c>
      <c r="E581" s="5">
        <v>38.700000000000003</v>
      </c>
      <c r="F581" t="s">
        <v>7</v>
      </c>
    </row>
    <row r="582" spans="1:6">
      <c r="A582" s="1">
        <v>45395</v>
      </c>
      <c r="B582" s="2">
        <v>45395.744051226851</v>
      </c>
      <c r="C582" t="s">
        <v>3</v>
      </c>
      <c r="D582" t="s">
        <v>126</v>
      </c>
      <c r="E582" s="5">
        <v>38.700000000000003</v>
      </c>
      <c r="F582" t="s">
        <v>43</v>
      </c>
    </row>
    <row r="583" spans="1:6">
      <c r="A583" s="1">
        <v>45396</v>
      </c>
      <c r="B583" s="2">
        <v>45396.517118379626</v>
      </c>
      <c r="C583" t="s">
        <v>3</v>
      </c>
      <c r="D583" t="s">
        <v>127</v>
      </c>
      <c r="E583" s="5">
        <v>38.700000000000003</v>
      </c>
      <c r="F583" t="s">
        <v>43</v>
      </c>
    </row>
    <row r="584" spans="1:6">
      <c r="A584" s="1">
        <v>45396</v>
      </c>
      <c r="B584" s="2">
        <v>45396.556826481479</v>
      </c>
      <c r="C584" t="s">
        <v>3</v>
      </c>
      <c r="D584" t="s">
        <v>128</v>
      </c>
      <c r="E584" s="5">
        <v>28.9</v>
      </c>
      <c r="F584" t="s">
        <v>28</v>
      </c>
    </row>
    <row r="585" spans="1:6">
      <c r="A585" s="1">
        <v>45396</v>
      </c>
      <c r="B585" s="2">
        <v>45396.77661630787</v>
      </c>
      <c r="C585" t="s">
        <v>3</v>
      </c>
      <c r="D585" t="s">
        <v>129</v>
      </c>
      <c r="E585" s="5">
        <v>38.700000000000003</v>
      </c>
      <c r="F585" t="s">
        <v>43</v>
      </c>
    </row>
    <row r="586" spans="1:6">
      <c r="A586" s="1">
        <v>45423</v>
      </c>
      <c r="B586" s="2">
        <v>45423.774771493052</v>
      </c>
      <c r="C586" t="s">
        <v>3</v>
      </c>
      <c r="D586" t="s">
        <v>129</v>
      </c>
      <c r="E586" s="5">
        <v>37.72</v>
      </c>
      <c r="F586" t="s">
        <v>43</v>
      </c>
    </row>
    <row r="587" spans="1:6">
      <c r="A587" s="1">
        <v>45398</v>
      </c>
      <c r="B587" s="2">
        <v>45398.448908634258</v>
      </c>
      <c r="C587" t="s">
        <v>3</v>
      </c>
      <c r="D587" t="s">
        <v>130</v>
      </c>
      <c r="E587" s="5">
        <v>33.799999999999997</v>
      </c>
      <c r="F587" t="s">
        <v>14</v>
      </c>
    </row>
    <row r="588" spans="1:6">
      <c r="A588" s="1">
        <v>45398</v>
      </c>
      <c r="B588" s="2">
        <v>45398.52832957176</v>
      </c>
      <c r="C588" t="s">
        <v>3</v>
      </c>
      <c r="D588" t="s">
        <v>131</v>
      </c>
      <c r="E588" s="5">
        <v>38.700000000000003</v>
      </c>
      <c r="F588" t="s">
        <v>18</v>
      </c>
    </row>
    <row r="589" spans="1:6">
      <c r="A589" s="1">
        <v>45398</v>
      </c>
      <c r="B589" s="2">
        <v>45398.627278807871</v>
      </c>
      <c r="C589" t="s">
        <v>3</v>
      </c>
      <c r="D589" t="s">
        <v>132</v>
      </c>
      <c r="E589" s="5">
        <v>28.9</v>
      </c>
      <c r="F589" t="s">
        <v>11</v>
      </c>
    </row>
    <row r="590" spans="1:6">
      <c r="A590" s="1">
        <v>45402</v>
      </c>
      <c r="B590" s="2">
        <v>45402.547654837967</v>
      </c>
      <c r="C590" t="s">
        <v>3</v>
      </c>
      <c r="D590" t="s">
        <v>132</v>
      </c>
      <c r="E590" s="5">
        <v>28.9</v>
      </c>
      <c r="F590" t="s">
        <v>11</v>
      </c>
    </row>
    <row r="591" spans="1:6">
      <c r="A591" s="1">
        <v>45402</v>
      </c>
      <c r="B591" s="2">
        <v>45402.548471122682</v>
      </c>
      <c r="C591" t="s">
        <v>3</v>
      </c>
      <c r="D591" t="s">
        <v>132</v>
      </c>
      <c r="E591" s="5">
        <v>33.799999999999997</v>
      </c>
      <c r="F591" t="s">
        <v>14</v>
      </c>
    </row>
    <row r="592" spans="1:6">
      <c r="A592" s="1">
        <v>45402</v>
      </c>
      <c r="B592" s="2">
        <v>45402.549249432872</v>
      </c>
      <c r="C592" t="s">
        <v>3</v>
      </c>
      <c r="D592" t="s">
        <v>132</v>
      </c>
      <c r="E592" s="5">
        <v>38.700000000000003</v>
      </c>
      <c r="F592" t="s">
        <v>9</v>
      </c>
    </row>
    <row r="593" spans="1:6">
      <c r="A593" s="1">
        <v>45421</v>
      </c>
      <c r="B593" s="2">
        <v>45421.705030104167</v>
      </c>
      <c r="C593" t="s">
        <v>3</v>
      </c>
      <c r="D593" t="s">
        <v>132</v>
      </c>
      <c r="E593" s="5">
        <v>27.92</v>
      </c>
      <c r="F593" t="s">
        <v>11</v>
      </c>
    </row>
    <row r="594" spans="1:6">
      <c r="A594" s="1">
        <v>45421</v>
      </c>
      <c r="B594" s="2">
        <v>45421.70572903935</v>
      </c>
      <c r="C594" t="s">
        <v>3</v>
      </c>
      <c r="D594" t="s">
        <v>132</v>
      </c>
      <c r="E594" s="5">
        <v>27.92</v>
      </c>
      <c r="F594" t="s">
        <v>11</v>
      </c>
    </row>
    <row r="595" spans="1:6">
      <c r="A595" s="1">
        <v>45399</v>
      </c>
      <c r="B595" s="2">
        <v>45399.572224317133</v>
      </c>
      <c r="C595" t="s">
        <v>3</v>
      </c>
      <c r="D595" t="s">
        <v>133</v>
      </c>
      <c r="E595" s="5">
        <v>24</v>
      </c>
      <c r="F595" t="s">
        <v>35</v>
      </c>
    </row>
    <row r="596" spans="1:6">
      <c r="A596" s="1">
        <v>45399</v>
      </c>
      <c r="B596" s="2">
        <v>45399.709434594908</v>
      </c>
      <c r="C596" t="s">
        <v>3</v>
      </c>
      <c r="D596" t="s">
        <v>134</v>
      </c>
      <c r="E596" s="5">
        <v>38.700000000000003</v>
      </c>
      <c r="F596" t="s">
        <v>43</v>
      </c>
    </row>
    <row r="597" spans="1:6">
      <c r="A597" s="1">
        <v>45399</v>
      </c>
      <c r="B597" s="2">
        <v>45399.710193136576</v>
      </c>
      <c r="C597" t="s">
        <v>3</v>
      </c>
      <c r="D597" t="s">
        <v>134</v>
      </c>
      <c r="E597" s="5">
        <v>38.700000000000003</v>
      </c>
      <c r="F597" t="s">
        <v>43</v>
      </c>
    </row>
    <row r="598" spans="1:6">
      <c r="A598" s="1">
        <v>45432</v>
      </c>
      <c r="B598" s="2">
        <v>45432.717258344906</v>
      </c>
      <c r="C598" t="s">
        <v>3</v>
      </c>
      <c r="D598" t="s">
        <v>134</v>
      </c>
      <c r="E598" s="5">
        <v>37.72</v>
      </c>
      <c r="F598" t="s">
        <v>7</v>
      </c>
    </row>
    <row r="599" spans="1:6">
      <c r="A599" s="1">
        <v>45399</v>
      </c>
      <c r="B599" s="2">
        <v>45399.759759594905</v>
      </c>
      <c r="C599" t="s">
        <v>3</v>
      </c>
      <c r="D599" t="s">
        <v>135</v>
      </c>
      <c r="E599" s="5">
        <v>28.9</v>
      </c>
      <c r="F599" t="s">
        <v>28</v>
      </c>
    </row>
    <row r="600" spans="1:6">
      <c r="A600" s="1">
        <v>45400</v>
      </c>
      <c r="B600" s="2">
        <v>45400.575841666665</v>
      </c>
      <c r="C600" t="s">
        <v>3</v>
      </c>
      <c r="D600" t="s">
        <v>136</v>
      </c>
      <c r="E600" s="5">
        <v>33.799999999999997</v>
      </c>
      <c r="F600" t="s">
        <v>14</v>
      </c>
    </row>
    <row r="601" spans="1:6">
      <c r="A601" s="1">
        <v>45400</v>
      </c>
      <c r="B601" s="2">
        <v>45400.576588946758</v>
      </c>
      <c r="C601" t="s">
        <v>3</v>
      </c>
      <c r="D601" t="s">
        <v>136</v>
      </c>
      <c r="E601" s="5">
        <v>28.9</v>
      </c>
      <c r="F601" t="s">
        <v>28</v>
      </c>
    </row>
    <row r="602" spans="1:6">
      <c r="A602" s="1">
        <v>45400</v>
      </c>
      <c r="B602" s="2">
        <v>45400.607173819444</v>
      </c>
      <c r="C602" t="s">
        <v>3</v>
      </c>
      <c r="D602" t="s">
        <v>137</v>
      </c>
      <c r="E602" s="5">
        <v>38.700000000000003</v>
      </c>
      <c r="F602" t="s">
        <v>43</v>
      </c>
    </row>
    <row r="603" spans="1:6">
      <c r="A603" s="1">
        <v>45400</v>
      </c>
      <c r="B603" s="2">
        <v>45400.608210115737</v>
      </c>
      <c r="C603" t="s">
        <v>3</v>
      </c>
      <c r="D603" t="s">
        <v>137</v>
      </c>
      <c r="E603" s="5">
        <v>38.700000000000003</v>
      </c>
      <c r="F603" t="s">
        <v>7</v>
      </c>
    </row>
    <row r="604" spans="1:6">
      <c r="A604" s="1">
        <v>45401</v>
      </c>
      <c r="B604" s="2">
        <v>45401.582570185186</v>
      </c>
      <c r="C604" t="s">
        <v>3</v>
      </c>
      <c r="D604" t="s">
        <v>138</v>
      </c>
      <c r="E604" s="5">
        <v>38.700000000000003</v>
      </c>
      <c r="F604" t="s">
        <v>9</v>
      </c>
    </row>
    <row r="605" spans="1:6">
      <c r="A605" s="1">
        <v>45401</v>
      </c>
      <c r="B605" s="2">
        <v>45401.583214004633</v>
      </c>
      <c r="C605" t="s">
        <v>3</v>
      </c>
      <c r="D605" t="s">
        <v>138</v>
      </c>
      <c r="E605" s="5">
        <v>38.700000000000003</v>
      </c>
      <c r="F605" t="s">
        <v>43</v>
      </c>
    </row>
    <row r="606" spans="1:6">
      <c r="A606" s="1">
        <v>45402</v>
      </c>
      <c r="B606" s="2">
        <v>45402.505968761572</v>
      </c>
      <c r="C606" t="s">
        <v>3</v>
      </c>
      <c r="D606" t="s">
        <v>139</v>
      </c>
      <c r="E606" s="5">
        <v>33.799999999999997</v>
      </c>
      <c r="F606" t="s">
        <v>14</v>
      </c>
    </row>
    <row r="607" spans="1:6">
      <c r="A607" s="1">
        <v>45402</v>
      </c>
      <c r="B607" s="2">
        <v>45402.506743796293</v>
      </c>
      <c r="C607" t="s">
        <v>3</v>
      </c>
      <c r="D607" t="s">
        <v>139</v>
      </c>
      <c r="E607" s="5">
        <v>33.799999999999997</v>
      </c>
      <c r="F607" t="s">
        <v>14</v>
      </c>
    </row>
    <row r="608" spans="1:6">
      <c r="A608" s="1">
        <v>45402</v>
      </c>
      <c r="B608" s="2">
        <v>45402.65931884259</v>
      </c>
      <c r="C608" t="s">
        <v>3</v>
      </c>
      <c r="D608" t="s">
        <v>140</v>
      </c>
      <c r="E608" s="5">
        <v>32.82</v>
      </c>
      <c r="F608" t="s">
        <v>14</v>
      </c>
    </row>
    <row r="609" spans="1:6">
      <c r="A609" s="1">
        <v>45402</v>
      </c>
      <c r="B609" s="2">
        <v>45402.76923027778</v>
      </c>
      <c r="C609" t="s">
        <v>3</v>
      </c>
      <c r="D609" t="s">
        <v>141</v>
      </c>
      <c r="E609" s="5">
        <v>37.72</v>
      </c>
      <c r="F609" t="s">
        <v>43</v>
      </c>
    </row>
    <row r="610" spans="1:6">
      <c r="A610" s="1">
        <v>45402</v>
      </c>
      <c r="B610" s="2">
        <v>45402.769987268519</v>
      </c>
      <c r="C610" t="s">
        <v>3</v>
      </c>
      <c r="D610" t="s">
        <v>141</v>
      </c>
      <c r="E610" s="5">
        <v>37.72</v>
      </c>
      <c r="F610" t="s">
        <v>43</v>
      </c>
    </row>
    <row r="611" spans="1:6">
      <c r="A611" s="1">
        <v>45402</v>
      </c>
      <c r="B611" s="2">
        <v>45402.813140243059</v>
      </c>
      <c r="C611" t="s">
        <v>3</v>
      </c>
      <c r="D611" t="s">
        <v>142</v>
      </c>
      <c r="E611" s="5">
        <v>37.72</v>
      </c>
      <c r="F611" t="s">
        <v>7</v>
      </c>
    </row>
    <row r="612" spans="1:6">
      <c r="A612" s="1">
        <v>45404</v>
      </c>
      <c r="B612" s="2">
        <v>45404.478785868057</v>
      </c>
      <c r="C612" t="s">
        <v>3</v>
      </c>
      <c r="D612" t="s">
        <v>143</v>
      </c>
      <c r="E612" s="5">
        <v>32.82</v>
      </c>
      <c r="F612" t="s">
        <v>14</v>
      </c>
    </row>
    <row r="613" spans="1:6">
      <c r="A613" s="1">
        <v>45405</v>
      </c>
      <c r="B613" s="2">
        <v>45405.821154687503</v>
      </c>
      <c r="C613" t="s">
        <v>3</v>
      </c>
      <c r="D613" t="s">
        <v>144</v>
      </c>
      <c r="E613" s="5">
        <v>32.82</v>
      </c>
      <c r="F613" t="s">
        <v>14</v>
      </c>
    </row>
    <row r="614" spans="1:6">
      <c r="A614" s="1">
        <v>45405</v>
      </c>
      <c r="B614" s="2">
        <v>45405.821831412039</v>
      </c>
      <c r="C614" t="s">
        <v>3</v>
      </c>
      <c r="D614" t="s">
        <v>144</v>
      </c>
      <c r="E614" s="5">
        <v>32.82</v>
      </c>
      <c r="F614" t="s">
        <v>14</v>
      </c>
    </row>
    <row r="615" spans="1:6">
      <c r="A615" s="1">
        <v>45406</v>
      </c>
      <c r="B615" s="2">
        <v>45406.43156582176</v>
      </c>
      <c r="C615" t="s">
        <v>3</v>
      </c>
      <c r="D615" t="s">
        <v>145</v>
      </c>
      <c r="E615" s="5">
        <v>32.82</v>
      </c>
      <c r="F615" t="s">
        <v>14</v>
      </c>
    </row>
    <row r="616" spans="1:6">
      <c r="A616" s="1">
        <v>45406</v>
      </c>
      <c r="B616" s="2">
        <v>45406.474839143521</v>
      </c>
      <c r="C616" t="s">
        <v>3</v>
      </c>
      <c r="D616" t="s">
        <v>146</v>
      </c>
      <c r="E616" s="5">
        <v>32.82</v>
      </c>
      <c r="F616" t="s">
        <v>14</v>
      </c>
    </row>
    <row r="617" spans="1:6">
      <c r="A617" s="1">
        <v>45406</v>
      </c>
      <c r="B617" s="2">
        <v>45406.481554942133</v>
      </c>
      <c r="C617" t="s">
        <v>3</v>
      </c>
      <c r="D617" t="s">
        <v>147</v>
      </c>
      <c r="E617" s="5">
        <v>32.82</v>
      </c>
      <c r="F617" t="s">
        <v>14</v>
      </c>
    </row>
    <row r="618" spans="1:6">
      <c r="A618" s="1">
        <v>45414</v>
      </c>
      <c r="B618" s="2">
        <v>45414.576156226853</v>
      </c>
      <c r="C618" t="s">
        <v>3</v>
      </c>
      <c r="D618" t="s">
        <v>147</v>
      </c>
      <c r="E618" s="5">
        <v>32.82</v>
      </c>
      <c r="F618" t="s">
        <v>14</v>
      </c>
    </row>
    <row r="619" spans="1:6">
      <c r="A619" s="1">
        <v>45406</v>
      </c>
      <c r="B619" s="2">
        <v>45406.819328506943</v>
      </c>
      <c r="C619" t="s">
        <v>3</v>
      </c>
      <c r="D619" t="s">
        <v>148</v>
      </c>
      <c r="E619" s="5">
        <v>32.82</v>
      </c>
      <c r="F619" t="s">
        <v>14</v>
      </c>
    </row>
    <row r="620" spans="1:6">
      <c r="A620" s="1">
        <v>45406</v>
      </c>
      <c r="B620" s="2">
        <v>45406.820069803238</v>
      </c>
      <c r="C620" t="s">
        <v>3</v>
      </c>
      <c r="D620" t="s">
        <v>148</v>
      </c>
      <c r="E620" s="5">
        <v>37.72</v>
      </c>
      <c r="F620" t="s">
        <v>43</v>
      </c>
    </row>
    <row r="621" spans="1:6">
      <c r="A621" s="1">
        <v>45411</v>
      </c>
      <c r="B621" s="2">
        <v>45411.800384189817</v>
      </c>
      <c r="C621" t="s">
        <v>3</v>
      </c>
      <c r="D621" t="s">
        <v>148</v>
      </c>
      <c r="E621" s="5">
        <v>37.72</v>
      </c>
      <c r="F621" t="s">
        <v>43</v>
      </c>
    </row>
    <row r="622" spans="1:6">
      <c r="A622" s="1">
        <v>45411</v>
      </c>
      <c r="B622" s="2">
        <v>45411.80113284722</v>
      </c>
      <c r="C622" t="s">
        <v>3</v>
      </c>
      <c r="D622" t="s">
        <v>148</v>
      </c>
      <c r="E622" s="5">
        <v>37.72</v>
      </c>
      <c r="F622" t="s">
        <v>43</v>
      </c>
    </row>
    <row r="623" spans="1:6">
      <c r="A623" s="1">
        <v>45434</v>
      </c>
      <c r="B623" s="2">
        <v>45434.809005763891</v>
      </c>
      <c r="C623" t="s">
        <v>3</v>
      </c>
      <c r="D623" t="s">
        <v>148</v>
      </c>
      <c r="E623" s="5">
        <v>37.72</v>
      </c>
      <c r="F623" t="s">
        <v>43</v>
      </c>
    </row>
    <row r="624" spans="1:6">
      <c r="A624" s="1">
        <v>45434</v>
      </c>
      <c r="B624" s="2">
        <v>45434.809705717591</v>
      </c>
      <c r="C624" t="s">
        <v>3</v>
      </c>
      <c r="D624" t="s">
        <v>148</v>
      </c>
      <c r="E624" s="5">
        <v>37.72</v>
      </c>
      <c r="F624" t="s">
        <v>43</v>
      </c>
    </row>
    <row r="625" spans="1:6">
      <c r="A625" s="1">
        <v>45435</v>
      </c>
      <c r="B625" s="2">
        <v>45435.803801284725</v>
      </c>
      <c r="C625" t="s">
        <v>3</v>
      </c>
      <c r="D625" t="s">
        <v>148</v>
      </c>
      <c r="E625" s="5">
        <v>37.72</v>
      </c>
      <c r="F625" t="s">
        <v>43</v>
      </c>
    </row>
    <row r="626" spans="1:6">
      <c r="A626" s="1">
        <v>45443</v>
      </c>
      <c r="B626" s="2">
        <v>45443.856324108798</v>
      </c>
      <c r="C626" t="s">
        <v>3</v>
      </c>
      <c r="D626" t="s">
        <v>148</v>
      </c>
      <c r="E626" s="5">
        <v>32.82</v>
      </c>
      <c r="F626" t="s">
        <v>14</v>
      </c>
    </row>
    <row r="627" spans="1:6">
      <c r="A627" s="1">
        <v>45443</v>
      </c>
      <c r="B627" s="2">
        <v>45443.857325266203</v>
      </c>
      <c r="C627" t="s">
        <v>3</v>
      </c>
      <c r="D627" t="s">
        <v>148</v>
      </c>
      <c r="E627" s="5">
        <v>37.72</v>
      </c>
      <c r="F627" t="s">
        <v>7</v>
      </c>
    </row>
    <row r="628" spans="1:6">
      <c r="A628" s="1">
        <v>45451</v>
      </c>
      <c r="B628" s="2">
        <v>45451.850628703702</v>
      </c>
      <c r="C628" t="s">
        <v>3</v>
      </c>
      <c r="D628" t="s">
        <v>148</v>
      </c>
      <c r="E628" s="5">
        <v>37.72</v>
      </c>
      <c r="F628" t="s">
        <v>43</v>
      </c>
    </row>
    <row r="629" spans="1:6">
      <c r="A629" s="1">
        <v>45451</v>
      </c>
      <c r="B629" s="2">
        <v>45451.851346249998</v>
      </c>
      <c r="C629" t="s">
        <v>3</v>
      </c>
      <c r="D629" t="s">
        <v>148</v>
      </c>
      <c r="E629" s="5">
        <v>37.72</v>
      </c>
      <c r="F629" t="s">
        <v>43</v>
      </c>
    </row>
    <row r="630" spans="1:6">
      <c r="A630" s="1">
        <v>45516</v>
      </c>
      <c r="B630" s="2">
        <v>45516.957176759257</v>
      </c>
      <c r="C630" t="s">
        <v>3</v>
      </c>
      <c r="D630" t="s">
        <v>148</v>
      </c>
      <c r="E630" s="5">
        <v>32.82</v>
      </c>
      <c r="F630" t="s">
        <v>43</v>
      </c>
    </row>
    <row r="631" spans="1:6">
      <c r="A631" s="1">
        <v>45516</v>
      </c>
      <c r="B631" s="2">
        <v>45516.957853518521</v>
      </c>
      <c r="C631" t="s">
        <v>3</v>
      </c>
      <c r="D631" t="s">
        <v>148</v>
      </c>
      <c r="E631" s="5">
        <v>32.82</v>
      </c>
      <c r="F631" t="s">
        <v>43</v>
      </c>
    </row>
    <row r="632" spans="1:6">
      <c r="A632" s="1">
        <v>45407</v>
      </c>
      <c r="B632" s="2">
        <v>45407.448704363429</v>
      </c>
      <c r="C632" t="s">
        <v>3</v>
      </c>
      <c r="D632" t="s">
        <v>149</v>
      </c>
      <c r="E632" s="5">
        <v>27.92</v>
      </c>
      <c r="F632" t="s">
        <v>11</v>
      </c>
    </row>
    <row r="633" spans="1:6">
      <c r="A633" s="1">
        <v>45408</v>
      </c>
      <c r="B633" s="2">
        <v>45408.501048379629</v>
      </c>
      <c r="C633" t="s">
        <v>3</v>
      </c>
      <c r="D633" t="s">
        <v>150</v>
      </c>
      <c r="E633" s="5">
        <v>37.72</v>
      </c>
      <c r="F633" t="s">
        <v>7</v>
      </c>
    </row>
    <row r="634" spans="1:6">
      <c r="A634" s="1">
        <v>45408</v>
      </c>
      <c r="B634" s="2">
        <v>45408.563521956021</v>
      </c>
      <c r="C634" t="s">
        <v>3</v>
      </c>
      <c r="D634" t="s">
        <v>151</v>
      </c>
      <c r="E634" s="5">
        <v>37.72</v>
      </c>
      <c r="F634" t="s">
        <v>43</v>
      </c>
    </row>
    <row r="635" spans="1:6">
      <c r="A635" s="1">
        <v>45590</v>
      </c>
      <c r="B635" s="2">
        <v>45590.599497314812</v>
      </c>
      <c r="C635" t="s">
        <v>3</v>
      </c>
      <c r="D635" t="s">
        <v>151</v>
      </c>
      <c r="E635" s="5">
        <v>35.76</v>
      </c>
      <c r="F635" t="s">
        <v>43</v>
      </c>
    </row>
    <row r="636" spans="1:6">
      <c r="A636" s="1">
        <v>45408</v>
      </c>
      <c r="B636" s="2">
        <v>45408.682945763889</v>
      </c>
      <c r="C636" t="s">
        <v>3</v>
      </c>
      <c r="D636" t="s">
        <v>152</v>
      </c>
      <c r="E636" s="5">
        <v>27.92</v>
      </c>
      <c r="F636" t="s">
        <v>28</v>
      </c>
    </row>
    <row r="637" spans="1:6">
      <c r="A637" s="1">
        <v>45408</v>
      </c>
      <c r="B637" s="2">
        <v>45408.683724537033</v>
      </c>
      <c r="C637" t="s">
        <v>3</v>
      </c>
      <c r="D637" t="s">
        <v>153</v>
      </c>
      <c r="E637" s="5">
        <v>27.92</v>
      </c>
      <c r="F637" t="s">
        <v>11</v>
      </c>
    </row>
    <row r="638" spans="1:6">
      <c r="A638" s="1">
        <v>45410</v>
      </c>
      <c r="B638" s="2">
        <v>45410.520946168981</v>
      </c>
      <c r="C638" t="s">
        <v>3</v>
      </c>
      <c r="D638" t="s">
        <v>154</v>
      </c>
      <c r="E638" s="5">
        <v>37.72</v>
      </c>
      <c r="F638" t="s">
        <v>43</v>
      </c>
    </row>
    <row r="639" spans="1:6">
      <c r="A639" s="1">
        <v>45411</v>
      </c>
      <c r="B639" s="2">
        <v>45411.776254699071</v>
      </c>
      <c r="C639" t="s">
        <v>3</v>
      </c>
      <c r="D639" t="s">
        <v>154</v>
      </c>
      <c r="E639" s="5">
        <v>37.72</v>
      </c>
      <c r="F639" t="s">
        <v>43</v>
      </c>
    </row>
    <row r="640" spans="1:6">
      <c r="A640" s="1">
        <v>45411</v>
      </c>
      <c r="B640" s="2">
        <v>45411.476757766206</v>
      </c>
      <c r="C640" t="s">
        <v>3</v>
      </c>
      <c r="D640" t="s">
        <v>155</v>
      </c>
      <c r="E640" s="5">
        <v>27.92</v>
      </c>
      <c r="F640" t="s">
        <v>28</v>
      </c>
    </row>
    <row r="641" spans="1:6">
      <c r="A641" s="1">
        <v>45411</v>
      </c>
      <c r="B641" s="2">
        <v>45411.578885763891</v>
      </c>
      <c r="C641" t="s">
        <v>3</v>
      </c>
      <c r="D641" t="s">
        <v>155</v>
      </c>
      <c r="E641" s="5">
        <v>27.92</v>
      </c>
      <c r="F641" t="s">
        <v>28</v>
      </c>
    </row>
    <row r="642" spans="1:6">
      <c r="A642" s="1">
        <v>45411</v>
      </c>
      <c r="B642" s="2">
        <v>45411.579448576391</v>
      </c>
      <c r="C642" t="s">
        <v>3</v>
      </c>
      <c r="D642" t="s">
        <v>155</v>
      </c>
      <c r="E642" s="5">
        <v>32.82</v>
      </c>
      <c r="F642" t="s">
        <v>14</v>
      </c>
    </row>
    <row r="643" spans="1:6">
      <c r="A643" s="1">
        <v>45418</v>
      </c>
      <c r="B643" s="2">
        <v>45418.443896307872</v>
      </c>
      <c r="C643" t="s">
        <v>3</v>
      </c>
      <c r="D643" t="s">
        <v>155</v>
      </c>
      <c r="E643" s="5">
        <v>27.92</v>
      </c>
      <c r="F643" t="s">
        <v>28</v>
      </c>
    </row>
    <row r="644" spans="1:6">
      <c r="A644" s="1">
        <v>45419</v>
      </c>
      <c r="B644" s="2">
        <v>45419.473593668983</v>
      </c>
      <c r="C644" t="s">
        <v>3</v>
      </c>
      <c r="D644" t="s">
        <v>155</v>
      </c>
      <c r="E644" s="5">
        <v>27.92</v>
      </c>
      <c r="F644" t="s">
        <v>28</v>
      </c>
    </row>
    <row r="645" spans="1:6">
      <c r="A645" s="1">
        <v>45434</v>
      </c>
      <c r="B645" s="2">
        <v>45434.4709984375</v>
      </c>
      <c r="C645" t="s">
        <v>3</v>
      </c>
      <c r="D645" t="s">
        <v>155</v>
      </c>
      <c r="E645" s="5">
        <v>27.92</v>
      </c>
      <c r="F645" t="s">
        <v>28</v>
      </c>
    </row>
    <row r="646" spans="1:6">
      <c r="A646" s="1">
        <v>45436</v>
      </c>
      <c r="B646" s="2">
        <v>45436.466657199075</v>
      </c>
      <c r="C646" t="s">
        <v>3</v>
      </c>
      <c r="D646" t="s">
        <v>155</v>
      </c>
      <c r="E646" s="5">
        <v>27.92</v>
      </c>
      <c r="F646" t="s">
        <v>28</v>
      </c>
    </row>
    <row r="647" spans="1:6">
      <c r="A647" s="1">
        <v>45440</v>
      </c>
      <c r="B647" s="2">
        <v>45440.684482986115</v>
      </c>
      <c r="C647" t="s">
        <v>3</v>
      </c>
      <c r="D647" t="s">
        <v>155</v>
      </c>
      <c r="E647" s="5">
        <v>27.92</v>
      </c>
      <c r="F647" t="s">
        <v>28</v>
      </c>
    </row>
    <row r="648" spans="1:6">
      <c r="A648" s="1">
        <v>45444</v>
      </c>
      <c r="B648" s="2">
        <v>45444.352103530095</v>
      </c>
      <c r="C648" t="s">
        <v>3</v>
      </c>
      <c r="D648" t="s">
        <v>155</v>
      </c>
      <c r="E648" s="5">
        <v>27.92</v>
      </c>
      <c r="F648" t="s">
        <v>28</v>
      </c>
    </row>
    <row r="649" spans="1:6">
      <c r="A649" s="1">
        <v>45447</v>
      </c>
      <c r="B649" s="2">
        <v>45447.391468726855</v>
      </c>
      <c r="C649" t="s">
        <v>3</v>
      </c>
      <c r="D649" t="s">
        <v>155</v>
      </c>
      <c r="E649" s="5">
        <v>27.92</v>
      </c>
      <c r="F649" t="s">
        <v>28</v>
      </c>
    </row>
    <row r="650" spans="1:6">
      <c r="A650" s="1">
        <v>45452</v>
      </c>
      <c r="B650" s="2">
        <v>45452.461589189814</v>
      </c>
      <c r="C650" t="s">
        <v>3</v>
      </c>
      <c r="D650" t="s">
        <v>155</v>
      </c>
      <c r="E650" s="5">
        <v>27.92</v>
      </c>
      <c r="F650" t="s">
        <v>28</v>
      </c>
    </row>
    <row r="651" spans="1:6">
      <c r="A651" s="1">
        <v>45456</v>
      </c>
      <c r="B651" s="2">
        <v>45456.414716643521</v>
      </c>
      <c r="C651" t="s">
        <v>3</v>
      </c>
      <c r="D651" t="s">
        <v>155</v>
      </c>
      <c r="E651" s="5">
        <v>27.92</v>
      </c>
      <c r="F651" t="s">
        <v>28</v>
      </c>
    </row>
    <row r="652" spans="1:6">
      <c r="A652" s="1">
        <v>45457</v>
      </c>
      <c r="B652" s="2">
        <v>45457.323764328707</v>
      </c>
      <c r="C652" t="s">
        <v>3</v>
      </c>
      <c r="D652" t="s">
        <v>155</v>
      </c>
      <c r="E652" s="5">
        <v>27.92</v>
      </c>
      <c r="F652" t="s">
        <v>28</v>
      </c>
    </row>
    <row r="653" spans="1:6">
      <c r="A653" s="1">
        <v>45462</v>
      </c>
      <c r="B653" s="2">
        <v>45462.345769768515</v>
      </c>
      <c r="C653" t="s">
        <v>3</v>
      </c>
      <c r="D653" t="s">
        <v>155</v>
      </c>
      <c r="E653" s="5">
        <v>27.92</v>
      </c>
      <c r="F653" t="s">
        <v>28</v>
      </c>
    </row>
    <row r="654" spans="1:6">
      <c r="A654" s="1">
        <v>45465</v>
      </c>
      <c r="B654" s="2">
        <v>45465.360998530094</v>
      </c>
      <c r="C654" t="s">
        <v>3</v>
      </c>
      <c r="D654" t="s">
        <v>155</v>
      </c>
      <c r="E654" s="5">
        <v>27.92</v>
      </c>
      <c r="F654" t="s">
        <v>28</v>
      </c>
    </row>
    <row r="655" spans="1:6">
      <c r="A655" s="1">
        <v>45471</v>
      </c>
      <c r="B655" s="2">
        <v>45471.339294490739</v>
      </c>
      <c r="C655" t="s">
        <v>3</v>
      </c>
      <c r="D655" t="s">
        <v>155</v>
      </c>
      <c r="E655" s="5">
        <v>27.92</v>
      </c>
      <c r="F655" t="s">
        <v>28</v>
      </c>
    </row>
    <row r="656" spans="1:6">
      <c r="A656" s="1">
        <v>45503</v>
      </c>
      <c r="B656" s="2">
        <v>45503.428601238425</v>
      </c>
      <c r="C656" t="s">
        <v>3</v>
      </c>
      <c r="D656" t="s">
        <v>155</v>
      </c>
      <c r="E656" s="5">
        <v>23.02</v>
      </c>
      <c r="F656" t="s">
        <v>28</v>
      </c>
    </row>
    <row r="657" spans="1:6">
      <c r="A657" s="1">
        <v>45506</v>
      </c>
      <c r="B657" s="2">
        <v>45506.464808622688</v>
      </c>
      <c r="C657" t="s">
        <v>3</v>
      </c>
      <c r="D657" t="s">
        <v>155</v>
      </c>
      <c r="E657" s="5">
        <v>23.02</v>
      </c>
      <c r="F657" t="s">
        <v>28</v>
      </c>
    </row>
    <row r="658" spans="1:6">
      <c r="A658" s="1">
        <v>45512</v>
      </c>
      <c r="B658" s="2">
        <v>45512.365696805558</v>
      </c>
      <c r="C658" t="s">
        <v>3</v>
      </c>
      <c r="D658" t="s">
        <v>155</v>
      </c>
      <c r="E658" s="5">
        <v>18.12</v>
      </c>
      <c r="F658" t="s">
        <v>35</v>
      </c>
    </row>
    <row r="659" spans="1:6">
      <c r="A659" s="1">
        <v>45512</v>
      </c>
      <c r="B659" s="2">
        <v>45512.366304236108</v>
      </c>
      <c r="C659" t="s">
        <v>3</v>
      </c>
      <c r="D659" t="s">
        <v>155</v>
      </c>
      <c r="E659" s="5">
        <v>23.02</v>
      </c>
      <c r="F659" t="s">
        <v>28</v>
      </c>
    </row>
    <row r="660" spans="1:6">
      <c r="A660" s="1">
        <v>45512</v>
      </c>
      <c r="B660" s="2">
        <v>45512.530087476851</v>
      </c>
      <c r="C660" t="s">
        <v>3</v>
      </c>
      <c r="D660" t="s">
        <v>155</v>
      </c>
      <c r="E660" s="5">
        <v>23.02</v>
      </c>
      <c r="F660" t="s">
        <v>28</v>
      </c>
    </row>
    <row r="661" spans="1:6">
      <c r="A661" s="1">
        <v>45512</v>
      </c>
      <c r="B661" s="2">
        <v>45512.530728622682</v>
      </c>
      <c r="C661" t="s">
        <v>3</v>
      </c>
      <c r="D661" t="s">
        <v>155</v>
      </c>
      <c r="E661" s="5">
        <v>23.02</v>
      </c>
      <c r="F661" t="s">
        <v>28</v>
      </c>
    </row>
    <row r="662" spans="1:6">
      <c r="A662" s="1">
        <v>45513</v>
      </c>
      <c r="B662" s="2">
        <v>45513.425781678241</v>
      </c>
      <c r="C662" t="s">
        <v>3</v>
      </c>
      <c r="D662" t="s">
        <v>155</v>
      </c>
      <c r="E662" s="5">
        <v>23.02</v>
      </c>
      <c r="F662" t="s">
        <v>28</v>
      </c>
    </row>
    <row r="663" spans="1:6">
      <c r="A663" s="1">
        <v>45514</v>
      </c>
      <c r="B663" s="2">
        <v>45514.364687719906</v>
      </c>
      <c r="C663" t="s">
        <v>3</v>
      </c>
      <c r="D663" t="s">
        <v>155</v>
      </c>
      <c r="E663" s="5">
        <v>23.02</v>
      </c>
      <c r="F663" t="s">
        <v>28</v>
      </c>
    </row>
    <row r="664" spans="1:6">
      <c r="A664" s="1">
        <v>45515</v>
      </c>
      <c r="B664" s="2">
        <v>45515.514115393518</v>
      </c>
      <c r="C664" t="s">
        <v>3</v>
      </c>
      <c r="D664" t="s">
        <v>155</v>
      </c>
      <c r="E664" s="5">
        <v>23.02</v>
      </c>
      <c r="F664" t="s">
        <v>28</v>
      </c>
    </row>
    <row r="665" spans="1:6">
      <c r="A665" s="1">
        <v>45517</v>
      </c>
      <c r="B665" s="2">
        <v>45517.445934872689</v>
      </c>
      <c r="C665" t="s">
        <v>3</v>
      </c>
      <c r="D665" t="s">
        <v>155</v>
      </c>
      <c r="E665" s="5">
        <v>23.02</v>
      </c>
      <c r="F665" t="s">
        <v>28</v>
      </c>
    </row>
    <row r="666" spans="1:6">
      <c r="A666" s="1">
        <v>45518</v>
      </c>
      <c r="B666" s="2">
        <v>45518.423253761575</v>
      </c>
      <c r="C666" t="s">
        <v>3</v>
      </c>
      <c r="D666" t="s">
        <v>155</v>
      </c>
      <c r="E666" s="5">
        <v>23.02</v>
      </c>
      <c r="F666" t="s">
        <v>28</v>
      </c>
    </row>
    <row r="667" spans="1:6">
      <c r="A667" s="1">
        <v>45519</v>
      </c>
      <c r="B667" s="2">
        <v>45519.400129085647</v>
      </c>
      <c r="C667" t="s">
        <v>3</v>
      </c>
      <c r="D667" t="s">
        <v>155</v>
      </c>
      <c r="E667" s="5">
        <v>23.02</v>
      </c>
      <c r="F667" t="s">
        <v>28</v>
      </c>
    </row>
    <row r="668" spans="1:6">
      <c r="A668" s="1">
        <v>45521</v>
      </c>
      <c r="B668" s="2">
        <v>45521.49909315972</v>
      </c>
      <c r="C668" t="s">
        <v>3</v>
      </c>
      <c r="D668" t="s">
        <v>155</v>
      </c>
      <c r="E668" s="5">
        <v>23.02</v>
      </c>
      <c r="F668" t="s">
        <v>28</v>
      </c>
    </row>
    <row r="669" spans="1:6">
      <c r="A669" s="1">
        <v>45521</v>
      </c>
      <c r="B669" s="2">
        <v>45521.499633078703</v>
      </c>
      <c r="C669" t="s">
        <v>3</v>
      </c>
      <c r="D669" t="s">
        <v>155</v>
      </c>
      <c r="E669" s="5">
        <v>23.02</v>
      </c>
      <c r="F669" t="s">
        <v>28</v>
      </c>
    </row>
    <row r="670" spans="1:6">
      <c r="A670" s="1">
        <v>45522</v>
      </c>
      <c r="B670" s="2">
        <v>45522.361877881944</v>
      </c>
      <c r="C670" t="s">
        <v>3</v>
      </c>
      <c r="D670" t="s">
        <v>155</v>
      </c>
      <c r="E670" s="5">
        <v>23.02</v>
      </c>
      <c r="F670" t="s">
        <v>28</v>
      </c>
    </row>
    <row r="671" spans="1:6">
      <c r="A671" s="1">
        <v>45524</v>
      </c>
      <c r="B671" s="2">
        <v>45524.352273240744</v>
      </c>
      <c r="C671" t="s">
        <v>3</v>
      </c>
      <c r="D671" t="s">
        <v>155</v>
      </c>
      <c r="E671" s="5">
        <v>23.02</v>
      </c>
      <c r="F671" t="s">
        <v>28</v>
      </c>
    </row>
    <row r="672" spans="1:6">
      <c r="A672" s="1">
        <v>45524</v>
      </c>
      <c r="B672" s="2">
        <v>45524.48773148148</v>
      </c>
      <c r="C672" t="s">
        <v>3</v>
      </c>
      <c r="D672" t="s">
        <v>155</v>
      </c>
      <c r="E672" s="5">
        <v>32.82</v>
      </c>
      <c r="F672" t="s">
        <v>7</v>
      </c>
    </row>
    <row r="673" spans="1:6">
      <c r="A673" s="1">
        <v>45525</v>
      </c>
      <c r="B673" s="2">
        <v>45525.361428159726</v>
      </c>
      <c r="C673" t="s">
        <v>3</v>
      </c>
      <c r="D673" t="s">
        <v>155</v>
      </c>
      <c r="E673" s="5">
        <v>23.02</v>
      </c>
      <c r="F673" t="s">
        <v>28</v>
      </c>
    </row>
    <row r="674" spans="1:6">
      <c r="A674" s="1">
        <v>45525</v>
      </c>
      <c r="B674" s="2">
        <v>45525.494229618052</v>
      </c>
      <c r="C674" t="s">
        <v>3</v>
      </c>
      <c r="D674" t="s">
        <v>155</v>
      </c>
      <c r="E674" s="5">
        <v>23.02</v>
      </c>
      <c r="F674" t="s">
        <v>28</v>
      </c>
    </row>
    <row r="675" spans="1:6">
      <c r="A675" s="1">
        <v>45526</v>
      </c>
      <c r="B675" s="2">
        <v>45526.390582141205</v>
      </c>
      <c r="C675" t="s">
        <v>3</v>
      </c>
      <c r="D675" t="s">
        <v>155</v>
      </c>
      <c r="E675" s="5">
        <v>23.02</v>
      </c>
      <c r="F675" t="s">
        <v>28</v>
      </c>
    </row>
    <row r="676" spans="1:6">
      <c r="A676" s="1">
        <v>45527</v>
      </c>
      <c r="B676" s="2">
        <v>45527.348472847225</v>
      </c>
      <c r="C676" t="s">
        <v>3</v>
      </c>
      <c r="D676" t="s">
        <v>155</v>
      </c>
      <c r="E676" s="5">
        <v>23.02</v>
      </c>
      <c r="F676" t="s">
        <v>28</v>
      </c>
    </row>
    <row r="677" spans="1:6">
      <c r="A677" s="1">
        <v>45527</v>
      </c>
      <c r="B677" s="2">
        <v>45527.443892118055</v>
      </c>
      <c r="C677" t="s">
        <v>3</v>
      </c>
      <c r="D677" t="s">
        <v>155</v>
      </c>
      <c r="E677" s="5">
        <v>23.02</v>
      </c>
      <c r="F677" t="s">
        <v>28</v>
      </c>
    </row>
    <row r="678" spans="1:6">
      <c r="A678" s="1">
        <v>45528</v>
      </c>
      <c r="B678" s="2">
        <v>45528.342850347224</v>
      </c>
      <c r="C678" t="s">
        <v>3</v>
      </c>
      <c r="D678" t="s">
        <v>155</v>
      </c>
      <c r="E678" s="5">
        <v>23.02</v>
      </c>
      <c r="F678" t="s">
        <v>28</v>
      </c>
    </row>
    <row r="679" spans="1:6">
      <c r="A679" s="1">
        <v>45528</v>
      </c>
      <c r="B679" s="2">
        <v>45528.343606909722</v>
      </c>
      <c r="C679" t="s">
        <v>3</v>
      </c>
      <c r="D679" t="s">
        <v>155</v>
      </c>
      <c r="E679" s="5">
        <v>23.02</v>
      </c>
      <c r="F679" t="s">
        <v>28</v>
      </c>
    </row>
    <row r="680" spans="1:6">
      <c r="A680" s="1">
        <v>45529</v>
      </c>
      <c r="B680" s="2">
        <v>45529.343488217593</v>
      </c>
      <c r="C680" t="s">
        <v>3</v>
      </c>
      <c r="D680" t="s">
        <v>155</v>
      </c>
      <c r="E680" s="5">
        <v>23.02</v>
      </c>
      <c r="F680" t="s">
        <v>28</v>
      </c>
    </row>
    <row r="681" spans="1:6">
      <c r="A681" s="1">
        <v>45530</v>
      </c>
      <c r="B681" s="2">
        <v>45530.341519618058</v>
      </c>
      <c r="C681" t="s">
        <v>3</v>
      </c>
      <c r="D681" t="s">
        <v>155</v>
      </c>
      <c r="E681" s="5">
        <v>23.02</v>
      </c>
      <c r="F681" t="s">
        <v>28</v>
      </c>
    </row>
    <row r="682" spans="1:6">
      <c r="A682" s="1">
        <v>45535</v>
      </c>
      <c r="B682" s="2">
        <v>45535.481711990738</v>
      </c>
      <c r="C682" t="s">
        <v>3</v>
      </c>
      <c r="D682" t="s">
        <v>155</v>
      </c>
      <c r="E682" s="5">
        <v>23.02</v>
      </c>
      <c r="F682" t="s">
        <v>28</v>
      </c>
    </row>
    <row r="683" spans="1:6">
      <c r="A683" s="1">
        <v>45535</v>
      </c>
      <c r="B683" s="2">
        <v>45535.482325625002</v>
      </c>
      <c r="C683" t="s">
        <v>3</v>
      </c>
      <c r="D683" t="s">
        <v>155</v>
      </c>
      <c r="E683" s="5">
        <v>23.02</v>
      </c>
      <c r="F683" t="s">
        <v>28</v>
      </c>
    </row>
    <row r="684" spans="1:6">
      <c r="A684" s="1">
        <v>45536</v>
      </c>
      <c r="B684" s="2">
        <v>45536.398787372687</v>
      </c>
      <c r="C684" t="s">
        <v>3</v>
      </c>
      <c r="D684" t="s">
        <v>155</v>
      </c>
      <c r="E684" s="5">
        <v>23.02</v>
      </c>
      <c r="F684" t="s">
        <v>28</v>
      </c>
    </row>
    <row r="685" spans="1:6">
      <c r="A685" s="1">
        <v>45542</v>
      </c>
      <c r="B685" s="2">
        <v>45542.416894479167</v>
      </c>
      <c r="C685" t="s">
        <v>3</v>
      </c>
      <c r="D685" t="s">
        <v>155</v>
      </c>
      <c r="E685" s="5">
        <v>23.02</v>
      </c>
      <c r="F685" t="s">
        <v>28</v>
      </c>
    </row>
    <row r="686" spans="1:6">
      <c r="A686" s="1">
        <v>45543</v>
      </c>
      <c r="B686" s="2">
        <v>45543.344222280095</v>
      </c>
      <c r="C686" t="s">
        <v>3</v>
      </c>
      <c r="D686" t="s">
        <v>155</v>
      </c>
      <c r="E686" s="5">
        <v>23.02</v>
      </c>
      <c r="F686" t="s">
        <v>28</v>
      </c>
    </row>
    <row r="687" spans="1:6">
      <c r="A687" s="1">
        <v>45547</v>
      </c>
      <c r="B687" s="2">
        <v>45547.525930821757</v>
      </c>
      <c r="C687" t="s">
        <v>3</v>
      </c>
      <c r="D687" t="s">
        <v>155</v>
      </c>
      <c r="E687" s="5">
        <v>23.02</v>
      </c>
      <c r="F687" t="s">
        <v>28</v>
      </c>
    </row>
    <row r="688" spans="1:6">
      <c r="A688" s="1">
        <v>45547</v>
      </c>
      <c r="B688" s="2">
        <v>45547.526501562497</v>
      </c>
      <c r="C688" t="s">
        <v>3</v>
      </c>
      <c r="D688" t="s">
        <v>155</v>
      </c>
      <c r="E688" s="5">
        <v>23.02</v>
      </c>
      <c r="F688" t="s">
        <v>28</v>
      </c>
    </row>
    <row r="689" spans="1:6">
      <c r="A689" s="1">
        <v>45550</v>
      </c>
      <c r="B689" s="2">
        <v>45550.608556562504</v>
      </c>
      <c r="C689" t="s">
        <v>3</v>
      </c>
      <c r="D689" t="s">
        <v>155</v>
      </c>
      <c r="E689" s="5">
        <v>23.02</v>
      </c>
      <c r="F689" t="s">
        <v>28</v>
      </c>
    </row>
    <row r="690" spans="1:6">
      <c r="A690" s="1">
        <v>45550</v>
      </c>
      <c r="B690" s="2">
        <v>45550.609266168984</v>
      </c>
      <c r="C690" t="s">
        <v>3</v>
      </c>
      <c r="D690" t="s">
        <v>155</v>
      </c>
      <c r="E690" s="5">
        <v>23.02</v>
      </c>
      <c r="F690" t="s">
        <v>28</v>
      </c>
    </row>
    <row r="691" spans="1:6">
      <c r="A691" s="1">
        <v>45552</v>
      </c>
      <c r="B691" s="2">
        <v>45552.362864282404</v>
      </c>
      <c r="C691" t="s">
        <v>3</v>
      </c>
      <c r="D691" t="s">
        <v>155</v>
      </c>
      <c r="E691" s="5">
        <v>23.02</v>
      </c>
      <c r="F691" t="s">
        <v>28</v>
      </c>
    </row>
    <row r="692" spans="1:6">
      <c r="A692" s="1">
        <v>45558</v>
      </c>
      <c r="B692" s="2">
        <v>45558.419644305555</v>
      </c>
      <c r="C692" t="s">
        <v>3</v>
      </c>
      <c r="D692" t="s">
        <v>155</v>
      </c>
      <c r="E692" s="5">
        <v>23.02</v>
      </c>
      <c r="F692" t="s">
        <v>28</v>
      </c>
    </row>
    <row r="693" spans="1:6">
      <c r="A693" s="1">
        <v>45560</v>
      </c>
      <c r="B693" s="2">
        <v>45560.483015428239</v>
      </c>
      <c r="C693" t="s">
        <v>3</v>
      </c>
      <c r="D693" t="s">
        <v>155</v>
      </c>
      <c r="E693" s="5">
        <v>23.02</v>
      </c>
      <c r="F693" t="s">
        <v>28</v>
      </c>
    </row>
    <row r="694" spans="1:6">
      <c r="A694" s="1">
        <v>45562</v>
      </c>
      <c r="B694" s="2">
        <v>45562.398425659725</v>
      </c>
      <c r="C694" t="s">
        <v>3</v>
      </c>
      <c r="D694" t="s">
        <v>155</v>
      </c>
      <c r="E694" s="5">
        <v>23.02</v>
      </c>
      <c r="F694" t="s">
        <v>28</v>
      </c>
    </row>
    <row r="695" spans="1:6">
      <c r="A695" s="1">
        <v>45564</v>
      </c>
      <c r="B695" s="2">
        <v>45564.535398657405</v>
      </c>
      <c r="C695" t="s">
        <v>3</v>
      </c>
      <c r="D695" t="s">
        <v>155</v>
      </c>
      <c r="E695" s="5">
        <v>25.96</v>
      </c>
      <c r="F695" t="s">
        <v>28</v>
      </c>
    </row>
    <row r="696" spans="1:6">
      <c r="A696" s="1">
        <v>45565</v>
      </c>
      <c r="B696" s="2">
        <v>45565.339438842595</v>
      </c>
      <c r="C696" t="s">
        <v>3</v>
      </c>
      <c r="D696" t="s">
        <v>155</v>
      </c>
      <c r="E696" s="5">
        <v>25.96</v>
      </c>
      <c r="F696" t="s">
        <v>28</v>
      </c>
    </row>
    <row r="697" spans="1:6">
      <c r="A697" s="1">
        <v>45565</v>
      </c>
      <c r="B697" s="2">
        <v>45565.420351284723</v>
      </c>
      <c r="C697" t="s">
        <v>3</v>
      </c>
      <c r="D697" t="s">
        <v>155</v>
      </c>
      <c r="E697" s="5">
        <v>25.96</v>
      </c>
      <c r="F697" t="s">
        <v>28</v>
      </c>
    </row>
    <row r="698" spans="1:6">
      <c r="A698" s="1">
        <v>45567</v>
      </c>
      <c r="B698" s="2">
        <v>45567.363016689815</v>
      </c>
      <c r="C698" t="s">
        <v>3</v>
      </c>
      <c r="D698" t="s">
        <v>155</v>
      </c>
      <c r="E698" s="5">
        <v>25.96</v>
      </c>
      <c r="F698" t="s">
        <v>28</v>
      </c>
    </row>
    <row r="699" spans="1:6">
      <c r="A699" s="1">
        <v>45570</v>
      </c>
      <c r="B699" s="2">
        <v>45570.375542372683</v>
      </c>
      <c r="C699" t="s">
        <v>3</v>
      </c>
      <c r="D699" t="s">
        <v>155</v>
      </c>
      <c r="E699" s="5">
        <v>25.96</v>
      </c>
      <c r="F699" t="s">
        <v>28</v>
      </c>
    </row>
    <row r="700" spans="1:6">
      <c r="A700" s="1">
        <v>45570</v>
      </c>
      <c r="B700" s="2">
        <v>45570.376188298615</v>
      </c>
      <c r="C700" t="s">
        <v>3</v>
      </c>
      <c r="D700" t="s">
        <v>155</v>
      </c>
      <c r="E700" s="5">
        <v>25.96</v>
      </c>
      <c r="F700" t="s">
        <v>28</v>
      </c>
    </row>
    <row r="701" spans="1:6">
      <c r="A701" s="1">
        <v>45571</v>
      </c>
      <c r="B701" s="2">
        <v>45571.349267604164</v>
      </c>
      <c r="C701" t="s">
        <v>3</v>
      </c>
      <c r="D701" t="s">
        <v>155</v>
      </c>
      <c r="E701" s="5">
        <v>25.96</v>
      </c>
      <c r="F701" t="s">
        <v>28</v>
      </c>
    </row>
    <row r="702" spans="1:6">
      <c r="A702" s="1">
        <v>45575</v>
      </c>
      <c r="B702" s="2">
        <v>45575.446331539351</v>
      </c>
      <c r="C702" t="s">
        <v>3</v>
      </c>
      <c r="D702" t="s">
        <v>155</v>
      </c>
      <c r="E702" s="5">
        <v>25.96</v>
      </c>
      <c r="F702" t="s">
        <v>28</v>
      </c>
    </row>
    <row r="703" spans="1:6">
      <c r="A703" s="1">
        <v>45575</v>
      </c>
      <c r="B703" s="2">
        <v>45575.446875300928</v>
      </c>
      <c r="C703" t="s">
        <v>3</v>
      </c>
      <c r="D703" t="s">
        <v>155</v>
      </c>
      <c r="E703" s="5">
        <v>25.96</v>
      </c>
      <c r="F703" t="s">
        <v>28</v>
      </c>
    </row>
    <row r="704" spans="1:6">
      <c r="A704" s="1">
        <v>45576</v>
      </c>
      <c r="B704" s="2">
        <v>45576.341901087966</v>
      </c>
      <c r="C704" t="s">
        <v>3</v>
      </c>
      <c r="D704" t="s">
        <v>155</v>
      </c>
      <c r="E704" s="5">
        <v>25.96</v>
      </c>
      <c r="F704" t="s">
        <v>28</v>
      </c>
    </row>
    <row r="705" spans="1:6">
      <c r="A705" s="1">
        <v>45577</v>
      </c>
      <c r="B705" s="2">
        <v>45577.352957384261</v>
      </c>
      <c r="C705" t="s">
        <v>3</v>
      </c>
      <c r="D705" t="s">
        <v>155</v>
      </c>
      <c r="E705" s="5">
        <v>25.96</v>
      </c>
      <c r="F705" t="s">
        <v>28</v>
      </c>
    </row>
    <row r="706" spans="1:6">
      <c r="A706" s="1">
        <v>45578</v>
      </c>
      <c r="B706" s="2">
        <v>45578.413138738426</v>
      </c>
      <c r="C706" t="s">
        <v>3</v>
      </c>
      <c r="D706" t="s">
        <v>155</v>
      </c>
      <c r="E706" s="5">
        <v>25.96</v>
      </c>
      <c r="F706" t="s">
        <v>28</v>
      </c>
    </row>
    <row r="707" spans="1:6">
      <c r="A707" s="1">
        <v>45579</v>
      </c>
      <c r="B707" s="2">
        <v>45579.436008171295</v>
      </c>
      <c r="C707" t="s">
        <v>3</v>
      </c>
      <c r="D707" t="s">
        <v>155</v>
      </c>
      <c r="E707" s="5">
        <v>25.96</v>
      </c>
      <c r="F707" t="s">
        <v>28</v>
      </c>
    </row>
    <row r="708" spans="1:6">
      <c r="A708" s="1">
        <v>45580</v>
      </c>
      <c r="B708" s="2">
        <v>45580.343387349538</v>
      </c>
      <c r="C708" t="s">
        <v>3</v>
      </c>
      <c r="D708" t="s">
        <v>155</v>
      </c>
      <c r="E708" s="5">
        <v>25.96</v>
      </c>
      <c r="F708" t="s">
        <v>28</v>
      </c>
    </row>
    <row r="709" spans="1:6">
      <c r="A709" s="1">
        <v>45586</v>
      </c>
      <c r="B709" s="2">
        <v>45586.445656539348</v>
      </c>
      <c r="C709" t="s">
        <v>3</v>
      </c>
      <c r="D709" t="s">
        <v>155</v>
      </c>
      <c r="E709" s="5">
        <v>25.96</v>
      </c>
      <c r="F709" t="s">
        <v>28</v>
      </c>
    </row>
    <row r="710" spans="1:6">
      <c r="A710" s="1">
        <v>45586</v>
      </c>
      <c r="B710" s="2">
        <v>45586.44624484954</v>
      </c>
      <c r="C710" t="s">
        <v>3</v>
      </c>
      <c r="D710" t="s">
        <v>155</v>
      </c>
      <c r="E710" s="5">
        <v>25.96</v>
      </c>
      <c r="F710" t="s">
        <v>28</v>
      </c>
    </row>
    <row r="711" spans="1:6">
      <c r="A711" s="1">
        <v>45588</v>
      </c>
      <c r="B711" s="2">
        <v>45588.434002187503</v>
      </c>
      <c r="C711" t="s">
        <v>3</v>
      </c>
      <c r="D711" t="s">
        <v>155</v>
      </c>
      <c r="E711" s="5">
        <v>25.96</v>
      </c>
      <c r="F711" t="s">
        <v>28</v>
      </c>
    </row>
    <row r="712" spans="1:6">
      <c r="A712" s="1">
        <v>45590</v>
      </c>
      <c r="B712" s="2">
        <v>45590.504747407409</v>
      </c>
      <c r="C712" t="s">
        <v>3</v>
      </c>
      <c r="D712" t="s">
        <v>155</v>
      </c>
      <c r="E712" s="5">
        <v>25.96</v>
      </c>
      <c r="F712" t="s">
        <v>28</v>
      </c>
    </row>
    <row r="713" spans="1:6">
      <c r="A713" s="1">
        <v>45591</v>
      </c>
      <c r="B713" s="2">
        <v>45591.362320624998</v>
      </c>
      <c r="C713" t="s">
        <v>3</v>
      </c>
      <c r="D713" t="s">
        <v>155</v>
      </c>
      <c r="E713" s="5">
        <v>25.96</v>
      </c>
      <c r="F713" t="s">
        <v>28</v>
      </c>
    </row>
    <row r="714" spans="1:6">
      <c r="A714" s="1">
        <v>45591</v>
      </c>
      <c r="B714" s="2">
        <v>45591.628727685187</v>
      </c>
      <c r="C714" t="s">
        <v>3</v>
      </c>
      <c r="D714" t="s">
        <v>155</v>
      </c>
      <c r="E714" s="5">
        <v>25.96</v>
      </c>
      <c r="F714" t="s">
        <v>28</v>
      </c>
    </row>
    <row r="715" spans="1:6">
      <c r="A715" s="1">
        <v>45591</v>
      </c>
      <c r="B715" s="2">
        <v>45591.629387430556</v>
      </c>
      <c r="C715" t="s">
        <v>3</v>
      </c>
      <c r="D715" t="s">
        <v>155</v>
      </c>
      <c r="E715" s="5">
        <v>25.96</v>
      </c>
      <c r="F715" t="s">
        <v>28</v>
      </c>
    </row>
    <row r="716" spans="1:6">
      <c r="A716" s="1">
        <v>45598</v>
      </c>
      <c r="B716" s="2">
        <v>45598.347040787034</v>
      </c>
      <c r="C716" t="s">
        <v>3</v>
      </c>
      <c r="D716" t="s">
        <v>155</v>
      </c>
      <c r="E716" s="5">
        <v>25.96</v>
      </c>
      <c r="F716" t="s">
        <v>28</v>
      </c>
    </row>
    <row r="717" spans="1:6">
      <c r="A717" s="1">
        <v>45599</v>
      </c>
      <c r="B717" s="2">
        <v>45599.349309745368</v>
      </c>
      <c r="C717" t="s">
        <v>3</v>
      </c>
      <c r="D717" t="s">
        <v>155</v>
      </c>
      <c r="E717" s="5">
        <v>25.96</v>
      </c>
      <c r="F717" t="s">
        <v>28</v>
      </c>
    </row>
    <row r="718" spans="1:6">
      <c r="A718" s="1">
        <v>45605</v>
      </c>
      <c r="B718" s="2">
        <v>45605.45981482639</v>
      </c>
      <c r="C718" t="s">
        <v>3</v>
      </c>
      <c r="D718" t="s">
        <v>155</v>
      </c>
      <c r="E718" s="5">
        <v>25.96</v>
      </c>
      <c r="F718" t="s">
        <v>28</v>
      </c>
    </row>
    <row r="719" spans="1:6">
      <c r="A719" s="1">
        <v>45605</v>
      </c>
      <c r="B719" s="2">
        <v>45605.460423425924</v>
      </c>
      <c r="C719" t="s">
        <v>3</v>
      </c>
      <c r="D719" t="s">
        <v>155</v>
      </c>
      <c r="E719" s="5">
        <v>25.96</v>
      </c>
      <c r="F719" t="s">
        <v>28</v>
      </c>
    </row>
    <row r="720" spans="1:6">
      <c r="A720" s="1">
        <v>45607</v>
      </c>
      <c r="B720" s="2">
        <v>45607.429971064812</v>
      </c>
      <c r="C720" t="s">
        <v>3</v>
      </c>
      <c r="D720" t="s">
        <v>155</v>
      </c>
      <c r="E720" s="5">
        <v>25.96</v>
      </c>
      <c r="F720" t="s">
        <v>28</v>
      </c>
    </row>
    <row r="721" spans="1:6">
      <c r="A721" s="1">
        <v>45612</v>
      </c>
      <c r="B721" s="2">
        <v>45612.431653587963</v>
      </c>
      <c r="C721" t="s">
        <v>3</v>
      </c>
      <c r="D721" t="s">
        <v>155</v>
      </c>
      <c r="E721" s="5">
        <v>25.96</v>
      </c>
      <c r="F721" t="s">
        <v>28</v>
      </c>
    </row>
    <row r="722" spans="1:6">
      <c r="A722" s="1">
        <v>45617</v>
      </c>
      <c r="B722" s="2">
        <v>45617.462627638888</v>
      </c>
      <c r="C722" t="s">
        <v>3</v>
      </c>
      <c r="D722" t="s">
        <v>155</v>
      </c>
      <c r="E722" s="5">
        <v>25.96</v>
      </c>
      <c r="F722" t="s">
        <v>28</v>
      </c>
    </row>
    <row r="723" spans="1:6">
      <c r="A723" s="1">
        <v>45621</v>
      </c>
      <c r="B723" s="2">
        <v>45621.443148622682</v>
      </c>
      <c r="C723" t="s">
        <v>3</v>
      </c>
      <c r="D723" t="s">
        <v>155</v>
      </c>
      <c r="E723" s="5">
        <v>25.96</v>
      </c>
      <c r="F723" t="s">
        <v>28</v>
      </c>
    </row>
    <row r="724" spans="1:6">
      <c r="A724" s="1">
        <v>45628</v>
      </c>
      <c r="B724" s="2">
        <v>45628.461402743058</v>
      </c>
      <c r="C724" t="s">
        <v>3</v>
      </c>
      <c r="D724" t="s">
        <v>155</v>
      </c>
      <c r="E724" s="5">
        <v>25.96</v>
      </c>
      <c r="F724" t="s">
        <v>28</v>
      </c>
    </row>
    <row r="725" spans="1:6">
      <c r="A725" s="1">
        <v>45630</v>
      </c>
      <c r="B725" s="2">
        <v>45630.356110185188</v>
      </c>
      <c r="C725" t="s">
        <v>3</v>
      </c>
      <c r="D725" t="s">
        <v>155</v>
      </c>
      <c r="E725" s="5">
        <v>25.96</v>
      </c>
      <c r="F725" t="s">
        <v>28</v>
      </c>
    </row>
    <row r="726" spans="1:6">
      <c r="A726" s="1">
        <v>45631</v>
      </c>
      <c r="B726" s="2">
        <v>45631.389222627316</v>
      </c>
      <c r="C726" t="s">
        <v>3</v>
      </c>
      <c r="D726" t="s">
        <v>155</v>
      </c>
      <c r="E726" s="5">
        <v>25.96</v>
      </c>
      <c r="F726" t="s">
        <v>28</v>
      </c>
    </row>
    <row r="727" spans="1:6">
      <c r="A727" s="1">
        <v>45634</v>
      </c>
      <c r="B727" s="2">
        <v>45634.353764733794</v>
      </c>
      <c r="C727" t="s">
        <v>3</v>
      </c>
      <c r="D727" t="s">
        <v>155</v>
      </c>
      <c r="E727" s="5">
        <v>25.96</v>
      </c>
      <c r="F727" t="s">
        <v>28</v>
      </c>
    </row>
    <row r="728" spans="1:6">
      <c r="A728" s="1">
        <v>45636</v>
      </c>
      <c r="B728" s="2">
        <v>45636.517936979166</v>
      </c>
      <c r="C728" t="s">
        <v>3</v>
      </c>
      <c r="D728" t="s">
        <v>155</v>
      </c>
      <c r="E728" s="5">
        <v>25.96</v>
      </c>
      <c r="F728" t="s">
        <v>28</v>
      </c>
    </row>
    <row r="729" spans="1:6">
      <c r="A729" s="1">
        <v>45637</v>
      </c>
      <c r="B729" s="2">
        <v>45637.448471284719</v>
      </c>
      <c r="C729" t="s">
        <v>3</v>
      </c>
      <c r="D729" t="s">
        <v>155</v>
      </c>
      <c r="E729" s="5">
        <v>25.96</v>
      </c>
      <c r="F729" t="s">
        <v>28</v>
      </c>
    </row>
    <row r="730" spans="1:6">
      <c r="A730" s="1">
        <v>45646</v>
      </c>
      <c r="B730" s="2">
        <v>45646.343656886573</v>
      </c>
      <c r="C730" t="s">
        <v>3</v>
      </c>
      <c r="D730" t="s">
        <v>155</v>
      </c>
      <c r="E730" s="5">
        <v>25.96</v>
      </c>
      <c r="F730" t="s">
        <v>28</v>
      </c>
    </row>
    <row r="731" spans="1:6">
      <c r="A731" s="1">
        <v>45646</v>
      </c>
      <c r="B731" s="2">
        <v>45646.455198229167</v>
      </c>
      <c r="C731" t="s">
        <v>3</v>
      </c>
      <c r="D731" t="s">
        <v>155</v>
      </c>
      <c r="E731" s="5">
        <v>25.96</v>
      </c>
      <c r="F731" t="s">
        <v>28</v>
      </c>
    </row>
    <row r="732" spans="1:6">
      <c r="A732" s="1">
        <v>45653</v>
      </c>
      <c r="B732" s="2">
        <v>45653.381889189812</v>
      </c>
      <c r="C732" t="s">
        <v>3</v>
      </c>
      <c r="D732" t="s">
        <v>155</v>
      </c>
      <c r="E732" s="5">
        <v>25.96</v>
      </c>
      <c r="F732" t="s">
        <v>28</v>
      </c>
    </row>
    <row r="733" spans="1:6">
      <c r="A733" s="1">
        <v>45654</v>
      </c>
      <c r="B733" s="2">
        <v>45654.410161446758</v>
      </c>
      <c r="C733" t="s">
        <v>3</v>
      </c>
      <c r="D733" t="s">
        <v>155</v>
      </c>
      <c r="E733" s="5">
        <v>25.96</v>
      </c>
      <c r="F733" t="s">
        <v>28</v>
      </c>
    </row>
    <row r="734" spans="1:6">
      <c r="A734" s="1">
        <v>45666</v>
      </c>
      <c r="B734" s="2">
        <v>45666.658449212962</v>
      </c>
      <c r="C734" t="s">
        <v>3</v>
      </c>
      <c r="D734" t="s">
        <v>155</v>
      </c>
      <c r="E734" s="5">
        <v>30.86</v>
      </c>
      <c r="F734" t="s">
        <v>14</v>
      </c>
    </row>
    <row r="735" spans="1:6">
      <c r="A735" s="1">
        <v>45666</v>
      </c>
      <c r="B735" s="2">
        <v>45666.659164305558</v>
      </c>
      <c r="C735" t="s">
        <v>3</v>
      </c>
      <c r="D735" t="s">
        <v>155</v>
      </c>
      <c r="E735" s="5">
        <v>25.96</v>
      </c>
      <c r="F735" t="s">
        <v>28</v>
      </c>
    </row>
    <row r="736" spans="1:6">
      <c r="A736" s="1">
        <v>45673</v>
      </c>
      <c r="B736" s="2">
        <v>45673.508522511576</v>
      </c>
      <c r="C736" t="s">
        <v>3</v>
      </c>
      <c r="D736" t="s">
        <v>155</v>
      </c>
      <c r="E736" s="5">
        <v>25.96</v>
      </c>
      <c r="F736" t="s">
        <v>28</v>
      </c>
    </row>
    <row r="737" spans="1:6">
      <c r="A737" s="1">
        <v>45677</v>
      </c>
      <c r="B737" s="2">
        <v>45677.486389247686</v>
      </c>
      <c r="C737" t="s">
        <v>3</v>
      </c>
      <c r="D737" t="s">
        <v>155</v>
      </c>
      <c r="E737" s="5">
        <v>25.96</v>
      </c>
      <c r="F737" t="s">
        <v>28</v>
      </c>
    </row>
    <row r="738" spans="1:6">
      <c r="A738" s="1">
        <v>45678</v>
      </c>
      <c r="B738" s="2">
        <v>45678.346056608796</v>
      </c>
      <c r="C738" t="s">
        <v>3</v>
      </c>
      <c r="D738" t="s">
        <v>155</v>
      </c>
      <c r="E738" s="5">
        <v>25.96</v>
      </c>
      <c r="F738" t="s">
        <v>28</v>
      </c>
    </row>
    <row r="739" spans="1:6">
      <c r="A739" s="1">
        <v>45684</v>
      </c>
      <c r="B739" s="2">
        <v>45684.338685254632</v>
      </c>
      <c r="C739" t="s">
        <v>3</v>
      </c>
      <c r="D739" t="s">
        <v>155</v>
      </c>
      <c r="E739" s="5">
        <v>25.96</v>
      </c>
      <c r="F739" t="s">
        <v>28</v>
      </c>
    </row>
    <row r="740" spans="1:6">
      <c r="A740" s="1">
        <v>45684</v>
      </c>
      <c r="B740" s="2">
        <v>45684.356059606478</v>
      </c>
      <c r="C740" t="s">
        <v>3</v>
      </c>
      <c r="D740" t="s">
        <v>155</v>
      </c>
      <c r="E740" s="5">
        <v>25.96</v>
      </c>
      <c r="F740" t="s">
        <v>11</v>
      </c>
    </row>
    <row r="741" spans="1:6">
      <c r="A741" s="1">
        <v>45684</v>
      </c>
      <c r="B741" s="2">
        <v>45684.644376284719</v>
      </c>
      <c r="C741" t="s">
        <v>3</v>
      </c>
      <c r="D741" t="s">
        <v>155</v>
      </c>
      <c r="E741" s="5">
        <v>30.86</v>
      </c>
      <c r="F741" t="s">
        <v>14</v>
      </c>
    </row>
    <row r="742" spans="1:6">
      <c r="A742" s="1">
        <v>45684</v>
      </c>
      <c r="B742" s="2">
        <v>45684.645148877316</v>
      </c>
      <c r="C742" t="s">
        <v>3</v>
      </c>
      <c r="D742" t="s">
        <v>155</v>
      </c>
      <c r="E742" s="5">
        <v>25.96</v>
      </c>
      <c r="F742" t="s">
        <v>28</v>
      </c>
    </row>
    <row r="743" spans="1:6">
      <c r="A743" s="1">
        <v>45684</v>
      </c>
      <c r="B743" s="2">
        <v>45684.645979953704</v>
      </c>
      <c r="C743" t="s">
        <v>3</v>
      </c>
      <c r="D743" t="s">
        <v>155</v>
      </c>
      <c r="E743" s="5">
        <v>30.86</v>
      </c>
      <c r="F743" t="s">
        <v>14</v>
      </c>
    </row>
    <row r="744" spans="1:6">
      <c r="A744" s="1">
        <v>45688</v>
      </c>
      <c r="B744" s="2">
        <v>45688.361706585645</v>
      </c>
      <c r="C744" t="s">
        <v>3</v>
      </c>
      <c r="D744" t="s">
        <v>155</v>
      </c>
      <c r="E744" s="5">
        <v>25.96</v>
      </c>
      <c r="F744" t="s">
        <v>11</v>
      </c>
    </row>
    <row r="745" spans="1:6">
      <c r="A745" s="1">
        <v>45688</v>
      </c>
      <c r="B745" s="2">
        <v>45688.362323263886</v>
      </c>
      <c r="C745" t="s">
        <v>3</v>
      </c>
      <c r="D745" t="s">
        <v>155</v>
      </c>
      <c r="E745" s="5">
        <v>30.86</v>
      </c>
      <c r="F745" t="s">
        <v>14</v>
      </c>
    </row>
    <row r="746" spans="1:6">
      <c r="A746" s="1">
        <v>45689</v>
      </c>
      <c r="B746" s="2">
        <v>45689.551928692126</v>
      </c>
      <c r="C746" t="s">
        <v>3</v>
      </c>
      <c r="D746" t="s">
        <v>155</v>
      </c>
      <c r="E746" s="5">
        <v>25.96</v>
      </c>
      <c r="F746" t="s">
        <v>28</v>
      </c>
    </row>
    <row r="747" spans="1:6">
      <c r="A747" s="1">
        <v>45689</v>
      </c>
      <c r="B747" s="2">
        <v>45689.552421793982</v>
      </c>
      <c r="C747" t="s">
        <v>3</v>
      </c>
      <c r="D747" t="s">
        <v>155</v>
      </c>
      <c r="E747" s="5">
        <v>25.96</v>
      </c>
      <c r="F747" t="s">
        <v>28</v>
      </c>
    </row>
    <row r="748" spans="1:6">
      <c r="A748" s="1">
        <v>45412</v>
      </c>
      <c r="B748" s="2">
        <v>45412.428258020831</v>
      </c>
      <c r="C748" t="s">
        <v>3</v>
      </c>
      <c r="D748" t="s">
        <v>156</v>
      </c>
      <c r="E748" s="5">
        <v>37.72</v>
      </c>
      <c r="F748" t="s">
        <v>7</v>
      </c>
    </row>
    <row r="749" spans="1:6">
      <c r="A749" s="1">
        <v>45412</v>
      </c>
      <c r="B749" s="2">
        <v>45412.440882523151</v>
      </c>
      <c r="C749" t="s">
        <v>3</v>
      </c>
      <c r="D749" t="s">
        <v>156</v>
      </c>
      <c r="E749" s="5">
        <v>32.82</v>
      </c>
      <c r="F749" t="s">
        <v>14</v>
      </c>
    </row>
    <row r="750" spans="1:6">
      <c r="A750" s="1">
        <v>45412</v>
      </c>
      <c r="B750" s="2">
        <v>45412.441523344911</v>
      </c>
      <c r="C750" t="s">
        <v>3</v>
      </c>
      <c r="D750" t="s">
        <v>156</v>
      </c>
      <c r="E750" s="5">
        <v>32.82</v>
      </c>
      <c r="F750" t="s">
        <v>14</v>
      </c>
    </row>
    <row r="751" spans="1:6">
      <c r="A751" s="1">
        <v>45412</v>
      </c>
      <c r="B751" s="2">
        <v>45412.570744502314</v>
      </c>
      <c r="C751" t="s">
        <v>3</v>
      </c>
      <c r="D751" t="s">
        <v>156</v>
      </c>
      <c r="E751" s="5">
        <v>27.92</v>
      </c>
      <c r="F751" t="s">
        <v>11</v>
      </c>
    </row>
    <row r="752" spans="1:6">
      <c r="A752" s="1">
        <v>45412</v>
      </c>
      <c r="B752" s="2">
        <v>45412.571527511573</v>
      </c>
      <c r="C752" t="s">
        <v>3</v>
      </c>
      <c r="D752" t="s">
        <v>156</v>
      </c>
      <c r="E752" s="5">
        <v>32.82</v>
      </c>
      <c r="F752" t="s">
        <v>14</v>
      </c>
    </row>
    <row r="753" spans="1:6">
      <c r="A753" s="1">
        <v>45412</v>
      </c>
      <c r="B753" s="2">
        <v>45412.805071053241</v>
      </c>
      <c r="C753" t="s">
        <v>3</v>
      </c>
      <c r="D753" t="s">
        <v>156</v>
      </c>
      <c r="E753" s="5">
        <v>37.72</v>
      </c>
      <c r="F753" t="s">
        <v>43</v>
      </c>
    </row>
    <row r="754" spans="1:6">
      <c r="A754" s="1">
        <v>45412</v>
      </c>
      <c r="B754" s="2">
        <v>45412.812546331021</v>
      </c>
      <c r="C754" t="s">
        <v>3</v>
      </c>
      <c r="D754" t="s">
        <v>156</v>
      </c>
      <c r="E754" s="5">
        <v>32.82</v>
      </c>
      <c r="F754" t="s">
        <v>14</v>
      </c>
    </row>
    <row r="755" spans="1:6">
      <c r="A755" s="1">
        <v>45412</v>
      </c>
      <c r="B755" s="2">
        <v>45412.813436944445</v>
      </c>
      <c r="C755" t="s">
        <v>3</v>
      </c>
      <c r="D755" t="s">
        <v>156</v>
      </c>
      <c r="E755" s="5">
        <v>37.72</v>
      </c>
      <c r="F755" t="s">
        <v>7</v>
      </c>
    </row>
    <row r="756" spans="1:6">
      <c r="A756" s="1">
        <v>45414</v>
      </c>
      <c r="B756" s="2">
        <v>45414.440228541665</v>
      </c>
      <c r="C756" t="s">
        <v>3</v>
      </c>
      <c r="D756" t="s">
        <v>157</v>
      </c>
      <c r="E756" s="5">
        <v>27.92</v>
      </c>
      <c r="F756" t="s">
        <v>11</v>
      </c>
    </row>
    <row r="757" spans="1:6">
      <c r="A757" s="1">
        <v>45421</v>
      </c>
      <c r="B757" s="2">
        <v>45421.759678541668</v>
      </c>
      <c r="C757" t="s">
        <v>3</v>
      </c>
      <c r="D757" t="s">
        <v>157</v>
      </c>
      <c r="E757" s="5">
        <v>32.82</v>
      </c>
      <c r="F757" t="s">
        <v>14</v>
      </c>
    </row>
    <row r="758" spans="1:6">
      <c r="A758" s="1">
        <v>45432</v>
      </c>
      <c r="B758" s="2">
        <v>45432.468939386577</v>
      </c>
      <c r="C758" t="s">
        <v>3</v>
      </c>
      <c r="D758" t="s">
        <v>157</v>
      </c>
      <c r="E758" s="5">
        <v>27.92</v>
      </c>
      <c r="F758" t="s">
        <v>11</v>
      </c>
    </row>
    <row r="759" spans="1:6">
      <c r="A759" s="1">
        <v>45432</v>
      </c>
      <c r="B759" s="2">
        <v>45432.469671724539</v>
      </c>
      <c r="C759" t="s">
        <v>3</v>
      </c>
      <c r="D759" t="s">
        <v>157</v>
      </c>
      <c r="E759" s="5">
        <v>27.92</v>
      </c>
      <c r="F759" t="s">
        <v>11</v>
      </c>
    </row>
    <row r="760" spans="1:6">
      <c r="A760" s="1">
        <v>45477</v>
      </c>
      <c r="B760" s="2">
        <v>45477.43499681713</v>
      </c>
      <c r="C760" t="s">
        <v>3</v>
      </c>
      <c r="D760" t="s">
        <v>157</v>
      </c>
      <c r="E760" s="5">
        <v>32.82</v>
      </c>
      <c r="F760" t="s">
        <v>14</v>
      </c>
    </row>
    <row r="761" spans="1:6">
      <c r="A761" s="1">
        <v>45414</v>
      </c>
      <c r="B761" s="2">
        <v>45414.775256226851</v>
      </c>
      <c r="C761" t="s">
        <v>3</v>
      </c>
      <c r="D761" t="s">
        <v>158</v>
      </c>
      <c r="E761" s="5">
        <v>37.72</v>
      </c>
      <c r="F761" t="s">
        <v>43</v>
      </c>
    </row>
    <row r="762" spans="1:6">
      <c r="A762" s="1">
        <v>45414</v>
      </c>
      <c r="B762" s="2">
        <v>45414.804549583336</v>
      </c>
      <c r="C762" t="s">
        <v>3</v>
      </c>
      <c r="D762" t="s">
        <v>159</v>
      </c>
      <c r="E762" s="5">
        <v>37.72</v>
      </c>
      <c r="F762" t="s">
        <v>7</v>
      </c>
    </row>
    <row r="763" spans="1:6">
      <c r="A763" s="1">
        <v>45414</v>
      </c>
      <c r="B763" s="2">
        <v>45414.805513414351</v>
      </c>
      <c r="C763" t="s">
        <v>3</v>
      </c>
      <c r="D763" t="s">
        <v>159</v>
      </c>
      <c r="E763" s="5">
        <v>37.72</v>
      </c>
      <c r="F763" t="s">
        <v>43</v>
      </c>
    </row>
    <row r="764" spans="1:6">
      <c r="A764" s="1">
        <v>45415</v>
      </c>
      <c r="B764" s="2">
        <v>45415.604177349538</v>
      </c>
      <c r="C764" t="s">
        <v>3</v>
      </c>
      <c r="D764" t="s">
        <v>160</v>
      </c>
      <c r="E764" s="5">
        <v>37.72</v>
      </c>
      <c r="F764" t="s">
        <v>7</v>
      </c>
    </row>
    <row r="765" spans="1:6">
      <c r="A765" s="1">
        <v>45415</v>
      </c>
      <c r="B765" s="2">
        <v>45415.71070491898</v>
      </c>
      <c r="C765" t="s">
        <v>3</v>
      </c>
      <c r="D765" t="s">
        <v>161</v>
      </c>
      <c r="E765" s="5">
        <v>37.72</v>
      </c>
      <c r="F765" t="s">
        <v>7</v>
      </c>
    </row>
    <row r="766" spans="1:6">
      <c r="A766" s="1">
        <v>45418</v>
      </c>
      <c r="B766" s="2">
        <v>45418.420346296298</v>
      </c>
      <c r="C766" t="s">
        <v>3</v>
      </c>
      <c r="D766" t="s">
        <v>162</v>
      </c>
      <c r="E766" s="5">
        <v>27.92</v>
      </c>
      <c r="F766" t="s">
        <v>11</v>
      </c>
    </row>
    <row r="767" spans="1:6">
      <c r="A767" s="1">
        <v>45418</v>
      </c>
      <c r="B767" s="2">
        <v>45418.554293865738</v>
      </c>
      <c r="C767" t="s">
        <v>3</v>
      </c>
      <c r="D767" t="s">
        <v>162</v>
      </c>
      <c r="E767" s="5">
        <v>27.92</v>
      </c>
      <c r="F767" t="s">
        <v>28</v>
      </c>
    </row>
    <row r="768" spans="1:6">
      <c r="A768" s="1">
        <v>45418</v>
      </c>
      <c r="B768" s="2">
        <v>45418.554870497683</v>
      </c>
      <c r="C768" t="s">
        <v>3</v>
      </c>
      <c r="D768" t="s">
        <v>162</v>
      </c>
      <c r="E768" s="5">
        <v>27.92</v>
      </c>
      <c r="F768" t="s">
        <v>11</v>
      </c>
    </row>
    <row r="769" spans="1:6">
      <c r="A769" s="1">
        <v>45419</v>
      </c>
      <c r="B769" s="2">
        <v>45419.447865532406</v>
      </c>
      <c r="C769" t="s">
        <v>3</v>
      </c>
      <c r="D769" t="s">
        <v>162</v>
      </c>
      <c r="E769" s="5">
        <v>37.72</v>
      </c>
      <c r="F769" t="s">
        <v>18</v>
      </c>
    </row>
    <row r="770" spans="1:6">
      <c r="A770" s="1">
        <v>45419</v>
      </c>
      <c r="B770" s="2">
        <v>45419.695924768515</v>
      </c>
      <c r="C770" t="s">
        <v>3</v>
      </c>
      <c r="D770" t="s">
        <v>162</v>
      </c>
      <c r="E770" s="5">
        <v>37.72</v>
      </c>
      <c r="F770" t="s">
        <v>18</v>
      </c>
    </row>
    <row r="771" spans="1:6">
      <c r="A771" s="1">
        <v>45418</v>
      </c>
      <c r="B771" s="2">
        <v>45418.421430844908</v>
      </c>
      <c r="C771" t="s">
        <v>3</v>
      </c>
      <c r="D771" t="s">
        <v>163</v>
      </c>
      <c r="E771" s="5">
        <v>37.72</v>
      </c>
      <c r="F771" t="s">
        <v>43</v>
      </c>
    </row>
    <row r="772" spans="1:6">
      <c r="A772" s="1">
        <v>45418</v>
      </c>
      <c r="B772" s="2">
        <v>45418.42229008102</v>
      </c>
      <c r="C772" t="s">
        <v>3</v>
      </c>
      <c r="D772" t="s">
        <v>163</v>
      </c>
      <c r="E772" s="5">
        <v>32.82</v>
      </c>
      <c r="F772" t="s">
        <v>14</v>
      </c>
    </row>
    <row r="773" spans="1:6">
      <c r="A773" s="1">
        <v>45418</v>
      </c>
      <c r="B773" s="2">
        <v>45418.423008993057</v>
      </c>
      <c r="C773" t="s">
        <v>3</v>
      </c>
      <c r="D773" t="s">
        <v>164</v>
      </c>
      <c r="E773" s="5">
        <v>27.92</v>
      </c>
      <c r="F773" t="s">
        <v>11</v>
      </c>
    </row>
    <row r="774" spans="1:6">
      <c r="A774" s="1">
        <v>45418</v>
      </c>
      <c r="B774" s="2">
        <v>45418.804317002316</v>
      </c>
      <c r="C774" t="s">
        <v>3</v>
      </c>
      <c r="D774" t="s">
        <v>165</v>
      </c>
      <c r="E774" s="5">
        <v>37.72</v>
      </c>
      <c r="F774" t="s">
        <v>43</v>
      </c>
    </row>
    <row r="775" spans="1:6">
      <c r="A775" s="1">
        <v>45418</v>
      </c>
      <c r="B775" s="2">
        <v>45418.80543458333</v>
      </c>
      <c r="C775" t="s">
        <v>3</v>
      </c>
      <c r="D775" t="s">
        <v>165</v>
      </c>
      <c r="E775" s="5">
        <v>37.72</v>
      </c>
      <c r="F775" t="s">
        <v>43</v>
      </c>
    </row>
    <row r="776" spans="1:6">
      <c r="A776" s="1">
        <v>45419</v>
      </c>
      <c r="B776" s="2">
        <v>45419.705310243058</v>
      </c>
      <c r="C776" t="s">
        <v>3</v>
      </c>
      <c r="D776" t="s">
        <v>166</v>
      </c>
      <c r="E776" s="5">
        <v>27.92</v>
      </c>
      <c r="F776" t="s">
        <v>11</v>
      </c>
    </row>
    <row r="777" spans="1:6">
      <c r="A777" s="1">
        <v>45419</v>
      </c>
      <c r="B777" s="2">
        <v>45419.734564953702</v>
      </c>
      <c r="C777" t="s">
        <v>3</v>
      </c>
      <c r="D777" t="s">
        <v>167</v>
      </c>
      <c r="E777" s="5">
        <v>37.72</v>
      </c>
      <c r="F777" t="s">
        <v>43</v>
      </c>
    </row>
    <row r="778" spans="1:6">
      <c r="A778" s="1">
        <v>45419</v>
      </c>
      <c r="B778" s="2">
        <v>45419.735280034722</v>
      </c>
      <c r="C778" t="s">
        <v>3</v>
      </c>
      <c r="D778" t="s">
        <v>167</v>
      </c>
      <c r="E778" s="5">
        <v>37.72</v>
      </c>
      <c r="F778" t="s">
        <v>7</v>
      </c>
    </row>
    <row r="779" spans="1:6">
      <c r="A779" s="1">
        <v>45435</v>
      </c>
      <c r="B779" s="2">
        <v>45435.718440243058</v>
      </c>
      <c r="C779" t="s">
        <v>3</v>
      </c>
      <c r="D779" t="s">
        <v>167</v>
      </c>
      <c r="E779" s="5">
        <v>37.72</v>
      </c>
      <c r="F779" t="s">
        <v>43</v>
      </c>
    </row>
    <row r="780" spans="1:6">
      <c r="A780" s="1">
        <v>45435</v>
      </c>
      <c r="B780" s="2">
        <v>45435.719269224537</v>
      </c>
      <c r="C780" t="s">
        <v>3</v>
      </c>
      <c r="D780" t="s">
        <v>167</v>
      </c>
      <c r="E780" s="5">
        <v>37.72</v>
      </c>
      <c r="F780" t="s">
        <v>7</v>
      </c>
    </row>
    <row r="781" spans="1:6">
      <c r="A781" s="1">
        <v>45462</v>
      </c>
      <c r="B781" s="2">
        <v>45462.769947187502</v>
      </c>
      <c r="C781" t="s">
        <v>3</v>
      </c>
      <c r="D781" t="s">
        <v>167</v>
      </c>
      <c r="E781" s="5">
        <v>37.72</v>
      </c>
      <c r="F781" t="s">
        <v>43</v>
      </c>
    </row>
    <row r="782" spans="1:6">
      <c r="A782" s="1">
        <v>45462</v>
      </c>
      <c r="B782" s="2">
        <v>45462.770821307873</v>
      </c>
      <c r="C782" t="s">
        <v>3</v>
      </c>
      <c r="D782" t="s">
        <v>167</v>
      </c>
      <c r="E782" s="5">
        <v>37.72</v>
      </c>
      <c r="F782" t="s">
        <v>7</v>
      </c>
    </row>
    <row r="783" spans="1:6">
      <c r="A783" s="1">
        <v>45504</v>
      </c>
      <c r="B783" s="2">
        <v>45504.869615763891</v>
      </c>
      <c r="C783" t="s">
        <v>3</v>
      </c>
      <c r="D783" t="s">
        <v>167</v>
      </c>
      <c r="E783" s="5">
        <v>32.82</v>
      </c>
      <c r="F783" t="s">
        <v>43</v>
      </c>
    </row>
    <row r="784" spans="1:6">
      <c r="A784" s="1">
        <v>45419</v>
      </c>
      <c r="B784" s="2">
        <v>45419.800144953704</v>
      </c>
      <c r="C784" t="s">
        <v>3</v>
      </c>
      <c r="D784" t="s">
        <v>168</v>
      </c>
      <c r="E784" s="5">
        <v>37.72</v>
      </c>
      <c r="F784" t="s">
        <v>43</v>
      </c>
    </row>
    <row r="785" spans="1:6">
      <c r="A785" s="1">
        <v>45419</v>
      </c>
      <c r="B785" s="2">
        <v>45419.800835590278</v>
      </c>
      <c r="C785" t="s">
        <v>3</v>
      </c>
      <c r="D785" t="s">
        <v>168</v>
      </c>
      <c r="E785" s="5">
        <v>37.72</v>
      </c>
      <c r="F785" t="s">
        <v>43</v>
      </c>
    </row>
    <row r="786" spans="1:6">
      <c r="A786" s="1">
        <v>45444</v>
      </c>
      <c r="B786" s="2">
        <v>45444.868176944445</v>
      </c>
      <c r="C786" t="s">
        <v>3</v>
      </c>
      <c r="D786" t="s">
        <v>168</v>
      </c>
      <c r="E786" s="5">
        <v>37.72</v>
      </c>
      <c r="F786" t="s">
        <v>43</v>
      </c>
    </row>
    <row r="787" spans="1:6">
      <c r="A787" s="1">
        <v>45444</v>
      </c>
      <c r="B787" s="2">
        <v>45444.868907002317</v>
      </c>
      <c r="C787" t="s">
        <v>3</v>
      </c>
      <c r="D787" t="s">
        <v>168</v>
      </c>
      <c r="E787" s="5">
        <v>37.72</v>
      </c>
      <c r="F787" t="s">
        <v>43</v>
      </c>
    </row>
    <row r="788" spans="1:6">
      <c r="A788" s="1">
        <v>45461</v>
      </c>
      <c r="B788" s="2">
        <v>45461.806025127313</v>
      </c>
      <c r="C788" t="s">
        <v>3</v>
      </c>
      <c r="D788" t="s">
        <v>168</v>
      </c>
      <c r="E788" s="5">
        <v>37.72</v>
      </c>
      <c r="F788" t="s">
        <v>43</v>
      </c>
    </row>
    <row r="789" spans="1:6">
      <c r="A789" s="1">
        <v>45461</v>
      </c>
      <c r="B789" s="2">
        <v>45461.806700138892</v>
      </c>
      <c r="C789" t="s">
        <v>3</v>
      </c>
      <c r="D789" t="s">
        <v>168</v>
      </c>
      <c r="E789" s="5">
        <v>37.72</v>
      </c>
      <c r="F789" t="s">
        <v>43</v>
      </c>
    </row>
    <row r="790" spans="1:6">
      <c r="A790" s="1">
        <v>45464</v>
      </c>
      <c r="B790" s="2">
        <v>45464.824377326389</v>
      </c>
      <c r="C790" t="s">
        <v>3</v>
      </c>
      <c r="D790" t="s">
        <v>168</v>
      </c>
      <c r="E790" s="5">
        <v>37.72</v>
      </c>
      <c r="F790" t="s">
        <v>43</v>
      </c>
    </row>
    <row r="791" spans="1:6">
      <c r="A791" s="1">
        <v>45464</v>
      </c>
      <c r="B791" s="2">
        <v>45464.825077696762</v>
      </c>
      <c r="C791" t="s">
        <v>3</v>
      </c>
      <c r="D791" t="s">
        <v>168</v>
      </c>
      <c r="E791" s="5">
        <v>37.72</v>
      </c>
      <c r="F791" t="s">
        <v>43</v>
      </c>
    </row>
    <row r="792" spans="1:6">
      <c r="A792" s="1">
        <v>45651</v>
      </c>
      <c r="B792" s="2">
        <v>45651.952116909721</v>
      </c>
      <c r="C792" t="s">
        <v>3</v>
      </c>
      <c r="D792" t="s">
        <v>168</v>
      </c>
      <c r="E792" s="5">
        <v>35.76</v>
      </c>
      <c r="F792" t="s">
        <v>43</v>
      </c>
    </row>
    <row r="793" spans="1:6">
      <c r="A793" s="1">
        <v>45651</v>
      </c>
      <c r="B793" s="2">
        <v>45651.953546597222</v>
      </c>
      <c r="C793" t="s">
        <v>3</v>
      </c>
      <c r="D793" t="s">
        <v>168</v>
      </c>
      <c r="E793" s="5">
        <v>30.86</v>
      </c>
      <c r="F793" t="s">
        <v>14</v>
      </c>
    </row>
    <row r="794" spans="1:6">
      <c r="A794" s="1">
        <v>45421</v>
      </c>
      <c r="B794" s="2">
        <v>45421.537752453703</v>
      </c>
      <c r="C794" t="s">
        <v>3</v>
      </c>
      <c r="D794" t="s">
        <v>169</v>
      </c>
      <c r="E794" s="5">
        <v>37.72</v>
      </c>
      <c r="F794" t="s">
        <v>43</v>
      </c>
    </row>
    <row r="795" spans="1:6">
      <c r="A795" s="1">
        <v>45421</v>
      </c>
      <c r="B795" s="2">
        <v>45421.544427731482</v>
      </c>
      <c r="C795" t="s">
        <v>3</v>
      </c>
      <c r="D795" t="s">
        <v>170</v>
      </c>
      <c r="E795" s="5">
        <v>27.92</v>
      </c>
      <c r="F795" t="s">
        <v>11</v>
      </c>
    </row>
    <row r="796" spans="1:6">
      <c r="A796" s="1">
        <v>45421</v>
      </c>
      <c r="B796" s="2">
        <v>45421.54511165509</v>
      </c>
      <c r="C796" t="s">
        <v>3</v>
      </c>
      <c r="D796" t="s">
        <v>170</v>
      </c>
      <c r="E796" s="5">
        <v>37.72</v>
      </c>
      <c r="F796" t="s">
        <v>7</v>
      </c>
    </row>
    <row r="797" spans="1:6">
      <c r="A797" s="1">
        <v>45421</v>
      </c>
      <c r="B797" s="2">
        <v>45421.545963668985</v>
      </c>
      <c r="C797" t="s">
        <v>3</v>
      </c>
      <c r="D797" t="s">
        <v>170</v>
      </c>
      <c r="E797" s="5">
        <v>37.72</v>
      </c>
      <c r="F797" t="s">
        <v>7</v>
      </c>
    </row>
    <row r="798" spans="1:6">
      <c r="A798" s="1">
        <v>45421</v>
      </c>
      <c r="B798" s="2">
        <v>45421.546717696758</v>
      </c>
      <c r="C798" t="s">
        <v>3</v>
      </c>
      <c r="D798" t="s">
        <v>170</v>
      </c>
      <c r="E798" s="5">
        <v>37.72</v>
      </c>
      <c r="F798" t="s">
        <v>7</v>
      </c>
    </row>
    <row r="799" spans="1:6">
      <c r="A799" s="1">
        <v>45421</v>
      </c>
      <c r="B799" s="2">
        <v>45421.751040451389</v>
      </c>
      <c r="C799" t="s">
        <v>3</v>
      </c>
      <c r="D799" t="s">
        <v>171</v>
      </c>
      <c r="E799" s="5">
        <v>27.92</v>
      </c>
      <c r="F799" t="s">
        <v>11</v>
      </c>
    </row>
    <row r="800" spans="1:6">
      <c r="A800" s="1">
        <v>45422</v>
      </c>
      <c r="B800" s="2">
        <v>45422.65719341435</v>
      </c>
      <c r="C800" t="s">
        <v>3</v>
      </c>
      <c r="D800" t="s">
        <v>172</v>
      </c>
      <c r="E800" s="5">
        <v>37.72</v>
      </c>
      <c r="F800" t="s">
        <v>7</v>
      </c>
    </row>
    <row r="801" spans="1:6">
      <c r="A801" s="1">
        <v>45422</v>
      </c>
      <c r="B801" s="2">
        <v>45422.658015138892</v>
      </c>
      <c r="C801" t="s">
        <v>3</v>
      </c>
      <c r="D801" t="s">
        <v>172</v>
      </c>
      <c r="E801" s="5">
        <v>37.72</v>
      </c>
      <c r="F801" t="s">
        <v>7</v>
      </c>
    </row>
    <row r="802" spans="1:6">
      <c r="A802" s="1">
        <v>45423</v>
      </c>
      <c r="B802" s="2">
        <v>45423.818241851855</v>
      </c>
      <c r="C802" t="s">
        <v>3</v>
      </c>
      <c r="D802" t="s">
        <v>173</v>
      </c>
      <c r="E802" s="5">
        <v>37.72</v>
      </c>
      <c r="F802" t="s">
        <v>7</v>
      </c>
    </row>
    <row r="803" spans="1:6">
      <c r="A803" s="1">
        <v>45593</v>
      </c>
      <c r="B803" s="2">
        <v>45593.667598460648</v>
      </c>
      <c r="C803" t="s">
        <v>3</v>
      </c>
      <c r="D803" t="s">
        <v>173</v>
      </c>
      <c r="E803" s="5">
        <v>35.76</v>
      </c>
      <c r="F803" t="s">
        <v>7</v>
      </c>
    </row>
    <row r="804" spans="1:6">
      <c r="A804" s="1">
        <v>45424</v>
      </c>
      <c r="B804" s="2">
        <v>45424.558373437503</v>
      </c>
      <c r="C804" t="s">
        <v>3</v>
      </c>
      <c r="D804" t="s">
        <v>174</v>
      </c>
      <c r="E804" s="5">
        <v>37.72</v>
      </c>
      <c r="F804" t="s">
        <v>7</v>
      </c>
    </row>
    <row r="805" spans="1:6">
      <c r="A805" s="1">
        <v>45424</v>
      </c>
      <c r="B805" s="2">
        <v>45424.560868553242</v>
      </c>
      <c r="C805" t="s">
        <v>3</v>
      </c>
      <c r="D805" t="s">
        <v>175</v>
      </c>
      <c r="E805" s="5">
        <v>27.92</v>
      </c>
      <c r="F805" t="s">
        <v>11</v>
      </c>
    </row>
    <row r="806" spans="1:6">
      <c r="A806" s="1">
        <v>45424</v>
      </c>
      <c r="B806" s="2">
        <v>45424.651416921297</v>
      </c>
      <c r="C806" t="s">
        <v>3</v>
      </c>
      <c r="D806" t="s">
        <v>176</v>
      </c>
      <c r="E806" s="5">
        <v>32.82</v>
      </c>
      <c r="F806" t="s">
        <v>14</v>
      </c>
    </row>
    <row r="807" spans="1:6">
      <c r="A807" s="1">
        <v>45424</v>
      </c>
      <c r="B807" s="2">
        <v>45424.661283229165</v>
      </c>
      <c r="C807" t="s">
        <v>3</v>
      </c>
      <c r="D807" t="s">
        <v>177</v>
      </c>
      <c r="E807" s="5">
        <v>32.82</v>
      </c>
      <c r="F807" t="s">
        <v>14</v>
      </c>
    </row>
    <row r="808" spans="1:6">
      <c r="A808" s="1">
        <v>45425</v>
      </c>
      <c r="B808" s="2">
        <v>45425.461034120373</v>
      </c>
      <c r="C808" t="s">
        <v>3</v>
      </c>
      <c r="D808" t="s">
        <v>178</v>
      </c>
      <c r="E808" s="5">
        <v>32.82</v>
      </c>
      <c r="F808" t="s">
        <v>14</v>
      </c>
    </row>
    <row r="809" spans="1:6">
      <c r="A809" s="1">
        <v>45427</v>
      </c>
      <c r="B809" s="2">
        <v>45427.580196747687</v>
      </c>
      <c r="C809" t="s">
        <v>3</v>
      </c>
      <c r="D809" t="s">
        <v>178</v>
      </c>
      <c r="E809" s="5">
        <v>32.82</v>
      </c>
      <c r="F809" t="s">
        <v>14</v>
      </c>
    </row>
    <row r="810" spans="1:6">
      <c r="A810" s="1">
        <v>45429</v>
      </c>
      <c r="B810" s="2">
        <v>45429.479485567128</v>
      </c>
      <c r="C810" t="s">
        <v>3</v>
      </c>
      <c r="D810" t="s">
        <v>178</v>
      </c>
      <c r="E810" s="5">
        <v>32.82</v>
      </c>
      <c r="F810" t="s">
        <v>14</v>
      </c>
    </row>
    <row r="811" spans="1:6">
      <c r="A811" s="1">
        <v>45450</v>
      </c>
      <c r="B811" s="2">
        <v>45450.565489548608</v>
      </c>
      <c r="C811" t="s">
        <v>3</v>
      </c>
      <c r="D811" t="s">
        <v>178</v>
      </c>
      <c r="E811" s="5">
        <v>32.82</v>
      </c>
      <c r="F811" t="s">
        <v>14</v>
      </c>
    </row>
    <row r="812" spans="1:6">
      <c r="A812" s="1">
        <v>45460</v>
      </c>
      <c r="B812" s="2">
        <v>45460.619159502312</v>
      </c>
      <c r="C812" t="s">
        <v>3</v>
      </c>
      <c r="D812" t="s">
        <v>178</v>
      </c>
      <c r="E812" s="5">
        <v>37.72</v>
      </c>
      <c r="F812" t="s">
        <v>43</v>
      </c>
    </row>
    <row r="813" spans="1:6">
      <c r="A813" s="1">
        <v>45462</v>
      </c>
      <c r="B813" s="2">
        <v>45462.598336319446</v>
      </c>
      <c r="C813" t="s">
        <v>3</v>
      </c>
      <c r="D813" t="s">
        <v>178</v>
      </c>
      <c r="E813" s="5">
        <v>32.82</v>
      </c>
      <c r="F813" t="s">
        <v>14</v>
      </c>
    </row>
    <row r="814" spans="1:6">
      <c r="A814" s="1">
        <v>45467</v>
      </c>
      <c r="B814" s="2">
        <v>45467.489351145836</v>
      </c>
      <c r="C814" t="s">
        <v>3</v>
      </c>
      <c r="D814" t="s">
        <v>178</v>
      </c>
      <c r="E814" s="5">
        <v>32.82</v>
      </c>
      <c r="F814" t="s">
        <v>14</v>
      </c>
    </row>
    <row r="815" spans="1:6">
      <c r="A815" s="1">
        <v>45426</v>
      </c>
      <c r="B815" s="2">
        <v>45426.480895509259</v>
      </c>
      <c r="C815" t="s">
        <v>3</v>
      </c>
      <c r="D815" t="s">
        <v>179</v>
      </c>
      <c r="E815" s="5">
        <v>37.72</v>
      </c>
      <c r="F815" t="s">
        <v>7</v>
      </c>
    </row>
    <row r="816" spans="1:6">
      <c r="A816" s="1">
        <v>45426</v>
      </c>
      <c r="B816" s="2">
        <v>45426.482093182873</v>
      </c>
      <c r="C816" t="s">
        <v>3</v>
      </c>
      <c r="D816" t="s">
        <v>179</v>
      </c>
      <c r="E816" s="5">
        <v>37.72</v>
      </c>
      <c r="F816" t="s">
        <v>43</v>
      </c>
    </row>
    <row r="817" spans="1:6">
      <c r="A817" s="1">
        <v>45426</v>
      </c>
      <c r="B817" s="2">
        <v>45426.706912314818</v>
      </c>
      <c r="C817" t="s">
        <v>3</v>
      </c>
      <c r="D817" t="s">
        <v>180</v>
      </c>
      <c r="E817" s="5">
        <v>32.82</v>
      </c>
      <c r="F817" t="s">
        <v>14</v>
      </c>
    </row>
    <row r="818" spans="1:6">
      <c r="A818" s="1">
        <v>45426</v>
      </c>
      <c r="B818" s="2">
        <v>45426.707756875003</v>
      </c>
      <c r="C818" t="s">
        <v>3</v>
      </c>
      <c r="D818" t="s">
        <v>180</v>
      </c>
      <c r="E818" s="5">
        <v>37.72</v>
      </c>
      <c r="F818" t="s">
        <v>43</v>
      </c>
    </row>
    <row r="819" spans="1:6">
      <c r="A819" s="1">
        <v>45426</v>
      </c>
      <c r="B819" s="2">
        <v>45426.952375312503</v>
      </c>
      <c r="C819" t="s">
        <v>3</v>
      </c>
      <c r="D819" t="s">
        <v>181</v>
      </c>
      <c r="E819" s="5">
        <v>37.72</v>
      </c>
      <c r="F819" t="s">
        <v>9</v>
      </c>
    </row>
    <row r="820" spans="1:6">
      <c r="A820" s="1">
        <v>45427</v>
      </c>
      <c r="B820" s="2">
        <v>45427.361176631945</v>
      </c>
      <c r="C820" t="s">
        <v>3</v>
      </c>
      <c r="D820" t="s">
        <v>182</v>
      </c>
      <c r="E820" s="5">
        <v>37.72</v>
      </c>
      <c r="F820" t="s">
        <v>7</v>
      </c>
    </row>
    <row r="821" spans="1:6">
      <c r="A821" s="1">
        <v>45538</v>
      </c>
      <c r="B821" s="2">
        <v>45538.35292164352</v>
      </c>
      <c r="C821" t="s">
        <v>3</v>
      </c>
      <c r="D821" t="s">
        <v>182</v>
      </c>
      <c r="E821" s="5">
        <v>32.82</v>
      </c>
      <c r="F821" t="s">
        <v>43</v>
      </c>
    </row>
    <row r="822" spans="1:6">
      <c r="A822" s="1">
        <v>45427</v>
      </c>
      <c r="B822" s="2">
        <v>45427.610328090275</v>
      </c>
      <c r="C822" t="s">
        <v>3</v>
      </c>
      <c r="D822" t="s">
        <v>183</v>
      </c>
      <c r="E822" s="5">
        <v>27.92</v>
      </c>
      <c r="F822" t="s">
        <v>28</v>
      </c>
    </row>
    <row r="823" spans="1:6">
      <c r="A823" s="1">
        <v>45427</v>
      </c>
      <c r="B823" s="2">
        <v>45427.728456249999</v>
      </c>
      <c r="C823" t="s">
        <v>3</v>
      </c>
      <c r="D823" t="s">
        <v>184</v>
      </c>
      <c r="E823" s="5">
        <v>23.02</v>
      </c>
      <c r="F823" t="s">
        <v>35</v>
      </c>
    </row>
    <row r="824" spans="1:6">
      <c r="A824" s="1">
        <v>45427</v>
      </c>
      <c r="B824" s="2">
        <v>45427.847624641203</v>
      </c>
      <c r="C824" t="s">
        <v>3</v>
      </c>
      <c r="D824" t="s">
        <v>185</v>
      </c>
      <c r="E824" s="5">
        <v>37.72</v>
      </c>
      <c r="F824" t="s">
        <v>43</v>
      </c>
    </row>
    <row r="825" spans="1:6">
      <c r="A825" s="1">
        <v>45428</v>
      </c>
      <c r="B825" s="2">
        <v>45428.444322118055</v>
      </c>
      <c r="C825" t="s">
        <v>3</v>
      </c>
      <c r="D825" t="s">
        <v>186</v>
      </c>
      <c r="E825" s="5">
        <v>32.82</v>
      </c>
      <c r="F825" t="s">
        <v>14</v>
      </c>
    </row>
    <row r="826" spans="1:6">
      <c r="A826" s="1">
        <v>45430</v>
      </c>
      <c r="B826" s="2">
        <v>45430.700339976851</v>
      </c>
      <c r="C826" t="s">
        <v>3</v>
      </c>
      <c r="D826" t="s">
        <v>186</v>
      </c>
      <c r="E826" s="5">
        <v>32.82</v>
      </c>
      <c r="F826" t="s">
        <v>14</v>
      </c>
    </row>
    <row r="827" spans="1:6">
      <c r="A827" s="1">
        <v>45564</v>
      </c>
      <c r="B827" s="2">
        <v>45564.451449745371</v>
      </c>
      <c r="C827" t="s">
        <v>3</v>
      </c>
      <c r="D827" t="s">
        <v>186</v>
      </c>
      <c r="E827" s="5">
        <v>35.76</v>
      </c>
      <c r="F827" t="s">
        <v>43</v>
      </c>
    </row>
    <row r="828" spans="1:6">
      <c r="A828" s="1">
        <v>45564</v>
      </c>
      <c r="B828" s="2">
        <v>45564.452120983799</v>
      </c>
      <c r="C828" t="s">
        <v>3</v>
      </c>
      <c r="D828" t="s">
        <v>186</v>
      </c>
      <c r="E828" s="5">
        <v>35.76</v>
      </c>
      <c r="F828" t="s">
        <v>43</v>
      </c>
    </row>
    <row r="829" spans="1:6">
      <c r="A829" s="1">
        <v>45564</v>
      </c>
      <c r="B829" s="2">
        <v>45564.453044224538</v>
      </c>
      <c r="C829" t="s">
        <v>3</v>
      </c>
      <c r="D829" t="s">
        <v>186</v>
      </c>
      <c r="E829" s="5">
        <v>35.76</v>
      </c>
      <c r="F829" t="s">
        <v>43</v>
      </c>
    </row>
    <row r="830" spans="1:6">
      <c r="A830" s="1">
        <v>45619</v>
      </c>
      <c r="B830" s="2">
        <v>45619.460412523149</v>
      </c>
      <c r="C830" t="s">
        <v>3</v>
      </c>
      <c r="D830" t="s">
        <v>186</v>
      </c>
      <c r="E830" s="5">
        <v>35.76</v>
      </c>
      <c r="F830" t="s">
        <v>43</v>
      </c>
    </row>
    <row r="831" spans="1:6">
      <c r="A831" s="1">
        <v>45428</v>
      </c>
      <c r="B831" s="2">
        <v>45428.509723344905</v>
      </c>
      <c r="C831" t="s">
        <v>3</v>
      </c>
      <c r="D831" t="s">
        <v>187</v>
      </c>
      <c r="E831" s="5">
        <v>32.82</v>
      </c>
      <c r="F831" t="s">
        <v>14</v>
      </c>
    </row>
    <row r="832" spans="1:6">
      <c r="A832" s="1">
        <v>45428</v>
      </c>
      <c r="B832" s="2">
        <v>45428.635605497686</v>
      </c>
      <c r="C832" t="s">
        <v>3</v>
      </c>
      <c r="D832" t="s">
        <v>188</v>
      </c>
      <c r="E832" s="5">
        <v>37.72</v>
      </c>
      <c r="F832" t="s">
        <v>9</v>
      </c>
    </row>
    <row r="833" spans="1:6">
      <c r="A833" s="1">
        <v>45428</v>
      </c>
      <c r="B833" s="2">
        <v>45428.758992291667</v>
      </c>
      <c r="C833" t="s">
        <v>3</v>
      </c>
      <c r="D833" t="s">
        <v>189</v>
      </c>
      <c r="E833" s="5">
        <v>37.72</v>
      </c>
      <c r="F833" t="s">
        <v>9</v>
      </c>
    </row>
    <row r="834" spans="1:6">
      <c r="A834" s="1">
        <v>45428</v>
      </c>
      <c r="B834" s="2">
        <v>45428.759701284725</v>
      </c>
      <c r="C834" t="s">
        <v>3</v>
      </c>
      <c r="D834" t="s">
        <v>189</v>
      </c>
      <c r="E834" s="5">
        <v>37.72</v>
      </c>
      <c r="F834" t="s">
        <v>7</v>
      </c>
    </row>
    <row r="835" spans="1:6">
      <c r="A835" s="1">
        <v>45429</v>
      </c>
      <c r="B835" s="2">
        <v>45429.859640393515</v>
      </c>
      <c r="C835" t="s">
        <v>3</v>
      </c>
      <c r="D835" t="s">
        <v>190</v>
      </c>
      <c r="E835" s="5">
        <v>37.72</v>
      </c>
      <c r="F835" t="s">
        <v>43</v>
      </c>
    </row>
    <row r="836" spans="1:6">
      <c r="A836" s="1">
        <v>45429</v>
      </c>
      <c r="B836" s="2">
        <v>45429.940865706019</v>
      </c>
      <c r="C836" t="s">
        <v>3</v>
      </c>
      <c r="D836" t="s">
        <v>191</v>
      </c>
      <c r="E836" s="5">
        <v>27.92</v>
      </c>
      <c r="F836" t="s">
        <v>11</v>
      </c>
    </row>
    <row r="837" spans="1:6">
      <c r="A837" s="1">
        <v>45485</v>
      </c>
      <c r="B837" s="2">
        <v>45485.940443368054</v>
      </c>
      <c r="C837" t="s">
        <v>3</v>
      </c>
      <c r="D837" t="s">
        <v>191</v>
      </c>
      <c r="E837" s="5">
        <v>32.82</v>
      </c>
      <c r="F837" t="s">
        <v>9</v>
      </c>
    </row>
    <row r="838" spans="1:6">
      <c r="A838" s="1">
        <v>45429</v>
      </c>
      <c r="B838" s="2">
        <v>45429.942052743056</v>
      </c>
      <c r="C838" t="s">
        <v>3</v>
      </c>
      <c r="D838" t="s">
        <v>192</v>
      </c>
      <c r="E838" s="5">
        <v>37.72</v>
      </c>
      <c r="F838" t="s">
        <v>7</v>
      </c>
    </row>
    <row r="839" spans="1:6">
      <c r="A839" s="1">
        <v>45485</v>
      </c>
      <c r="B839" s="2">
        <v>45485.939879502315</v>
      </c>
      <c r="C839" t="s">
        <v>3</v>
      </c>
      <c r="D839" t="s">
        <v>192</v>
      </c>
      <c r="E839" s="5">
        <v>32.82</v>
      </c>
      <c r="F839" t="s">
        <v>9</v>
      </c>
    </row>
    <row r="840" spans="1:6">
      <c r="A840" s="1">
        <v>45429</v>
      </c>
      <c r="B840" s="2">
        <v>45429.942856724534</v>
      </c>
      <c r="C840" t="s">
        <v>3</v>
      </c>
      <c r="D840" t="s">
        <v>193</v>
      </c>
      <c r="E840" s="5">
        <v>37.72</v>
      </c>
      <c r="F840" t="s">
        <v>7</v>
      </c>
    </row>
    <row r="841" spans="1:6">
      <c r="A841" s="1">
        <v>45485</v>
      </c>
      <c r="B841" s="2">
        <v>45485.94131386574</v>
      </c>
      <c r="C841" t="s">
        <v>3</v>
      </c>
      <c r="D841" t="s">
        <v>193</v>
      </c>
      <c r="E841" s="5">
        <v>32.82</v>
      </c>
      <c r="F841" t="s">
        <v>9</v>
      </c>
    </row>
    <row r="842" spans="1:6">
      <c r="A842" s="1">
        <v>45537</v>
      </c>
      <c r="B842" s="2">
        <v>45537.841179814815</v>
      </c>
      <c r="C842" t="s">
        <v>3</v>
      </c>
      <c r="D842" t="s">
        <v>193</v>
      </c>
      <c r="E842" s="5">
        <v>32.82</v>
      </c>
      <c r="F842" t="s">
        <v>18</v>
      </c>
    </row>
    <row r="843" spans="1:6">
      <c r="A843" s="1">
        <v>45430</v>
      </c>
      <c r="B843" s="2">
        <v>45430.334466412038</v>
      </c>
      <c r="C843" t="s">
        <v>3</v>
      </c>
      <c r="D843" t="s">
        <v>194</v>
      </c>
      <c r="E843" s="5">
        <v>37.72</v>
      </c>
      <c r="F843" t="s">
        <v>43</v>
      </c>
    </row>
    <row r="844" spans="1:6">
      <c r="A844" s="1">
        <v>45430</v>
      </c>
      <c r="B844" s="2">
        <v>45430.335184710646</v>
      </c>
      <c r="C844" t="s">
        <v>3</v>
      </c>
      <c r="D844" t="s">
        <v>194</v>
      </c>
      <c r="E844" s="5">
        <v>37.72</v>
      </c>
      <c r="F844" t="s">
        <v>43</v>
      </c>
    </row>
    <row r="845" spans="1:6">
      <c r="A845" s="1">
        <v>45434</v>
      </c>
      <c r="B845" s="2">
        <v>45434.891585648147</v>
      </c>
      <c r="C845" t="s">
        <v>3</v>
      </c>
      <c r="D845" t="s">
        <v>194</v>
      </c>
      <c r="E845" s="5">
        <v>37.72</v>
      </c>
      <c r="F845" t="s">
        <v>9</v>
      </c>
    </row>
    <row r="846" spans="1:6">
      <c r="A846" s="1">
        <v>45434</v>
      </c>
      <c r="B846" s="2">
        <v>45434.892240555557</v>
      </c>
      <c r="C846" t="s">
        <v>3</v>
      </c>
      <c r="D846" t="s">
        <v>194</v>
      </c>
      <c r="E846" s="5">
        <v>37.72</v>
      </c>
      <c r="F846" t="s">
        <v>43</v>
      </c>
    </row>
    <row r="847" spans="1:6">
      <c r="A847" s="1">
        <v>45435</v>
      </c>
      <c r="B847" s="2">
        <v>45435.663386898152</v>
      </c>
      <c r="C847" t="s">
        <v>3</v>
      </c>
      <c r="D847" t="s">
        <v>194</v>
      </c>
      <c r="E847" s="5">
        <v>37.72</v>
      </c>
      <c r="F847" t="s">
        <v>43</v>
      </c>
    </row>
    <row r="848" spans="1:6">
      <c r="A848" s="1">
        <v>45435</v>
      </c>
      <c r="B848" s="2">
        <v>45435.679329317129</v>
      </c>
      <c r="C848" t="s">
        <v>3</v>
      </c>
      <c r="D848" t="s">
        <v>194</v>
      </c>
      <c r="E848" s="5">
        <v>37.72</v>
      </c>
      <c r="F848" t="s">
        <v>43</v>
      </c>
    </row>
    <row r="849" spans="1:6">
      <c r="A849" s="1">
        <v>45443</v>
      </c>
      <c r="B849" s="2">
        <v>45443.837953310183</v>
      </c>
      <c r="C849" t="s">
        <v>3</v>
      </c>
      <c r="D849" t="s">
        <v>194</v>
      </c>
      <c r="E849" s="5">
        <v>37.72</v>
      </c>
      <c r="F849" t="s">
        <v>43</v>
      </c>
    </row>
    <row r="850" spans="1:6">
      <c r="A850" s="1">
        <v>45464</v>
      </c>
      <c r="B850" s="2">
        <v>45464.826325289352</v>
      </c>
      <c r="C850" t="s">
        <v>3</v>
      </c>
      <c r="D850" t="s">
        <v>194</v>
      </c>
      <c r="E850" s="5">
        <v>37.72</v>
      </c>
      <c r="F850" t="s">
        <v>43</v>
      </c>
    </row>
    <row r="851" spans="1:6">
      <c r="A851" s="1">
        <v>45464</v>
      </c>
      <c r="B851" s="2">
        <v>45464.827085775461</v>
      </c>
      <c r="C851" t="s">
        <v>3</v>
      </c>
      <c r="D851" t="s">
        <v>194</v>
      </c>
      <c r="E851" s="5">
        <v>37.72</v>
      </c>
      <c r="F851" t="s">
        <v>43</v>
      </c>
    </row>
    <row r="852" spans="1:6">
      <c r="A852" s="1">
        <v>45464</v>
      </c>
      <c r="B852" s="2">
        <v>45464.827995081017</v>
      </c>
      <c r="C852" t="s">
        <v>3</v>
      </c>
      <c r="D852" t="s">
        <v>194</v>
      </c>
      <c r="E852" s="5">
        <v>27.92</v>
      </c>
      <c r="F852" t="s">
        <v>11</v>
      </c>
    </row>
    <row r="853" spans="1:6">
      <c r="A853" s="1">
        <v>45467</v>
      </c>
      <c r="B853" s="2">
        <v>45467.492778287036</v>
      </c>
      <c r="C853" t="s">
        <v>3</v>
      </c>
      <c r="D853" t="s">
        <v>194</v>
      </c>
      <c r="E853" s="5">
        <v>37.72</v>
      </c>
      <c r="F853" t="s">
        <v>43</v>
      </c>
    </row>
    <row r="854" spans="1:6">
      <c r="A854" s="1">
        <v>45467</v>
      </c>
      <c r="B854" s="2">
        <v>45467.49356574074</v>
      </c>
      <c r="C854" t="s">
        <v>3</v>
      </c>
      <c r="D854" t="s">
        <v>194</v>
      </c>
      <c r="E854" s="5">
        <v>37.72</v>
      </c>
      <c r="F854" t="s">
        <v>43</v>
      </c>
    </row>
    <row r="855" spans="1:6">
      <c r="A855" s="1">
        <v>45430</v>
      </c>
      <c r="B855" s="2">
        <v>45430.469399178241</v>
      </c>
      <c r="C855" t="s">
        <v>3</v>
      </c>
      <c r="D855" t="s">
        <v>195</v>
      </c>
      <c r="E855" s="5">
        <v>32.82</v>
      </c>
      <c r="F855" t="s">
        <v>14</v>
      </c>
    </row>
    <row r="856" spans="1:6">
      <c r="A856" s="1">
        <v>45536</v>
      </c>
      <c r="B856" s="2">
        <v>45536.520933101849</v>
      </c>
      <c r="C856" t="s">
        <v>3</v>
      </c>
      <c r="D856" t="s">
        <v>195</v>
      </c>
      <c r="E856" s="5">
        <v>27.92</v>
      </c>
      <c r="F856" t="s">
        <v>14</v>
      </c>
    </row>
    <row r="857" spans="1:6">
      <c r="A857" s="1">
        <v>45536</v>
      </c>
      <c r="B857" s="2">
        <v>45536.522476932871</v>
      </c>
      <c r="C857" t="s">
        <v>3</v>
      </c>
      <c r="D857" t="s">
        <v>195</v>
      </c>
      <c r="E857" s="5">
        <v>23.02</v>
      </c>
      <c r="F857" t="s">
        <v>11</v>
      </c>
    </row>
    <row r="858" spans="1:6">
      <c r="A858" s="1">
        <v>45431</v>
      </c>
      <c r="B858" s="2">
        <v>45431.332387870367</v>
      </c>
      <c r="C858" t="s">
        <v>3</v>
      </c>
      <c r="D858" t="s">
        <v>196</v>
      </c>
      <c r="E858" s="5">
        <v>27.92</v>
      </c>
      <c r="F858" t="s">
        <v>11</v>
      </c>
    </row>
    <row r="859" spans="1:6">
      <c r="A859" s="1">
        <v>45431</v>
      </c>
      <c r="B859" s="2">
        <v>45431.333027187502</v>
      </c>
      <c r="C859" t="s">
        <v>3</v>
      </c>
      <c r="D859" t="s">
        <v>196</v>
      </c>
      <c r="E859" s="5">
        <v>27.92</v>
      </c>
      <c r="F859" t="s">
        <v>11</v>
      </c>
    </row>
    <row r="860" spans="1:6">
      <c r="A860" s="1">
        <v>45431</v>
      </c>
      <c r="B860" s="2">
        <v>45431.333739131944</v>
      </c>
      <c r="C860" t="s">
        <v>3</v>
      </c>
      <c r="D860" t="s">
        <v>197</v>
      </c>
      <c r="E860" s="5">
        <v>37.72</v>
      </c>
      <c r="F860" t="s">
        <v>43</v>
      </c>
    </row>
    <row r="861" spans="1:6">
      <c r="A861" s="1">
        <v>45431</v>
      </c>
      <c r="B861" s="2">
        <v>45431.510030972226</v>
      </c>
      <c r="C861" t="s">
        <v>3</v>
      </c>
      <c r="D861" t="s">
        <v>198</v>
      </c>
      <c r="E861" s="5">
        <v>32.82</v>
      </c>
      <c r="F861" t="s">
        <v>14</v>
      </c>
    </row>
    <row r="862" spans="1:6">
      <c r="A862" s="1">
        <v>45431</v>
      </c>
      <c r="B862" s="2">
        <v>45431.665951296294</v>
      </c>
      <c r="C862" t="s">
        <v>3</v>
      </c>
      <c r="D862" t="s">
        <v>199</v>
      </c>
      <c r="E862" s="5">
        <v>32.82</v>
      </c>
      <c r="F862" t="s">
        <v>14</v>
      </c>
    </row>
    <row r="863" spans="1:6">
      <c r="A863" s="1">
        <v>45431</v>
      </c>
      <c r="B863" s="2">
        <v>45431.758753518516</v>
      </c>
      <c r="C863" t="s">
        <v>3</v>
      </c>
      <c r="D863" t="s">
        <v>200</v>
      </c>
      <c r="E863" s="5">
        <v>32.82</v>
      </c>
      <c r="F863" t="s">
        <v>14</v>
      </c>
    </row>
    <row r="864" spans="1:6">
      <c r="A864" s="1">
        <v>45431</v>
      </c>
      <c r="B864" s="2">
        <v>45431.759580578706</v>
      </c>
      <c r="C864" t="s">
        <v>3</v>
      </c>
      <c r="D864" t="s">
        <v>200</v>
      </c>
      <c r="E864" s="5">
        <v>23.02</v>
      </c>
      <c r="F864" t="s">
        <v>35</v>
      </c>
    </row>
    <row r="865" spans="1:6">
      <c r="A865" s="1">
        <v>45431</v>
      </c>
      <c r="B865" s="2">
        <v>45431.761458587964</v>
      </c>
      <c r="C865" t="s">
        <v>3</v>
      </c>
      <c r="D865" t="s">
        <v>200</v>
      </c>
      <c r="E865" s="5">
        <v>37.72</v>
      </c>
      <c r="F865" t="s">
        <v>9</v>
      </c>
    </row>
    <row r="866" spans="1:6">
      <c r="A866" s="1">
        <v>45431</v>
      </c>
      <c r="B866" s="2">
        <v>45431.827164108799</v>
      </c>
      <c r="C866" t="s">
        <v>3</v>
      </c>
      <c r="D866" t="s">
        <v>201</v>
      </c>
      <c r="E866" s="5">
        <v>37.72</v>
      </c>
      <c r="F866" t="s">
        <v>43</v>
      </c>
    </row>
    <row r="867" spans="1:6">
      <c r="A867" s="1">
        <v>45431</v>
      </c>
      <c r="B867" s="2">
        <v>45431.885900011577</v>
      </c>
      <c r="C867" t="s">
        <v>3</v>
      </c>
      <c r="D867" t="s">
        <v>202</v>
      </c>
      <c r="E867" s="5">
        <v>37.72</v>
      </c>
      <c r="F867" t="s">
        <v>43</v>
      </c>
    </row>
    <row r="868" spans="1:6">
      <c r="A868" s="1">
        <v>45431</v>
      </c>
      <c r="B868" s="2">
        <v>45431.887917835651</v>
      </c>
      <c r="C868" t="s">
        <v>3</v>
      </c>
      <c r="D868" t="s">
        <v>203</v>
      </c>
      <c r="E868" s="5">
        <v>37.72</v>
      </c>
      <c r="F868" t="s">
        <v>43</v>
      </c>
    </row>
    <row r="869" spans="1:6">
      <c r="A869" s="1">
        <v>45432</v>
      </c>
      <c r="B869" s="2">
        <v>45432.420823645836</v>
      </c>
      <c r="C869" t="s">
        <v>3</v>
      </c>
      <c r="D869" t="s">
        <v>204</v>
      </c>
      <c r="E869" s="5">
        <v>32.82</v>
      </c>
      <c r="F869" t="s">
        <v>14</v>
      </c>
    </row>
    <row r="870" spans="1:6">
      <c r="A870" s="1">
        <v>45432</v>
      </c>
      <c r="B870" s="2">
        <v>45432.429072534724</v>
      </c>
      <c r="C870" t="s">
        <v>3</v>
      </c>
      <c r="D870" t="s">
        <v>205</v>
      </c>
      <c r="E870" s="5">
        <v>37.72</v>
      </c>
      <c r="F870" t="s">
        <v>7</v>
      </c>
    </row>
    <row r="871" spans="1:6">
      <c r="A871" s="1">
        <v>45434</v>
      </c>
      <c r="B871" s="2">
        <v>45434.451238935188</v>
      </c>
      <c r="C871" t="s">
        <v>3</v>
      </c>
      <c r="D871" t="s">
        <v>205</v>
      </c>
      <c r="E871" s="5">
        <v>32.82</v>
      </c>
      <c r="F871" t="s">
        <v>14</v>
      </c>
    </row>
    <row r="872" spans="1:6">
      <c r="A872" s="1">
        <v>45446</v>
      </c>
      <c r="B872" s="2">
        <v>45446.43599302083</v>
      </c>
      <c r="C872" t="s">
        <v>3</v>
      </c>
      <c r="D872" t="s">
        <v>205</v>
      </c>
      <c r="E872" s="5">
        <v>37.72</v>
      </c>
      <c r="F872" t="s">
        <v>7</v>
      </c>
    </row>
    <row r="873" spans="1:6">
      <c r="A873" s="1">
        <v>45432</v>
      </c>
      <c r="B873" s="2">
        <v>45432.592581215278</v>
      </c>
      <c r="C873" t="s">
        <v>3</v>
      </c>
      <c r="D873" t="s">
        <v>206</v>
      </c>
      <c r="E873" s="5">
        <v>32.82</v>
      </c>
      <c r="F873" t="s">
        <v>14</v>
      </c>
    </row>
    <row r="874" spans="1:6">
      <c r="A874" s="1">
        <v>45432</v>
      </c>
      <c r="B874" s="2">
        <v>45432.593418449076</v>
      </c>
      <c r="C874" t="s">
        <v>3</v>
      </c>
      <c r="D874" t="s">
        <v>206</v>
      </c>
      <c r="E874" s="5">
        <v>37.72</v>
      </c>
      <c r="F874" t="s">
        <v>43</v>
      </c>
    </row>
    <row r="875" spans="1:6">
      <c r="A875" s="1">
        <v>45439</v>
      </c>
      <c r="B875" s="2">
        <v>45439.895220891201</v>
      </c>
      <c r="C875" t="s">
        <v>3</v>
      </c>
      <c r="D875" t="s">
        <v>206</v>
      </c>
      <c r="E875" s="5">
        <v>32.82</v>
      </c>
      <c r="F875" t="s">
        <v>14</v>
      </c>
    </row>
    <row r="876" spans="1:6">
      <c r="A876" s="1">
        <v>45447</v>
      </c>
      <c r="B876" s="2">
        <v>45447.74070209491</v>
      </c>
      <c r="C876" t="s">
        <v>3</v>
      </c>
      <c r="D876" t="s">
        <v>206</v>
      </c>
      <c r="E876" s="5">
        <v>27.92</v>
      </c>
      <c r="F876" t="s">
        <v>28</v>
      </c>
    </row>
    <row r="877" spans="1:6">
      <c r="A877" s="1">
        <v>45447</v>
      </c>
      <c r="B877" s="2">
        <v>45447.741306099539</v>
      </c>
      <c r="C877" t="s">
        <v>3</v>
      </c>
      <c r="D877" t="s">
        <v>206</v>
      </c>
      <c r="E877" s="5">
        <v>37.72</v>
      </c>
      <c r="F877" t="s">
        <v>43</v>
      </c>
    </row>
    <row r="878" spans="1:6">
      <c r="A878" s="1">
        <v>45462</v>
      </c>
      <c r="B878" s="2">
        <v>45462.895132928243</v>
      </c>
      <c r="C878" t="s">
        <v>3</v>
      </c>
      <c r="D878" t="s">
        <v>206</v>
      </c>
      <c r="E878" s="5">
        <v>37.72</v>
      </c>
      <c r="F878" t="s">
        <v>43</v>
      </c>
    </row>
    <row r="879" spans="1:6">
      <c r="A879" s="1">
        <v>45462</v>
      </c>
      <c r="B879" s="2">
        <v>45462.895873657406</v>
      </c>
      <c r="C879" t="s">
        <v>3</v>
      </c>
      <c r="D879" t="s">
        <v>206</v>
      </c>
      <c r="E879" s="5">
        <v>32.82</v>
      </c>
      <c r="F879" t="s">
        <v>14</v>
      </c>
    </row>
    <row r="880" spans="1:6">
      <c r="A880" s="1">
        <v>45521</v>
      </c>
      <c r="B880" s="2">
        <v>45521.690150196759</v>
      </c>
      <c r="C880" t="s">
        <v>3</v>
      </c>
      <c r="D880" t="s">
        <v>206</v>
      </c>
      <c r="E880" s="5">
        <v>32.82</v>
      </c>
      <c r="F880" t="s">
        <v>7</v>
      </c>
    </row>
    <row r="881" spans="1:6">
      <c r="A881" s="1">
        <v>45432</v>
      </c>
      <c r="B881" s="2">
        <v>45432.718019641201</v>
      </c>
      <c r="C881" t="s">
        <v>3</v>
      </c>
      <c r="D881" t="s">
        <v>207</v>
      </c>
      <c r="E881" s="5">
        <v>37.72</v>
      </c>
      <c r="F881" t="s">
        <v>7</v>
      </c>
    </row>
    <row r="882" spans="1:6">
      <c r="A882" s="1">
        <v>45432</v>
      </c>
      <c r="B882" s="2">
        <v>45432.858892592594</v>
      </c>
      <c r="C882" t="s">
        <v>3</v>
      </c>
      <c r="D882" t="s">
        <v>208</v>
      </c>
      <c r="E882" s="5">
        <v>32.82</v>
      </c>
      <c r="F882" t="s">
        <v>14</v>
      </c>
    </row>
    <row r="883" spans="1:6">
      <c r="A883" s="1">
        <v>45432</v>
      </c>
      <c r="B883" s="2">
        <v>45432.859691157406</v>
      </c>
      <c r="C883" t="s">
        <v>3</v>
      </c>
      <c r="D883" t="s">
        <v>208</v>
      </c>
      <c r="E883" s="5">
        <v>37.72</v>
      </c>
      <c r="F883" t="s">
        <v>18</v>
      </c>
    </row>
    <row r="884" spans="1:6">
      <c r="A884" s="1">
        <v>45440</v>
      </c>
      <c r="B884" s="2">
        <v>45440.590899201386</v>
      </c>
      <c r="C884" t="s">
        <v>3</v>
      </c>
      <c r="D884" t="s">
        <v>208</v>
      </c>
      <c r="E884" s="5">
        <v>37.72</v>
      </c>
      <c r="F884" t="s">
        <v>18</v>
      </c>
    </row>
    <row r="885" spans="1:6">
      <c r="A885" s="1">
        <v>45482</v>
      </c>
      <c r="B885" s="2">
        <v>45482.473334525464</v>
      </c>
      <c r="C885" t="s">
        <v>3</v>
      </c>
      <c r="D885" t="s">
        <v>208</v>
      </c>
      <c r="E885" s="5">
        <v>27.92</v>
      </c>
      <c r="F885" t="s">
        <v>14</v>
      </c>
    </row>
    <row r="886" spans="1:6">
      <c r="A886" s="1">
        <v>45482</v>
      </c>
      <c r="B886" s="2">
        <v>45482.474188703702</v>
      </c>
      <c r="C886" t="s">
        <v>3</v>
      </c>
      <c r="D886" t="s">
        <v>208</v>
      </c>
      <c r="E886" s="5">
        <v>32.82</v>
      </c>
      <c r="F886" t="s">
        <v>43</v>
      </c>
    </row>
    <row r="887" spans="1:6">
      <c r="A887" s="1">
        <v>45432</v>
      </c>
      <c r="B887" s="2">
        <v>45432.865880613426</v>
      </c>
      <c r="C887" t="s">
        <v>3</v>
      </c>
      <c r="D887" t="s">
        <v>209</v>
      </c>
      <c r="E887" s="5">
        <v>27.92</v>
      </c>
      <c r="F887" t="s">
        <v>28</v>
      </c>
    </row>
    <row r="888" spans="1:6">
      <c r="A888" s="1">
        <v>45571</v>
      </c>
      <c r="B888" s="2">
        <v>45571.420644004633</v>
      </c>
      <c r="C888" t="s">
        <v>3</v>
      </c>
      <c r="D888" t="s">
        <v>209</v>
      </c>
      <c r="E888" s="5">
        <v>35.76</v>
      </c>
      <c r="F888" t="s">
        <v>43</v>
      </c>
    </row>
    <row r="889" spans="1:6">
      <c r="A889" s="1">
        <v>45571</v>
      </c>
      <c r="B889" s="2">
        <v>45571.421378888888</v>
      </c>
      <c r="C889" t="s">
        <v>3</v>
      </c>
      <c r="D889" t="s">
        <v>209</v>
      </c>
      <c r="E889" s="5">
        <v>25.96</v>
      </c>
      <c r="F889" t="s">
        <v>28</v>
      </c>
    </row>
    <row r="890" spans="1:6">
      <c r="A890" s="1">
        <v>45657</v>
      </c>
      <c r="B890" s="2">
        <v>45657.466328333336</v>
      </c>
      <c r="C890" t="s">
        <v>3</v>
      </c>
      <c r="D890" t="s">
        <v>209</v>
      </c>
      <c r="E890" s="5">
        <v>35.76</v>
      </c>
      <c r="F890" t="s">
        <v>43</v>
      </c>
    </row>
    <row r="891" spans="1:6">
      <c r="A891" s="1">
        <v>45657</v>
      </c>
      <c r="B891" s="2">
        <v>45657.467153391204</v>
      </c>
      <c r="C891" t="s">
        <v>3</v>
      </c>
      <c r="D891" t="s">
        <v>209</v>
      </c>
      <c r="E891" s="5">
        <v>30.86</v>
      </c>
      <c r="F891" t="s">
        <v>14</v>
      </c>
    </row>
    <row r="892" spans="1:6">
      <c r="A892" s="1">
        <v>45433</v>
      </c>
      <c r="B892" s="2">
        <v>45433.352525810187</v>
      </c>
      <c r="C892" t="s">
        <v>3</v>
      </c>
      <c r="D892" t="s">
        <v>210</v>
      </c>
      <c r="E892" s="5">
        <v>37.72</v>
      </c>
      <c r="F892" t="s">
        <v>7</v>
      </c>
    </row>
    <row r="893" spans="1:6">
      <c r="A893" s="1">
        <v>45433</v>
      </c>
      <c r="B893" s="2">
        <v>45433.673842083335</v>
      </c>
      <c r="C893" t="s">
        <v>3</v>
      </c>
      <c r="D893" t="s">
        <v>211</v>
      </c>
      <c r="E893" s="5">
        <v>37.72</v>
      </c>
      <c r="F893" t="s">
        <v>7</v>
      </c>
    </row>
    <row r="894" spans="1:6">
      <c r="A894" s="1">
        <v>45496</v>
      </c>
      <c r="B894" s="2">
        <v>45496.342317465278</v>
      </c>
      <c r="C894" t="s">
        <v>3</v>
      </c>
      <c r="D894" t="s">
        <v>211</v>
      </c>
      <c r="E894" s="5">
        <v>32.82</v>
      </c>
      <c r="F894" t="s">
        <v>7</v>
      </c>
    </row>
    <row r="895" spans="1:6">
      <c r="A895" s="1">
        <v>45685</v>
      </c>
      <c r="B895" s="2">
        <v>45685.351814756941</v>
      </c>
      <c r="C895" t="s">
        <v>3</v>
      </c>
      <c r="D895" t="s">
        <v>211</v>
      </c>
      <c r="E895" s="5">
        <v>35.76</v>
      </c>
      <c r="F895" t="s">
        <v>7</v>
      </c>
    </row>
    <row r="896" spans="1:6">
      <c r="A896" s="1">
        <v>45433</v>
      </c>
      <c r="B896" s="2">
        <v>45433.799412175926</v>
      </c>
      <c r="C896" t="s">
        <v>3</v>
      </c>
      <c r="D896" t="s">
        <v>212</v>
      </c>
      <c r="E896" s="5">
        <v>37.72</v>
      </c>
      <c r="F896" t="s">
        <v>43</v>
      </c>
    </row>
    <row r="897" spans="1:6">
      <c r="A897" s="1">
        <v>45433</v>
      </c>
      <c r="B897" s="2">
        <v>45433.842920810188</v>
      </c>
      <c r="C897" t="s">
        <v>3</v>
      </c>
      <c r="D897" t="s">
        <v>213</v>
      </c>
      <c r="E897" s="5">
        <v>37.72</v>
      </c>
      <c r="F897" t="s">
        <v>43</v>
      </c>
    </row>
    <row r="898" spans="1:6">
      <c r="A898" s="1">
        <v>45434</v>
      </c>
      <c r="B898" s="2">
        <v>45434.399095115739</v>
      </c>
      <c r="C898" t="s">
        <v>3</v>
      </c>
      <c r="D898" t="s">
        <v>214</v>
      </c>
      <c r="E898" s="5">
        <v>37.72</v>
      </c>
      <c r="F898" t="s">
        <v>43</v>
      </c>
    </row>
    <row r="899" spans="1:6">
      <c r="A899" s="1">
        <v>45435</v>
      </c>
      <c r="B899" s="2">
        <v>45435.423838425922</v>
      </c>
      <c r="C899" t="s">
        <v>3</v>
      </c>
      <c r="D899" t="s">
        <v>215</v>
      </c>
      <c r="E899" s="5">
        <v>37.72</v>
      </c>
      <c r="F899" t="s">
        <v>43</v>
      </c>
    </row>
    <row r="900" spans="1:6">
      <c r="A900" s="1">
        <v>45435</v>
      </c>
      <c r="B900" s="2">
        <v>45435.515354224539</v>
      </c>
      <c r="C900" t="s">
        <v>3</v>
      </c>
      <c r="D900" t="s">
        <v>216</v>
      </c>
      <c r="E900" s="5">
        <v>23.02</v>
      </c>
      <c r="F900" t="s">
        <v>35</v>
      </c>
    </row>
    <row r="901" spans="1:6">
      <c r="A901" s="1">
        <v>45435</v>
      </c>
      <c r="B901" s="2">
        <v>45435.664204131943</v>
      </c>
      <c r="C901" t="s">
        <v>3</v>
      </c>
      <c r="D901" t="s">
        <v>217</v>
      </c>
      <c r="E901" s="5">
        <v>37.72</v>
      </c>
      <c r="F901" t="s">
        <v>43</v>
      </c>
    </row>
    <row r="902" spans="1:6">
      <c r="A902" s="1">
        <v>45439</v>
      </c>
      <c r="B902" s="2">
        <v>45439.743700960651</v>
      </c>
      <c r="C902" t="s">
        <v>3</v>
      </c>
      <c r="D902" t="s">
        <v>217</v>
      </c>
      <c r="E902" s="5">
        <v>37.72</v>
      </c>
      <c r="F902" t="s">
        <v>7</v>
      </c>
    </row>
    <row r="903" spans="1:6">
      <c r="A903" s="1">
        <v>45467</v>
      </c>
      <c r="B903" s="2">
        <v>45467.698617743059</v>
      </c>
      <c r="C903" t="s">
        <v>3</v>
      </c>
      <c r="D903" t="s">
        <v>217</v>
      </c>
      <c r="E903" s="5">
        <v>37.72</v>
      </c>
      <c r="F903" t="s">
        <v>43</v>
      </c>
    </row>
    <row r="904" spans="1:6">
      <c r="A904" s="1">
        <v>45467</v>
      </c>
      <c r="B904" s="2">
        <v>45467.699310289354</v>
      </c>
      <c r="C904" t="s">
        <v>3</v>
      </c>
      <c r="D904" t="s">
        <v>217</v>
      </c>
      <c r="E904" s="5">
        <v>37.72</v>
      </c>
      <c r="F904" t="s">
        <v>43</v>
      </c>
    </row>
    <row r="905" spans="1:6">
      <c r="A905" s="1">
        <v>45468</v>
      </c>
      <c r="B905" s="2">
        <v>45468.482549722219</v>
      </c>
      <c r="C905" t="s">
        <v>3</v>
      </c>
      <c r="D905" t="s">
        <v>217</v>
      </c>
      <c r="E905" s="5">
        <v>37.72</v>
      </c>
      <c r="F905" t="s">
        <v>43</v>
      </c>
    </row>
    <row r="906" spans="1:6">
      <c r="A906" s="1">
        <v>45435</v>
      </c>
      <c r="B906" s="2">
        <v>45435.79437333333</v>
      </c>
      <c r="C906" t="s">
        <v>3</v>
      </c>
      <c r="D906" t="s">
        <v>218</v>
      </c>
      <c r="E906" s="5">
        <v>27.92</v>
      </c>
      <c r="F906" t="s">
        <v>28</v>
      </c>
    </row>
    <row r="907" spans="1:6">
      <c r="A907" s="1">
        <v>45435</v>
      </c>
      <c r="B907" s="2">
        <v>45435.804472430558</v>
      </c>
      <c r="C907" t="s">
        <v>3</v>
      </c>
      <c r="D907" t="s">
        <v>219</v>
      </c>
      <c r="E907" s="5">
        <v>37.72</v>
      </c>
      <c r="F907" t="s">
        <v>43</v>
      </c>
    </row>
    <row r="908" spans="1:6">
      <c r="A908" s="1">
        <v>45497</v>
      </c>
      <c r="B908" s="2">
        <v>45497.802149050927</v>
      </c>
      <c r="C908" t="s">
        <v>3</v>
      </c>
      <c r="D908" t="s">
        <v>219</v>
      </c>
      <c r="E908" s="5">
        <v>32.82</v>
      </c>
      <c r="F908" t="s">
        <v>43</v>
      </c>
    </row>
    <row r="909" spans="1:6">
      <c r="A909" s="1">
        <v>45497</v>
      </c>
      <c r="B909" s="2">
        <v>45497.803469664352</v>
      </c>
      <c r="C909" t="s">
        <v>3</v>
      </c>
      <c r="D909" t="s">
        <v>219</v>
      </c>
      <c r="E909" s="5">
        <v>32.82</v>
      </c>
      <c r="F909" t="s">
        <v>43</v>
      </c>
    </row>
    <row r="910" spans="1:6">
      <c r="A910" s="1">
        <v>45435</v>
      </c>
      <c r="B910" s="2">
        <v>45435.821198449077</v>
      </c>
      <c r="C910" t="s">
        <v>3</v>
      </c>
      <c r="D910" t="s">
        <v>220</v>
      </c>
      <c r="E910" s="5">
        <v>37.72</v>
      </c>
      <c r="F910" t="s">
        <v>43</v>
      </c>
    </row>
    <row r="911" spans="1:6">
      <c r="A911" s="1">
        <v>45439</v>
      </c>
      <c r="B911" s="2">
        <v>45439.896062175925</v>
      </c>
      <c r="C911" t="s">
        <v>3</v>
      </c>
      <c r="D911" t="s">
        <v>220</v>
      </c>
      <c r="E911" s="5">
        <v>37.72</v>
      </c>
      <c r="F911" t="s">
        <v>43</v>
      </c>
    </row>
    <row r="912" spans="1:6">
      <c r="A912" s="1">
        <v>45442</v>
      </c>
      <c r="B912" s="2">
        <v>45442.828601724534</v>
      </c>
      <c r="C912" t="s">
        <v>3</v>
      </c>
      <c r="D912" t="s">
        <v>220</v>
      </c>
      <c r="E912" s="5">
        <v>37.72</v>
      </c>
      <c r="F912" t="s">
        <v>43</v>
      </c>
    </row>
    <row r="913" spans="1:6">
      <c r="A913" s="1">
        <v>45443</v>
      </c>
      <c r="B913" s="2">
        <v>45443.920683680553</v>
      </c>
      <c r="C913" t="s">
        <v>3</v>
      </c>
      <c r="D913" t="s">
        <v>220</v>
      </c>
      <c r="E913" s="5">
        <v>37.72</v>
      </c>
      <c r="F913" t="s">
        <v>43</v>
      </c>
    </row>
    <row r="914" spans="1:6">
      <c r="A914" s="1">
        <v>45443</v>
      </c>
      <c r="B914" s="2">
        <v>45443.92144085648</v>
      </c>
      <c r="C914" t="s">
        <v>3</v>
      </c>
      <c r="D914" t="s">
        <v>220</v>
      </c>
      <c r="E914" s="5">
        <v>32.82</v>
      </c>
      <c r="F914" t="s">
        <v>14</v>
      </c>
    </row>
    <row r="915" spans="1:6">
      <c r="A915" s="1">
        <v>45443</v>
      </c>
      <c r="B915" s="2">
        <v>45443.922168611112</v>
      </c>
      <c r="C915" t="s">
        <v>3</v>
      </c>
      <c r="D915" t="s">
        <v>220</v>
      </c>
      <c r="E915" s="5">
        <v>27.92</v>
      </c>
      <c r="F915" t="s">
        <v>28</v>
      </c>
    </row>
    <row r="916" spans="1:6">
      <c r="A916" s="1">
        <v>45449</v>
      </c>
      <c r="B916" s="2">
        <v>45449.887809178239</v>
      </c>
      <c r="C916" t="s">
        <v>3</v>
      </c>
      <c r="D916" t="s">
        <v>220</v>
      </c>
      <c r="E916" s="5">
        <v>37.72</v>
      </c>
      <c r="F916" t="s">
        <v>43</v>
      </c>
    </row>
    <row r="917" spans="1:6">
      <c r="A917" s="1">
        <v>45449</v>
      </c>
      <c r="B917" s="2">
        <v>45449.888546712966</v>
      </c>
      <c r="C917" t="s">
        <v>3</v>
      </c>
      <c r="D917" t="s">
        <v>220</v>
      </c>
      <c r="E917" s="5">
        <v>32.82</v>
      </c>
      <c r="F917" t="s">
        <v>14</v>
      </c>
    </row>
    <row r="918" spans="1:6">
      <c r="A918" s="1">
        <v>45469</v>
      </c>
      <c r="B918" s="2">
        <v>45469.894613032404</v>
      </c>
      <c r="C918" t="s">
        <v>3</v>
      </c>
      <c r="D918" t="s">
        <v>220</v>
      </c>
      <c r="E918" s="5">
        <v>32.82</v>
      </c>
      <c r="F918" t="s">
        <v>14</v>
      </c>
    </row>
    <row r="919" spans="1:6">
      <c r="A919" s="1">
        <v>45558</v>
      </c>
      <c r="B919" s="2">
        <v>45558.84011420139</v>
      </c>
      <c r="C919" t="s">
        <v>3</v>
      </c>
      <c r="D919" t="s">
        <v>220</v>
      </c>
      <c r="E919" s="5">
        <v>32.82</v>
      </c>
      <c r="F919" t="s">
        <v>43</v>
      </c>
    </row>
    <row r="920" spans="1:6">
      <c r="A920" s="1">
        <v>45570</v>
      </c>
      <c r="B920" s="2">
        <v>45570.550153761571</v>
      </c>
      <c r="C920" t="s">
        <v>3</v>
      </c>
      <c r="D920" t="s">
        <v>220</v>
      </c>
      <c r="E920" s="5">
        <v>35.76</v>
      </c>
      <c r="F920" t="s">
        <v>43</v>
      </c>
    </row>
    <row r="921" spans="1:6">
      <c r="A921" s="1">
        <v>45594</v>
      </c>
      <c r="B921" s="2">
        <v>45594.795653194444</v>
      </c>
      <c r="C921" t="s">
        <v>3</v>
      </c>
      <c r="D921" t="s">
        <v>220</v>
      </c>
      <c r="E921" s="5">
        <v>35.76</v>
      </c>
      <c r="F921" t="s">
        <v>43</v>
      </c>
    </row>
    <row r="922" spans="1:6">
      <c r="A922" s="1">
        <v>45607</v>
      </c>
      <c r="B922" s="2">
        <v>45607.679675925923</v>
      </c>
      <c r="C922" t="s">
        <v>3</v>
      </c>
      <c r="D922" t="s">
        <v>220</v>
      </c>
      <c r="E922" s="5">
        <v>35.76</v>
      </c>
      <c r="F922" t="s">
        <v>43</v>
      </c>
    </row>
    <row r="923" spans="1:6">
      <c r="A923" s="1">
        <v>45607</v>
      </c>
      <c r="B923" s="2">
        <v>45607.68047068287</v>
      </c>
      <c r="C923" t="s">
        <v>3</v>
      </c>
      <c r="D923" t="s">
        <v>220</v>
      </c>
      <c r="E923" s="5">
        <v>35.76</v>
      </c>
      <c r="F923" t="s">
        <v>9</v>
      </c>
    </row>
    <row r="924" spans="1:6">
      <c r="A924" s="1">
        <v>45615</v>
      </c>
      <c r="B924" s="2">
        <v>45615.695181377312</v>
      </c>
      <c r="C924" t="s">
        <v>3</v>
      </c>
      <c r="D924" t="s">
        <v>220</v>
      </c>
      <c r="E924" s="5">
        <v>35.76</v>
      </c>
      <c r="F924" t="s">
        <v>43</v>
      </c>
    </row>
    <row r="925" spans="1:6">
      <c r="A925" s="1">
        <v>45629</v>
      </c>
      <c r="B925" s="2">
        <v>45629.931737083331</v>
      </c>
      <c r="C925" t="s">
        <v>3</v>
      </c>
      <c r="D925" t="s">
        <v>220</v>
      </c>
      <c r="E925" s="5">
        <v>35.76</v>
      </c>
      <c r="F925" t="s">
        <v>43</v>
      </c>
    </row>
    <row r="926" spans="1:6">
      <c r="A926" s="1">
        <v>45633</v>
      </c>
      <c r="B926" s="2">
        <v>45633.799461712966</v>
      </c>
      <c r="C926" t="s">
        <v>3</v>
      </c>
      <c r="D926" t="s">
        <v>220</v>
      </c>
      <c r="E926" s="5">
        <v>35.76</v>
      </c>
      <c r="F926" t="s">
        <v>43</v>
      </c>
    </row>
    <row r="927" spans="1:6">
      <c r="A927" s="1">
        <v>45634</v>
      </c>
      <c r="B927" s="2">
        <v>45634.72672791667</v>
      </c>
      <c r="C927" t="s">
        <v>3</v>
      </c>
      <c r="D927" t="s">
        <v>220</v>
      </c>
      <c r="E927" s="5">
        <v>35.76</v>
      </c>
      <c r="F927" t="s">
        <v>43</v>
      </c>
    </row>
    <row r="928" spans="1:6">
      <c r="A928" s="1">
        <v>45645</v>
      </c>
      <c r="B928" s="2">
        <v>45645.792317858795</v>
      </c>
      <c r="C928" t="s">
        <v>3</v>
      </c>
      <c r="D928" t="s">
        <v>220</v>
      </c>
      <c r="E928" s="5">
        <v>35.76</v>
      </c>
      <c r="F928" t="s">
        <v>43</v>
      </c>
    </row>
    <row r="929" spans="1:6">
      <c r="A929" s="1">
        <v>45646</v>
      </c>
      <c r="B929" s="2">
        <v>45646.789737569445</v>
      </c>
      <c r="C929" t="s">
        <v>3</v>
      </c>
      <c r="D929" t="s">
        <v>220</v>
      </c>
      <c r="E929" s="5">
        <v>35.76</v>
      </c>
      <c r="F929" t="s">
        <v>43</v>
      </c>
    </row>
    <row r="930" spans="1:6">
      <c r="A930" s="1">
        <v>45648</v>
      </c>
      <c r="B930" s="2">
        <v>45648.788709606481</v>
      </c>
      <c r="C930" t="s">
        <v>3</v>
      </c>
      <c r="D930" t="s">
        <v>220</v>
      </c>
      <c r="E930" s="5">
        <v>35.76</v>
      </c>
      <c r="F930" t="s">
        <v>43</v>
      </c>
    </row>
    <row r="931" spans="1:6">
      <c r="A931" s="1">
        <v>45665</v>
      </c>
      <c r="B931" s="2">
        <v>45665.724208391206</v>
      </c>
      <c r="C931" t="s">
        <v>3</v>
      </c>
      <c r="D931" t="s">
        <v>220</v>
      </c>
      <c r="E931" s="5">
        <v>35.76</v>
      </c>
      <c r="F931" t="s">
        <v>43</v>
      </c>
    </row>
    <row r="932" spans="1:6">
      <c r="A932" s="1">
        <v>45671</v>
      </c>
      <c r="B932" s="2">
        <v>45671.820785833334</v>
      </c>
      <c r="C932" t="s">
        <v>3</v>
      </c>
      <c r="D932" t="s">
        <v>220</v>
      </c>
      <c r="E932" s="5">
        <v>35.76</v>
      </c>
      <c r="F932" t="s">
        <v>43</v>
      </c>
    </row>
    <row r="933" spans="1:6">
      <c r="A933" s="1">
        <v>45435</v>
      </c>
      <c r="B933" s="2">
        <v>45435.84376653935</v>
      </c>
      <c r="C933" t="s">
        <v>3</v>
      </c>
      <c r="D933" t="s">
        <v>221</v>
      </c>
      <c r="E933" s="5">
        <v>37.72</v>
      </c>
      <c r="F933" t="s">
        <v>43</v>
      </c>
    </row>
    <row r="934" spans="1:6">
      <c r="A934" s="1">
        <v>45435</v>
      </c>
      <c r="B934" s="2">
        <v>45435.844724594906</v>
      </c>
      <c r="C934" t="s">
        <v>3</v>
      </c>
      <c r="D934" t="s">
        <v>221</v>
      </c>
      <c r="E934" s="5">
        <v>37.72</v>
      </c>
      <c r="F934" t="s">
        <v>7</v>
      </c>
    </row>
    <row r="935" spans="1:6">
      <c r="A935" s="1">
        <v>45435</v>
      </c>
      <c r="B935" s="2">
        <v>45435.950125150463</v>
      </c>
      <c r="C935" t="s">
        <v>3</v>
      </c>
      <c r="D935" t="s">
        <v>222</v>
      </c>
      <c r="E935" s="5">
        <v>32.82</v>
      </c>
      <c r="F935" t="s">
        <v>14</v>
      </c>
    </row>
    <row r="936" spans="1:6">
      <c r="A936" s="1">
        <v>45436</v>
      </c>
      <c r="B936" s="2">
        <v>45436.762272337961</v>
      </c>
      <c r="C936" t="s">
        <v>3</v>
      </c>
      <c r="D936" t="s">
        <v>223</v>
      </c>
      <c r="E936" s="5">
        <v>27.92</v>
      </c>
      <c r="F936" t="s">
        <v>28</v>
      </c>
    </row>
    <row r="937" spans="1:6">
      <c r="A937" s="1">
        <v>45436</v>
      </c>
      <c r="B937" s="2">
        <v>45436.762924745373</v>
      </c>
      <c r="C937" t="s">
        <v>3</v>
      </c>
      <c r="D937" t="s">
        <v>223</v>
      </c>
      <c r="E937" s="5">
        <v>27.92</v>
      </c>
      <c r="F937" t="s">
        <v>28</v>
      </c>
    </row>
    <row r="938" spans="1:6">
      <c r="A938" s="1">
        <v>45436</v>
      </c>
      <c r="B938" s="2">
        <v>45436.937965254627</v>
      </c>
      <c r="C938" t="s">
        <v>3</v>
      </c>
      <c r="D938" t="s">
        <v>224</v>
      </c>
      <c r="E938" s="5">
        <v>32.82</v>
      </c>
      <c r="F938" t="s">
        <v>14</v>
      </c>
    </row>
    <row r="939" spans="1:6">
      <c r="A939" s="1">
        <v>45437</v>
      </c>
      <c r="B939" s="2">
        <v>45437.509645694445</v>
      </c>
      <c r="C939" t="s">
        <v>3</v>
      </c>
      <c r="D939" t="s">
        <v>225</v>
      </c>
      <c r="E939" s="5">
        <v>37.72</v>
      </c>
      <c r="F939" t="s">
        <v>7</v>
      </c>
    </row>
    <row r="940" spans="1:6">
      <c r="A940" s="1">
        <v>45437</v>
      </c>
      <c r="B940" s="2">
        <v>45437.529285393517</v>
      </c>
      <c r="C940" t="s">
        <v>3</v>
      </c>
      <c r="D940" t="s">
        <v>226</v>
      </c>
      <c r="E940" s="5">
        <v>32.82</v>
      </c>
      <c r="F940" t="s">
        <v>14</v>
      </c>
    </row>
    <row r="941" spans="1:6">
      <c r="A941" s="1">
        <v>45437</v>
      </c>
      <c r="B941" s="2">
        <v>45437.530014756943</v>
      </c>
      <c r="C941" t="s">
        <v>3</v>
      </c>
      <c r="D941" t="s">
        <v>226</v>
      </c>
      <c r="E941" s="5">
        <v>32.82</v>
      </c>
      <c r="F941" t="s">
        <v>14</v>
      </c>
    </row>
    <row r="942" spans="1:6">
      <c r="A942" s="1">
        <v>45437</v>
      </c>
      <c r="B942" s="2">
        <v>45437.540417233795</v>
      </c>
      <c r="C942" t="s">
        <v>3</v>
      </c>
      <c r="D942" t="s">
        <v>227</v>
      </c>
      <c r="E942" s="5">
        <v>32.82</v>
      </c>
      <c r="F942" t="s">
        <v>14</v>
      </c>
    </row>
    <row r="943" spans="1:6">
      <c r="A943" s="1">
        <v>45438</v>
      </c>
      <c r="B943" s="2">
        <v>45438.600576527781</v>
      </c>
      <c r="C943" t="s">
        <v>3</v>
      </c>
      <c r="D943" t="s">
        <v>228</v>
      </c>
      <c r="E943" s="5">
        <v>32.82</v>
      </c>
      <c r="F943" t="s">
        <v>14</v>
      </c>
    </row>
    <row r="944" spans="1:6">
      <c r="A944" s="1">
        <v>45438</v>
      </c>
      <c r="B944" s="2">
        <v>45438.601449629627</v>
      </c>
      <c r="C944" t="s">
        <v>3</v>
      </c>
      <c r="D944" t="s">
        <v>229</v>
      </c>
      <c r="E944" s="5">
        <v>27.92</v>
      </c>
      <c r="F944" t="s">
        <v>28</v>
      </c>
    </row>
    <row r="945" spans="1:6">
      <c r="A945" s="1">
        <v>45438</v>
      </c>
      <c r="B945" s="2">
        <v>45438.611792615739</v>
      </c>
      <c r="C945" t="s">
        <v>3</v>
      </c>
      <c r="D945" t="s">
        <v>230</v>
      </c>
      <c r="E945" s="5">
        <v>32.82</v>
      </c>
      <c r="F945" t="s">
        <v>14</v>
      </c>
    </row>
    <row r="946" spans="1:6">
      <c r="A946" s="1">
        <v>45438</v>
      </c>
      <c r="B946" s="2">
        <v>45438.721707418983</v>
      </c>
      <c r="C946" t="s">
        <v>3</v>
      </c>
      <c r="D946" t="s">
        <v>231</v>
      </c>
      <c r="E946" s="5">
        <v>37.72</v>
      </c>
      <c r="F946" t="s">
        <v>43</v>
      </c>
    </row>
    <row r="947" spans="1:6">
      <c r="A947" s="1">
        <v>45438</v>
      </c>
      <c r="B947" s="2">
        <v>45438.756861608796</v>
      </c>
      <c r="C947" t="s">
        <v>3</v>
      </c>
      <c r="D947" t="s">
        <v>232</v>
      </c>
      <c r="E947" s="5">
        <v>37.72</v>
      </c>
      <c r="F947" t="s">
        <v>9</v>
      </c>
    </row>
    <row r="948" spans="1:6">
      <c r="A948" s="1">
        <v>45438</v>
      </c>
      <c r="B948" s="2">
        <v>45438.757664398145</v>
      </c>
      <c r="C948" t="s">
        <v>3</v>
      </c>
      <c r="D948" t="s">
        <v>232</v>
      </c>
      <c r="E948" s="5">
        <v>37.72</v>
      </c>
      <c r="F948" t="s">
        <v>9</v>
      </c>
    </row>
    <row r="949" spans="1:6">
      <c r="A949" s="1">
        <v>45438</v>
      </c>
      <c r="B949" s="2">
        <v>45438.759193275466</v>
      </c>
      <c r="C949" t="s">
        <v>3</v>
      </c>
      <c r="D949" t="s">
        <v>232</v>
      </c>
      <c r="E949" s="5">
        <v>27.92</v>
      </c>
      <c r="F949" t="s">
        <v>11</v>
      </c>
    </row>
    <row r="950" spans="1:6">
      <c r="A950" s="1">
        <v>45438</v>
      </c>
      <c r="B950" s="2">
        <v>45438.777300856484</v>
      </c>
      <c r="C950" t="s">
        <v>3</v>
      </c>
      <c r="D950" t="s">
        <v>233</v>
      </c>
      <c r="E950" s="5">
        <v>37.72</v>
      </c>
      <c r="F950" t="s">
        <v>7</v>
      </c>
    </row>
    <row r="951" spans="1:6">
      <c r="A951" s="1">
        <v>45438</v>
      </c>
      <c r="B951" s="2">
        <v>45438.874478634258</v>
      </c>
      <c r="C951" t="s">
        <v>3</v>
      </c>
      <c r="D951" t="s">
        <v>234</v>
      </c>
      <c r="E951" s="5">
        <v>37.72</v>
      </c>
      <c r="F951" t="s">
        <v>9</v>
      </c>
    </row>
    <row r="952" spans="1:6">
      <c r="A952" s="1">
        <v>45438</v>
      </c>
      <c r="B952" s="2">
        <v>45438.875064444444</v>
      </c>
      <c r="C952" t="s">
        <v>3</v>
      </c>
      <c r="D952" t="s">
        <v>234</v>
      </c>
      <c r="E952" s="5">
        <v>37.72</v>
      </c>
      <c r="F952" t="s">
        <v>43</v>
      </c>
    </row>
    <row r="953" spans="1:6">
      <c r="A953" s="1">
        <v>45448</v>
      </c>
      <c r="B953" s="2">
        <v>45448.840828969907</v>
      </c>
      <c r="C953" t="s">
        <v>3</v>
      </c>
      <c r="D953" t="s">
        <v>234</v>
      </c>
      <c r="E953" s="5">
        <v>37.72</v>
      </c>
      <c r="F953" t="s">
        <v>18</v>
      </c>
    </row>
    <row r="954" spans="1:6">
      <c r="A954" s="1">
        <v>45448</v>
      </c>
      <c r="B954" s="2">
        <v>45448.841685856481</v>
      </c>
      <c r="C954" t="s">
        <v>3</v>
      </c>
      <c r="D954" t="s">
        <v>234</v>
      </c>
      <c r="E954" s="5">
        <v>27.92</v>
      </c>
      <c r="F954" t="s">
        <v>28</v>
      </c>
    </row>
    <row r="955" spans="1:6">
      <c r="A955" s="1">
        <v>45438</v>
      </c>
      <c r="B955" s="2">
        <v>45438.876816377313</v>
      </c>
      <c r="C955" t="s">
        <v>3</v>
      </c>
      <c r="D955" t="s">
        <v>235</v>
      </c>
      <c r="E955" s="5">
        <v>27.92</v>
      </c>
      <c r="F955" t="s">
        <v>28</v>
      </c>
    </row>
    <row r="956" spans="1:6">
      <c r="A956" s="1">
        <v>45438</v>
      </c>
      <c r="B956" s="2">
        <v>45438.878458611114</v>
      </c>
      <c r="C956" t="s">
        <v>3</v>
      </c>
      <c r="D956" t="s">
        <v>235</v>
      </c>
      <c r="E956" s="5">
        <v>37.72</v>
      </c>
      <c r="F956" t="s">
        <v>7</v>
      </c>
    </row>
    <row r="957" spans="1:6">
      <c r="A957" s="1">
        <v>45438</v>
      </c>
      <c r="B957" s="2">
        <v>45438.877682546299</v>
      </c>
      <c r="C957" t="s">
        <v>3</v>
      </c>
      <c r="D957" t="s">
        <v>236</v>
      </c>
      <c r="E957" s="5">
        <v>37.72</v>
      </c>
      <c r="F957" t="s">
        <v>43</v>
      </c>
    </row>
    <row r="958" spans="1:6">
      <c r="A958" s="1">
        <v>45438</v>
      </c>
      <c r="B958" s="2">
        <v>45438.879197002316</v>
      </c>
      <c r="C958" t="s">
        <v>3</v>
      </c>
      <c r="D958" t="s">
        <v>237</v>
      </c>
      <c r="E958" s="5">
        <v>37.72</v>
      </c>
      <c r="F958" t="s">
        <v>43</v>
      </c>
    </row>
    <row r="959" spans="1:6">
      <c r="A959" s="1">
        <v>45439</v>
      </c>
      <c r="B959" s="2">
        <v>45439.587056574077</v>
      </c>
      <c r="C959" t="s">
        <v>3</v>
      </c>
      <c r="D959" t="s">
        <v>238</v>
      </c>
      <c r="E959" s="5">
        <v>32.82</v>
      </c>
      <c r="F959" t="s">
        <v>14</v>
      </c>
    </row>
    <row r="960" spans="1:6">
      <c r="A960" s="1">
        <v>45439</v>
      </c>
      <c r="B960" s="2">
        <v>45439.588004212965</v>
      </c>
      <c r="C960" t="s">
        <v>3</v>
      </c>
      <c r="D960" t="s">
        <v>238</v>
      </c>
      <c r="E960" s="5">
        <v>37.72</v>
      </c>
      <c r="F960" t="s">
        <v>18</v>
      </c>
    </row>
    <row r="961" spans="1:6">
      <c r="A961" s="1">
        <v>45449</v>
      </c>
      <c r="B961" s="2">
        <v>45449.632803067128</v>
      </c>
      <c r="C961" t="s">
        <v>3</v>
      </c>
      <c r="D961" t="s">
        <v>238</v>
      </c>
      <c r="E961" s="5">
        <v>32.82</v>
      </c>
      <c r="F961" t="s">
        <v>14</v>
      </c>
    </row>
    <row r="962" spans="1:6">
      <c r="A962" s="1">
        <v>45667</v>
      </c>
      <c r="B962" s="2">
        <v>45667.367602025464</v>
      </c>
      <c r="C962" t="s">
        <v>3</v>
      </c>
      <c r="D962" t="s">
        <v>238</v>
      </c>
      <c r="E962" s="5">
        <v>30.86</v>
      </c>
      <c r="F962" t="s">
        <v>14</v>
      </c>
    </row>
    <row r="963" spans="1:6">
      <c r="A963" s="1">
        <v>45667</v>
      </c>
      <c r="B963" s="2">
        <v>45667.749759074075</v>
      </c>
      <c r="C963" t="s">
        <v>3</v>
      </c>
      <c r="D963" t="s">
        <v>238</v>
      </c>
      <c r="E963" s="5">
        <v>30.86</v>
      </c>
      <c r="F963" t="s">
        <v>14</v>
      </c>
    </row>
    <row r="964" spans="1:6">
      <c r="A964" s="1">
        <v>45685</v>
      </c>
      <c r="B964" s="2">
        <v>45685.497532997688</v>
      </c>
      <c r="C964" t="s">
        <v>3</v>
      </c>
      <c r="D964" t="s">
        <v>238</v>
      </c>
      <c r="E964" s="5">
        <v>30.86</v>
      </c>
      <c r="F964" t="s">
        <v>14</v>
      </c>
    </row>
    <row r="965" spans="1:6">
      <c r="A965" s="1">
        <v>45687</v>
      </c>
      <c r="B965" s="2">
        <v>45687.387564097226</v>
      </c>
      <c r="C965" t="s">
        <v>3</v>
      </c>
      <c r="D965" t="s">
        <v>238</v>
      </c>
      <c r="E965" s="5">
        <v>30.86</v>
      </c>
      <c r="F965" t="s">
        <v>14</v>
      </c>
    </row>
    <row r="966" spans="1:6">
      <c r="A966" s="1">
        <v>45689</v>
      </c>
      <c r="B966" s="2">
        <v>45689.421792233799</v>
      </c>
      <c r="C966" t="s">
        <v>3</v>
      </c>
      <c r="D966" t="s">
        <v>238</v>
      </c>
      <c r="E966" s="5">
        <v>30.86</v>
      </c>
      <c r="F966" t="s">
        <v>14</v>
      </c>
    </row>
    <row r="967" spans="1:6">
      <c r="A967" s="1">
        <v>45689</v>
      </c>
      <c r="B967" s="2">
        <v>45689.828651655094</v>
      </c>
      <c r="C967" t="s">
        <v>3</v>
      </c>
      <c r="D967" t="s">
        <v>238</v>
      </c>
      <c r="E967" s="5">
        <v>30.86</v>
      </c>
      <c r="F967" t="s">
        <v>14</v>
      </c>
    </row>
    <row r="968" spans="1:6">
      <c r="A968" s="1">
        <v>45689</v>
      </c>
      <c r="B968" s="2">
        <v>45689.829445208336</v>
      </c>
      <c r="C968" t="s">
        <v>3</v>
      </c>
      <c r="D968" t="s">
        <v>238</v>
      </c>
      <c r="E968" s="5">
        <v>30.86</v>
      </c>
      <c r="F968" t="s">
        <v>14</v>
      </c>
    </row>
    <row r="969" spans="1:6">
      <c r="A969" s="1">
        <v>45439</v>
      </c>
      <c r="B969" s="2">
        <v>45439.633033113423</v>
      </c>
      <c r="C969" t="s">
        <v>3</v>
      </c>
      <c r="D969" t="s">
        <v>239</v>
      </c>
      <c r="E969" s="5">
        <v>27.92</v>
      </c>
      <c r="F969" t="s">
        <v>11</v>
      </c>
    </row>
    <row r="970" spans="1:6">
      <c r="A970" s="1">
        <v>45439</v>
      </c>
      <c r="B970" s="2">
        <v>45439.634789212963</v>
      </c>
      <c r="C970" t="s">
        <v>3</v>
      </c>
      <c r="D970" t="s">
        <v>239</v>
      </c>
      <c r="E970" s="5">
        <v>27.92</v>
      </c>
      <c r="F970" t="s">
        <v>11</v>
      </c>
    </row>
    <row r="971" spans="1:6">
      <c r="A971" s="1">
        <v>45500</v>
      </c>
      <c r="B971" s="2">
        <v>45500.603262777775</v>
      </c>
      <c r="C971" t="s">
        <v>3</v>
      </c>
      <c r="D971" t="s">
        <v>239</v>
      </c>
      <c r="E971" s="5">
        <v>18.12</v>
      </c>
      <c r="F971" t="s">
        <v>35</v>
      </c>
    </row>
    <row r="972" spans="1:6">
      <c r="A972" s="1">
        <v>45527</v>
      </c>
      <c r="B972" s="2">
        <v>45527.356698055555</v>
      </c>
      <c r="C972" t="s">
        <v>3</v>
      </c>
      <c r="D972" t="s">
        <v>239</v>
      </c>
      <c r="E972" s="5">
        <v>23.02</v>
      </c>
      <c r="F972" t="s">
        <v>11</v>
      </c>
    </row>
    <row r="973" spans="1:6">
      <c r="A973" s="1">
        <v>45527</v>
      </c>
      <c r="B973" s="2">
        <v>45527.357349560189</v>
      </c>
      <c r="C973" t="s">
        <v>3</v>
      </c>
      <c r="D973" t="s">
        <v>239</v>
      </c>
      <c r="E973" s="5">
        <v>23.02</v>
      </c>
      <c r="F973" t="s">
        <v>11</v>
      </c>
    </row>
    <row r="974" spans="1:6">
      <c r="A974" s="1">
        <v>45573</v>
      </c>
      <c r="B974" s="2">
        <v>45573.533385648145</v>
      </c>
      <c r="C974" t="s">
        <v>3</v>
      </c>
      <c r="D974" t="s">
        <v>239</v>
      </c>
      <c r="E974" s="5">
        <v>25.96</v>
      </c>
      <c r="F974" t="s">
        <v>11</v>
      </c>
    </row>
    <row r="975" spans="1:6">
      <c r="A975" s="1">
        <v>45573</v>
      </c>
      <c r="B975" s="2">
        <v>45573.534080798614</v>
      </c>
      <c r="C975" t="s">
        <v>3</v>
      </c>
      <c r="D975" t="s">
        <v>239</v>
      </c>
      <c r="E975" s="5">
        <v>25.96</v>
      </c>
      <c r="F975" t="s">
        <v>11</v>
      </c>
    </row>
    <row r="976" spans="1:6">
      <c r="A976" s="1">
        <v>45579</v>
      </c>
      <c r="B976" s="2">
        <v>45579.476126145833</v>
      </c>
      <c r="C976" t="s">
        <v>3</v>
      </c>
      <c r="D976" t="s">
        <v>239</v>
      </c>
      <c r="E976" s="5">
        <v>25.96</v>
      </c>
      <c r="F976" t="s">
        <v>11</v>
      </c>
    </row>
    <row r="977" spans="1:6">
      <c r="A977" s="1">
        <v>45579</v>
      </c>
      <c r="B977" s="2">
        <v>45579.476912557868</v>
      </c>
      <c r="C977" t="s">
        <v>3</v>
      </c>
      <c r="D977" t="s">
        <v>239</v>
      </c>
      <c r="E977" s="5">
        <v>25.96</v>
      </c>
      <c r="F977" t="s">
        <v>11</v>
      </c>
    </row>
    <row r="978" spans="1:6">
      <c r="A978" s="1">
        <v>45586</v>
      </c>
      <c r="B978" s="2">
        <v>45586.696498472222</v>
      </c>
      <c r="C978" t="s">
        <v>3</v>
      </c>
      <c r="D978" t="s">
        <v>239</v>
      </c>
      <c r="E978" s="5">
        <v>35.76</v>
      </c>
      <c r="F978" t="s">
        <v>18</v>
      </c>
    </row>
    <row r="979" spans="1:6">
      <c r="A979" s="1">
        <v>45594</v>
      </c>
      <c r="B979" s="2">
        <v>45594.678859293985</v>
      </c>
      <c r="C979" t="s">
        <v>3</v>
      </c>
      <c r="D979" t="s">
        <v>239</v>
      </c>
      <c r="E979" s="5">
        <v>35.76</v>
      </c>
      <c r="F979" t="s">
        <v>18</v>
      </c>
    </row>
    <row r="980" spans="1:6">
      <c r="A980" s="1">
        <v>45599</v>
      </c>
      <c r="B980" s="2">
        <v>45599.851558229166</v>
      </c>
      <c r="C980" t="s">
        <v>3</v>
      </c>
      <c r="D980" t="s">
        <v>239</v>
      </c>
      <c r="E980" s="5">
        <v>35.76</v>
      </c>
      <c r="F980" t="s">
        <v>18</v>
      </c>
    </row>
    <row r="981" spans="1:6">
      <c r="A981" s="1">
        <v>45439</v>
      </c>
      <c r="B981" s="2">
        <v>45439.750590081021</v>
      </c>
      <c r="C981" t="s">
        <v>3</v>
      </c>
      <c r="D981" t="s">
        <v>240</v>
      </c>
      <c r="E981" s="5">
        <v>27.92</v>
      </c>
      <c r="F981" t="s">
        <v>11</v>
      </c>
    </row>
    <row r="982" spans="1:6">
      <c r="A982" s="1">
        <v>45439</v>
      </c>
      <c r="B982" s="2">
        <v>45439.803094953706</v>
      </c>
      <c r="C982" t="s">
        <v>3</v>
      </c>
      <c r="D982" t="s">
        <v>241</v>
      </c>
      <c r="E982" s="5">
        <v>37.72</v>
      </c>
      <c r="F982" t="s">
        <v>7</v>
      </c>
    </row>
    <row r="983" spans="1:6">
      <c r="A983" s="1">
        <v>45439</v>
      </c>
      <c r="B983" s="2">
        <v>45439.803920474536</v>
      </c>
      <c r="C983" t="s">
        <v>3</v>
      </c>
      <c r="D983" t="s">
        <v>242</v>
      </c>
      <c r="E983" s="5">
        <v>37.72</v>
      </c>
      <c r="F983" t="s">
        <v>7</v>
      </c>
    </row>
    <row r="984" spans="1:6">
      <c r="A984" s="1">
        <v>45599</v>
      </c>
      <c r="B984" s="2">
        <v>45599.554453032404</v>
      </c>
      <c r="C984" t="s">
        <v>3</v>
      </c>
      <c r="D984" t="s">
        <v>242</v>
      </c>
      <c r="E984" s="5">
        <v>35.76</v>
      </c>
      <c r="F984" t="s">
        <v>18</v>
      </c>
    </row>
    <row r="985" spans="1:6">
      <c r="A985" s="1">
        <v>45440</v>
      </c>
      <c r="B985" s="2">
        <v>45440.491880717593</v>
      </c>
      <c r="C985" t="s">
        <v>3</v>
      </c>
      <c r="D985" t="s">
        <v>243</v>
      </c>
      <c r="E985" s="5">
        <v>37.72</v>
      </c>
      <c r="F985" t="s">
        <v>43</v>
      </c>
    </row>
    <row r="986" spans="1:6">
      <c r="A986" s="1">
        <v>45440</v>
      </c>
      <c r="B986" s="2">
        <v>45440.551856886574</v>
      </c>
      <c r="C986" t="s">
        <v>3</v>
      </c>
      <c r="D986" t="s">
        <v>244</v>
      </c>
      <c r="E986" s="5">
        <v>37.72</v>
      </c>
      <c r="F986" t="s">
        <v>43</v>
      </c>
    </row>
    <row r="987" spans="1:6">
      <c r="A987" s="1">
        <v>45440</v>
      </c>
      <c r="B987" s="2">
        <v>45440.798253113426</v>
      </c>
      <c r="C987" t="s">
        <v>3</v>
      </c>
      <c r="D987" t="s">
        <v>245</v>
      </c>
      <c r="E987" s="5">
        <v>27.92</v>
      </c>
      <c r="F987" t="s">
        <v>11</v>
      </c>
    </row>
    <row r="988" spans="1:6">
      <c r="A988" s="1">
        <v>45440</v>
      </c>
      <c r="B988" s="2">
        <v>45440.798970717595</v>
      </c>
      <c r="C988" t="s">
        <v>3</v>
      </c>
      <c r="D988" t="s">
        <v>245</v>
      </c>
      <c r="E988" s="5">
        <v>37.72</v>
      </c>
      <c r="F988" t="s">
        <v>7</v>
      </c>
    </row>
    <row r="989" spans="1:6">
      <c r="A989" s="1">
        <v>45441</v>
      </c>
      <c r="B989" s="2">
        <v>45441.385228055558</v>
      </c>
      <c r="C989" t="s">
        <v>3</v>
      </c>
      <c r="D989" t="s">
        <v>246</v>
      </c>
      <c r="E989" s="5">
        <v>37.72</v>
      </c>
      <c r="F989" t="s">
        <v>7</v>
      </c>
    </row>
    <row r="990" spans="1:6">
      <c r="A990" s="1">
        <v>45444</v>
      </c>
      <c r="B990" s="2">
        <v>45444.408619791669</v>
      </c>
      <c r="C990" t="s">
        <v>3</v>
      </c>
      <c r="D990" t="s">
        <v>246</v>
      </c>
      <c r="E990" s="5">
        <v>37.72</v>
      </c>
      <c r="F990" t="s">
        <v>7</v>
      </c>
    </row>
    <row r="991" spans="1:6">
      <c r="A991" s="1">
        <v>45519</v>
      </c>
      <c r="B991" s="2">
        <v>45519.526823645836</v>
      </c>
      <c r="C991" t="s">
        <v>3</v>
      </c>
      <c r="D991" t="s">
        <v>246</v>
      </c>
      <c r="E991" s="5">
        <v>32.82</v>
      </c>
      <c r="F991" t="s">
        <v>7</v>
      </c>
    </row>
    <row r="992" spans="1:6">
      <c r="A992" s="1">
        <v>45441</v>
      </c>
      <c r="B992" s="2">
        <v>45441.46808859954</v>
      </c>
      <c r="C992" t="s">
        <v>3</v>
      </c>
      <c r="D992" t="s">
        <v>247</v>
      </c>
      <c r="E992" s="5">
        <v>37.72</v>
      </c>
      <c r="F992" t="s">
        <v>9</v>
      </c>
    </row>
    <row r="993" spans="1:6">
      <c r="A993" s="1">
        <v>45441</v>
      </c>
      <c r="B993" s="2">
        <v>45441.632506307869</v>
      </c>
      <c r="C993" t="s">
        <v>3</v>
      </c>
      <c r="D993" t="s">
        <v>248</v>
      </c>
      <c r="E993" s="5">
        <v>27.92</v>
      </c>
      <c r="F993" t="s">
        <v>11</v>
      </c>
    </row>
    <row r="994" spans="1:6">
      <c r="A994" s="1">
        <v>45441</v>
      </c>
      <c r="B994" s="2">
        <v>45441.640929641202</v>
      </c>
      <c r="C994" t="s">
        <v>3</v>
      </c>
      <c r="D994" t="s">
        <v>249</v>
      </c>
      <c r="E994" s="5">
        <v>37.72</v>
      </c>
      <c r="F994" t="s">
        <v>7</v>
      </c>
    </row>
    <row r="995" spans="1:6">
      <c r="A995" s="1">
        <v>45441</v>
      </c>
      <c r="B995" s="2">
        <v>45441.656397430554</v>
      </c>
      <c r="C995" t="s">
        <v>3</v>
      </c>
      <c r="D995" t="s">
        <v>250</v>
      </c>
      <c r="E995" s="5">
        <v>37.72</v>
      </c>
      <c r="F995" t="s">
        <v>43</v>
      </c>
    </row>
    <row r="996" spans="1:6">
      <c r="A996" s="1">
        <v>45441</v>
      </c>
      <c r="B996" s="2">
        <v>45441.697962384256</v>
      </c>
      <c r="C996" t="s">
        <v>3</v>
      </c>
      <c r="D996" t="s">
        <v>251</v>
      </c>
      <c r="E996" s="5">
        <v>37.72</v>
      </c>
      <c r="F996" t="s">
        <v>7</v>
      </c>
    </row>
    <row r="997" spans="1:6">
      <c r="A997" s="1">
        <v>45441</v>
      </c>
      <c r="B997" s="2">
        <v>45441.766705254631</v>
      </c>
      <c r="C997" t="s">
        <v>3</v>
      </c>
      <c r="D997" t="s">
        <v>252</v>
      </c>
      <c r="E997" s="5">
        <v>27.92</v>
      </c>
      <c r="F997" t="s">
        <v>28</v>
      </c>
    </row>
    <row r="998" spans="1:6">
      <c r="A998" s="1">
        <v>45441</v>
      </c>
      <c r="B998" s="2">
        <v>45441.767353136573</v>
      </c>
      <c r="C998" t="s">
        <v>3</v>
      </c>
      <c r="D998" t="s">
        <v>252</v>
      </c>
      <c r="E998" s="5">
        <v>37.72</v>
      </c>
      <c r="F998" t="s">
        <v>7</v>
      </c>
    </row>
    <row r="999" spans="1:6">
      <c r="A999" s="1">
        <v>45441</v>
      </c>
      <c r="B999" s="2">
        <v>45441.854655555559</v>
      </c>
      <c r="C999" t="s">
        <v>3</v>
      </c>
      <c r="D999" t="s">
        <v>253</v>
      </c>
      <c r="E999" s="5">
        <v>37.72</v>
      </c>
      <c r="F999" t="s">
        <v>9</v>
      </c>
    </row>
    <row r="1000" spans="1:6">
      <c r="A1000" s="1">
        <v>45441</v>
      </c>
      <c r="B1000" s="2">
        <v>45441.85596296296</v>
      </c>
      <c r="C1000" t="s">
        <v>3</v>
      </c>
      <c r="D1000" t="s">
        <v>254</v>
      </c>
      <c r="E1000" s="5">
        <v>37.72</v>
      </c>
      <c r="F1000" t="s">
        <v>18</v>
      </c>
    </row>
    <row r="1001" spans="1:6">
      <c r="A1001" s="1">
        <v>45442</v>
      </c>
      <c r="B1001" s="2">
        <v>45442.353544872683</v>
      </c>
      <c r="C1001" t="s">
        <v>3</v>
      </c>
      <c r="D1001" t="s">
        <v>255</v>
      </c>
      <c r="E1001" s="5">
        <v>37.72</v>
      </c>
      <c r="F1001" t="s">
        <v>43</v>
      </c>
    </row>
    <row r="1002" spans="1:6">
      <c r="A1002" s="1">
        <v>45442</v>
      </c>
      <c r="B1002" s="2">
        <v>45442.354416504633</v>
      </c>
      <c r="C1002" t="s">
        <v>3</v>
      </c>
      <c r="D1002" t="s">
        <v>255</v>
      </c>
      <c r="E1002" s="5">
        <v>37.72</v>
      </c>
      <c r="F1002" t="s">
        <v>7</v>
      </c>
    </row>
    <row r="1003" spans="1:6">
      <c r="A1003" s="1">
        <v>45442</v>
      </c>
      <c r="B1003" s="2">
        <v>45442.359090069447</v>
      </c>
      <c r="C1003" t="s">
        <v>3</v>
      </c>
      <c r="D1003" t="s">
        <v>256</v>
      </c>
      <c r="E1003" s="5">
        <v>32.82</v>
      </c>
      <c r="F1003" t="s">
        <v>14</v>
      </c>
    </row>
    <row r="1004" spans="1:6">
      <c r="A1004" s="1">
        <v>45548</v>
      </c>
      <c r="B1004" s="2">
        <v>45548.651607280095</v>
      </c>
      <c r="C1004" t="s">
        <v>3</v>
      </c>
      <c r="D1004" t="s">
        <v>256</v>
      </c>
      <c r="E1004" s="5">
        <v>27.92</v>
      </c>
      <c r="F1004" t="s">
        <v>14</v>
      </c>
    </row>
    <row r="1005" spans="1:6">
      <c r="A1005" s="1">
        <v>45576</v>
      </c>
      <c r="B1005" s="2">
        <v>45576.437916331015</v>
      </c>
      <c r="C1005" t="s">
        <v>3</v>
      </c>
      <c r="D1005" t="s">
        <v>256</v>
      </c>
      <c r="E1005" s="5">
        <v>30.86</v>
      </c>
      <c r="F1005" t="s">
        <v>14</v>
      </c>
    </row>
    <row r="1006" spans="1:6">
      <c r="A1006" s="1">
        <v>45593</v>
      </c>
      <c r="B1006" s="2">
        <v>45593.385911817131</v>
      </c>
      <c r="C1006" t="s">
        <v>3</v>
      </c>
      <c r="D1006" t="s">
        <v>256</v>
      </c>
      <c r="E1006" s="5">
        <v>30.86</v>
      </c>
      <c r="F1006" t="s">
        <v>14</v>
      </c>
    </row>
    <row r="1007" spans="1:6">
      <c r="A1007" s="1">
        <v>45442</v>
      </c>
      <c r="B1007" s="2">
        <v>45442.636292418982</v>
      </c>
      <c r="C1007" t="s">
        <v>3</v>
      </c>
      <c r="D1007" t="s">
        <v>257</v>
      </c>
      <c r="E1007" s="5">
        <v>23.02</v>
      </c>
      <c r="F1007" t="s">
        <v>35</v>
      </c>
    </row>
    <row r="1008" spans="1:6">
      <c r="A1008" s="1">
        <v>45442</v>
      </c>
      <c r="B1008" s="2">
        <v>45442.85492395833</v>
      </c>
      <c r="C1008" t="s">
        <v>3</v>
      </c>
      <c r="D1008" t="s">
        <v>258</v>
      </c>
      <c r="E1008" s="5">
        <v>37.72</v>
      </c>
      <c r="F1008" t="s">
        <v>7</v>
      </c>
    </row>
    <row r="1009" spans="1:6">
      <c r="A1009" s="1">
        <v>45443</v>
      </c>
      <c r="B1009" s="2">
        <v>45443.329135115739</v>
      </c>
      <c r="C1009" t="s">
        <v>3</v>
      </c>
      <c r="D1009" t="s">
        <v>259</v>
      </c>
      <c r="E1009" s="5">
        <v>32.82</v>
      </c>
      <c r="F1009" t="s">
        <v>14</v>
      </c>
    </row>
    <row r="1010" spans="1:6">
      <c r="A1010" s="1">
        <v>45443</v>
      </c>
      <c r="B1010" s="2">
        <v>45443.389673854166</v>
      </c>
      <c r="C1010" t="s">
        <v>3</v>
      </c>
      <c r="D1010" t="s">
        <v>260</v>
      </c>
      <c r="E1010" s="5">
        <v>37.72</v>
      </c>
      <c r="F1010" t="s">
        <v>7</v>
      </c>
    </row>
    <row r="1011" spans="1:6">
      <c r="A1011" s="1">
        <v>45443</v>
      </c>
      <c r="B1011" s="2">
        <v>45443.44314653935</v>
      </c>
      <c r="C1011" t="s">
        <v>3</v>
      </c>
      <c r="D1011" t="s">
        <v>261</v>
      </c>
      <c r="E1011" s="5">
        <v>37.72</v>
      </c>
      <c r="F1011" t="s">
        <v>9</v>
      </c>
    </row>
    <row r="1012" spans="1:6">
      <c r="A1012" s="1">
        <v>45443</v>
      </c>
      <c r="B1012" s="2">
        <v>45443.443821018518</v>
      </c>
      <c r="C1012" t="s">
        <v>3</v>
      </c>
      <c r="D1012" t="s">
        <v>262</v>
      </c>
      <c r="E1012" s="5">
        <v>37.72</v>
      </c>
      <c r="F1012" t="s">
        <v>18</v>
      </c>
    </row>
    <row r="1013" spans="1:6">
      <c r="A1013" s="1">
        <v>45443</v>
      </c>
      <c r="B1013" s="2">
        <v>45443.618205740742</v>
      </c>
      <c r="C1013" t="s">
        <v>3</v>
      </c>
      <c r="D1013" t="s">
        <v>263</v>
      </c>
      <c r="E1013" s="5">
        <v>32.82</v>
      </c>
      <c r="F1013" t="s">
        <v>14</v>
      </c>
    </row>
    <row r="1014" spans="1:6">
      <c r="A1014" s="1">
        <v>45443</v>
      </c>
      <c r="B1014" s="2">
        <v>45443.766488842593</v>
      </c>
      <c r="C1014" t="s">
        <v>3</v>
      </c>
      <c r="D1014" t="s">
        <v>264</v>
      </c>
      <c r="E1014" s="5">
        <v>37.72</v>
      </c>
      <c r="F1014" t="s">
        <v>7</v>
      </c>
    </row>
    <row r="1015" spans="1:6">
      <c r="A1015" s="1">
        <v>45443</v>
      </c>
      <c r="B1015" s="2">
        <v>45443.767398969911</v>
      </c>
      <c r="C1015" t="s">
        <v>3</v>
      </c>
      <c r="D1015" t="s">
        <v>264</v>
      </c>
      <c r="E1015" s="5">
        <v>37.72</v>
      </c>
      <c r="F1015" t="s">
        <v>7</v>
      </c>
    </row>
    <row r="1016" spans="1:6">
      <c r="A1016" s="1">
        <v>45444</v>
      </c>
      <c r="B1016" s="2">
        <v>45444.484830682872</v>
      </c>
      <c r="C1016" t="s">
        <v>3</v>
      </c>
      <c r="D1016" t="s">
        <v>264</v>
      </c>
      <c r="E1016" s="5">
        <v>37.72</v>
      </c>
      <c r="F1016" t="s">
        <v>7</v>
      </c>
    </row>
    <row r="1017" spans="1:6">
      <c r="A1017" s="1">
        <v>45503</v>
      </c>
      <c r="B1017" s="2">
        <v>45503.432871759258</v>
      </c>
      <c r="C1017" t="s">
        <v>3</v>
      </c>
      <c r="D1017" t="s">
        <v>264</v>
      </c>
      <c r="E1017" s="5">
        <v>32.82</v>
      </c>
      <c r="F1017" t="s">
        <v>7</v>
      </c>
    </row>
    <row r="1018" spans="1:6">
      <c r="A1018" s="1">
        <v>45444</v>
      </c>
      <c r="B1018" s="2">
        <v>45444.764036805558</v>
      </c>
      <c r="C1018" t="s">
        <v>3</v>
      </c>
      <c r="D1018" t="s">
        <v>265</v>
      </c>
      <c r="E1018" s="5">
        <v>32.82</v>
      </c>
      <c r="F1018" t="s">
        <v>14</v>
      </c>
    </row>
    <row r="1019" spans="1:6">
      <c r="A1019" s="1">
        <v>45444</v>
      </c>
      <c r="B1019" s="2">
        <v>45444.764761145831</v>
      </c>
      <c r="C1019" t="s">
        <v>3</v>
      </c>
      <c r="D1019" t="s">
        <v>265</v>
      </c>
      <c r="E1019" s="5">
        <v>32.82</v>
      </c>
      <c r="F1019" t="s">
        <v>14</v>
      </c>
    </row>
    <row r="1020" spans="1:6">
      <c r="A1020" s="1">
        <v>45444</v>
      </c>
      <c r="B1020" s="2">
        <v>45444.874417696759</v>
      </c>
      <c r="C1020" t="s">
        <v>3</v>
      </c>
      <c r="D1020" t="s">
        <v>266</v>
      </c>
      <c r="E1020" s="5">
        <v>37.72</v>
      </c>
      <c r="F1020" t="s">
        <v>18</v>
      </c>
    </row>
    <row r="1021" spans="1:6">
      <c r="A1021" s="1">
        <v>45445</v>
      </c>
      <c r="B1021" s="2">
        <v>45445.895977199078</v>
      </c>
      <c r="C1021" t="s">
        <v>3</v>
      </c>
      <c r="D1021" t="s">
        <v>267</v>
      </c>
      <c r="E1021" s="5">
        <v>37.72</v>
      </c>
      <c r="F1021" t="s">
        <v>7</v>
      </c>
    </row>
    <row r="1022" spans="1:6">
      <c r="A1022" s="1">
        <v>45447</v>
      </c>
      <c r="B1022" s="2">
        <v>45447.501507094908</v>
      </c>
      <c r="C1022" t="s">
        <v>3</v>
      </c>
      <c r="D1022" t="s">
        <v>268</v>
      </c>
      <c r="E1022" s="5">
        <v>37.72</v>
      </c>
      <c r="F1022" t="s">
        <v>7</v>
      </c>
    </row>
    <row r="1023" spans="1:6">
      <c r="A1023" s="1">
        <v>45447</v>
      </c>
      <c r="B1023" s="2">
        <v>45447.503810023147</v>
      </c>
      <c r="C1023" t="s">
        <v>3</v>
      </c>
      <c r="D1023" t="s">
        <v>268</v>
      </c>
      <c r="E1023" s="5">
        <v>37.72</v>
      </c>
      <c r="F1023" t="s">
        <v>9</v>
      </c>
    </row>
    <row r="1024" spans="1:6">
      <c r="A1024" s="1">
        <v>45447</v>
      </c>
      <c r="B1024" s="2">
        <v>45447.646208969905</v>
      </c>
      <c r="C1024" t="s">
        <v>3</v>
      </c>
      <c r="D1024" t="s">
        <v>269</v>
      </c>
      <c r="E1024" s="5">
        <v>37.72</v>
      </c>
      <c r="F1024" t="s">
        <v>7</v>
      </c>
    </row>
    <row r="1025" spans="1:6">
      <c r="A1025" s="1">
        <v>45567</v>
      </c>
      <c r="B1025" s="2">
        <v>45567.771610567128</v>
      </c>
      <c r="C1025" t="s">
        <v>3</v>
      </c>
      <c r="D1025" t="s">
        <v>269</v>
      </c>
      <c r="E1025" s="5">
        <v>35.76</v>
      </c>
      <c r="F1025" t="s">
        <v>9</v>
      </c>
    </row>
    <row r="1026" spans="1:6">
      <c r="A1026" s="1">
        <v>45447</v>
      </c>
      <c r="B1026" s="2">
        <v>45447.842375046297</v>
      </c>
      <c r="C1026" t="s">
        <v>3</v>
      </c>
      <c r="D1026" t="s">
        <v>270</v>
      </c>
      <c r="E1026" s="5">
        <v>37.72</v>
      </c>
      <c r="F1026" t="s">
        <v>9</v>
      </c>
    </row>
    <row r="1027" spans="1:6">
      <c r="A1027" s="1">
        <v>45455</v>
      </c>
      <c r="B1027" s="2">
        <v>45455.844833888892</v>
      </c>
      <c r="C1027" t="s">
        <v>3</v>
      </c>
      <c r="D1027" t="s">
        <v>270</v>
      </c>
      <c r="E1027" s="5">
        <v>37.72</v>
      </c>
      <c r="F1027" t="s">
        <v>9</v>
      </c>
    </row>
    <row r="1028" spans="1:6">
      <c r="A1028" s="1">
        <v>45447</v>
      </c>
      <c r="B1028" s="2">
        <v>45447.868447870373</v>
      </c>
      <c r="C1028" t="s">
        <v>3</v>
      </c>
      <c r="D1028" t="s">
        <v>271</v>
      </c>
      <c r="E1028" s="5">
        <v>37.72</v>
      </c>
      <c r="F1028" t="s">
        <v>43</v>
      </c>
    </row>
    <row r="1029" spans="1:6">
      <c r="A1029" s="1">
        <v>45463</v>
      </c>
      <c r="B1029" s="2">
        <v>45463.90219922454</v>
      </c>
      <c r="C1029" t="s">
        <v>3</v>
      </c>
      <c r="D1029" t="s">
        <v>271</v>
      </c>
      <c r="E1029" s="5">
        <v>37.72</v>
      </c>
      <c r="F1029" t="s">
        <v>7</v>
      </c>
    </row>
    <row r="1030" spans="1:6">
      <c r="A1030" s="1">
        <v>45498</v>
      </c>
      <c r="B1030" s="2">
        <v>45498.806258842589</v>
      </c>
      <c r="C1030" t="s">
        <v>3</v>
      </c>
      <c r="D1030" t="s">
        <v>271</v>
      </c>
      <c r="E1030" s="5">
        <v>32.82</v>
      </c>
      <c r="F1030" t="s">
        <v>43</v>
      </c>
    </row>
    <row r="1031" spans="1:6">
      <c r="A1031" s="1">
        <v>45578</v>
      </c>
      <c r="B1031" s="2">
        <v>45578.863251481482</v>
      </c>
      <c r="C1031" t="s">
        <v>3</v>
      </c>
      <c r="D1031" t="s">
        <v>271</v>
      </c>
      <c r="E1031" s="5">
        <v>35.76</v>
      </c>
      <c r="F1031" t="s">
        <v>43</v>
      </c>
    </row>
    <row r="1032" spans="1:6">
      <c r="A1032" s="1">
        <v>45593</v>
      </c>
      <c r="B1032" s="2">
        <v>45593.798903414354</v>
      </c>
      <c r="C1032" t="s">
        <v>3</v>
      </c>
      <c r="D1032" t="s">
        <v>271</v>
      </c>
      <c r="E1032" s="5">
        <v>35.76</v>
      </c>
      <c r="F1032" t="s">
        <v>43</v>
      </c>
    </row>
    <row r="1033" spans="1:6">
      <c r="A1033" s="1">
        <v>45447</v>
      </c>
      <c r="B1033" s="2">
        <v>45447.897209583331</v>
      </c>
      <c r="C1033" t="s">
        <v>3</v>
      </c>
      <c r="D1033" t="s">
        <v>272</v>
      </c>
      <c r="E1033" s="5">
        <v>27.92</v>
      </c>
      <c r="F1033" t="s">
        <v>28</v>
      </c>
    </row>
    <row r="1034" spans="1:6">
      <c r="A1034" s="1">
        <v>45508</v>
      </c>
      <c r="B1034" s="2">
        <v>45508.493687534719</v>
      </c>
      <c r="C1034" t="s">
        <v>3</v>
      </c>
      <c r="D1034" t="s">
        <v>272</v>
      </c>
      <c r="E1034" s="5">
        <v>32.82</v>
      </c>
      <c r="F1034" t="s">
        <v>43</v>
      </c>
    </row>
    <row r="1035" spans="1:6">
      <c r="A1035" s="1">
        <v>45508</v>
      </c>
      <c r="B1035" s="2">
        <v>45508.494826585651</v>
      </c>
      <c r="C1035" t="s">
        <v>3</v>
      </c>
      <c r="D1035" t="s">
        <v>272</v>
      </c>
      <c r="E1035" s="5">
        <v>27.92</v>
      </c>
      <c r="F1035" t="s">
        <v>14</v>
      </c>
    </row>
    <row r="1036" spans="1:6">
      <c r="A1036" s="1">
        <v>45582</v>
      </c>
      <c r="B1036" s="2">
        <v>45582.714210081016</v>
      </c>
      <c r="C1036" t="s">
        <v>3</v>
      </c>
      <c r="D1036" t="s">
        <v>272</v>
      </c>
      <c r="E1036" s="5">
        <v>35.76</v>
      </c>
      <c r="F1036" t="s">
        <v>43</v>
      </c>
    </row>
    <row r="1037" spans="1:6">
      <c r="A1037" s="1">
        <v>45582</v>
      </c>
      <c r="B1037" s="2">
        <v>45582.714934062496</v>
      </c>
      <c r="C1037" t="s">
        <v>3</v>
      </c>
      <c r="D1037" t="s">
        <v>272</v>
      </c>
      <c r="E1037" s="5">
        <v>35.76</v>
      </c>
      <c r="F1037" t="s">
        <v>9</v>
      </c>
    </row>
    <row r="1038" spans="1:6">
      <c r="A1038" s="1">
        <v>45447</v>
      </c>
      <c r="B1038" s="2">
        <v>45447.897947002311</v>
      </c>
      <c r="C1038" t="s">
        <v>3</v>
      </c>
      <c r="D1038" t="s">
        <v>273</v>
      </c>
      <c r="E1038" s="5">
        <v>32.82</v>
      </c>
      <c r="F1038" t="s">
        <v>14</v>
      </c>
    </row>
    <row r="1039" spans="1:6">
      <c r="A1039" s="1">
        <v>45447</v>
      </c>
      <c r="B1039" s="2">
        <v>45447.899255405093</v>
      </c>
      <c r="C1039" t="s">
        <v>3</v>
      </c>
      <c r="D1039" t="s">
        <v>274</v>
      </c>
      <c r="E1039" s="5">
        <v>32.82</v>
      </c>
      <c r="F1039" t="s">
        <v>14</v>
      </c>
    </row>
    <row r="1040" spans="1:6">
      <c r="A1040" s="1">
        <v>45447</v>
      </c>
      <c r="B1040" s="2">
        <v>45447.90008013889</v>
      </c>
      <c r="C1040" t="s">
        <v>3</v>
      </c>
      <c r="D1040" t="s">
        <v>274</v>
      </c>
      <c r="E1040" s="5">
        <v>32.82</v>
      </c>
      <c r="F1040" t="s">
        <v>14</v>
      </c>
    </row>
    <row r="1041" spans="1:6">
      <c r="A1041" s="1">
        <v>45447</v>
      </c>
      <c r="B1041" s="2">
        <v>45447.900869953701</v>
      </c>
      <c r="C1041" t="s">
        <v>3</v>
      </c>
      <c r="D1041" t="s">
        <v>274</v>
      </c>
      <c r="E1041" s="5">
        <v>32.82</v>
      </c>
      <c r="F1041" t="s">
        <v>14</v>
      </c>
    </row>
    <row r="1042" spans="1:6">
      <c r="A1042" s="1">
        <v>45448</v>
      </c>
      <c r="B1042" s="2">
        <v>45448.348483379632</v>
      </c>
      <c r="C1042" t="s">
        <v>3</v>
      </c>
      <c r="D1042" t="s">
        <v>275</v>
      </c>
      <c r="E1042" s="5">
        <v>37.72</v>
      </c>
      <c r="F1042" t="s">
        <v>43</v>
      </c>
    </row>
    <row r="1043" spans="1:6">
      <c r="A1043" s="1">
        <v>45448</v>
      </c>
      <c r="B1043" s="2">
        <v>45448.349383368055</v>
      </c>
      <c r="C1043" t="s">
        <v>3</v>
      </c>
      <c r="D1043" t="s">
        <v>275</v>
      </c>
      <c r="E1043" s="5">
        <v>37.72</v>
      </c>
      <c r="F1043" t="s">
        <v>43</v>
      </c>
    </row>
    <row r="1044" spans="1:6">
      <c r="A1044" s="1">
        <v>45735</v>
      </c>
      <c r="B1044" s="2">
        <v>45735.294544189812</v>
      </c>
      <c r="C1044" t="s">
        <v>3</v>
      </c>
      <c r="D1044" t="s">
        <v>275</v>
      </c>
      <c r="E1044" s="5">
        <v>25.96</v>
      </c>
      <c r="F1044" t="s">
        <v>11</v>
      </c>
    </row>
    <row r="1045" spans="1:6">
      <c r="A1045" s="1">
        <v>45448</v>
      </c>
      <c r="B1045" s="2">
        <v>45448.390776712964</v>
      </c>
      <c r="C1045" t="s">
        <v>3</v>
      </c>
      <c r="D1045" t="s">
        <v>276</v>
      </c>
      <c r="E1045" s="5">
        <v>27.92</v>
      </c>
      <c r="F1045" t="s">
        <v>11</v>
      </c>
    </row>
    <row r="1046" spans="1:6">
      <c r="A1046" s="1">
        <v>45448</v>
      </c>
      <c r="B1046" s="2">
        <v>45448.822195312503</v>
      </c>
      <c r="C1046" t="s">
        <v>3</v>
      </c>
      <c r="D1046" t="s">
        <v>277</v>
      </c>
      <c r="E1046" s="5">
        <v>32.82</v>
      </c>
      <c r="F1046" t="s">
        <v>14</v>
      </c>
    </row>
    <row r="1047" spans="1:6">
      <c r="A1047" s="1">
        <v>45448</v>
      </c>
      <c r="B1047" s="2">
        <v>45448.83325841435</v>
      </c>
      <c r="C1047" t="s">
        <v>3</v>
      </c>
      <c r="D1047" t="s">
        <v>278</v>
      </c>
      <c r="E1047" s="5">
        <v>37.72</v>
      </c>
      <c r="F1047" t="s">
        <v>7</v>
      </c>
    </row>
    <row r="1048" spans="1:6">
      <c r="A1048" s="1">
        <v>45449</v>
      </c>
      <c r="B1048" s="2">
        <v>45449.512285578705</v>
      </c>
      <c r="C1048" t="s">
        <v>3</v>
      </c>
      <c r="D1048" t="s">
        <v>279</v>
      </c>
      <c r="E1048" s="5">
        <v>27.92</v>
      </c>
      <c r="F1048" t="s">
        <v>11</v>
      </c>
    </row>
    <row r="1049" spans="1:6">
      <c r="A1049" s="1">
        <v>45690</v>
      </c>
      <c r="B1049" s="2">
        <v>45690.599274571759</v>
      </c>
      <c r="C1049" t="s">
        <v>3</v>
      </c>
      <c r="D1049" t="s">
        <v>279</v>
      </c>
      <c r="E1049" s="5">
        <v>30.86</v>
      </c>
      <c r="F1049" t="s">
        <v>14</v>
      </c>
    </row>
    <row r="1050" spans="1:6">
      <c r="A1050" s="1">
        <v>45449</v>
      </c>
      <c r="B1050" s="2">
        <v>45449.641738668979</v>
      </c>
      <c r="C1050" t="s">
        <v>3</v>
      </c>
      <c r="D1050" t="s">
        <v>280</v>
      </c>
      <c r="E1050" s="5">
        <v>37.72</v>
      </c>
      <c r="F1050" t="s">
        <v>43</v>
      </c>
    </row>
    <row r="1051" spans="1:6">
      <c r="A1051" s="1">
        <v>45449</v>
      </c>
      <c r="B1051" s="2">
        <v>45449.884781273147</v>
      </c>
      <c r="C1051" t="s">
        <v>3</v>
      </c>
      <c r="D1051" t="s">
        <v>281</v>
      </c>
      <c r="E1051" s="5">
        <v>37.72</v>
      </c>
      <c r="F1051" t="s">
        <v>7</v>
      </c>
    </row>
    <row r="1052" spans="1:6">
      <c r="A1052" s="1">
        <v>45449</v>
      </c>
      <c r="B1052" s="2">
        <v>45449.885905405092</v>
      </c>
      <c r="C1052" t="s">
        <v>3</v>
      </c>
      <c r="D1052" t="s">
        <v>281</v>
      </c>
      <c r="E1052" s="5">
        <v>37.72</v>
      </c>
      <c r="F1052" t="s">
        <v>7</v>
      </c>
    </row>
    <row r="1053" spans="1:6">
      <c r="A1053" s="1">
        <v>45449</v>
      </c>
      <c r="B1053" s="2">
        <v>45449.889634722225</v>
      </c>
      <c r="C1053" t="s">
        <v>3</v>
      </c>
      <c r="D1053" t="s">
        <v>281</v>
      </c>
      <c r="E1053" s="5">
        <v>37.72</v>
      </c>
      <c r="F1053" t="s">
        <v>7</v>
      </c>
    </row>
    <row r="1054" spans="1:6">
      <c r="A1054" s="1">
        <v>45450</v>
      </c>
      <c r="B1054" s="2">
        <v>45450.345883055554</v>
      </c>
      <c r="C1054" t="s">
        <v>3</v>
      </c>
      <c r="D1054" t="s">
        <v>282</v>
      </c>
      <c r="E1054" s="5">
        <v>37.72</v>
      </c>
      <c r="F1054" t="s">
        <v>43</v>
      </c>
    </row>
    <row r="1055" spans="1:6">
      <c r="A1055" s="1">
        <v>45508</v>
      </c>
      <c r="B1055" s="2">
        <v>45508.648520104165</v>
      </c>
      <c r="C1055" t="s">
        <v>3</v>
      </c>
      <c r="D1055" t="s">
        <v>282</v>
      </c>
      <c r="E1055" s="5">
        <v>32.82</v>
      </c>
      <c r="F1055" t="s">
        <v>43</v>
      </c>
    </row>
    <row r="1056" spans="1:6">
      <c r="A1056" s="1">
        <v>45508</v>
      </c>
      <c r="B1056" s="2">
        <v>45508.649373912034</v>
      </c>
      <c r="C1056" t="s">
        <v>3</v>
      </c>
      <c r="D1056" t="s">
        <v>282</v>
      </c>
      <c r="E1056" s="5">
        <v>32.82</v>
      </c>
      <c r="F1056" t="s">
        <v>43</v>
      </c>
    </row>
    <row r="1057" spans="1:6">
      <c r="A1057" s="1">
        <v>45544</v>
      </c>
      <c r="B1057" s="2">
        <v>45544.838613402775</v>
      </c>
      <c r="C1057" t="s">
        <v>3</v>
      </c>
      <c r="D1057" t="s">
        <v>282</v>
      </c>
      <c r="E1057" s="5">
        <v>32.82</v>
      </c>
      <c r="F1057" t="s">
        <v>43</v>
      </c>
    </row>
    <row r="1058" spans="1:6">
      <c r="A1058" s="1">
        <v>45450</v>
      </c>
      <c r="B1058" s="2">
        <v>45450.441297500001</v>
      </c>
      <c r="C1058" t="s">
        <v>3</v>
      </c>
      <c r="D1058" t="s">
        <v>283</v>
      </c>
      <c r="E1058" s="5">
        <v>23.02</v>
      </c>
      <c r="F1058" t="s">
        <v>35</v>
      </c>
    </row>
    <row r="1059" spans="1:6">
      <c r="A1059" s="1">
        <v>45450</v>
      </c>
      <c r="B1059" s="2">
        <v>45450.698405300929</v>
      </c>
      <c r="C1059" t="s">
        <v>3</v>
      </c>
      <c r="D1059" t="s">
        <v>284</v>
      </c>
      <c r="E1059" s="5">
        <v>27.92</v>
      </c>
      <c r="F1059" t="s">
        <v>28</v>
      </c>
    </row>
    <row r="1060" spans="1:6">
      <c r="A1060" s="1">
        <v>45450</v>
      </c>
      <c r="B1060" s="2">
        <v>45450.699484733799</v>
      </c>
      <c r="C1060" t="s">
        <v>3</v>
      </c>
      <c r="D1060" t="s">
        <v>284</v>
      </c>
      <c r="E1060" s="5">
        <v>27.92</v>
      </c>
      <c r="F1060" t="s">
        <v>28</v>
      </c>
    </row>
    <row r="1061" spans="1:6">
      <c r="A1061" s="1">
        <v>45476</v>
      </c>
      <c r="B1061" s="2">
        <v>45476.703652986114</v>
      </c>
      <c r="C1061" t="s">
        <v>3</v>
      </c>
      <c r="D1061" t="s">
        <v>284</v>
      </c>
      <c r="E1061" s="5">
        <v>32.82</v>
      </c>
      <c r="F1061" t="s">
        <v>14</v>
      </c>
    </row>
    <row r="1062" spans="1:6">
      <c r="A1062" s="1">
        <v>45476</v>
      </c>
      <c r="B1062" s="2">
        <v>45476.705224803241</v>
      </c>
      <c r="C1062" t="s">
        <v>3</v>
      </c>
      <c r="D1062" t="s">
        <v>284</v>
      </c>
      <c r="E1062" s="5">
        <v>37.72</v>
      </c>
      <c r="F1062" t="s">
        <v>7</v>
      </c>
    </row>
    <row r="1063" spans="1:6">
      <c r="A1063" s="1">
        <v>45451</v>
      </c>
      <c r="B1063" s="2">
        <v>45451.378009444445</v>
      </c>
      <c r="C1063" t="s">
        <v>3</v>
      </c>
      <c r="D1063" t="s">
        <v>285</v>
      </c>
      <c r="E1063" s="5">
        <v>27.92</v>
      </c>
      <c r="F1063" t="s">
        <v>28</v>
      </c>
    </row>
    <row r="1064" spans="1:6">
      <c r="A1064" s="1">
        <v>45452</v>
      </c>
      <c r="B1064" s="2">
        <v>45452.437551631941</v>
      </c>
      <c r="C1064" t="s">
        <v>3</v>
      </c>
      <c r="D1064" t="s">
        <v>286</v>
      </c>
      <c r="E1064" s="5">
        <v>37.72</v>
      </c>
      <c r="F1064" t="s">
        <v>7</v>
      </c>
    </row>
    <row r="1065" spans="1:6">
      <c r="A1065" s="1">
        <v>45452</v>
      </c>
      <c r="B1065" s="2">
        <v>45452.452844872685</v>
      </c>
      <c r="C1065" t="s">
        <v>3</v>
      </c>
      <c r="D1065" t="s">
        <v>287</v>
      </c>
      <c r="E1065" s="5">
        <v>37.72</v>
      </c>
      <c r="F1065" t="s">
        <v>43</v>
      </c>
    </row>
    <row r="1066" spans="1:6">
      <c r="A1066" s="1">
        <v>45452</v>
      </c>
      <c r="B1066" s="2">
        <v>45452.463288287036</v>
      </c>
      <c r="C1066" t="s">
        <v>3</v>
      </c>
      <c r="D1066" t="s">
        <v>288</v>
      </c>
      <c r="E1066" s="5">
        <v>23.02</v>
      </c>
      <c r="F1066" t="s">
        <v>35</v>
      </c>
    </row>
    <row r="1067" spans="1:6">
      <c r="A1067" s="1">
        <v>45459</v>
      </c>
      <c r="B1067" s="2">
        <v>45459.583784629627</v>
      </c>
      <c r="C1067" t="s">
        <v>3</v>
      </c>
      <c r="D1067" t="s">
        <v>288</v>
      </c>
      <c r="E1067" s="5">
        <v>23.02</v>
      </c>
      <c r="F1067" t="s">
        <v>35</v>
      </c>
    </row>
    <row r="1068" spans="1:6">
      <c r="A1068" s="1">
        <v>45471</v>
      </c>
      <c r="B1068" s="2">
        <v>45471.744374918984</v>
      </c>
      <c r="C1068" t="s">
        <v>3</v>
      </c>
      <c r="D1068" t="s">
        <v>288</v>
      </c>
      <c r="E1068" s="5">
        <v>23.02</v>
      </c>
      <c r="F1068" t="s">
        <v>35</v>
      </c>
    </row>
    <row r="1069" spans="1:6">
      <c r="A1069" s="1">
        <v>45586</v>
      </c>
      <c r="B1069" s="2">
        <v>45586.477565439818</v>
      </c>
      <c r="C1069" t="s">
        <v>3</v>
      </c>
      <c r="D1069" t="s">
        <v>288</v>
      </c>
      <c r="E1069" s="5">
        <v>21.06</v>
      </c>
      <c r="F1069" t="s">
        <v>35</v>
      </c>
    </row>
    <row r="1070" spans="1:6">
      <c r="A1070" s="1">
        <v>45452</v>
      </c>
      <c r="B1070" s="2">
        <v>45452.495018703703</v>
      </c>
      <c r="C1070" t="s">
        <v>3</v>
      </c>
      <c r="D1070" t="s">
        <v>289</v>
      </c>
      <c r="E1070" s="5">
        <v>37.72</v>
      </c>
      <c r="F1070" t="s">
        <v>43</v>
      </c>
    </row>
    <row r="1071" spans="1:6">
      <c r="A1071" s="1">
        <v>45452</v>
      </c>
      <c r="B1071" s="2">
        <v>45452.507912499997</v>
      </c>
      <c r="C1071" t="s">
        <v>3</v>
      </c>
      <c r="D1071" t="s">
        <v>290</v>
      </c>
      <c r="E1071" s="5">
        <v>32.82</v>
      </c>
      <c r="F1071" t="s">
        <v>14</v>
      </c>
    </row>
    <row r="1072" spans="1:6">
      <c r="A1072" s="1">
        <v>45452</v>
      </c>
      <c r="B1072" s="2">
        <v>45452.509121145835</v>
      </c>
      <c r="C1072" t="s">
        <v>3</v>
      </c>
      <c r="D1072" t="s">
        <v>290</v>
      </c>
      <c r="E1072" s="5">
        <v>37.72</v>
      </c>
      <c r="F1072" t="s">
        <v>7</v>
      </c>
    </row>
    <row r="1073" spans="1:6">
      <c r="A1073" s="1">
        <v>45452</v>
      </c>
      <c r="B1073" s="2">
        <v>45452.50984702546</v>
      </c>
      <c r="C1073" t="s">
        <v>3</v>
      </c>
      <c r="D1073" t="s">
        <v>290</v>
      </c>
      <c r="E1073" s="5">
        <v>37.72</v>
      </c>
      <c r="F1073" t="s">
        <v>7</v>
      </c>
    </row>
    <row r="1074" spans="1:6">
      <c r="A1074" s="1">
        <v>45459</v>
      </c>
      <c r="B1074" s="2">
        <v>45459.534347499997</v>
      </c>
      <c r="C1074" t="s">
        <v>3</v>
      </c>
      <c r="D1074" t="s">
        <v>290</v>
      </c>
      <c r="E1074" s="5">
        <v>32.82</v>
      </c>
      <c r="F1074" t="s">
        <v>14</v>
      </c>
    </row>
    <row r="1075" spans="1:6">
      <c r="A1075" s="1">
        <v>45482</v>
      </c>
      <c r="B1075" s="2">
        <v>45482.444777395831</v>
      </c>
      <c r="C1075" t="s">
        <v>3</v>
      </c>
      <c r="D1075" t="s">
        <v>290</v>
      </c>
      <c r="E1075" s="5">
        <v>27.92</v>
      </c>
      <c r="F1075" t="s">
        <v>14</v>
      </c>
    </row>
    <row r="1076" spans="1:6">
      <c r="A1076" s="1">
        <v>45501</v>
      </c>
      <c r="B1076" s="2">
        <v>45501.595766261577</v>
      </c>
      <c r="C1076" t="s">
        <v>3</v>
      </c>
      <c r="D1076" t="s">
        <v>290</v>
      </c>
      <c r="E1076" s="5">
        <v>27.92</v>
      </c>
      <c r="F1076" t="s">
        <v>14</v>
      </c>
    </row>
    <row r="1077" spans="1:6">
      <c r="A1077" s="1">
        <v>45501</v>
      </c>
      <c r="B1077" s="2">
        <v>45501.596437453707</v>
      </c>
      <c r="C1077" t="s">
        <v>3</v>
      </c>
      <c r="D1077" t="s">
        <v>290</v>
      </c>
      <c r="E1077" s="5">
        <v>32.82</v>
      </c>
      <c r="F1077" t="s">
        <v>7</v>
      </c>
    </row>
    <row r="1078" spans="1:6">
      <c r="A1078" s="1">
        <v>45503</v>
      </c>
      <c r="B1078" s="2">
        <v>45503.430257094908</v>
      </c>
      <c r="C1078" t="s">
        <v>3</v>
      </c>
      <c r="D1078" t="s">
        <v>290</v>
      </c>
      <c r="E1078" s="5">
        <v>27.92</v>
      </c>
      <c r="F1078" t="s">
        <v>14</v>
      </c>
    </row>
    <row r="1079" spans="1:6">
      <c r="A1079" s="1">
        <v>45504</v>
      </c>
      <c r="B1079" s="2">
        <v>45504.415461377313</v>
      </c>
      <c r="C1079" t="s">
        <v>3</v>
      </c>
      <c r="D1079" t="s">
        <v>290</v>
      </c>
      <c r="E1079" s="5">
        <v>27.92</v>
      </c>
      <c r="F1079" t="s">
        <v>14</v>
      </c>
    </row>
    <row r="1080" spans="1:6">
      <c r="A1080" s="1">
        <v>45505</v>
      </c>
      <c r="B1080" s="2">
        <v>45505.392593287041</v>
      </c>
      <c r="C1080" t="s">
        <v>3</v>
      </c>
      <c r="D1080" t="s">
        <v>290</v>
      </c>
      <c r="E1080" s="5">
        <v>27.92</v>
      </c>
      <c r="F1080" t="s">
        <v>14</v>
      </c>
    </row>
    <row r="1081" spans="1:6">
      <c r="A1081" s="1">
        <v>45525</v>
      </c>
      <c r="B1081" s="2">
        <v>45525.443570914351</v>
      </c>
      <c r="C1081" t="s">
        <v>3</v>
      </c>
      <c r="D1081" t="s">
        <v>290</v>
      </c>
      <c r="E1081" s="5">
        <v>27.92</v>
      </c>
      <c r="F1081" t="s">
        <v>14</v>
      </c>
    </row>
    <row r="1082" spans="1:6">
      <c r="A1082" s="1">
        <v>45542</v>
      </c>
      <c r="B1082" s="2">
        <v>45542.415134861112</v>
      </c>
      <c r="C1082" t="s">
        <v>3</v>
      </c>
      <c r="D1082" t="s">
        <v>290</v>
      </c>
      <c r="E1082" s="5">
        <v>27.92</v>
      </c>
      <c r="F1082" t="s">
        <v>14</v>
      </c>
    </row>
    <row r="1083" spans="1:6">
      <c r="A1083" s="1">
        <v>45542</v>
      </c>
      <c r="B1083" s="2">
        <v>45542.415998958335</v>
      </c>
      <c r="C1083" t="s">
        <v>3</v>
      </c>
      <c r="D1083" t="s">
        <v>290</v>
      </c>
      <c r="E1083" s="5">
        <v>27.92</v>
      </c>
      <c r="F1083" t="s">
        <v>14</v>
      </c>
    </row>
    <row r="1084" spans="1:6">
      <c r="A1084" s="1">
        <v>45552</v>
      </c>
      <c r="B1084" s="2">
        <v>45552.359462418979</v>
      </c>
      <c r="C1084" t="s">
        <v>3</v>
      </c>
      <c r="D1084" t="s">
        <v>290</v>
      </c>
      <c r="E1084" s="5">
        <v>27.92</v>
      </c>
      <c r="F1084" t="s">
        <v>14</v>
      </c>
    </row>
    <row r="1085" spans="1:6">
      <c r="A1085" s="1">
        <v>45554</v>
      </c>
      <c r="B1085" s="2">
        <v>45554.34535491898</v>
      </c>
      <c r="C1085" t="s">
        <v>3</v>
      </c>
      <c r="D1085" t="s">
        <v>290</v>
      </c>
      <c r="E1085" s="5">
        <v>27.92</v>
      </c>
      <c r="F1085" t="s">
        <v>14</v>
      </c>
    </row>
    <row r="1086" spans="1:6">
      <c r="A1086" s="1">
        <v>45555</v>
      </c>
      <c r="B1086" s="2">
        <v>45555.357603356482</v>
      </c>
      <c r="C1086" t="s">
        <v>3</v>
      </c>
      <c r="D1086" t="s">
        <v>290</v>
      </c>
      <c r="E1086" s="5">
        <v>27.92</v>
      </c>
      <c r="F1086" t="s">
        <v>14</v>
      </c>
    </row>
    <row r="1087" spans="1:6">
      <c r="A1087" s="1">
        <v>45557</v>
      </c>
      <c r="B1087" s="2">
        <v>45557.505101469906</v>
      </c>
      <c r="C1087" t="s">
        <v>3</v>
      </c>
      <c r="D1087" t="s">
        <v>290</v>
      </c>
      <c r="E1087" s="5">
        <v>27.92</v>
      </c>
      <c r="F1087" t="s">
        <v>14</v>
      </c>
    </row>
    <row r="1088" spans="1:6">
      <c r="A1088" s="1">
        <v>45558</v>
      </c>
      <c r="B1088" s="2">
        <v>45558.377511041668</v>
      </c>
      <c r="C1088" t="s">
        <v>3</v>
      </c>
      <c r="D1088" t="s">
        <v>290</v>
      </c>
      <c r="E1088" s="5">
        <v>27.92</v>
      </c>
      <c r="F1088" t="s">
        <v>14</v>
      </c>
    </row>
    <row r="1089" spans="1:6">
      <c r="A1089" s="1">
        <v>45559</v>
      </c>
      <c r="B1089" s="2">
        <v>45559.356627465277</v>
      </c>
      <c r="C1089" t="s">
        <v>3</v>
      </c>
      <c r="D1089" t="s">
        <v>290</v>
      </c>
      <c r="E1089" s="5">
        <v>27.92</v>
      </c>
      <c r="F1089" t="s">
        <v>14</v>
      </c>
    </row>
    <row r="1090" spans="1:6">
      <c r="A1090" s="1">
        <v>45562</v>
      </c>
      <c r="B1090" s="2">
        <v>45562.395667199075</v>
      </c>
      <c r="C1090" t="s">
        <v>3</v>
      </c>
      <c r="D1090" t="s">
        <v>290</v>
      </c>
      <c r="E1090" s="5">
        <v>27.92</v>
      </c>
      <c r="F1090" t="s">
        <v>14</v>
      </c>
    </row>
    <row r="1091" spans="1:6">
      <c r="A1091" s="1">
        <v>45565</v>
      </c>
      <c r="B1091" s="2">
        <v>45565.417467222222</v>
      </c>
      <c r="C1091" t="s">
        <v>3</v>
      </c>
      <c r="D1091" t="s">
        <v>290</v>
      </c>
      <c r="E1091" s="5">
        <v>30.86</v>
      </c>
      <c r="F1091" t="s">
        <v>14</v>
      </c>
    </row>
    <row r="1092" spans="1:6">
      <c r="A1092" s="1">
        <v>45566</v>
      </c>
      <c r="B1092" s="2">
        <v>45566.408689548611</v>
      </c>
      <c r="C1092" t="s">
        <v>3</v>
      </c>
      <c r="D1092" t="s">
        <v>290</v>
      </c>
      <c r="E1092" s="5">
        <v>30.86</v>
      </c>
      <c r="F1092" t="s">
        <v>14</v>
      </c>
    </row>
    <row r="1093" spans="1:6">
      <c r="A1093" s="1">
        <v>45567</v>
      </c>
      <c r="B1093" s="2">
        <v>45567.388391817127</v>
      </c>
      <c r="C1093" t="s">
        <v>3</v>
      </c>
      <c r="D1093" t="s">
        <v>290</v>
      </c>
      <c r="E1093" s="5">
        <v>30.86</v>
      </c>
      <c r="F1093" t="s">
        <v>14</v>
      </c>
    </row>
    <row r="1094" spans="1:6">
      <c r="A1094" s="1">
        <v>45573</v>
      </c>
      <c r="B1094" s="2">
        <v>45573.37863457176</v>
      </c>
      <c r="C1094" t="s">
        <v>3</v>
      </c>
      <c r="D1094" t="s">
        <v>290</v>
      </c>
      <c r="E1094" s="5">
        <v>30.86</v>
      </c>
      <c r="F1094" t="s">
        <v>14</v>
      </c>
    </row>
    <row r="1095" spans="1:6">
      <c r="A1095" s="1">
        <v>45574</v>
      </c>
      <c r="B1095" s="2">
        <v>45574.351360057874</v>
      </c>
      <c r="C1095" t="s">
        <v>3</v>
      </c>
      <c r="D1095" t="s">
        <v>290</v>
      </c>
      <c r="E1095" s="5">
        <v>30.86</v>
      </c>
      <c r="F1095" t="s">
        <v>14</v>
      </c>
    </row>
    <row r="1096" spans="1:6">
      <c r="A1096" s="1">
        <v>45575</v>
      </c>
      <c r="B1096" s="2">
        <v>45575.391205069442</v>
      </c>
      <c r="C1096" t="s">
        <v>3</v>
      </c>
      <c r="D1096" t="s">
        <v>290</v>
      </c>
      <c r="E1096" s="5">
        <v>30.86</v>
      </c>
      <c r="F1096" t="s">
        <v>14</v>
      </c>
    </row>
    <row r="1097" spans="1:6">
      <c r="A1097" s="1">
        <v>45576</v>
      </c>
      <c r="B1097" s="2">
        <v>45576.329763657406</v>
      </c>
      <c r="C1097" t="s">
        <v>3</v>
      </c>
      <c r="D1097" t="s">
        <v>290</v>
      </c>
      <c r="E1097" s="5">
        <v>30.86</v>
      </c>
      <c r="F1097" t="s">
        <v>14</v>
      </c>
    </row>
    <row r="1098" spans="1:6">
      <c r="A1098" s="1">
        <v>45579</v>
      </c>
      <c r="B1098" s="2">
        <v>45579.352021284722</v>
      </c>
      <c r="C1098" t="s">
        <v>3</v>
      </c>
      <c r="D1098" t="s">
        <v>290</v>
      </c>
      <c r="E1098" s="5">
        <v>30.86</v>
      </c>
      <c r="F1098" t="s">
        <v>14</v>
      </c>
    </row>
    <row r="1099" spans="1:6">
      <c r="A1099" s="1">
        <v>45581</v>
      </c>
      <c r="B1099" s="2">
        <v>45581.348217743056</v>
      </c>
      <c r="C1099" t="s">
        <v>3</v>
      </c>
      <c r="D1099" t="s">
        <v>290</v>
      </c>
      <c r="E1099" s="5">
        <v>30.86</v>
      </c>
      <c r="F1099" t="s">
        <v>14</v>
      </c>
    </row>
    <row r="1100" spans="1:6">
      <c r="A1100" s="1">
        <v>45587</v>
      </c>
      <c r="B1100" s="2">
        <v>45587.351067361109</v>
      </c>
      <c r="C1100" t="s">
        <v>3</v>
      </c>
      <c r="D1100" t="s">
        <v>290</v>
      </c>
      <c r="E1100" s="5">
        <v>30.86</v>
      </c>
      <c r="F1100" t="s">
        <v>14</v>
      </c>
    </row>
    <row r="1101" spans="1:6">
      <c r="A1101" s="1">
        <v>45588</v>
      </c>
      <c r="B1101" s="2">
        <v>45588.364754606482</v>
      </c>
      <c r="C1101" t="s">
        <v>3</v>
      </c>
      <c r="D1101" t="s">
        <v>290</v>
      </c>
      <c r="E1101" s="5">
        <v>30.86</v>
      </c>
      <c r="F1101" t="s">
        <v>14</v>
      </c>
    </row>
    <row r="1102" spans="1:6">
      <c r="A1102" s="1">
        <v>45590</v>
      </c>
      <c r="B1102" s="2">
        <v>45590.45209835648</v>
      </c>
      <c r="C1102" t="s">
        <v>3</v>
      </c>
      <c r="D1102" t="s">
        <v>290</v>
      </c>
      <c r="E1102" s="5">
        <v>30.86</v>
      </c>
      <c r="F1102" t="s">
        <v>14</v>
      </c>
    </row>
    <row r="1103" spans="1:6">
      <c r="A1103" s="1">
        <v>45591</v>
      </c>
      <c r="B1103" s="2">
        <v>45591.607623310185</v>
      </c>
      <c r="C1103" t="s">
        <v>3</v>
      </c>
      <c r="D1103" t="s">
        <v>290</v>
      </c>
      <c r="E1103" s="5">
        <v>35.76</v>
      </c>
      <c r="F1103" t="s">
        <v>7</v>
      </c>
    </row>
    <row r="1104" spans="1:6">
      <c r="A1104" s="1">
        <v>45591</v>
      </c>
      <c r="B1104" s="2">
        <v>45591.60850628472</v>
      </c>
      <c r="C1104" t="s">
        <v>3</v>
      </c>
      <c r="D1104" t="s">
        <v>290</v>
      </c>
      <c r="E1104" s="5">
        <v>30.86</v>
      </c>
      <c r="F1104" t="s">
        <v>14</v>
      </c>
    </row>
    <row r="1105" spans="1:6">
      <c r="A1105" s="1">
        <v>45592</v>
      </c>
      <c r="B1105" s="2">
        <v>45592.537106354168</v>
      </c>
      <c r="C1105" t="s">
        <v>3</v>
      </c>
      <c r="D1105" t="s">
        <v>290</v>
      </c>
      <c r="E1105" s="5">
        <v>35.76</v>
      </c>
      <c r="F1105" t="s">
        <v>7</v>
      </c>
    </row>
    <row r="1106" spans="1:6">
      <c r="A1106" s="1">
        <v>45592</v>
      </c>
      <c r="B1106" s="2">
        <v>45592.537818414348</v>
      </c>
      <c r="C1106" t="s">
        <v>3</v>
      </c>
      <c r="D1106" t="s">
        <v>290</v>
      </c>
      <c r="E1106" s="5">
        <v>30.86</v>
      </c>
      <c r="F1106" t="s">
        <v>14</v>
      </c>
    </row>
    <row r="1107" spans="1:6">
      <c r="A1107" s="1">
        <v>45596</v>
      </c>
      <c r="B1107" s="2">
        <v>45596.387721064813</v>
      </c>
      <c r="C1107" t="s">
        <v>3</v>
      </c>
      <c r="D1107" t="s">
        <v>290</v>
      </c>
      <c r="E1107" s="5">
        <v>30.86</v>
      </c>
      <c r="F1107" t="s">
        <v>14</v>
      </c>
    </row>
    <row r="1108" spans="1:6">
      <c r="A1108" s="1">
        <v>45600</v>
      </c>
      <c r="B1108" s="2">
        <v>45600.35941365741</v>
      </c>
      <c r="C1108" t="s">
        <v>3</v>
      </c>
      <c r="D1108" t="s">
        <v>290</v>
      </c>
      <c r="E1108" s="5">
        <v>35.76</v>
      </c>
      <c r="F1108" t="s">
        <v>7</v>
      </c>
    </row>
    <row r="1109" spans="1:6">
      <c r="A1109" s="1">
        <v>45600</v>
      </c>
      <c r="B1109" s="2">
        <v>45600.36040351852</v>
      </c>
      <c r="C1109" t="s">
        <v>3</v>
      </c>
      <c r="D1109" t="s">
        <v>290</v>
      </c>
      <c r="E1109" s="5">
        <v>30.86</v>
      </c>
      <c r="F1109" t="s">
        <v>14</v>
      </c>
    </row>
    <row r="1110" spans="1:6">
      <c r="A1110" s="1">
        <v>45601</v>
      </c>
      <c r="B1110" s="2">
        <v>45601.378956134256</v>
      </c>
      <c r="C1110" t="s">
        <v>3</v>
      </c>
      <c r="D1110" t="s">
        <v>290</v>
      </c>
      <c r="E1110" s="5">
        <v>30.86</v>
      </c>
      <c r="F1110" t="s">
        <v>14</v>
      </c>
    </row>
    <row r="1111" spans="1:6">
      <c r="A1111" s="1">
        <v>45604</v>
      </c>
      <c r="B1111" s="2">
        <v>45604.378959652779</v>
      </c>
      <c r="C1111" t="s">
        <v>3</v>
      </c>
      <c r="D1111" t="s">
        <v>290</v>
      </c>
      <c r="E1111" s="5">
        <v>30.86</v>
      </c>
      <c r="F1111" t="s">
        <v>14</v>
      </c>
    </row>
    <row r="1112" spans="1:6">
      <c r="A1112" s="1">
        <v>45605</v>
      </c>
      <c r="B1112" s="2">
        <v>45605.422440231479</v>
      </c>
      <c r="C1112" t="s">
        <v>3</v>
      </c>
      <c r="D1112" t="s">
        <v>290</v>
      </c>
      <c r="E1112" s="5">
        <v>30.86</v>
      </c>
      <c r="F1112" t="s">
        <v>14</v>
      </c>
    </row>
    <row r="1113" spans="1:6">
      <c r="A1113" s="1">
        <v>45605</v>
      </c>
      <c r="B1113" s="2">
        <v>45605.645728518517</v>
      </c>
      <c r="C1113" t="s">
        <v>3</v>
      </c>
      <c r="D1113" t="s">
        <v>290</v>
      </c>
      <c r="E1113" s="5">
        <v>30.86</v>
      </c>
      <c r="F1113" t="s">
        <v>14</v>
      </c>
    </row>
    <row r="1114" spans="1:6">
      <c r="A1114" s="1">
        <v>45607</v>
      </c>
      <c r="B1114" s="2">
        <v>45607.411409525463</v>
      </c>
      <c r="C1114" t="s">
        <v>3</v>
      </c>
      <c r="D1114" t="s">
        <v>290</v>
      </c>
      <c r="E1114" s="5">
        <v>30.86</v>
      </c>
      <c r="F1114" t="s">
        <v>14</v>
      </c>
    </row>
    <row r="1115" spans="1:6">
      <c r="A1115" s="1">
        <v>45615</v>
      </c>
      <c r="B1115" s="2">
        <v>45615.437076030095</v>
      </c>
      <c r="C1115" t="s">
        <v>3</v>
      </c>
      <c r="D1115" t="s">
        <v>290</v>
      </c>
      <c r="E1115" s="5">
        <v>30.86</v>
      </c>
      <c r="F1115" t="s">
        <v>14</v>
      </c>
    </row>
    <row r="1116" spans="1:6">
      <c r="A1116" s="1">
        <v>45621</v>
      </c>
      <c r="B1116" s="2">
        <v>45621.383576250002</v>
      </c>
      <c r="C1116" t="s">
        <v>3</v>
      </c>
      <c r="D1116" t="s">
        <v>290</v>
      </c>
      <c r="E1116" s="5">
        <v>30.86</v>
      </c>
      <c r="F1116" t="s">
        <v>14</v>
      </c>
    </row>
    <row r="1117" spans="1:6">
      <c r="A1117" s="1">
        <v>45624</v>
      </c>
      <c r="B1117" s="2">
        <v>45624.384732708335</v>
      </c>
      <c r="C1117" t="s">
        <v>3</v>
      </c>
      <c r="D1117" t="s">
        <v>290</v>
      </c>
      <c r="E1117" s="5">
        <v>30.86</v>
      </c>
      <c r="F1117" t="s">
        <v>14</v>
      </c>
    </row>
    <row r="1118" spans="1:6">
      <c r="A1118" s="1">
        <v>45628</v>
      </c>
      <c r="B1118" s="2">
        <v>45628.348258981481</v>
      </c>
      <c r="C1118" t="s">
        <v>3</v>
      </c>
      <c r="D1118" t="s">
        <v>290</v>
      </c>
      <c r="E1118" s="5">
        <v>30.86</v>
      </c>
      <c r="F1118" t="s">
        <v>14</v>
      </c>
    </row>
    <row r="1119" spans="1:6">
      <c r="A1119" s="1">
        <v>45629</v>
      </c>
      <c r="B1119" s="2">
        <v>45629.391325879631</v>
      </c>
      <c r="C1119" t="s">
        <v>3</v>
      </c>
      <c r="D1119" t="s">
        <v>290</v>
      </c>
      <c r="E1119" s="5">
        <v>30.86</v>
      </c>
      <c r="F1119" t="s">
        <v>14</v>
      </c>
    </row>
    <row r="1120" spans="1:6">
      <c r="A1120" s="1">
        <v>45629</v>
      </c>
      <c r="B1120" s="2">
        <v>45629.391979988424</v>
      </c>
      <c r="C1120" t="s">
        <v>3</v>
      </c>
      <c r="D1120" t="s">
        <v>290</v>
      </c>
      <c r="E1120" s="5">
        <v>30.86</v>
      </c>
      <c r="F1120" t="s">
        <v>14</v>
      </c>
    </row>
    <row r="1121" spans="1:6">
      <c r="A1121" s="1">
        <v>45630</v>
      </c>
      <c r="B1121" s="2">
        <v>45630.432654953707</v>
      </c>
      <c r="C1121" t="s">
        <v>3</v>
      </c>
      <c r="D1121" t="s">
        <v>290</v>
      </c>
      <c r="E1121" s="5">
        <v>30.86</v>
      </c>
      <c r="F1121" t="s">
        <v>14</v>
      </c>
    </row>
    <row r="1122" spans="1:6">
      <c r="A1122" s="1">
        <v>45630</v>
      </c>
      <c r="B1122" s="2">
        <v>45630.433425810188</v>
      </c>
      <c r="C1122" t="s">
        <v>3</v>
      </c>
      <c r="D1122" t="s">
        <v>290</v>
      </c>
      <c r="E1122" s="5">
        <v>30.86</v>
      </c>
      <c r="F1122" t="s">
        <v>14</v>
      </c>
    </row>
    <row r="1123" spans="1:6">
      <c r="A1123" s="1">
        <v>45631</v>
      </c>
      <c r="B1123" s="2">
        <v>45631.418648761573</v>
      </c>
      <c r="C1123" t="s">
        <v>3</v>
      </c>
      <c r="D1123" t="s">
        <v>290</v>
      </c>
      <c r="E1123" s="5">
        <v>30.86</v>
      </c>
      <c r="F1123" t="s">
        <v>14</v>
      </c>
    </row>
    <row r="1124" spans="1:6">
      <c r="A1124" s="1">
        <v>45631</v>
      </c>
      <c r="B1124" s="2">
        <v>45631.420202986112</v>
      </c>
      <c r="C1124" t="s">
        <v>3</v>
      </c>
      <c r="D1124" t="s">
        <v>290</v>
      </c>
      <c r="E1124" s="5">
        <v>30.86</v>
      </c>
      <c r="F1124" t="s">
        <v>14</v>
      </c>
    </row>
    <row r="1125" spans="1:6">
      <c r="A1125" s="1">
        <v>45635</v>
      </c>
      <c r="B1125" s="2">
        <v>45635.398581215275</v>
      </c>
      <c r="C1125" t="s">
        <v>3</v>
      </c>
      <c r="D1125" t="s">
        <v>290</v>
      </c>
      <c r="E1125" s="5">
        <v>30.86</v>
      </c>
      <c r="F1125" t="s">
        <v>14</v>
      </c>
    </row>
    <row r="1126" spans="1:6">
      <c r="A1126" s="1">
        <v>45643</v>
      </c>
      <c r="B1126" s="2">
        <v>45643.450758506944</v>
      </c>
      <c r="C1126" t="s">
        <v>3</v>
      </c>
      <c r="D1126" t="s">
        <v>290</v>
      </c>
      <c r="E1126" s="5">
        <v>30.86</v>
      </c>
      <c r="F1126" t="s">
        <v>14</v>
      </c>
    </row>
    <row r="1127" spans="1:6">
      <c r="A1127" s="1">
        <v>45645</v>
      </c>
      <c r="B1127" s="2">
        <v>45645.476203032405</v>
      </c>
      <c r="C1127" t="s">
        <v>3</v>
      </c>
      <c r="D1127" t="s">
        <v>290</v>
      </c>
      <c r="E1127" s="5">
        <v>30.86</v>
      </c>
      <c r="F1127" t="s">
        <v>14</v>
      </c>
    </row>
    <row r="1128" spans="1:6">
      <c r="A1128" s="1">
        <v>45646</v>
      </c>
      <c r="B1128" s="2">
        <v>45646.402428958332</v>
      </c>
      <c r="C1128" t="s">
        <v>3</v>
      </c>
      <c r="D1128" t="s">
        <v>290</v>
      </c>
      <c r="E1128" s="5">
        <v>30.86</v>
      </c>
      <c r="F1128" t="s">
        <v>14</v>
      </c>
    </row>
    <row r="1129" spans="1:6">
      <c r="A1129" s="1">
        <v>45649</v>
      </c>
      <c r="B1129" s="2">
        <v>45649.390484895834</v>
      </c>
      <c r="C1129" t="s">
        <v>3</v>
      </c>
      <c r="D1129" t="s">
        <v>290</v>
      </c>
      <c r="E1129" s="5">
        <v>30.86</v>
      </c>
      <c r="F1129" t="s">
        <v>14</v>
      </c>
    </row>
    <row r="1130" spans="1:6">
      <c r="A1130" s="1">
        <v>45653</v>
      </c>
      <c r="B1130" s="2">
        <v>45653.425618344911</v>
      </c>
      <c r="C1130" t="s">
        <v>3</v>
      </c>
      <c r="D1130" t="s">
        <v>290</v>
      </c>
      <c r="E1130" s="5">
        <v>30.86</v>
      </c>
      <c r="F1130" t="s">
        <v>14</v>
      </c>
    </row>
    <row r="1131" spans="1:6">
      <c r="A1131" s="1">
        <v>45656</v>
      </c>
      <c r="B1131" s="2">
        <v>45656.405694016205</v>
      </c>
      <c r="C1131" t="s">
        <v>3</v>
      </c>
      <c r="D1131" t="s">
        <v>290</v>
      </c>
      <c r="E1131" s="5">
        <v>30.86</v>
      </c>
      <c r="F1131" t="s">
        <v>14</v>
      </c>
    </row>
    <row r="1132" spans="1:6">
      <c r="A1132" s="1">
        <v>45659</v>
      </c>
      <c r="B1132" s="2">
        <v>45659.415339525462</v>
      </c>
      <c r="C1132" t="s">
        <v>3</v>
      </c>
      <c r="D1132" t="s">
        <v>290</v>
      </c>
      <c r="E1132" s="5">
        <v>30.86</v>
      </c>
      <c r="F1132" t="s">
        <v>14</v>
      </c>
    </row>
    <row r="1133" spans="1:6">
      <c r="A1133" s="1">
        <v>45660</v>
      </c>
      <c r="B1133" s="2">
        <v>45660.423967615738</v>
      </c>
      <c r="C1133" t="s">
        <v>3</v>
      </c>
      <c r="D1133" t="s">
        <v>290</v>
      </c>
      <c r="E1133" s="5">
        <v>30.86</v>
      </c>
      <c r="F1133" t="s">
        <v>14</v>
      </c>
    </row>
    <row r="1134" spans="1:6">
      <c r="A1134" s="1">
        <v>45670</v>
      </c>
      <c r="B1134" s="2">
        <v>45670.387032673614</v>
      </c>
      <c r="C1134" t="s">
        <v>3</v>
      </c>
      <c r="D1134" t="s">
        <v>290</v>
      </c>
      <c r="E1134" s="5">
        <v>30.86</v>
      </c>
      <c r="F1134" t="s">
        <v>14</v>
      </c>
    </row>
    <row r="1135" spans="1:6">
      <c r="A1135" s="1">
        <v>45671</v>
      </c>
      <c r="B1135" s="2">
        <v>45671.431777812497</v>
      </c>
      <c r="C1135" t="s">
        <v>3</v>
      </c>
      <c r="D1135" t="s">
        <v>290</v>
      </c>
      <c r="E1135" s="5">
        <v>30.86</v>
      </c>
      <c r="F1135" t="s">
        <v>14</v>
      </c>
    </row>
    <row r="1136" spans="1:6">
      <c r="A1136" s="1">
        <v>45674</v>
      </c>
      <c r="B1136" s="2">
        <v>45674.366621238427</v>
      </c>
      <c r="C1136" t="s">
        <v>3</v>
      </c>
      <c r="D1136" t="s">
        <v>290</v>
      </c>
      <c r="E1136" s="5">
        <v>30.86</v>
      </c>
      <c r="F1136" t="s">
        <v>14</v>
      </c>
    </row>
    <row r="1137" spans="1:6">
      <c r="A1137" s="1">
        <v>45677</v>
      </c>
      <c r="B1137" s="2">
        <v>45677.456542025466</v>
      </c>
      <c r="C1137" t="s">
        <v>3</v>
      </c>
      <c r="D1137" t="s">
        <v>290</v>
      </c>
      <c r="E1137" s="5">
        <v>30.86</v>
      </c>
      <c r="F1137" t="s">
        <v>14</v>
      </c>
    </row>
    <row r="1138" spans="1:6">
      <c r="A1138" s="1">
        <v>45684</v>
      </c>
      <c r="B1138" s="2">
        <v>45684.573018101852</v>
      </c>
      <c r="C1138" t="s">
        <v>3</v>
      </c>
      <c r="D1138" t="s">
        <v>290</v>
      </c>
      <c r="E1138" s="5">
        <v>30.86</v>
      </c>
      <c r="F1138" t="s">
        <v>14</v>
      </c>
    </row>
    <row r="1139" spans="1:6">
      <c r="A1139" s="1">
        <v>45687</v>
      </c>
      <c r="B1139" s="2">
        <v>45687.425391990742</v>
      </c>
      <c r="C1139" t="s">
        <v>3</v>
      </c>
      <c r="D1139" t="s">
        <v>290</v>
      </c>
      <c r="E1139" s="5">
        <v>30.86</v>
      </c>
      <c r="F1139" t="s">
        <v>14</v>
      </c>
    </row>
    <row r="1140" spans="1:6">
      <c r="A1140" s="1">
        <v>45452</v>
      </c>
      <c r="B1140" s="2">
        <v>45452.632299675926</v>
      </c>
      <c r="C1140" t="s">
        <v>3</v>
      </c>
      <c r="D1140" t="s">
        <v>291</v>
      </c>
      <c r="E1140" s="5">
        <v>27.92</v>
      </c>
      <c r="F1140" t="s">
        <v>28</v>
      </c>
    </row>
    <row r="1141" spans="1:6">
      <c r="A1141" s="1">
        <v>45521</v>
      </c>
      <c r="B1141" s="2">
        <v>45521.688829131941</v>
      </c>
      <c r="C1141" t="s">
        <v>3</v>
      </c>
      <c r="D1141" t="s">
        <v>291</v>
      </c>
      <c r="E1141" s="5">
        <v>23.02</v>
      </c>
      <c r="F1141" t="s">
        <v>28</v>
      </c>
    </row>
    <row r="1142" spans="1:6">
      <c r="A1142" s="1">
        <v>45452</v>
      </c>
      <c r="B1142" s="2">
        <v>45452.678798483794</v>
      </c>
      <c r="C1142" t="s">
        <v>3</v>
      </c>
      <c r="D1142" t="s">
        <v>292</v>
      </c>
      <c r="E1142" s="5">
        <v>37.72</v>
      </c>
      <c r="F1142" t="s">
        <v>43</v>
      </c>
    </row>
    <row r="1143" spans="1:6">
      <c r="A1143" s="1">
        <v>45452</v>
      </c>
      <c r="B1143" s="2">
        <v>45452.806473113429</v>
      </c>
      <c r="C1143" t="s">
        <v>3</v>
      </c>
      <c r="D1143" t="s">
        <v>293</v>
      </c>
      <c r="E1143" s="5">
        <v>32.82</v>
      </c>
      <c r="F1143" t="s">
        <v>14</v>
      </c>
    </row>
    <row r="1144" spans="1:6">
      <c r="A1144" s="1">
        <v>45452</v>
      </c>
      <c r="B1144" s="2">
        <v>45452.87857458333</v>
      </c>
      <c r="C1144" t="s">
        <v>3</v>
      </c>
      <c r="D1144" t="s">
        <v>294</v>
      </c>
      <c r="E1144" s="5">
        <v>27.92</v>
      </c>
      <c r="F1144" t="s">
        <v>11</v>
      </c>
    </row>
    <row r="1145" spans="1:6">
      <c r="A1145" s="1">
        <v>45453</v>
      </c>
      <c r="B1145" s="2">
        <v>45453.5332159838</v>
      </c>
      <c r="C1145" t="s">
        <v>3</v>
      </c>
      <c r="D1145" t="s">
        <v>295</v>
      </c>
      <c r="E1145" s="5">
        <v>37.72</v>
      </c>
      <c r="F1145" t="s">
        <v>43</v>
      </c>
    </row>
    <row r="1146" spans="1:6">
      <c r="A1146" s="1">
        <v>45453</v>
      </c>
      <c r="B1146" s="2">
        <v>45453.794769745371</v>
      </c>
      <c r="C1146" t="s">
        <v>3</v>
      </c>
      <c r="D1146" t="s">
        <v>296</v>
      </c>
      <c r="E1146" s="5">
        <v>37.72</v>
      </c>
      <c r="F1146" t="s">
        <v>9</v>
      </c>
    </row>
    <row r="1147" spans="1:6">
      <c r="A1147" s="1">
        <v>45453</v>
      </c>
      <c r="B1147" s="2">
        <v>45453.795402430558</v>
      </c>
      <c r="C1147" t="s">
        <v>3</v>
      </c>
      <c r="D1147" t="s">
        <v>296</v>
      </c>
      <c r="E1147" s="5">
        <v>37.72</v>
      </c>
      <c r="F1147" t="s">
        <v>9</v>
      </c>
    </row>
    <row r="1148" spans="1:6">
      <c r="A1148" s="1">
        <v>45453</v>
      </c>
      <c r="B1148" s="2">
        <v>45453.817634282408</v>
      </c>
      <c r="C1148" t="s">
        <v>3</v>
      </c>
      <c r="D1148" t="s">
        <v>297</v>
      </c>
      <c r="E1148" s="5">
        <v>37.72</v>
      </c>
      <c r="F1148" t="s">
        <v>7</v>
      </c>
    </row>
    <row r="1149" spans="1:6">
      <c r="A1149" s="1">
        <v>45453</v>
      </c>
      <c r="B1149" s="2">
        <v>45453.818283310182</v>
      </c>
      <c r="C1149" t="s">
        <v>3</v>
      </c>
      <c r="D1149" t="s">
        <v>297</v>
      </c>
      <c r="E1149" s="5">
        <v>37.72</v>
      </c>
      <c r="F1149" t="s">
        <v>7</v>
      </c>
    </row>
    <row r="1150" spans="1:6">
      <c r="A1150" s="1">
        <v>45455</v>
      </c>
      <c r="B1150" s="2">
        <v>45455.737004386574</v>
      </c>
      <c r="C1150" t="s">
        <v>3</v>
      </c>
      <c r="D1150" t="s">
        <v>297</v>
      </c>
      <c r="E1150" s="5">
        <v>37.72</v>
      </c>
      <c r="F1150" t="s">
        <v>7</v>
      </c>
    </row>
    <row r="1151" spans="1:6">
      <c r="A1151" s="1">
        <v>45541</v>
      </c>
      <c r="B1151" s="2">
        <v>45541.833472511571</v>
      </c>
      <c r="C1151" t="s">
        <v>3</v>
      </c>
      <c r="D1151" t="s">
        <v>297</v>
      </c>
      <c r="E1151" s="5">
        <v>32.82</v>
      </c>
      <c r="F1151" t="s">
        <v>7</v>
      </c>
    </row>
    <row r="1152" spans="1:6">
      <c r="A1152" s="1">
        <v>45542</v>
      </c>
      <c r="B1152" s="2">
        <v>45542.816029363428</v>
      </c>
      <c r="C1152" t="s">
        <v>3</v>
      </c>
      <c r="D1152" t="s">
        <v>297</v>
      </c>
      <c r="E1152" s="5">
        <v>32.82</v>
      </c>
      <c r="F1152" t="s">
        <v>18</v>
      </c>
    </row>
    <row r="1153" spans="1:6">
      <c r="A1153" s="1">
        <v>45542</v>
      </c>
      <c r="B1153" s="2">
        <v>45542.816725185185</v>
      </c>
      <c r="C1153" t="s">
        <v>3</v>
      </c>
      <c r="D1153" t="s">
        <v>297</v>
      </c>
      <c r="E1153" s="5">
        <v>32.82</v>
      </c>
      <c r="F1153" t="s">
        <v>7</v>
      </c>
    </row>
    <row r="1154" spans="1:6">
      <c r="A1154" s="1">
        <v>45542</v>
      </c>
      <c r="B1154" s="2">
        <v>45542.817540682867</v>
      </c>
      <c r="C1154" t="s">
        <v>3</v>
      </c>
      <c r="D1154" t="s">
        <v>297</v>
      </c>
      <c r="E1154" s="5">
        <v>32.82</v>
      </c>
      <c r="F1154" t="s">
        <v>7</v>
      </c>
    </row>
    <row r="1155" spans="1:6">
      <c r="A1155" s="1">
        <v>45454</v>
      </c>
      <c r="B1155" s="2">
        <v>45454.443101307872</v>
      </c>
      <c r="C1155" t="s">
        <v>3</v>
      </c>
      <c r="D1155" t="s">
        <v>298</v>
      </c>
      <c r="E1155" s="5">
        <v>32.82</v>
      </c>
      <c r="F1155" t="s">
        <v>14</v>
      </c>
    </row>
    <row r="1156" spans="1:6">
      <c r="A1156" s="1">
        <v>45454</v>
      </c>
      <c r="B1156" s="2">
        <v>45454.783626064818</v>
      </c>
      <c r="C1156" t="s">
        <v>3</v>
      </c>
      <c r="D1156" t="s">
        <v>299</v>
      </c>
      <c r="E1156" s="5">
        <v>37.72</v>
      </c>
      <c r="F1156" t="s">
        <v>7</v>
      </c>
    </row>
    <row r="1157" spans="1:6">
      <c r="A1157" s="1">
        <v>45454</v>
      </c>
      <c r="B1157" s="2">
        <v>45454.784449398147</v>
      </c>
      <c r="C1157" t="s">
        <v>3</v>
      </c>
      <c r="D1157" t="s">
        <v>299</v>
      </c>
      <c r="E1157" s="5">
        <v>37.72</v>
      </c>
      <c r="F1157" t="s">
        <v>7</v>
      </c>
    </row>
    <row r="1158" spans="1:6">
      <c r="A1158" s="1">
        <v>45454</v>
      </c>
      <c r="B1158" s="2">
        <v>45454.886844259257</v>
      </c>
      <c r="C1158" t="s">
        <v>3</v>
      </c>
      <c r="D1158" t="s">
        <v>300</v>
      </c>
      <c r="E1158" s="5">
        <v>37.72</v>
      </c>
      <c r="F1158" t="s">
        <v>9</v>
      </c>
    </row>
    <row r="1159" spans="1:6">
      <c r="A1159" s="1">
        <v>45454</v>
      </c>
      <c r="B1159" s="2">
        <v>45454.894234953703</v>
      </c>
      <c r="C1159" t="s">
        <v>3</v>
      </c>
      <c r="D1159" t="s">
        <v>301</v>
      </c>
      <c r="E1159" s="5">
        <v>32.82</v>
      </c>
      <c r="F1159" t="s">
        <v>14</v>
      </c>
    </row>
    <row r="1160" spans="1:6">
      <c r="A1160" s="1">
        <v>45454</v>
      </c>
      <c r="B1160" s="2">
        <v>45454.895025694444</v>
      </c>
      <c r="C1160" t="s">
        <v>3</v>
      </c>
      <c r="D1160" t="s">
        <v>301</v>
      </c>
      <c r="E1160" s="5">
        <v>32.82</v>
      </c>
      <c r="F1160" t="s">
        <v>14</v>
      </c>
    </row>
    <row r="1161" spans="1:6">
      <c r="A1161" s="1">
        <v>45551</v>
      </c>
      <c r="B1161" s="2">
        <v>45551.901241990738</v>
      </c>
      <c r="C1161" t="s">
        <v>3</v>
      </c>
      <c r="D1161" t="s">
        <v>301</v>
      </c>
      <c r="E1161" s="5">
        <v>27.92</v>
      </c>
      <c r="F1161" t="s">
        <v>14</v>
      </c>
    </row>
    <row r="1162" spans="1:6">
      <c r="A1162" s="1">
        <v>45555</v>
      </c>
      <c r="B1162" s="2">
        <v>45555.896951157411</v>
      </c>
      <c r="C1162" t="s">
        <v>3</v>
      </c>
      <c r="D1162" t="s">
        <v>301</v>
      </c>
      <c r="E1162" s="5">
        <v>27.92</v>
      </c>
      <c r="F1162" t="s">
        <v>14</v>
      </c>
    </row>
    <row r="1163" spans="1:6">
      <c r="A1163" s="1">
        <v>45555</v>
      </c>
      <c r="B1163" s="2">
        <v>45555.897720196757</v>
      </c>
      <c r="C1163" t="s">
        <v>3</v>
      </c>
      <c r="D1163" t="s">
        <v>301</v>
      </c>
      <c r="E1163" s="5">
        <v>27.92</v>
      </c>
      <c r="F1163" t="s">
        <v>14</v>
      </c>
    </row>
    <row r="1164" spans="1:6">
      <c r="A1164" s="1">
        <v>45611</v>
      </c>
      <c r="B1164" s="2">
        <v>45611.779420486113</v>
      </c>
      <c r="C1164" t="s">
        <v>3</v>
      </c>
      <c r="D1164" t="s">
        <v>301</v>
      </c>
      <c r="E1164" s="5">
        <v>30.86</v>
      </c>
      <c r="F1164" t="s">
        <v>14</v>
      </c>
    </row>
    <row r="1165" spans="1:6">
      <c r="A1165" s="1">
        <v>45611</v>
      </c>
      <c r="B1165" s="2">
        <v>45611.780106018516</v>
      </c>
      <c r="C1165" t="s">
        <v>3</v>
      </c>
      <c r="D1165" t="s">
        <v>301</v>
      </c>
      <c r="E1165" s="5">
        <v>30.86</v>
      </c>
      <c r="F1165" t="s">
        <v>14</v>
      </c>
    </row>
    <row r="1166" spans="1:6">
      <c r="A1166" s="1">
        <v>45455</v>
      </c>
      <c r="B1166" s="2">
        <v>45455.429384097224</v>
      </c>
      <c r="C1166" t="s">
        <v>3</v>
      </c>
      <c r="D1166" t="s">
        <v>302</v>
      </c>
      <c r="E1166" s="5">
        <v>37.72</v>
      </c>
      <c r="F1166" t="s">
        <v>9</v>
      </c>
    </row>
    <row r="1167" spans="1:6">
      <c r="A1167" s="1">
        <v>45455</v>
      </c>
      <c r="B1167" s="2">
        <v>45455.494257615741</v>
      </c>
      <c r="C1167" t="s">
        <v>3</v>
      </c>
      <c r="D1167" t="s">
        <v>303</v>
      </c>
      <c r="E1167" s="5">
        <v>37.72</v>
      </c>
      <c r="F1167" t="s">
        <v>43</v>
      </c>
    </row>
    <row r="1168" spans="1:6">
      <c r="A1168" s="1">
        <v>45455</v>
      </c>
      <c r="B1168" s="2">
        <v>45455.741294884261</v>
      </c>
      <c r="C1168" t="s">
        <v>3</v>
      </c>
      <c r="D1168" t="s">
        <v>304</v>
      </c>
      <c r="E1168" s="5">
        <v>37.72</v>
      </c>
      <c r="F1168" t="s">
        <v>7</v>
      </c>
    </row>
    <row r="1169" spans="1:6">
      <c r="A1169" s="1">
        <v>45455</v>
      </c>
      <c r="B1169" s="2">
        <v>45455.851090729164</v>
      </c>
      <c r="C1169" t="s">
        <v>3</v>
      </c>
      <c r="D1169" t="s">
        <v>305</v>
      </c>
      <c r="E1169" s="5">
        <v>32.82</v>
      </c>
      <c r="F1169" t="s">
        <v>14</v>
      </c>
    </row>
    <row r="1170" spans="1:6">
      <c r="A1170" s="1">
        <v>45456</v>
      </c>
      <c r="B1170" s="2">
        <v>45456.371113506946</v>
      </c>
      <c r="C1170" t="s">
        <v>3</v>
      </c>
      <c r="D1170" t="s">
        <v>306</v>
      </c>
      <c r="E1170" s="5">
        <v>27.92</v>
      </c>
      <c r="F1170" t="s">
        <v>11</v>
      </c>
    </row>
    <row r="1171" spans="1:6">
      <c r="A1171" s="1">
        <v>45456</v>
      </c>
      <c r="B1171" s="2">
        <v>45456.41001201389</v>
      </c>
      <c r="C1171" t="s">
        <v>3</v>
      </c>
      <c r="D1171" t="s">
        <v>307</v>
      </c>
      <c r="E1171" s="5">
        <v>32.82</v>
      </c>
      <c r="F1171" t="s">
        <v>14</v>
      </c>
    </row>
    <row r="1172" spans="1:6">
      <c r="A1172" s="1">
        <v>45456</v>
      </c>
      <c r="B1172" s="2">
        <v>45456.711789363428</v>
      </c>
      <c r="C1172" t="s">
        <v>3</v>
      </c>
      <c r="D1172" t="s">
        <v>308</v>
      </c>
      <c r="E1172" s="5">
        <v>32.82</v>
      </c>
      <c r="F1172" t="s">
        <v>14</v>
      </c>
    </row>
    <row r="1173" spans="1:6">
      <c r="A1173" s="1">
        <v>45456</v>
      </c>
      <c r="B1173" s="2">
        <v>45456.727622986109</v>
      </c>
      <c r="C1173" t="s">
        <v>3</v>
      </c>
      <c r="D1173" t="s">
        <v>309</v>
      </c>
      <c r="E1173" s="5">
        <v>37.72</v>
      </c>
      <c r="F1173" t="s">
        <v>9</v>
      </c>
    </row>
    <row r="1174" spans="1:6">
      <c r="A1174" s="1">
        <v>45456</v>
      </c>
      <c r="B1174" s="2">
        <v>45456.864590451391</v>
      </c>
      <c r="C1174" t="s">
        <v>3</v>
      </c>
      <c r="D1174" t="s">
        <v>309</v>
      </c>
      <c r="E1174" s="5">
        <v>23.02</v>
      </c>
      <c r="F1174" t="s">
        <v>35</v>
      </c>
    </row>
    <row r="1175" spans="1:6">
      <c r="A1175" s="1">
        <v>45456</v>
      </c>
      <c r="B1175" s="2">
        <v>45456.807165312501</v>
      </c>
      <c r="C1175" t="s">
        <v>3</v>
      </c>
      <c r="D1175" t="s">
        <v>310</v>
      </c>
      <c r="E1175" s="5">
        <v>37.72</v>
      </c>
      <c r="F1175" t="s">
        <v>7</v>
      </c>
    </row>
    <row r="1176" spans="1:6">
      <c r="A1176" s="1">
        <v>45457</v>
      </c>
      <c r="B1176" s="2">
        <v>45457.437865555556</v>
      </c>
      <c r="C1176" t="s">
        <v>3</v>
      </c>
      <c r="D1176" t="s">
        <v>311</v>
      </c>
      <c r="E1176" s="5">
        <v>27.92</v>
      </c>
      <c r="F1176" t="s">
        <v>11</v>
      </c>
    </row>
    <row r="1177" spans="1:6">
      <c r="A1177" s="1">
        <v>45457</v>
      </c>
      <c r="B1177" s="2">
        <v>45457.77075693287</v>
      </c>
      <c r="C1177" t="s">
        <v>3</v>
      </c>
      <c r="D1177" t="s">
        <v>312</v>
      </c>
      <c r="E1177" s="5">
        <v>32.82</v>
      </c>
      <c r="F1177" t="s">
        <v>14</v>
      </c>
    </row>
    <row r="1178" spans="1:6">
      <c r="A1178" s="1">
        <v>45458</v>
      </c>
      <c r="B1178" s="2">
        <v>45458.476411736112</v>
      </c>
      <c r="C1178" t="s">
        <v>3</v>
      </c>
      <c r="D1178" t="s">
        <v>313</v>
      </c>
      <c r="E1178" s="5">
        <v>37.72</v>
      </c>
      <c r="F1178" t="s">
        <v>43</v>
      </c>
    </row>
    <row r="1179" spans="1:6">
      <c r="A1179" s="1">
        <v>45461</v>
      </c>
      <c r="B1179" s="2">
        <v>45461.586182002313</v>
      </c>
      <c r="C1179" t="s">
        <v>3</v>
      </c>
      <c r="D1179" t="s">
        <v>313</v>
      </c>
      <c r="E1179" s="5">
        <v>27.92</v>
      </c>
      <c r="F1179" t="s">
        <v>11</v>
      </c>
    </row>
    <row r="1180" spans="1:6">
      <c r="A1180" s="1">
        <v>45461</v>
      </c>
      <c r="B1180" s="2">
        <v>45461.586948067132</v>
      </c>
      <c r="C1180" t="s">
        <v>3</v>
      </c>
      <c r="D1180" t="s">
        <v>313</v>
      </c>
      <c r="E1180" s="5">
        <v>37.72</v>
      </c>
      <c r="F1180" t="s">
        <v>43</v>
      </c>
    </row>
    <row r="1181" spans="1:6">
      <c r="A1181" s="1">
        <v>45458</v>
      </c>
      <c r="B1181" s="2">
        <v>45458.514908969904</v>
      </c>
      <c r="C1181" t="s">
        <v>3</v>
      </c>
      <c r="D1181" t="s">
        <v>314</v>
      </c>
      <c r="E1181" s="5">
        <v>37.72</v>
      </c>
      <c r="F1181" t="s">
        <v>7</v>
      </c>
    </row>
    <row r="1182" spans="1:6">
      <c r="A1182" s="1">
        <v>45458</v>
      </c>
      <c r="B1182" s="2">
        <v>45458.51582108796</v>
      </c>
      <c r="C1182" t="s">
        <v>3</v>
      </c>
      <c r="D1182" t="s">
        <v>314</v>
      </c>
      <c r="E1182" s="5">
        <v>32.82</v>
      </c>
      <c r="F1182" t="s">
        <v>14</v>
      </c>
    </row>
    <row r="1183" spans="1:6">
      <c r="A1183" s="1">
        <v>45458</v>
      </c>
      <c r="B1183" s="2">
        <v>45458.516575995367</v>
      </c>
      <c r="C1183" t="s">
        <v>3</v>
      </c>
      <c r="D1183" t="s">
        <v>314</v>
      </c>
      <c r="E1183" s="5">
        <v>23.02</v>
      </c>
      <c r="F1183" t="s">
        <v>35</v>
      </c>
    </row>
    <row r="1184" spans="1:6">
      <c r="A1184" s="1">
        <v>45458</v>
      </c>
      <c r="B1184" s="2">
        <v>45458.517073263887</v>
      </c>
      <c r="C1184" t="s">
        <v>3</v>
      </c>
      <c r="D1184" t="s">
        <v>314</v>
      </c>
      <c r="E1184" s="5">
        <v>37.72</v>
      </c>
      <c r="F1184" t="s">
        <v>18</v>
      </c>
    </row>
    <row r="1185" spans="1:6">
      <c r="A1185" s="1">
        <v>45458</v>
      </c>
      <c r="B1185" s="2">
        <v>45458.517638425925</v>
      </c>
      <c r="C1185" t="s">
        <v>3</v>
      </c>
      <c r="D1185" t="s">
        <v>314</v>
      </c>
      <c r="E1185" s="5">
        <v>32.82</v>
      </c>
      <c r="F1185" t="s">
        <v>14</v>
      </c>
    </row>
    <row r="1186" spans="1:6">
      <c r="A1186" s="1">
        <v>45458</v>
      </c>
      <c r="B1186" s="2">
        <v>45458.669096168982</v>
      </c>
      <c r="C1186" t="s">
        <v>3</v>
      </c>
      <c r="D1186" t="s">
        <v>315</v>
      </c>
      <c r="E1186" s="5">
        <v>32.82</v>
      </c>
      <c r="F1186" t="s">
        <v>14</v>
      </c>
    </row>
    <row r="1187" spans="1:6">
      <c r="A1187" s="1">
        <v>45458</v>
      </c>
      <c r="B1187" s="2">
        <v>45458.759775729166</v>
      </c>
      <c r="C1187" t="s">
        <v>3</v>
      </c>
      <c r="D1187" t="s">
        <v>316</v>
      </c>
      <c r="E1187" s="5">
        <v>27.92</v>
      </c>
      <c r="F1187" t="s">
        <v>11</v>
      </c>
    </row>
    <row r="1188" spans="1:6">
      <c r="A1188" s="1">
        <v>45612</v>
      </c>
      <c r="B1188" s="2">
        <v>45612.485705706022</v>
      </c>
      <c r="C1188" t="s">
        <v>3</v>
      </c>
      <c r="D1188" t="s">
        <v>316</v>
      </c>
      <c r="E1188" s="5">
        <v>25.96</v>
      </c>
      <c r="F1188" t="s">
        <v>11</v>
      </c>
    </row>
    <row r="1189" spans="1:6">
      <c r="A1189" s="1">
        <v>45459</v>
      </c>
      <c r="B1189" s="2">
        <v>45459.457423217595</v>
      </c>
      <c r="C1189" t="s">
        <v>3</v>
      </c>
      <c r="D1189" t="s">
        <v>317</v>
      </c>
      <c r="E1189" s="5">
        <v>37.72</v>
      </c>
      <c r="F1189" t="s">
        <v>7</v>
      </c>
    </row>
    <row r="1190" spans="1:6">
      <c r="A1190" s="1">
        <v>45459</v>
      </c>
      <c r="B1190" s="2">
        <v>45459.458775358798</v>
      </c>
      <c r="C1190" t="s">
        <v>3</v>
      </c>
      <c r="D1190" t="s">
        <v>317</v>
      </c>
      <c r="E1190" s="5">
        <v>37.72</v>
      </c>
      <c r="F1190" t="s">
        <v>9</v>
      </c>
    </row>
    <row r="1191" spans="1:6">
      <c r="A1191" s="1">
        <v>45459</v>
      </c>
      <c r="B1191" s="2">
        <v>45459.459507962965</v>
      </c>
      <c r="C1191" t="s">
        <v>3</v>
      </c>
      <c r="D1191" t="s">
        <v>317</v>
      </c>
      <c r="E1191" s="5">
        <v>37.72</v>
      </c>
      <c r="F1191" t="s">
        <v>9</v>
      </c>
    </row>
    <row r="1192" spans="1:6">
      <c r="A1192" s="1">
        <v>45480</v>
      </c>
      <c r="B1192" s="2">
        <v>45480.378011215274</v>
      </c>
      <c r="C1192" t="s">
        <v>3</v>
      </c>
      <c r="D1192" t="s">
        <v>317</v>
      </c>
      <c r="E1192" s="5">
        <v>32.82</v>
      </c>
      <c r="F1192" t="s">
        <v>43</v>
      </c>
    </row>
    <row r="1193" spans="1:6">
      <c r="A1193" s="1">
        <v>45459</v>
      </c>
      <c r="B1193" s="2">
        <v>45459.626809398149</v>
      </c>
      <c r="C1193" t="s">
        <v>3</v>
      </c>
      <c r="D1193" t="s">
        <v>318</v>
      </c>
      <c r="E1193" s="5">
        <v>32.82</v>
      </c>
      <c r="F1193" t="s">
        <v>14</v>
      </c>
    </row>
    <row r="1194" spans="1:6">
      <c r="A1194" s="1">
        <v>45459</v>
      </c>
      <c r="B1194" s="2">
        <v>45459.628592835645</v>
      </c>
      <c r="C1194" t="s">
        <v>3</v>
      </c>
      <c r="D1194" t="s">
        <v>318</v>
      </c>
      <c r="E1194" s="5">
        <v>32.82</v>
      </c>
      <c r="F1194" t="s">
        <v>14</v>
      </c>
    </row>
    <row r="1195" spans="1:6">
      <c r="A1195" s="1">
        <v>45475</v>
      </c>
      <c r="B1195" s="2">
        <v>45475.446458993058</v>
      </c>
      <c r="C1195" t="s">
        <v>3</v>
      </c>
      <c r="D1195" t="s">
        <v>318</v>
      </c>
      <c r="E1195" s="5">
        <v>32.82</v>
      </c>
      <c r="F1195" t="s">
        <v>14</v>
      </c>
    </row>
    <row r="1196" spans="1:6">
      <c r="A1196" s="1">
        <v>45475</v>
      </c>
      <c r="B1196" s="2">
        <v>45475.447923807871</v>
      </c>
      <c r="C1196" t="s">
        <v>3</v>
      </c>
      <c r="D1196" t="s">
        <v>318</v>
      </c>
      <c r="E1196" s="5">
        <v>27.92</v>
      </c>
      <c r="F1196" t="s">
        <v>11</v>
      </c>
    </row>
    <row r="1197" spans="1:6">
      <c r="A1197" s="1">
        <v>45507</v>
      </c>
      <c r="B1197" s="2">
        <v>45507.425296875001</v>
      </c>
      <c r="C1197" t="s">
        <v>3</v>
      </c>
      <c r="D1197" t="s">
        <v>318</v>
      </c>
      <c r="E1197" s="5">
        <v>27.92</v>
      </c>
      <c r="F1197" t="s">
        <v>14</v>
      </c>
    </row>
    <row r="1198" spans="1:6">
      <c r="A1198" s="1">
        <v>45550</v>
      </c>
      <c r="B1198" s="2">
        <v>45550.57612716435</v>
      </c>
      <c r="C1198" t="s">
        <v>3</v>
      </c>
      <c r="D1198" t="s">
        <v>318</v>
      </c>
      <c r="E1198" s="5">
        <v>23.02</v>
      </c>
      <c r="F1198" t="s">
        <v>11</v>
      </c>
    </row>
    <row r="1199" spans="1:6">
      <c r="A1199" s="1">
        <v>45597</v>
      </c>
      <c r="B1199" s="2">
        <v>45597.354833819445</v>
      </c>
      <c r="C1199" t="s">
        <v>3</v>
      </c>
      <c r="D1199" t="s">
        <v>318</v>
      </c>
      <c r="E1199" s="5">
        <v>25.96</v>
      </c>
      <c r="F1199" t="s">
        <v>11</v>
      </c>
    </row>
    <row r="1200" spans="1:6">
      <c r="A1200" s="1">
        <v>45688</v>
      </c>
      <c r="B1200" s="2">
        <v>45688.386977106478</v>
      </c>
      <c r="C1200" t="s">
        <v>3</v>
      </c>
      <c r="D1200" t="s">
        <v>318</v>
      </c>
      <c r="E1200" s="5">
        <v>30.86</v>
      </c>
      <c r="F1200" t="s">
        <v>14</v>
      </c>
    </row>
    <row r="1201" spans="1:6">
      <c r="A1201" s="1">
        <v>45688</v>
      </c>
      <c r="B1201" s="2">
        <v>45688.700393460647</v>
      </c>
      <c r="C1201" t="s">
        <v>3</v>
      </c>
      <c r="D1201" t="s">
        <v>318</v>
      </c>
      <c r="E1201" s="5">
        <v>30.86</v>
      </c>
      <c r="F1201" t="s">
        <v>14</v>
      </c>
    </row>
    <row r="1202" spans="1:6">
      <c r="A1202" s="1">
        <v>45689</v>
      </c>
      <c r="B1202" s="2">
        <v>45689.368328819444</v>
      </c>
      <c r="C1202" t="s">
        <v>3</v>
      </c>
      <c r="D1202" t="s">
        <v>318</v>
      </c>
      <c r="E1202" s="5">
        <v>30.86</v>
      </c>
      <c r="F1202" t="s">
        <v>14</v>
      </c>
    </row>
    <row r="1203" spans="1:6">
      <c r="A1203" s="1">
        <v>45459</v>
      </c>
      <c r="B1203" s="2">
        <v>45459.655550844909</v>
      </c>
      <c r="C1203" t="s">
        <v>3</v>
      </c>
      <c r="D1203" t="s">
        <v>319</v>
      </c>
      <c r="E1203" s="5">
        <v>37.72</v>
      </c>
      <c r="F1203" t="s">
        <v>9</v>
      </c>
    </row>
    <row r="1204" spans="1:6">
      <c r="A1204" s="1">
        <v>45459</v>
      </c>
      <c r="B1204" s="2">
        <v>45459.699728252315</v>
      </c>
      <c r="C1204" t="s">
        <v>3</v>
      </c>
      <c r="D1204" t="s">
        <v>320</v>
      </c>
      <c r="E1204" s="5">
        <v>37.72</v>
      </c>
      <c r="F1204" t="s">
        <v>9</v>
      </c>
    </row>
    <row r="1205" spans="1:6">
      <c r="A1205" s="1">
        <v>45460</v>
      </c>
      <c r="B1205" s="2">
        <v>45460.373194953703</v>
      </c>
      <c r="C1205" t="s">
        <v>3</v>
      </c>
      <c r="D1205" t="s">
        <v>321</v>
      </c>
      <c r="E1205" s="5">
        <v>27.92</v>
      </c>
      <c r="F1205" t="s">
        <v>11</v>
      </c>
    </row>
    <row r="1206" spans="1:6">
      <c r="A1206" s="1">
        <v>45460</v>
      </c>
      <c r="B1206" s="2">
        <v>45460.425059479167</v>
      </c>
      <c r="C1206" t="s">
        <v>3</v>
      </c>
      <c r="D1206" t="s">
        <v>322</v>
      </c>
      <c r="E1206" s="5">
        <v>27.92</v>
      </c>
      <c r="F1206" t="s">
        <v>28</v>
      </c>
    </row>
    <row r="1207" spans="1:6">
      <c r="A1207" s="1">
        <v>45460</v>
      </c>
      <c r="B1207" s="2">
        <v>45460.426129340274</v>
      </c>
      <c r="C1207" t="s">
        <v>3</v>
      </c>
      <c r="D1207" t="s">
        <v>322</v>
      </c>
      <c r="E1207" s="5">
        <v>27.92</v>
      </c>
      <c r="F1207" t="s">
        <v>28</v>
      </c>
    </row>
    <row r="1208" spans="1:6">
      <c r="A1208" s="1">
        <v>45460</v>
      </c>
      <c r="B1208" s="2">
        <v>45460.785643877316</v>
      </c>
      <c r="C1208" t="s">
        <v>3</v>
      </c>
      <c r="D1208" t="s">
        <v>323</v>
      </c>
      <c r="E1208" s="5">
        <v>27.92</v>
      </c>
      <c r="F1208" t="s">
        <v>11</v>
      </c>
    </row>
    <row r="1209" spans="1:6">
      <c r="A1209" s="1">
        <v>45461</v>
      </c>
      <c r="B1209" s="2">
        <v>45461.858211770836</v>
      </c>
      <c r="C1209" t="s">
        <v>3</v>
      </c>
      <c r="D1209" t="s">
        <v>324</v>
      </c>
      <c r="E1209" s="5">
        <v>27.92</v>
      </c>
      <c r="F1209" t="s">
        <v>28</v>
      </c>
    </row>
    <row r="1210" spans="1:6">
      <c r="A1210" s="1">
        <v>45462</v>
      </c>
      <c r="B1210" s="2">
        <v>45462.32453510417</v>
      </c>
      <c r="C1210" t="s">
        <v>3</v>
      </c>
      <c r="D1210" t="s">
        <v>325</v>
      </c>
      <c r="E1210" s="5">
        <v>37.72</v>
      </c>
      <c r="F1210" t="s">
        <v>7</v>
      </c>
    </row>
    <row r="1211" spans="1:6">
      <c r="A1211" s="1">
        <v>45464</v>
      </c>
      <c r="B1211" s="2">
        <v>45464.416619560187</v>
      </c>
      <c r="C1211" t="s">
        <v>3</v>
      </c>
      <c r="D1211" t="s">
        <v>325</v>
      </c>
      <c r="E1211" s="5">
        <v>37.72</v>
      </c>
      <c r="F1211" t="s">
        <v>7</v>
      </c>
    </row>
    <row r="1212" spans="1:6">
      <c r="A1212" s="1">
        <v>45464</v>
      </c>
      <c r="B1212" s="2">
        <v>45464.830290995371</v>
      </c>
      <c r="C1212" t="s">
        <v>3</v>
      </c>
      <c r="D1212" t="s">
        <v>325</v>
      </c>
      <c r="E1212" s="5">
        <v>32.82</v>
      </c>
      <c r="F1212" t="s">
        <v>14</v>
      </c>
    </row>
    <row r="1213" spans="1:6">
      <c r="A1213" s="1">
        <v>45465</v>
      </c>
      <c r="B1213" s="2">
        <v>45465.401259016202</v>
      </c>
      <c r="C1213" t="s">
        <v>3</v>
      </c>
      <c r="D1213" t="s">
        <v>325</v>
      </c>
      <c r="E1213" s="5">
        <v>32.82</v>
      </c>
      <c r="F1213" t="s">
        <v>14</v>
      </c>
    </row>
    <row r="1214" spans="1:6">
      <c r="A1214" s="1">
        <v>45512</v>
      </c>
      <c r="B1214" s="2">
        <v>45512.893047048608</v>
      </c>
      <c r="C1214" t="s">
        <v>3</v>
      </c>
      <c r="D1214" t="s">
        <v>325</v>
      </c>
      <c r="E1214" s="5">
        <v>27.92</v>
      </c>
      <c r="F1214" t="s">
        <v>14</v>
      </c>
    </row>
    <row r="1215" spans="1:6">
      <c r="A1215" s="1">
        <v>45513</v>
      </c>
      <c r="B1215" s="2">
        <v>45513.435268217596</v>
      </c>
      <c r="C1215" t="s">
        <v>3</v>
      </c>
      <c r="D1215" t="s">
        <v>325</v>
      </c>
      <c r="E1215" s="5">
        <v>27.92</v>
      </c>
      <c r="F1215" t="s">
        <v>14</v>
      </c>
    </row>
    <row r="1216" spans="1:6">
      <c r="A1216" s="1">
        <v>45462</v>
      </c>
      <c r="B1216" s="2">
        <v>45462.454172361111</v>
      </c>
      <c r="C1216" t="s">
        <v>3</v>
      </c>
      <c r="D1216" t="s">
        <v>326</v>
      </c>
      <c r="E1216" s="5">
        <v>27.92</v>
      </c>
      <c r="F1216" t="s">
        <v>11</v>
      </c>
    </row>
    <row r="1217" spans="1:6">
      <c r="A1217" s="1">
        <v>45462</v>
      </c>
      <c r="B1217" s="2">
        <v>45462.466294062498</v>
      </c>
      <c r="C1217" t="s">
        <v>3</v>
      </c>
      <c r="D1217" t="s">
        <v>327</v>
      </c>
      <c r="E1217" s="5">
        <v>37.72</v>
      </c>
      <c r="F1217" t="s">
        <v>7</v>
      </c>
    </row>
    <row r="1218" spans="1:6">
      <c r="A1218" s="1">
        <v>45462</v>
      </c>
      <c r="B1218" s="2">
        <v>45462.467030231484</v>
      </c>
      <c r="C1218" t="s">
        <v>3</v>
      </c>
      <c r="D1218" t="s">
        <v>327</v>
      </c>
      <c r="E1218" s="5">
        <v>37.72</v>
      </c>
      <c r="F1218" t="s">
        <v>18</v>
      </c>
    </row>
    <row r="1219" spans="1:6">
      <c r="A1219" s="1">
        <v>45582</v>
      </c>
      <c r="B1219" s="2">
        <v>45582.44784990741</v>
      </c>
      <c r="C1219" t="s">
        <v>3</v>
      </c>
      <c r="D1219" t="s">
        <v>327</v>
      </c>
      <c r="E1219" s="5">
        <v>35.76</v>
      </c>
      <c r="F1219" t="s">
        <v>9</v>
      </c>
    </row>
    <row r="1220" spans="1:6">
      <c r="A1220" s="1">
        <v>45463</v>
      </c>
      <c r="B1220" s="2">
        <v>45463.790996319447</v>
      </c>
      <c r="C1220" t="s">
        <v>3</v>
      </c>
      <c r="D1220" t="s">
        <v>328</v>
      </c>
      <c r="E1220" s="5">
        <v>37.72</v>
      </c>
      <c r="F1220" t="s">
        <v>7</v>
      </c>
    </row>
    <row r="1221" spans="1:6">
      <c r="A1221" s="1">
        <v>45463</v>
      </c>
      <c r="B1221" s="2">
        <v>45463.791669409722</v>
      </c>
      <c r="C1221" t="s">
        <v>3</v>
      </c>
      <c r="D1221" t="s">
        <v>328</v>
      </c>
      <c r="E1221" s="5">
        <v>37.72</v>
      </c>
      <c r="F1221" t="s">
        <v>7</v>
      </c>
    </row>
    <row r="1222" spans="1:6">
      <c r="A1222" s="1">
        <v>45464</v>
      </c>
      <c r="B1222" s="2">
        <v>45464.417826192126</v>
      </c>
      <c r="C1222" t="s">
        <v>3</v>
      </c>
      <c r="D1222" t="s">
        <v>329</v>
      </c>
      <c r="E1222" s="5">
        <v>27.92</v>
      </c>
      <c r="F1222" t="s">
        <v>11</v>
      </c>
    </row>
    <row r="1223" spans="1:6">
      <c r="A1223" s="1">
        <v>45464</v>
      </c>
      <c r="B1223" s="2">
        <v>45464.75851925926</v>
      </c>
      <c r="C1223" t="s">
        <v>3</v>
      </c>
      <c r="D1223" t="s">
        <v>330</v>
      </c>
      <c r="E1223" s="5">
        <v>23.02</v>
      </c>
      <c r="F1223" t="s">
        <v>35</v>
      </c>
    </row>
    <row r="1224" spans="1:6">
      <c r="A1224" s="1">
        <v>45465</v>
      </c>
      <c r="B1224" s="2">
        <v>45465.53698542824</v>
      </c>
      <c r="C1224" t="s">
        <v>3</v>
      </c>
      <c r="D1224" t="s">
        <v>331</v>
      </c>
      <c r="E1224" s="5">
        <v>32.82</v>
      </c>
      <c r="F1224" t="s">
        <v>14</v>
      </c>
    </row>
    <row r="1225" spans="1:6">
      <c r="A1225" s="1">
        <v>45465</v>
      </c>
      <c r="B1225" s="2">
        <v>45465.923877291665</v>
      </c>
      <c r="C1225" t="s">
        <v>3</v>
      </c>
      <c r="D1225" t="s">
        <v>332</v>
      </c>
      <c r="E1225" s="5">
        <v>37.72</v>
      </c>
      <c r="F1225" t="s">
        <v>43</v>
      </c>
    </row>
    <row r="1226" spans="1:6">
      <c r="A1226" s="1">
        <v>45466</v>
      </c>
      <c r="B1226" s="2">
        <v>45466.879710138892</v>
      </c>
      <c r="C1226" t="s">
        <v>3</v>
      </c>
      <c r="D1226" t="s">
        <v>333</v>
      </c>
      <c r="E1226" s="5">
        <v>37.72</v>
      </c>
      <c r="F1226" t="s">
        <v>43</v>
      </c>
    </row>
    <row r="1227" spans="1:6">
      <c r="A1227" s="1">
        <v>45547</v>
      </c>
      <c r="B1227" s="2">
        <v>45547.884222314817</v>
      </c>
      <c r="C1227" t="s">
        <v>3</v>
      </c>
      <c r="D1227" t="s">
        <v>333</v>
      </c>
      <c r="E1227" s="5">
        <v>23.02</v>
      </c>
      <c r="F1227" t="s">
        <v>28</v>
      </c>
    </row>
    <row r="1228" spans="1:6">
      <c r="A1228" s="1">
        <v>45466</v>
      </c>
      <c r="B1228" s="2">
        <v>45466.89522943287</v>
      </c>
      <c r="C1228" t="s">
        <v>3</v>
      </c>
      <c r="D1228" t="s">
        <v>334</v>
      </c>
      <c r="E1228" s="5">
        <v>37.72</v>
      </c>
      <c r="F1228" t="s">
        <v>7</v>
      </c>
    </row>
    <row r="1229" spans="1:6">
      <c r="A1229" s="1">
        <v>45466</v>
      </c>
      <c r="B1229" s="2">
        <v>45466.896254340281</v>
      </c>
      <c r="C1229" t="s">
        <v>3</v>
      </c>
      <c r="D1229" t="s">
        <v>334</v>
      </c>
      <c r="E1229" s="5">
        <v>37.72</v>
      </c>
      <c r="F1229" t="s">
        <v>43</v>
      </c>
    </row>
    <row r="1230" spans="1:6">
      <c r="A1230" s="1">
        <v>45467</v>
      </c>
      <c r="B1230" s="2">
        <v>45467.626724479167</v>
      </c>
      <c r="C1230" t="s">
        <v>3</v>
      </c>
      <c r="D1230" t="s">
        <v>335</v>
      </c>
      <c r="E1230" s="5">
        <v>37.72</v>
      </c>
      <c r="F1230" t="s">
        <v>7</v>
      </c>
    </row>
    <row r="1231" spans="1:6">
      <c r="A1231" s="1">
        <v>45468</v>
      </c>
      <c r="B1231" s="2">
        <v>45468.346808379632</v>
      </c>
      <c r="C1231" t="s">
        <v>3</v>
      </c>
      <c r="D1231" t="s">
        <v>336</v>
      </c>
      <c r="E1231" s="5">
        <v>37.72</v>
      </c>
      <c r="F1231" t="s">
        <v>7</v>
      </c>
    </row>
    <row r="1232" spans="1:6">
      <c r="A1232" s="1">
        <v>45507</v>
      </c>
      <c r="B1232" s="2">
        <v>45507.704165821757</v>
      </c>
      <c r="C1232" t="s">
        <v>3</v>
      </c>
      <c r="D1232" t="s">
        <v>336</v>
      </c>
      <c r="E1232" s="5">
        <v>27.92</v>
      </c>
      <c r="F1232" t="s">
        <v>14</v>
      </c>
    </row>
    <row r="1233" spans="1:6">
      <c r="A1233" s="1">
        <v>45469</v>
      </c>
      <c r="B1233" s="2">
        <v>45469.397936412039</v>
      </c>
      <c r="C1233" t="s">
        <v>3</v>
      </c>
      <c r="D1233" t="s">
        <v>337</v>
      </c>
      <c r="E1233" s="5">
        <v>37.72</v>
      </c>
      <c r="F1233" t="s">
        <v>7</v>
      </c>
    </row>
    <row r="1234" spans="1:6">
      <c r="A1234" s="1">
        <v>45469</v>
      </c>
      <c r="B1234" s="2">
        <v>45469.689229780095</v>
      </c>
      <c r="C1234" t="s">
        <v>3</v>
      </c>
      <c r="D1234" t="s">
        <v>338</v>
      </c>
      <c r="E1234" s="5">
        <v>23.02</v>
      </c>
      <c r="F1234" t="s">
        <v>35</v>
      </c>
    </row>
    <row r="1235" spans="1:6">
      <c r="A1235" s="1">
        <v>45469</v>
      </c>
      <c r="B1235" s="2">
        <v>45469.690296377317</v>
      </c>
      <c r="C1235" t="s">
        <v>3</v>
      </c>
      <c r="D1235" t="s">
        <v>339</v>
      </c>
      <c r="E1235" s="5">
        <v>27.92</v>
      </c>
      <c r="F1235" t="s">
        <v>11</v>
      </c>
    </row>
    <row r="1236" spans="1:6">
      <c r="A1236" s="1">
        <v>45470</v>
      </c>
      <c r="B1236" s="2">
        <v>45470.385916354164</v>
      </c>
      <c r="C1236" t="s">
        <v>3</v>
      </c>
      <c r="D1236" t="s">
        <v>340</v>
      </c>
      <c r="E1236" s="5">
        <v>32.82</v>
      </c>
      <c r="F1236" t="s">
        <v>14</v>
      </c>
    </row>
    <row r="1237" spans="1:6">
      <c r="A1237" s="1">
        <v>45470</v>
      </c>
      <c r="B1237" s="2">
        <v>45470.674861111111</v>
      </c>
      <c r="C1237" t="s">
        <v>3</v>
      </c>
      <c r="D1237" t="s">
        <v>341</v>
      </c>
      <c r="E1237" s="5">
        <v>27.92</v>
      </c>
      <c r="F1237" t="s">
        <v>28</v>
      </c>
    </row>
    <row r="1238" spans="1:6">
      <c r="A1238" s="1">
        <v>45470</v>
      </c>
      <c r="B1238" s="2">
        <v>45470.905594583332</v>
      </c>
      <c r="C1238" t="s">
        <v>3</v>
      </c>
      <c r="D1238" t="s">
        <v>342</v>
      </c>
      <c r="E1238" s="5">
        <v>32.82</v>
      </c>
      <c r="F1238" t="s">
        <v>14</v>
      </c>
    </row>
    <row r="1239" spans="1:6">
      <c r="A1239" s="1">
        <v>45483</v>
      </c>
      <c r="B1239" s="2">
        <v>45483.925810752313</v>
      </c>
      <c r="C1239" t="s">
        <v>3</v>
      </c>
      <c r="D1239" t="s">
        <v>342</v>
      </c>
      <c r="E1239" s="5">
        <v>32.82</v>
      </c>
      <c r="F1239" t="s">
        <v>7</v>
      </c>
    </row>
    <row r="1240" spans="1:6">
      <c r="A1240" s="1">
        <v>45498</v>
      </c>
      <c r="B1240" s="2">
        <v>45498.943649652778</v>
      </c>
      <c r="C1240" t="s">
        <v>3</v>
      </c>
      <c r="D1240" t="s">
        <v>342</v>
      </c>
      <c r="E1240" s="5">
        <v>23.02</v>
      </c>
      <c r="F1240" t="s">
        <v>28</v>
      </c>
    </row>
    <row r="1241" spans="1:6">
      <c r="A1241" s="1">
        <v>45502</v>
      </c>
      <c r="B1241" s="2">
        <v>45502.914981701389</v>
      </c>
      <c r="C1241" t="s">
        <v>3</v>
      </c>
      <c r="D1241" t="s">
        <v>342</v>
      </c>
      <c r="E1241" s="5">
        <v>32.82</v>
      </c>
      <c r="F1241" t="s">
        <v>18</v>
      </c>
    </row>
    <row r="1242" spans="1:6">
      <c r="A1242" s="1">
        <v>45511</v>
      </c>
      <c r="B1242" s="2">
        <v>45511.887638773151</v>
      </c>
      <c r="C1242" t="s">
        <v>3</v>
      </c>
      <c r="D1242" t="s">
        <v>342</v>
      </c>
      <c r="E1242" s="5">
        <v>32.82</v>
      </c>
      <c r="F1242" t="s">
        <v>43</v>
      </c>
    </row>
    <row r="1243" spans="1:6">
      <c r="A1243" s="1">
        <v>45470</v>
      </c>
      <c r="B1243" s="2">
        <v>45470.910088159719</v>
      </c>
      <c r="C1243" t="s">
        <v>3</v>
      </c>
      <c r="D1243" t="s">
        <v>343</v>
      </c>
      <c r="E1243" s="5">
        <v>37.72</v>
      </c>
      <c r="F1243" t="s">
        <v>43</v>
      </c>
    </row>
    <row r="1244" spans="1:6">
      <c r="A1244" s="1">
        <v>45475</v>
      </c>
      <c r="B1244" s="2">
        <v>45475.918328425927</v>
      </c>
      <c r="C1244" t="s">
        <v>3</v>
      </c>
      <c r="D1244" t="s">
        <v>343</v>
      </c>
      <c r="E1244" s="5">
        <v>32.82</v>
      </c>
      <c r="F1244" t="s">
        <v>14</v>
      </c>
    </row>
    <row r="1245" spans="1:6">
      <c r="A1245" s="1">
        <v>45593</v>
      </c>
      <c r="B1245" s="2">
        <v>45593.888930810186</v>
      </c>
      <c r="C1245" t="s">
        <v>3</v>
      </c>
      <c r="D1245" t="s">
        <v>343</v>
      </c>
      <c r="E1245" s="5">
        <v>30.86</v>
      </c>
      <c r="F1245" t="s">
        <v>14</v>
      </c>
    </row>
    <row r="1246" spans="1:6">
      <c r="A1246" s="1">
        <v>45666</v>
      </c>
      <c r="B1246" s="2">
        <v>45666.923850659725</v>
      </c>
      <c r="C1246" t="s">
        <v>3</v>
      </c>
      <c r="D1246" t="s">
        <v>343</v>
      </c>
      <c r="E1246" s="5">
        <v>35.76</v>
      </c>
      <c r="F1246" t="s">
        <v>7</v>
      </c>
    </row>
    <row r="1247" spans="1:6">
      <c r="A1247" s="1">
        <v>45471</v>
      </c>
      <c r="B1247" s="2">
        <v>45471.910363136572</v>
      </c>
      <c r="C1247" t="s">
        <v>3</v>
      </c>
      <c r="D1247" t="s">
        <v>344</v>
      </c>
      <c r="E1247" s="5">
        <v>32.82</v>
      </c>
      <c r="F1247" t="s">
        <v>14</v>
      </c>
    </row>
    <row r="1248" spans="1:6">
      <c r="A1248" s="1">
        <v>45471</v>
      </c>
      <c r="B1248" s="2">
        <v>45471.911132719906</v>
      </c>
      <c r="C1248" t="s">
        <v>3</v>
      </c>
      <c r="D1248" t="s">
        <v>345</v>
      </c>
      <c r="E1248" s="5">
        <v>37.72</v>
      </c>
      <c r="F1248" t="s">
        <v>7</v>
      </c>
    </row>
    <row r="1249" spans="1:6">
      <c r="A1249" s="1">
        <v>45471</v>
      </c>
      <c r="B1249" s="2">
        <v>45471.936342314817</v>
      </c>
      <c r="C1249" t="s">
        <v>3</v>
      </c>
      <c r="D1249" t="s">
        <v>346</v>
      </c>
      <c r="E1249" s="5">
        <v>37.72</v>
      </c>
      <c r="F1249" t="s">
        <v>43</v>
      </c>
    </row>
    <row r="1250" spans="1:6">
      <c r="A1250" s="1">
        <v>45472</v>
      </c>
      <c r="B1250" s="2">
        <v>45472.486337754628</v>
      </c>
      <c r="C1250" t="s">
        <v>3</v>
      </c>
      <c r="D1250" t="s">
        <v>347</v>
      </c>
      <c r="E1250" s="5">
        <v>32.82</v>
      </c>
      <c r="F1250" t="s">
        <v>14</v>
      </c>
    </row>
    <row r="1251" spans="1:6">
      <c r="A1251" s="1">
        <v>45472</v>
      </c>
      <c r="B1251" s="2">
        <v>45472.487113530093</v>
      </c>
      <c r="C1251" t="s">
        <v>3</v>
      </c>
      <c r="D1251" t="s">
        <v>347</v>
      </c>
      <c r="E1251" s="5">
        <v>32.82</v>
      </c>
      <c r="F1251" t="s">
        <v>14</v>
      </c>
    </row>
    <row r="1252" spans="1:6">
      <c r="A1252" s="1">
        <v>45482</v>
      </c>
      <c r="B1252" s="2">
        <v>45482.435325671293</v>
      </c>
      <c r="C1252" t="s">
        <v>3</v>
      </c>
      <c r="D1252" t="s">
        <v>347</v>
      </c>
      <c r="E1252" s="5">
        <v>27.92</v>
      </c>
      <c r="F1252" t="s">
        <v>14</v>
      </c>
    </row>
    <row r="1253" spans="1:6">
      <c r="A1253" s="1">
        <v>45538</v>
      </c>
      <c r="B1253" s="2">
        <v>45538.593654062497</v>
      </c>
      <c r="C1253" t="s">
        <v>3</v>
      </c>
      <c r="D1253" t="s">
        <v>347</v>
      </c>
      <c r="E1253" s="5">
        <v>27.92</v>
      </c>
      <c r="F1253" t="s">
        <v>14</v>
      </c>
    </row>
    <row r="1254" spans="1:6">
      <c r="A1254" s="1">
        <v>45538</v>
      </c>
      <c r="B1254" s="2">
        <v>45538.594645104167</v>
      </c>
      <c r="C1254" t="s">
        <v>3</v>
      </c>
      <c r="D1254" t="s">
        <v>347</v>
      </c>
      <c r="E1254" s="5">
        <v>27.92</v>
      </c>
      <c r="F1254" t="s">
        <v>14</v>
      </c>
    </row>
    <row r="1255" spans="1:6">
      <c r="A1255" s="1">
        <v>45538</v>
      </c>
      <c r="B1255" s="2">
        <v>45538.783735497687</v>
      </c>
      <c r="C1255" t="s">
        <v>3</v>
      </c>
      <c r="D1255" t="s">
        <v>347</v>
      </c>
      <c r="E1255" s="5">
        <v>27.92</v>
      </c>
      <c r="F1255" t="s">
        <v>14</v>
      </c>
    </row>
    <row r="1256" spans="1:6">
      <c r="A1256" s="1">
        <v>45555</v>
      </c>
      <c r="B1256" s="2">
        <v>45555.569391956022</v>
      </c>
      <c r="C1256" t="s">
        <v>3</v>
      </c>
      <c r="D1256" t="s">
        <v>347</v>
      </c>
      <c r="E1256" s="5">
        <v>27.92</v>
      </c>
      <c r="F1256" t="s">
        <v>14</v>
      </c>
    </row>
    <row r="1257" spans="1:6">
      <c r="A1257" s="1">
        <v>45557</v>
      </c>
      <c r="B1257" s="2">
        <v>45557.561280821756</v>
      </c>
      <c r="C1257" t="s">
        <v>3</v>
      </c>
      <c r="D1257" t="s">
        <v>347</v>
      </c>
      <c r="E1257" s="5">
        <v>27.92</v>
      </c>
      <c r="F1257" t="s">
        <v>14</v>
      </c>
    </row>
    <row r="1258" spans="1:6">
      <c r="A1258" s="1">
        <v>45557</v>
      </c>
      <c r="B1258" s="2">
        <v>45557.562221261571</v>
      </c>
      <c r="C1258" t="s">
        <v>3</v>
      </c>
      <c r="D1258" t="s">
        <v>347</v>
      </c>
      <c r="E1258" s="5">
        <v>27.92</v>
      </c>
      <c r="F1258" t="s">
        <v>14</v>
      </c>
    </row>
    <row r="1259" spans="1:6">
      <c r="A1259" s="1">
        <v>45561</v>
      </c>
      <c r="B1259" s="2">
        <v>45561.442436168982</v>
      </c>
      <c r="C1259" t="s">
        <v>3</v>
      </c>
      <c r="D1259" t="s">
        <v>347</v>
      </c>
      <c r="E1259" s="5">
        <v>27.92</v>
      </c>
      <c r="F1259" t="s">
        <v>14</v>
      </c>
    </row>
    <row r="1260" spans="1:6">
      <c r="A1260" s="1">
        <v>45562</v>
      </c>
      <c r="B1260" s="2">
        <v>45562.449266435186</v>
      </c>
      <c r="C1260" t="s">
        <v>3</v>
      </c>
      <c r="D1260" t="s">
        <v>347</v>
      </c>
      <c r="E1260" s="5">
        <v>27.92</v>
      </c>
      <c r="F1260" t="s">
        <v>14</v>
      </c>
    </row>
    <row r="1261" spans="1:6">
      <c r="A1261" s="1">
        <v>45562</v>
      </c>
      <c r="B1261" s="2">
        <v>45562.482642152776</v>
      </c>
      <c r="C1261" t="s">
        <v>3</v>
      </c>
      <c r="D1261" t="s">
        <v>347</v>
      </c>
      <c r="E1261" s="5">
        <v>27.92</v>
      </c>
      <c r="F1261" t="s">
        <v>14</v>
      </c>
    </row>
    <row r="1262" spans="1:6">
      <c r="A1262" s="1">
        <v>45564</v>
      </c>
      <c r="B1262" s="2">
        <v>45564.453962164349</v>
      </c>
      <c r="C1262" t="s">
        <v>3</v>
      </c>
      <c r="D1262" t="s">
        <v>347</v>
      </c>
      <c r="E1262" s="5">
        <v>30.86</v>
      </c>
      <c r="F1262" t="s">
        <v>14</v>
      </c>
    </row>
    <row r="1263" spans="1:6">
      <c r="A1263" s="1">
        <v>45565</v>
      </c>
      <c r="B1263" s="2">
        <v>45565.698431249999</v>
      </c>
      <c r="C1263" t="s">
        <v>3</v>
      </c>
      <c r="D1263" t="s">
        <v>347</v>
      </c>
      <c r="E1263" s="5">
        <v>30.86</v>
      </c>
      <c r="F1263" t="s">
        <v>14</v>
      </c>
    </row>
    <row r="1264" spans="1:6">
      <c r="A1264" s="1">
        <v>45566</v>
      </c>
      <c r="B1264" s="2">
        <v>45566.418365486112</v>
      </c>
      <c r="C1264" t="s">
        <v>3</v>
      </c>
      <c r="D1264" t="s">
        <v>347</v>
      </c>
      <c r="E1264" s="5">
        <v>30.86</v>
      </c>
      <c r="F1264" t="s">
        <v>14</v>
      </c>
    </row>
    <row r="1265" spans="1:6">
      <c r="A1265" s="1">
        <v>45566</v>
      </c>
      <c r="B1265" s="2">
        <v>45566.419295312502</v>
      </c>
      <c r="C1265" t="s">
        <v>3</v>
      </c>
      <c r="D1265" t="s">
        <v>347</v>
      </c>
      <c r="E1265" s="5">
        <v>30.86</v>
      </c>
      <c r="F1265" t="s">
        <v>14</v>
      </c>
    </row>
    <row r="1266" spans="1:6">
      <c r="A1266" s="1">
        <v>45581</v>
      </c>
      <c r="B1266" s="2">
        <v>45581.448205590277</v>
      </c>
      <c r="C1266" t="s">
        <v>3</v>
      </c>
      <c r="D1266" t="s">
        <v>347</v>
      </c>
      <c r="E1266" s="5">
        <v>30.86</v>
      </c>
      <c r="F1266" t="s">
        <v>14</v>
      </c>
    </row>
    <row r="1267" spans="1:6">
      <c r="A1267" s="1">
        <v>45648</v>
      </c>
      <c r="B1267" s="2">
        <v>45648.446482939813</v>
      </c>
      <c r="C1267" t="s">
        <v>3</v>
      </c>
      <c r="D1267" t="s">
        <v>347</v>
      </c>
      <c r="E1267" s="5">
        <v>35.76</v>
      </c>
      <c r="F1267" t="s">
        <v>43</v>
      </c>
    </row>
    <row r="1268" spans="1:6">
      <c r="A1268" s="1">
        <v>45678</v>
      </c>
      <c r="B1268" s="2">
        <v>45678.787655023145</v>
      </c>
      <c r="C1268" t="s">
        <v>3</v>
      </c>
      <c r="D1268" t="s">
        <v>347</v>
      </c>
      <c r="E1268" s="5">
        <v>35.76</v>
      </c>
      <c r="F1268" t="s">
        <v>7</v>
      </c>
    </row>
    <row r="1269" spans="1:6">
      <c r="A1269" s="1">
        <v>45678</v>
      </c>
      <c r="B1269" s="2">
        <v>45678.789066469908</v>
      </c>
      <c r="C1269" t="s">
        <v>3</v>
      </c>
      <c r="D1269" t="s">
        <v>347</v>
      </c>
      <c r="E1269" s="5">
        <v>35.76</v>
      </c>
      <c r="F1269" t="s">
        <v>7</v>
      </c>
    </row>
    <row r="1270" spans="1:6">
      <c r="A1270" s="1">
        <v>45688</v>
      </c>
      <c r="B1270" s="2">
        <v>45688.393596828704</v>
      </c>
      <c r="C1270" t="s">
        <v>3</v>
      </c>
      <c r="D1270" t="s">
        <v>347</v>
      </c>
      <c r="E1270" s="5">
        <v>35.76</v>
      </c>
      <c r="F1270" t="s">
        <v>43</v>
      </c>
    </row>
    <row r="1271" spans="1:6">
      <c r="A1271" s="1">
        <v>45688</v>
      </c>
      <c r="B1271" s="2">
        <v>45688.394302523149</v>
      </c>
      <c r="C1271" t="s">
        <v>3</v>
      </c>
      <c r="D1271" t="s">
        <v>347</v>
      </c>
      <c r="E1271" s="5">
        <v>35.76</v>
      </c>
      <c r="F1271" t="s">
        <v>43</v>
      </c>
    </row>
    <row r="1272" spans="1:6">
      <c r="A1272" s="1">
        <v>45472</v>
      </c>
      <c r="B1272" s="2">
        <v>45472.521115254633</v>
      </c>
      <c r="C1272" t="s">
        <v>3</v>
      </c>
      <c r="D1272" t="s">
        <v>348</v>
      </c>
      <c r="E1272" s="5">
        <v>37.72</v>
      </c>
      <c r="F1272" t="s">
        <v>43</v>
      </c>
    </row>
    <row r="1273" spans="1:6">
      <c r="A1273" s="1">
        <v>45472</v>
      </c>
      <c r="B1273" s="2">
        <v>45472.522020625001</v>
      </c>
      <c r="C1273" t="s">
        <v>3</v>
      </c>
      <c r="D1273" t="s">
        <v>348</v>
      </c>
      <c r="E1273" s="5">
        <v>37.72</v>
      </c>
      <c r="F1273" t="s">
        <v>43</v>
      </c>
    </row>
    <row r="1274" spans="1:6">
      <c r="A1274" s="1">
        <v>45591</v>
      </c>
      <c r="B1274" s="2">
        <v>45591.370133750002</v>
      </c>
      <c r="C1274" t="s">
        <v>3</v>
      </c>
      <c r="D1274" t="s">
        <v>348</v>
      </c>
      <c r="E1274" s="5">
        <v>35.76</v>
      </c>
      <c r="F1274" t="s">
        <v>43</v>
      </c>
    </row>
    <row r="1275" spans="1:6">
      <c r="A1275" s="1">
        <v>45472</v>
      </c>
      <c r="B1275" s="2">
        <v>45472.724809988424</v>
      </c>
      <c r="C1275" t="s">
        <v>3</v>
      </c>
      <c r="D1275" t="s">
        <v>349</v>
      </c>
      <c r="E1275" s="5">
        <v>37.72</v>
      </c>
      <c r="F1275" t="s">
        <v>43</v>
      </c>
    </row>
    <row r="1276" spans="1:6">
      <c r="A1276" s="1">
        <v>45472</v>
      </c>
      <c r="B1276" s="2">
        <v>45472.725606215281</v>
      </c>
      <c r="C1276" t="s">
        <v>3</v>
      </c>
      <c r="D1276" t="s">
        <v>349</v>
      </c>
      <c r="E1276" s="5">
        <v>37.72</v>
      </c>
      <c r="F1276" t="s">
        <v>9</v>
      </c>
    </row>
    <row r="1277" spans="1:6">
      <c r="A1277" s="1">
        <v>45473</v>
      </c>
      <c r="B1277" s="2">
        <v>45473.43622502315</v>
      </c>
      <c r="C1277" t="s">
        <v>3</v>
      </c>
      <c r="D1277" t="s">
        <v>350</v>
      </c>
      <c r="E1277" s="5">
        <v>37.72</v>
      </c>
      <c r="F1277" t="s">
        <v>7</v>
      </c>
    </row>
    <row r="1278" spans="1:6">
      <c r="A1278" s="1">
        <v>45473</v>
      </c>
      <c r="B1278" s="2">
        <v>45473.545724768519</v>
      </c>
      <c r="C1278" t="s">
        <v>3</v>
      </c>
      <c r="D1278" t="s">
        <v>351</v>
      </c>
      <c r="E1278" s="5">
        <v>23.02</v>
      </c>
      <c r="F1278" t="s">
        <v>35</v>
      </c>
    </row>
    <row r="1279" spans="1:6">
      <c r="A1279" s="1">
        <v>45474</v>
      </c>
      <c r="B1279" s="2">
        <v>45474.789488935188</v>
      </c>
      <c r="C1279" t="s">
        <v>3</v>
      </c>
      <c r="D1279" t="s">
        <v>352</v>
      </c>
      <c r="E1279" s="5">
        <v>37.72</v>
      </c>
      <c r="F1279" t="s">
        <v>43</v>
      </c>
    </row>
    <row r="1280" spans="1:6">
      <c r="A1280" s="1">
        <v>45474</v>
      </c>
      <c r="B1280" s="2">
        <v>45474.790211423613</v>
      </c>
      <c r="C1280" t="s">
        <v>3</v>
      </c>
      <c r="D1280" t="s">
        <v>353</v>
      </c>
      <c r="E1280" s="5">
        <v>37.72</v>
      </c>
      <c r="F1280" t="s">
        <v>43</v>
      </c>
    </row>
    <row r="1281" spans="1:6">
      <c r="A1281" s="1">
        <v>45499</v>
      </c>
      <c r="B1281" s="2">
        <v>45499.519537546294</v>
      </c>
      <c r="C1281" t="s">
        <v>3</v>
      </c>
      <c r="D1281" t="s">
        <v>353</v>
      </c>
      <c r="E1281" s="5">
        <v>32.82</v>
      </c>
      <c r="F1281" t="s">
        <v>43</v>
      </c>
    </row>
    <row r="1282" spans="1:6">
      <c r="A1282" s="1">
        <v>45499</v>
      </c>
      <c r="B1282" s="2">
        <v>45499.520343842596</v>
      </c>
      <c r="C1282" t="s">
        <v>3</v>
      </c>
      <c r="D1282" t="s">
        <v>353</v>
      </c>
      <c r="E1282" s="5">
        <v>32.82</v>
      </c>
      <c r="F1282" t="s">
        <v>43</v>
      </c>
    </row>
    <row r="1283" spans="1:6">
      <c r="A1283" s="1">
        <v>45475</v>
      </c>
      <c r="B1283" s="2">
        <v>45475.585569803239</v>
      </c>
      <c r="C1283" t="s">
        <v>3</v>
      </c>
      <c r="D1283" t="s">
        <v>354</v>
      </c>
      <c r="E1283" s="5">
        <v>27.92</v>
      </c>
      <c r="F1283" t="s">
        <v>11</v>
      </c>
    </row>
    <row r="1284" spans="1:6">
      <c r="A1284" s="1">
        <v>45475</v>
      </c>
      <c r="B1284" s="2">
        <v>45475.688476122683</v>
      </c>
      <c r="C1284" t="s">
        <v>3</v>
      </c>
      <c r="D1284" t="s">
        <v>355</v>
      </c>
      <c r="E1284" s="5">
        <v>32.82</v>
      </c>
      <c r="F1284" t="s">
        <v>14</v>
      </c>
    </row>
    <row r="1285" spans="1:6">
      <c r="A1285" s="1">
        <v>45476</v>
      </c>
      <c r="B1285" s="2">
        <v>45476.667552708335</v>
      </c>
      <c r="C1285" t="s">
        <v>3</v>
      </c>
      <c r="D1285" t="s">
        <v>356</v>
      </c>
      <c r="E1285" s="5">
        <v>37.72</v>
      </c>
      <c r="F1285" t="s">
        <v>43</v>
      </c>
    </row>
    <row r="1286" spans="1:6">
      <c r="A1286" s="1">
        <v>45476</v>
      </c>
      <c r="B1286" s="2">
        <v>45476.70168082176</v>
      </c>
      <c r="C1286" t="s">
        <v>3</v>
      </c>
      <c r="D1286" t="s">
        <v>357</v>
      </c>
      <c r="E1286" s="5">
        <v>37.72</v>
      </c>
      <c r="F1286" t="s">
        <v>43</v>
      </c>
    </row>
    <row r="1287" spans="1:6">
      <c r="A1287" s="1">
        <v>45476</v>
      </c>
      <c r="B1287" s="2">
        <v>45476.70443179398</v>
      </c>
      <c r="C1287" t="s">
        <v>3</v>
      </c>
      <c r="D1287" t="s">
        <v>358</v>
      </c>
      <c r="E1287" s="5">
        <v>32.82</v>
      </c>
      <c r="F1287" t="s">
        <v>14</v>
      </c>
    </row>
    <row r="1288" spans="1:6">
      <c r="A1288" s="1">
        <v>45476</v>
      </c>
      <c r="B1288" s="2">
        <v>45476.707934953702</v>
      </c>
      <c r="C1288" t="s">
        <v>3</v>
      </c>
      <c r="D1288" t="s">
        <v>359</v>
      </c>
      <c r="E1288" s="5">
        <v>23.02</v>
      </c>
      <c r="F1288" t="s">
        <v>35</v>
      </c>
    </row>
    <row r="1289" spans="1:6">
      <c r="A1289" s="1">
        <v>45476</v>
      </c>
      <c r="B1289" s="2">
        <v>45476.749326701392</v>
      </c>
      <c r="C1289" t="s">
        <v>3</v>
      </c>
      <c r="D1289" t="s">
        <v>360</v>
      </c>
      <c r="E1289" s="5">
        <v>37.72</v>
      </c>
      <c r="F1289" t="s">
        <v>43</v>
      </c>
    </row>
    <row r="1290" spans="1:6">
      <c r="A1290" s="1">
        <v>45478</v>
      </c>
      <c r="B1290" s="2">
        <v>45478.572729502317</v>
      </c>
      <c r="C1290" t="s">
        <v>3</v>
      </c>
      <c r="D1290" t="s">
        <v>361</v>
      </c>
      <c r="E1290" s="5">
        <v>32.82</v>
      </c>
      <c r="F1290" t="s">
        <v>14</v>
      </c>
    </row>
    <row r="1291" spans="1:6">
      <c r="A1291" s="1">
        <v>45503</v>
      </c>
      <c r="B1291" s="2">
        <v>45503.872943564813</v>
      </c>
      <c r="C1291" t="s">
        <v>3</v>
      </c>
      <c r="D1291" t="s">
        <v>361</v>
      </c>
      <c r="E1291" s="5">
        <v>27.92</v>
      </c>
      <c r="F1291" t="s">
        <v>14</v>
      </c>
    </row>
    <row r="1292" spans="1:6">
      <c r="A1292" s="1">
        <v>45515</v>
      </c>
      <c r="B1292" s="2">
        <v>45515.428745787038</v>
      </c>
      <c r="C1292" t="s">
        <v>3</v>
      </c>
      <c r="D1292" t="s">
        <v>361</v>
      </c>
      <c r="E1292" s="5">
        <v>27.92</v>
      </c>
      <c r="F1292" t="s">
        <v>14</v>
      </c>
    </row>
    <row r="1293" spans="1:6">
      <c r="A1293" s="1">
        <v>45543</v>
      </c>
      <c r="B1293" s="2">
        <v>45543.84274148148</v>
      </c>
      <c r="C1293" t="s">
        <v>3</v>
      </c>
      <c r="D1293" t="s">
        <v>361</v>
      </c>
      <c r="E1293" s="5">
        <v>23.02</v>
      </c>
      <c r="F1293" t="s">
        <v>11</v>
      </c>
    </row>
    <row r="1294" spans="1:6">
      <c r="A1294" s="1">
        <v>45547</v>
      </c>
      <c r="B1294" s="2">
        <v>45547.456546516201</v>
      </c>
      <c r="C1294" t="s">
        <v>3</v>
      </c>
      <c r="D1294" t="s">
        <v>361</v>
      </c>
      <c r="E1294" s="5">
        <v>18.12</v>
      </c>
      <c r="F1294" t="s">
        <v>35</v>
      </c>
    </row>
    <row r="1295" spans="1:6">
      <c r="A1295" s="1">
        <v>45547</v>
      </c>
      <c r="B1295" s="2">
        <v>45547.457173692128</v>
      </c>
      <c r="C1295" t="s">
        <v>3</v>
      </c>
      <c r="D1295" t="s">
        <v>361</v>
      </c>
      <c r="E1295" s="5">
        <v>27.92</v>
      </c>
      <c r="F1295" t="s">
        <v>14</v>
      </c>
    </row>
    <row r="1296" spans="1:6">
      <c r="A1296" s="1">
        <v>45550</v>
      </c>
      <c r="B1296" s="2">
        <v>45550.362973854164</v>
      </c>
      <c r="C1296" t="s">
        <v>3</v>
      </c>
      <c r="D1296" t="s">
        <v>361</v>
      </c>
      <c r="E1296" s="5">
        <v>18.12</v>
      </c>
      <c r="F1296" t="s">
        <v>35</v>
      </c>
    </row>
    <row r="1297" spans="1:6">
      <c r="A1297" s="1">
        <v>45592</v>
      </c>
      <c r="B1297" s="2">
        <v>45592.459686365743</v>
      </c>
      <c r="C1297" t="s">
        <v>3</v>
      </c>
      <c r="D1297" t="s">
        <v>361</v>
      </c>
      <c r="E1297" s="5">
        <v>30.86</v>
      </c>
      <c r="F1297" t="s">
        <v>14</v>
      </c>
    </row>
    <row r="1298" spans="1:6">
      <c r="A1298" s="1">
        <v>45478</v>
      </c>
      <c r="B1298" s="2">
        <v>45478.788846157404</v>
      </c>
      <c r="C1298" t="s">
        <v>3</v>
      </c>
      <c r="D1298" t="s">
        <v>362</v>
      </c>
      <c r="E1298" s="5">
        <v>23.02</v>
      </c>
      <c r="F1298" t="s">
        <v>35</v>
      </c>
    </row>
    <row r="1299" spans="1:6">
      <c r="A1299" s="1">
        <v>45666</v>
      </c>
      <c r="B1299" s="2">
        <v>45666.602357430558</v>
      </c>
      <c r="C1299" t="s">
        <v>3</v>
      </c>
      <c r="D1299" t="s">
        <v>362</v>
      </c>
      <c r="E1299" s="5">
        <v>21.06</v>
      </c>
      <c r="F1299" t="s">
        <v>35</v>
      </c>
    </row>
    <row r="1300" spans="1:6">
      <c r="A1300" s="1">
        <v>45478</v>
      </c>
      <c r="B1300" s="2">
        <v>45478.924959155091</v>
      </c>
      <c r="C1300" t="s">
        <v>3</v>
      </c>
      <c r="D1300" t="s">
        <v>363</v>
      </c>
      <c r="E1300" s="5">
        <v>23.02</v>
      </c>
      <c r="F1300" t="s">
        <v>35</v>
      </c>
    </row>
    <row r="1301" spans="1:6">
      <c r="A1301" s="1">
        <v>45478</v>
      </c>
      <c r="B1301" s="2">
        <v>45478.929205138891</v>
      </c>
      <c r="C1301" t="s">
        <v>3</v>
      </c>
      <c r="D1301" t="s">
        <v>364</v>
      </c>
      <c r="E1301" s="5">
        <v>27.92</v>
      </c>
      <c r="F1301" t="s">
        <v>11</v>
      </c>
    </row>
    <row r="1302" spans="1:6">
      <c r="A1302" s="1">
        <v>45478</v>
      </c>
      <c r="B1302" s="2">
        <v>45478.929825752311</v>
      </c>
      <c r="C1302" t="s">
        <v>3</v>
      </c>
      <c r="D1302" t="s">
        <v>364</v>
      </c>
      <c r="E1302" s="5">
        <v>27.92</v>
      </c>
      <c r="F1302" t="s">
        <v>11</v>
      </c>
    </row>
    <row r="1303" spans="1:6">
      <c r="A1303" s="1">
        <v>45478</v>
      </c>
      <c r="B1303" s="2">
        <v>45478.930568854164</v>
      </c>
      <c r="C1303" t="s">
        <v>3</v>
      </c>
      <c r="D1303" t="s">
        <v>365</v>
      </c>
      <c r="E1303" s="5">
        <v>37.72</v>
      </c>
      <c r="F1303" t="s">
        <v>43</v>
      </c>
    </row>
    <row r="1304" spans="1:6">
      <c r="A1304" s="1">
        <v>45478</v>
      </c>
      <c r="B1304" s="2">
        <v>45478.931359456015</v>
      </c>
      <c r="C1304" t="s">
        <v>3</v>
      </c>
      <c r="D1304" t="s">
        <v>365</v>
      </c>
      <c r="E1304" s="5">
        <v>32.82</v>
      </c>
      <c r="F1304" t="s">
        <v>14</v>
      </c>
    </row>
    <row r="1305" spans="1:6">
      <c r="A1305" s="1">
        <v>45479</v>
      </c>
      <c r="B1305" s="2">
        <v>45479.436190115739</v>
      </c>
      <c r="C1305" t="s">
        <v>3</v>
      </c>
      <c r="D1305" t="s">
        <v>366</v>
      </c>
      <c r="E1305" s="5">
        <v>37.72</v>
      </c>
      <c r="F1305" t="s">
        <v>7</v>
      </c>
    </row>
    <row r="1306" spans="1:6">
      <c r="A1306" s="1">
        <v>45480</v>
      </c>
      <c r="B1306" s="2">
        <v>45480.385060474538</v>
      </c>
      <c r="C1306" t="s">
        <v>3</v>
      </c>
      <c r="D1306" t="s">
        <v>367</v>
      </c>
      <c r="E1306" s="5">
        <v>27.92</v>
      </c>
      <c r="F1306" t="s">
        <v>14</v>
      </c>
    </row>
    <row r="1307" spans="1:6">
      <c r="A1307" s="1">
        <v>45480</v>
      </c>
      <c r="B1307" s="2">
        <v>45480.385842766205</v>
      </c>
      <c r="C1307" t="s">
        <v>3</v>
      </c>
      <c r="D1307" t="s">
        <v>367</v>
      </c>
      <c r="E1307" s="5">
        <v>27.92</v>
      </c>
      <c r="F1307" t="s">
        <v>14</v>
      </c>
    </row>
    <row r="1308" spans="1:6">
      <c r="A1308" s="1">
        <v>45480</v>
      </c>
      <c r="B1308" s="2">
        <v>45480.395010138891</v>
      </c>
      <c r="C1308" t="s">
        <v>3</v>
      </c>
      <c r="D1308" t="s">
        <v>368</v>
      </c>
      <c r="E1308" s="5">
        <v>32.82</v>
      </c>
      <c r="F1308" t="s">
        <v>43</v>
      </c>
    </row>
    <row r="1309" spans="1:6">
      <c r="A1309" s="1">
        <v>45480</v>
      </c>
      <c r="B1309" s="2">
        <v>45480.395789224538</v>
      </c>
      <c r="C1309" t="s">
        <v>3</v>
      </c>
      <c r="D1309" t="s">
        <v>368</v>
      </c>
      <c r="E1309" s="5">
        <v>32.82</v>
      </c>
      <c r="F1309" t="s">
        <v>43</v>
      </c>
    </row>
    <row r="1310" spans="1:6">
      <c r="A1310" s="1">
        <v>45480</v>
      </c>
      <c r="B1310" s="2">
        <v>45480.622571678243</v>
      </c>
      <c r="C1310" t="s">
        <v>3</v>
      </c>
      <c r="D1310" t="s">
        <v>369</v>
      </c>
      <c r="E1310" s="5">
        <v>32.82</v>
      </c>
      <c r="F1310" t="s">
        <v>9</v>
      </c>
    </row>
    <row r="1311" spans="1:6">
      <c r="A1311" s="1">
        <v>45480</v>
      </c>
      <c r="B1311" s="2">
        <v>45480.623465405093</v>
      </c>
      <c r="C1311" t="s">
        <v>3</v>
      </c>
      <c r="D1311" t="s">
        <v>369</v>
      </c>
      <c r="E1311" s="5">
        <v>32.82</v>
      </c>
      <c r="F1311" t="s">
        <v>18</v>
      </c>
    </row>
    <row r="1312" spans="1:6">
      <c r="A1312" s="1">
        <v>45584</v>
      </c>
      <c r="B1312" s="2">
        <v>45584.590655196756</v>
      </c>
      <c r="C1312" t="s">
        <v>3</v>
      </c>
      <c r="D1312" t="s">
        <v>369</v>
      </c>
      <c r="E1312" s="5">
        <v>35.76</v>
      </c>
      <c r="F1312" t="s">
        <v>43</v>
      </c>
    </row>
    <row r="1313" spans="1:6">
      <c r="A1313" s="1">
        <v>45480</v>
      </c>
      <c r="B1313" s="2">
        <v>45480.713776435186</v>
      </c>
      <c r="C1313" t="s">
        <v>3</v>
      </c>
      <c r="D1313" t="s">
        <v>370</v>
      </c>
      <c r="E1313" s="5">
        <v>32.82</v>
      </c>
      <c r="F1313" t="s">
        <v>7</v>
      </c>
    </row>
    <row r="1314" spans="1:6">
      <c r="A1314" s="1">
        <v>45480</v>
      </c>
      <c r="B1314" s="2">
        <v>45480.814897997683</v>
      </c>
      <c r="C1314" t="s">
        <v>3</v>
      </c>
      <c r="D1314" t="s">
        <v>371</v>
      </c>
      <c r="E1314" s="5">
        <v>32.82</v>
      </c>
      <c r="F1314" t="s">
        <v>43</v>
      </c>
    </row>
    <row r="1315" spans="1:6">
      <c r="A1315" s="1">
        <v>45480</v>
      </c>
      <c r="B1315" s="2">
        <v>45480.834394131947</v>
      </c>
      <c r="C1315" t="s">
        <v>3</v>
      </c>
      <c r="D1315" t="s">
        <v>372</v>
      </c>
      <c r="E1315" s="5">
        <v>32.82</v>
      </c>
      <c r="F1315" t="s">
        <v>9</v>
      </c>
    </row>
    <row r="1316" spans="1:6">
      <c r="A1316" s="1">
        <v>45480</v>
      </c>
      <c r="B1316" s="2">
        <v>45480.940002951385</v>
      </c>
      <c r="C1316" t="s">
        <v>3</v>
      </c>
      <c r="D1316" t="s">
        <v>373</v>
      </c>
      <c r="E1316" s="5">
        <v>27.92</v>
      </c>
      <c r="F1316" t="s">
        <v>14</v>
      </c>
    </row>
    <row r="1317" spans="1:6">
      <c r="A1317" s="1">
        <v>45481</v>
      </c>
      <c r="B1317" s="2">
        <v>45481.314672731482</v>
      </c>
      <c r="C1317" t="s">
        <v>3</v>
      </c>
      <c r="D1317" t="s">
        <v>374</v>
      </c>
      <c r="E1317" s="5">
        <v>32.82</v>
      </c>
      <c r="F1317" t="s">
        <v>7</v>
      </c>
    </row>
    <row r="1318" spans="1:6">
      <c r="A1318" s="1">
        <v>45481</v>
      </c>
      <c r="B1318" s="2">
        <v>45481.501972465281</v>
      </c>
      <c r="C1318" t="s">
        <v>3</v>
      </c>
      <c r="D1318" t="s">
        <v>375</v>
      </c>
      <c r="E1318" s="5">
        <v>23.02</v>
      </c>
      <c r="F1318" t="s">
        <v>11</v>
      </c>
    </row>
    <row r="1319" spans="1:6">
      <c r="A1319" s="1">
        <v>45481</v>
      </c>
      <c r="B1319" s="2">
        <v>45481.611392939813</v>
      </c>
      <c r="C1319" t="s">
        <v>3</v>
      </c>
      <c r="D1319" t="s">
        <v>376</v>
      </c>
      <c r="E1319" s="5">
        <v>23.02</v>
      </c>
      <c r="F1319" t="s">
        <v>11</v>
      </c>
    </row>
    <row r="1320" spans="1:6">
      <c r="A1320" s="1">
        <v>45481</v>
      </c>
      <c r="B1320" s="2">
        <v>45481.812904814811</v>
      </c>
      <c r="C1320" t="s">
        <v>3</v>
      </c>
      <c r="D1320" t="s">
        <v>377</v>
      </c>
      <c r="E1320" s="5">
        <v>27.92</v>
      </c>
      <c r="F1320" t="s">
        <v>14</v>
      </c>
    </row>
    <row r="1321" spans="1:6">
      <c r="A1321" s="1">
        <v>45482</v>
      </c>
      <c r="B1321" s="2">
        <v>45482.696522395832</v>
      </c>
      <c r="C1321" t="s">
        <v>3</v>
      </c>
      <c r="D1321" t="s">
        <v>378</v>
      </c>
      <c r="E1321" s="5">
        <v>27.92</v>
      </c>
      <c r="F1321" t="s">
        <v>14</v>
      </c>
    </row>
    <row r="1322" spans="1:6">
      <c r="A1322" s="1">
        <v>45483</v>
      </c>
      <c r="B1322" s="2">
        <v>45483.465760300925</v>
      </c>
      <c r="C1322" t="s">
        <v>3</v>
      </c>
      <c r="D1322" t="s">
        <v>379</v>
      </c>
      <c r="E1322" s="5">
        <v>23.02</v>
      </c>
      <c r="F1322" t="s">
        <v>11</v>
      </c>
    </row>
    <row r="1323" spans="1:6">
      <c r="A1323" s="1">
        <v>45486</v>
      </c>
      <c r="B1323" s="2">
        <v>45486.443174456021</v>
      </c>
      <c r="C1323" t="s">
        <v>3</v>
      </c>
      <c r="D1323" t="s">
        <v>379</v>
      </c>
      <c r="E1323" s="5">
        <v>32.82</v>
      </c>
      <c r="F1323" t="s">
        <v>7</v>
      </c>
    </row>
    <row r="1324" spans="1:6">
      <c r="A1324" s="1">
        <v>45486</v>
      </c>
      <c r="B1324" s="2">
        <v>45486.487246400466</v>
      </c>
      <c r="C1324" t="s">
        <v>3</v>
      </c>
      <c r="D1324" t="s">
        <v>379</v>
      </c>
      <c r="E1324" s="5">
        <v>32.82</v>
      </c>
      <c r="F1324" t="s">
        <v>7</v>
      </c>
    </row>
    <row r="1325" spans="1:6">
      <c r="A1325" s="1">
        <v>45483</v>
      </c>
      <c r="B1325" s="2">
        <v>45483.520065497687</v>
      </c>
      <c r="C1325" t="s">
        <v>3</v>
      </c>
      <c r="D1325" t="s">
        <v>380</v>
      </c>
      <c r="E1325" s="5">
        <v>27.92</v>
      </c>
      <c r="F1325" t="s">
        <v>14</v>
      </c>
    </row>
    <row r="1326" spans="1:6">
      <c r="A1326" s="1">
        <v>45484</v>
      </c>
      <c r="B1326" s="2">
        <v>45484.477402337965</v>
      </c>
      <c r="C1326" t="s">
        <v>3</v>
      </c>
      <c r="D1326" t="s">
        <v>381</v>
      </c>
      <c r="E1326" s="5">
        <v>32.82</v>
      </c>
      <c r="F1326" t="s">
        <v>9</v>
      </c>
    </row>
    <row r="1327" spans="1:6">
      <c r="A1327" s="1">
        <v>45489</v>
      </c>
      <c r="B1327" s="2">
        <v>45489.81210052083</v>
      </c>
      <c r="C1327" t="s">
        <v>3</v>
      </c>
      <c r="D1327" t="s">
        <v>381</v>
      </c>
      <c r="E1327" s="5">
        <v>32.82</v>
      </c>
      <c r="F1327" t="s">
        <v>9</v>
      </c>
    </row>
    <row r="1328" spans="1:6">
      <c r="A1328" s="1">
        <v>45494</v>
      </c>
      <c r="B1328" s="2">
        <v>45494.43814604167</v>
      </c>
      <c r="C1328" t="s">
        <v>3</v>
      </c>
      <c r="D1328" t="s">
        <v>381</v>
      </c>
      <c r="E1328" s="5">
        <v>32.82</v>
      </c>
      <c r="F1328" t="s">
        <v>18</v>
      </c>
    </row>
    <row r="1329" spans="1:6">
      <c r="A1329" s="1">
        <v>45516</v>
      </c>
      <c r="B1329" s="2">
        <v>45516.351614097221</v>
      </c>
      <c r="C1329" t="s">
        <v>3</v>
      </c>
      <c r="D1329" t="s">
        <v>381</v>
      </c>
      <c r="E1329" s="5">
        <v>32.82</v>
      </c>
      <c r="F1329" t="s">
        <v>9</v>
      </c>
    </row>
    <row r="1330" spans="1:6">
      <c r="A1330" s="1">
        <v>45484</v>
      </c>
      <c r="B1330" s="2">
        <v>45484.70021653935</v>
      </c>
      <c r="C1330" t="s">
        <v>3</v>
      </c>
      <c r="D1330" t="s">
        <v>382</v>
      </c>
      <c r="E1330" s="5">
        <v>27.92</v>
      </c>
      <c r="F1330" t="s">
        <v>14</v>
      </c>
    </row>
    <row r="1331" spans="1:6">
      <c r="A1331" s="1">
        <v>45484</v>
      </c>
      <c r="B1331" s="2">
        <v>45484.932102407409</v>
      </c>
      <c r="C1331" t="s">
        <v>3</v>
      </c>
      <c r="D1331" t="s">
        <v>383</v>
      </c>
      <c r="E1331" s="5">
        <v>32.82</v>
      </c>
      <c r="F1331" t="s">
        <v>7</v>
      </c>
    </row>
    <row r="1332" spans="1:6">
      <c r="A1332" s="1">
        <v>45484</v>
      </c>
      <c r="B1332" s="2">
        <v>45484.938177557873</v>
      </c>
      <c r="C1332" t="s">
        <v>3</v>
      </c>
      <c r="D1332" t="s">
        <v>384</v>
      </c>
      <c r="E1332" s="5">
        <v>23.02</v>
      </c>
      <c r="F1332" t="s">
        <v>11</v>
      </c>
    </row>
    <row r="1333" spans="1:6">
      <c r="A1333" s="1">
        <v>45485</v>
      </c>
      <c r="B1333" s="2">
        <v>45485.335619120371</v>
      </c>
      <c r="C1333" t="s">
        <v>3</v>
      </c>
      <c r="D1333" t="s">
        <v>385</v>
      </c>
      <c r="E1333" s="5">
        <v>23.02</v>
      </c>
      <c r="F1333" t="s">
        <v>28</v>
      </c>
    </row>
    <row r="1334" spans="1:6">
      <c r="A1334" s="1">
        <v>45535</v>
      </c>
      <c r="B1334" s="2">
        <v>45535.380931562497</v>
      </c>
      <c r="C1334" t="s">
        <v>3</v>
      </c>
      <c r="D1334" t="s">
        <v>385</v>
      </c>
      <c r="E1334" s="5">
        <v>23.02</v>
      </c>
      <c r="F1334" t="s">
        <v>28</v>
      </c>
    </row>
    <row r="1335" spans="1:6">
      <c r="A1335" s="1">
        <v>45485</v>
      </c>
      <c r="B1335" s="2">
        <v>45485.492053020833</v>
      </c>
      <c r="C1335" t="s">
        <v>3</v>
      </c>
      <c r="D1335" t="s">
        <v>386</v>
      </c>
      <c r="E1335" s="5">
        <v>32.82</v>
      </c>
      <c r="F1335" t="s">
        <v>9</v>
      </c>
    </row>
    <row r="1336" spans="1:6">
      <c r="A1336" s="1">
        <v>45487</v>
      </c>
      <c r="B1336" s="2">
        <v>45487.454447997683</v>
      </c>
      <c r="C1336" t="s">
        <v>3</v>
      </c>
      <c r="D1336" t="s">
        <v>387</v>
      </c>
      <c r="E1336" s="5">
        <v>23.02</v>
      </c>
      <c r="F1336" t="s">
        <v>11</v>
      </c>
    </row>
    <row r="1337" spans="1:6">
      <c r="A1337" s="1">
        <v>45487</v>
      </c>
      <c r="B1337" s="2">
        <v>45487.455214409725</v>
      </c>
      <c r="C1337" t="s">
        <v>3</v>
      </c>
      <c r="D1337" t="s">
        <v>387</v>
      </c>
      <c r="E1337" s="5">
        <v>27.92</v>
      </c>
      <c r="F1337" t="s">
        <v>14</v>
      </c>
    </row>
    <row r="1338" spans="1:6">
      <c r="A1338" s="1">
        <v>45487</v>
      </c>
      <c r="B1338" s="2">
        <v>45487.455905682873</v>
      </c>
      <c r="C1338" t="s">
        <v>3</v>
      </c>
      <c r="D1338" t="s">
        <v>387</v>
      </c>
      <c r="E1338" s="5">
        <v>32.82</v>
      </c>
      <c r="F1338" t="s">
        <v>43</v>
      </c>
    </row>
    <row r="1339" spans="1:6">
      <c r="A1339" s="1">
        <v>45487</v>
      </c>
      <c r="B1339" s="2">
        <v>45487.456875717595</v>
      </c>
      <c r="C1339" t="s">
        <v>3</v>
      </c>
      <c r="D1339" t="s">
        <v>388</v>
      </c>
      <c r="E1339" s="5">
        <v>32.82</v>
      </c>
      <c r="F1339" t="s">
        <v>7</v>
      </c>
    </row>
    <row r="1340" spans="1:6">
      <c r="A1340" s="1">
        <v>45487</v>
      </c>
      <c r="B1340" s="2">
        <v>45487.459858773145</v>
      </c>
      <c r="C1340" t="s">
        <v>3</v>
      </c>
      <c r="D1340" t="s">
        <v>389</v>
      </c>
      <c r="E1340" s="5">
        <v>23.02</v>
      </c>
      <c r="F1340" t="s">
        <v>11</v>
      </c>
    </row>
    <row r="1341" spans="1:6">
      <c r="A1341" s="1">
        <v>45491</v>
      </c>
      <c r="B1341" s="2">
        <v>45491.558030231485</v>
      </c>
      <c r="C1341" t="s">
        <v>3</v>
      </c>
      <c r="D1341" t="s">
        <v>389</v>
      </c>
      <c r="E1341" s="5">
        <v>32.82</v>
      </c>
      <c r="F1341" t="s">
        <v>7</v>
      </c>
    </row>
    <row r="1342" spans="1:6">
      <c r="A1342" s="1">
        <v>45492</v>
      </c>
      <c r="B1342" s="2">
        <v>45492.460443761571</v>
      </c>
      <c r="C1342" t="s">
        <v>3</v>
      </c>
      <c r="D1342" t="s">
        <v>389</v>
      </c>
      <c r="E1342" s="5">
        <v>23.02</v>
      </c>
      <c r="F1342" t="s">
        <v>11</v>
      </c>
    </row>
    <row r="1343" spans="1:6">
      <c r="A1343" s="1">
        <v>45495</v>
      </c>
      <c r="B1343" s="2">
        <v>45495.342629016202</v>
      </c>
      <c r="C1343" t="s">
        <v>3</v>
      </c>
      <c r="D1343" t="s">
        <v>389</v>
      </c>
      <c r="E1343" s="5">
        <v>23.02</v>
      </c>
      <c r="F1343" t="s">
        <v>11</v>
      </c>
    </row>
    <row r="1344" spans="1:6">
      <c r="A1344" s="1">
        <v>45496</v>
      </c>
      <c r="B1344" s="2">
        <v>45496.376223460647</v>
      </c>
      <c r="C1344" t="s">
        <v>3</v>
      </c>
      <c r="D1344" t="s">
        <v>389</v>
      </c>
      <c r="E1344" s="5">
        <v>23.02</v>
      </c>
      <c r="F1344" t="s">
        <v>11</v>
      </c>
    </row>
    <row r="1345" spans="1:6">
      <c r="A1345" s="1">
        <v>45498</v>
      </c>
      <c r="B1345" s="2">
        <v>45498.476443298612</v>
      </c>
      <c r="C1345" t="s">
        <v>3</v>
      </c>
      <c r="D1345" t="s">
        <v>389</v>
      </c>
      <c r="E1345" s="5">
        <v>23.02</v>
      </c>
      <c r="F1345" t="s">
        <v>11</v>
      </c>
    </row>
    <row r="1346" spans="1:6">
      <c r="A1346" s="1">
        <v>45509</v>
      </c>
      <c r="B1346" s="2">
        <v>45509.472771342589</v>
      </c>
      <c r="C1346" t="s">
        <v>3</v>
      </c>
      <c r="D1346" t="s">
        <v>389</v>
      </c>
      <c r="E1346" s="5">
        <v>23.02</v>
      </c>
      <c r="F1346" t="s">
        <v>28</v>
      </c>
    </row>
    <row r="1347" spans="1:6">
      <c r="A1347" s="1">
        <v>45510</v>
      </c>
      <c r="B1347" s="2">
        <v>45510.431288425927</v>
      </c>
      <c r="C1347" t="s">
        <v>3</v>
      </c>
      <c r="D1347" t="s">
        <v>389</v>
      </c>
      <c r="E1347" s="5">
        <v>23.02</v>
      </c>
      <c r="F1347" t="s">
        <v>28</v>
      </c>
    </row>
    <row r="1348" spans="1:6">
      <c r="A1348" s="1">
        <v>45525</v>
      </c>
      <c r="B1348" s="2">
        <v>45525.426069490743</v>
      </c>
      <c r="C1348" t="s">
        <v>3</v>
      </c>
      <c r="D1348" t="s">
        <v>389</v>
      </c>
      <c r="E1348" s="5">
        <v>23.02</v>
      </c>
      <c r="F1348" t="s">
        <v>11</v>
      </c>
    </row>
    <row r="1349" spans="1:6">
      <c r="A1349" s="1">
        <v>45531</v>
      </c>
      <c r="B1349" s="2">
        <v>45531.419497256946</v>
      </c>
      <c r="C1349" t="s">
        <v>3</v>
      </c>
      <c r="D1349" t="s">
        <v>389</v>
      </c>
      <c r="E1349" s="5">
        <v>32.82</v>
      </c>
      <c r="F1349" t="s">
        <v>7</v>
      </c>
    </row>
    <row r="1350" spans="1:6">
      <c r="A1350" s="1">
        <v>45532</v>
      </c>
      <c r="B1350" s="2">
        <v>45532.524385925928</v>
      </c>
      <c r="C1350" t="s">
        <v>3</v>
      </c>
      <c r="D1350" t="s">
        <v>389</v>
      </c>
      <c r="E1350" s="5">
        <v>23.02</v>
      </c>
      <c r="F1350" t="s">
        <v>11</v>
      </c>
    </row>
    <row r="1351" spans="1:6">
      <c r="A1351" s="1">
        <v>45548</v>
      </c>
      <c r="B1351" s="2">
        <v>45548.371016365738</v>
      </c>
      <c r="C1351" t="s">
        <v>3</v>
      </c>
      <c r="D1351" t="s">
        <v>389</v>
      </c>
      <c r="E1351" s="5">
        <v>32.82</v>
      </c>
      <c r="F1351" t="s">
        <v>7</v>
      </c>
    </row>
    <row r="1352" spans="1:6">
      <c r="A1352" s="1">
        <v>45567</v>
      </c>
      <c r="B1352" s="2">
        <v>45567.431962071758</v>
      </c>
      <c r="C1352" t="s">
        <v>3</v>
      </c>
      <c r="D1352" t="s">
        <v>389</v>
      </c>
      <c r="E1352" s="5">
        <v>35.76</v>
      </c>
      <c r="F1352" t="s">
        <v>7</v>
      </c>
    </row>
    <row r="1353" spans="1:6">
      <c r="A1353" s="1">
        <v>45575</v>
      </c>
      <c r="B1353" s="2">
        <v>45575.420248773145</v>
      </c>
      <c r="C1353" t="s">
        <v>3</v>
      </c>
      <c r="D1353" t="s">
        <v>389</v>
      </c>
      <c r="E1353" s="5">
        <v>35.76</v>
      </c>
      <c r="F1353" t="s">
        <v>7</v>
      </c>
    </row>
    <row r="1354" spans="1:6">
      <c r="A1354" s="1">
        <v>45576</v>
      </c>
      <c r="B1354" s="2">
        <v>45576.41713396991</v>
      </c>
      <c r="C1354" t="s">
        <v>3</v>
      </c>
      <c r="D1354" t="s">
        <v>389</v>
      </c>
      <c r="E1354" s="5">
        <v>25.96</v>
      </c>
      <c r="F1354" t="s">
        <v>11</v>
      </c>
    </row>
    <row r="1355" spans="1:6">
      <c r="A1355" s="1">
        <v>45576</v>
      </c>
      <c r="B1355" s="2">
        <v>45576.417996215278</v>
      </c>
      <c r="C1355" t="s">
        <v>3</v>
      </c>
      <c r="D1355" t="s">
        <v>389</v>
      </c>
      <c r="E1355" s="5">
        <v>25.96</v>
      </c>
      <c r="F1355" t="s">
        <v>11</v>
      </c>
    </row>
    <row r="1356" spans="1:6">
      <c r="A1356" s="1">
        <v>45595</v>
      </c>
      <c r="B1356" s="2">
        <v>45595.506087187503</v>
      </c>
      <c r="C1356" t="s">
        <v>3</v>
      </c>
      <c r="D1356" t="s">
        <v>389</v>
      </c>
      <c r="E1356" s="5">
        <v>35.76</v>
      </c>
      <c r="F1356" t="s">
        <v>7</v>
      </c>
    </row>
    <row r="1357" spans="1:6">
      <c r="A1357" s="1">
        <v>45595</v>
      </c>
      <c r="B1357" s="2">
        <v>45595.506791539352</v>
      </c>
      <c r="C1357" t="s">
        <v>3</v>
      </c>
      <c r="D1357" t="s">
        <v>389</v>
      </c>
      <c r="E1357" s="5">
        <v>25.96</v>
      </c>
      <c r="F1357" t="s">
        <v>11</v>
      </c>
    </row>
    <row r="1358" spans="1:6">
      <c r="A1358" s="1">
        <v>45604</v>
      </c>
      <c r="B1358" s="2">
        <v>45604.407996527778</v>
      </c>
      <c r="C1358" t="s">
        <v>3</v>
      </c>
      <c r="D1358" t="s">
        <v>389</v>
      </c>
      <c r="E1358" s="5">
        <v>25.96</v>
      </c>
      <c r="F1358" t="s">
        <v>11</v>
      </c>
    </row>
    <row r="1359" spans="1:6">
      <c r="A1359" s="1">
        <v>45604</v>
      </c>
      <c r="B1359" s="2">
        <v>45604.409024687498</v>
      </c>
      <c r="C1359" t="s">
        <v>3</v>
      </c>
      <c r="D1359" t="s">
        <v>389</v>
      </c>
      <c r="E1359" s="5">
        <v>25.96</v>
      </c>
      <c r="F1359" t="s">
        <v>11</v>
      </c>
    </row>
    <row r="1360" spans="1:6">
      <c r="A1360" s="1">
        <v>45487</v>
      </c>
      <c r="B1360" s="2">
        <v>45487.938541388889</v>
      </c>
      <c r="C1360" t="s">
        <v>3</v>
      </c>
      <c r="D1360" t="s">
        <v>390</v>
      </c>
      <c r="E1360" s="5">
        <v>32.82</v>
      </c>
      <c r="F1360" t="s">
        <v>7</v>
      </c>
    </row>
    <row r="1361" spans="1:6">
      <c r="A1361" s="1">
        <v>45488</v>
      </c>
      <c r="B1361" s="2">
        <v>45488.314647650463</v>
      </c>
      <c r="C1361" t="s">
        <v>3</v>
      </c>
      <c r="D1361" t="s">
        <v>391</v>
      </c>
      <c r="E1361" s="5">
        <v>32.82</v>
      </c>
      <c r="F1361" t="s">
        <v>43</v>
      </c>
    </row>
    <row r="1362" spans="1:6">
      <c r="A1362" s="1">
        <v>45489</v>
      </c>
      <c r="B1362" s="2">
        <v>45489.516405868053</v>
      </c>
      <c r="C1362" t="s">
        <v>3</v>
      </c>
      <c r="D1362" t="s">
        <v>392</v>
      </c>
      <c r="E1362" s="5">
        <v>27.92</v>
      </c>
      <c r="F1362" t="s">
        <v>14</v>
      </c>
    </row>
    <row r="1363" spans="1:6">
      <c r="A1363" s="1">
        <v>45490</v>
      </c>
      <c r="B1363" s="2">
        <v>45490.545135925924</v>
      </c>
      <c r="C1363" t="s">
        <v>3</v>
      </c>
      <c r="D1363" t="s">
        <v>393</v>
      </c>
      <c r="E1363" s="5">
        <v>27.92</v>
      </c>
      <c r="F1363" t="s">
        <v>14</v>
      </c>
    </row>
    <row r="1364" spans="1:6">
      <c r="A1364" s="1">
        <v>45497</v>
      </c>
      <c r="B1364" s="2">
        <v>45497.488809270835</v>
      </c>
      <c r="C1364" t="s">
        <v>3</v>
      </c>
      <c r="D1364" t="s">
        <v>393</v>
      </c>
      <c r="E1364" s="5">
        <v>32.82</v>
      </c>
      <c r="F1364" t="s">
        <v>43</v>
      </c>
    </row>
    <row r="1365" spans="1:6">
      <c r="A1365" s="1">
        <v>45499</v>
      </c>
      <c r="B1365" s="2">
        <v>45499.504880439817</v>
      </c>
      <c r="C1365" t="s">
        <v>3</v>
      </c>
      <c r="D1365" t="s">
        <v>393</v>
      </c>
      <c r="E1365" s="5">
        <v>27.92</v>
      </c>
      <c r="F1365" t="s">
        <v>14</v>
      </c>
    </row>
    <row r="1366" spans="1:6">
      <c r="A1366" s="1">
        <v>45491</v>
      </c>
      <c r="B1366" s="2">
        <v>45491.465432789351</v>
      </c>
      <c r="C1366" t="s">
        <v>3</v>
      </c>
      <c r="D1366" t="s">
        <v>394</v>
      </c>
      <c r="E1366" s="5">
        <v>27.92</v>
      </c>
      <c r="F1366" t="s">
        <v>14</v>
      </c>
    </row>
    <row r="1367" spans="1:6">
      <c r="A1367" s="1">
        <v>45491</v>
      </c>
      <c r="B1367" s="2">
        <v>45491.466243449075</v>
      </c>
      <c r="C1367" t="s">
        <v>3</v>
      </c>
      <c r="D1367" t="s">
        <v>395</v>
      </c>
      <c r="E1367" s="5">
        <v>18.12</v>
      </c>
      <c r="F1367" t="s">
        <v>35</v>
      </c>
    </row>
    <row r="1368" spans="1:6">
      <c r="A1368" s="1">
        <v>45491</v>
      </c>
      <c r="B1368" s="2">
        <v>45491.762770578702</v>
      </c>
      <c r="C1368" t="s">
        <v>3</v>
      </c>
      <c r="D1368" t="s">
        <v>396</v>
      </c>
      <c r="E1368" s="5">
        <v>32.82</v>
      </c>
      <c r="F1368" t="s">
        <v>43</v>
      </c>
    </row>
    <row r="1369" spans="1:6">
      <c r="A1369" s="1">
        <v>45491</v>
      </c>
      <c r="B1369" s="2">
        <v>45491.888678402778</v>
      </c>
      <c r="C1369" t="s">
        <v>3</v>
      </c>
      <c r="D1369" t="s">
        <v>397</v>
      </c>
      <c r="E1369" s="5">
        <v>32.82</v>
      </c>
      <c r="F1369" t="s">
        <v>9</v>
      </c>
    </row>
    <row r="1370" spans="1:6">
      <c r="A1370" s="1">
        <v>45491</v>
      </c>
      <c r="B1370" s="2">
        <v>45491.890276099541</v>
      </c>
      <c r="C1370" t="s">
        <v>3</v>
      </c>
      <c r="D1370" t="s">
        <v>397</v>
      </c>
      <c r="E1370" s="5">
        <v>32.82</v>
      </c>
      <c r="F1370" t="s">
        <v>7</v>
      </c>
    </row>
    <row r="1371" spans="1:6">
      <c r="A1371" s="1">
        <v>45491</v>
      </c>
      <c r="B1371" s="2">
        <v>45491.907160578703</v>
      </c>
      <c r="C1371" t="s">
        <v>3</v>
      </c>
      <c r="D1371" t="s">
        <v>398</v>
      </c>
      <c r="E1371" s="5">
        <v>32.82</v>
      </c>
      <c r="F1371" t="s">
        <v>7</v>
      </c>
    </row>
    <row r="1372" spans="1:6">
      <c r="A1372" s="1">
        <v>45492</v>
      </c>
      <c r="B1372" s="2">
        <v>45492.589823101851</v>
      </c>
      <c r="C1372" t="s">
        <v>3</v>
      </c>
      <c r="D1372" t="s">
        <v>398</v>
      </c>
      <c r="E1372" s="5">
        <v>32.82</v>
      </c>
      <c r="F1372" t="s">
        <v>7</v>
      </c>
    </row>
    <row r="1373" spans="1:6">
      <c r="A1373" s="1">
        <v>45492</v>
      </c>
      <c r="B1373" s="2">
        <v>45492.591228067133</v>
      </c>
      <c r="C1373" t="s">
        <v>3</v>
      </c>
      <c r="D1373" t="s">
        <v>398</v>
      </c>
      <c r="E1373" s="5">
        <v>32.82</v>
      </c>
      <c r="F1373" t="s">
        <v>18</v>
      </c>
    </row>
    <row r="1374" spans="1:6">
      <c r="A1374" s="1">
        <v>45492</v>
      </c>
      <c r="B1374" s="2">
        <v>45492.69188972222</v>
      </c>
      <c r="C1374" t="s">
        <v>3</v>
      </c>
      <c r="D1374" t="s">
        <v>398</v>
      </c>
      <c r="E1374" s="5">
        <v>32.82</v>
      </c>
      <c r="F1374" t="s">
        <v>7</v>
      </c>
    </row>
    <row r="1375" spans="1:6">
      <c r="A1375" s="1">
        <v>45492</v>
      </c>
      <c r="B1375" s="2">
        <v>45492.692775555559</v>
      </c>
      <c r="C1375" t="s">
        <v>3</v>
      </c>
      <c r="D1375" t="s">
        <v>398</v>
      </c>
      <c r="E1375" s="5">
        <v>32.82</v>
      </c>
      <c r="F1375" t="s">
        <v>7</v>
      </c>
    </row>
    <row r="1376" spans="1:6">
      <c r="A1376" s="1">
        <v>45504</v>
      </c>
      <c r="B1376" s="2">
        <v>45504.549798715278</v>
      </c>
      <c r="C1376" t="s">
        <v>3</v>
      </c>
      <c r="D1376" t="s">
        <v>398</v>
      </c>
      <c r="E1376" s="5">
        <v>32.82</v>
      </c>
      <c r="F1376" t="s">
        <v>18</v>
      </c>
    </row>
    <row r="1377" spans="1:6">
      <c r="A1377" s="1">
        <v>45504</v>
      </c>
      <c r="B1377" s="2">
        <v>45504.551392199071</v>
      </c>
      <c r="C1377" t="s">
        <v>3</v>
      </c>
      <c r="D1377" t="s">
        <v>398</v>
      </c>
      <c r="E1377" s="5">
        <v>32.82</v>
      </c>
      <c r="F1377" t="s">
        <v>7</v>
      </c>
    </row>
    <row r="1378" spans="1:6">
      <c r="A1378" s="1">
        <v>45492</v>
      </c>
      <c r="B1378" s="2">
        <v>45492.469681817129</v>
      </c>
      <c r="C1378" t="s">
        <v>3</v>
      </c>
      <c r="D1378" t="s">
        <v>399</v>
      </c>
      <c r="E1378" s="5">
        <v>27.92</v>
      </c>
      <c r="F1378" t="s">
        <v>14</v>
      </c>
    </row>
    <row r="1379" spans="1:6">
      <c r="A1379" s="1">
        <v>45495</v>
      </c>
      <c r="B1379" s="2">
        <v>45495.42751465278</v>
      </c>
      <c r="C1379" t="s">
        <v>3</v>
      </c>
      <c r="D1379" t="s">
        <v>399</v>
      </c>
      <c r="E1379" s="5">
        <v>27.92</v>
      </c>
      <c r="F1379" t="s">
        <v>14</v>
      </c>
    </row>
    <row r="1380" spans="1:6">
      <c r="A1380" s="1">
        <v>45497</v>
      </c>
      <c r="B1380" s="2">
        <v>45497.402025543983</v>
      </c>
      <c r="C1380" t="s">
        <v>3</v>
      </c>
      <c r="D1380" t="s">
        <v>399</v>
      </c>
      <c r="E1380" s="5">
        <v>27.92</v>
      </c>
      <c r="F1380" t="s">
        <v>14</v>
      </c>
    </row>
    <row r="1381" spans="1:6">
      <c r="A1381" s="1">
        <v>45498</v>
      </c>
      <c r="B1381" s="2">
        <v>45498.437322094906</v>
      </c>
      <c r="C1381" t="s">
        <v>3</v>
      </c>
      <c r="D1381" t="s">
        <v>399</v>
      </c>
      <c r="E1381" s="5">
        <v>27.92</v>
      </c>
      <c r="F1381" t="s">
        <v>14</v>
      </c>
    </row>
    <row r="1382" spans="1:6">
      <c r="A1382" s="1">
        <v>45499</v>
      </c>
      <c r="B1382" s="2">
        <v>45499.491132581017</v>
      </c>
      <c r="C1382" t="s">
        <v>3</v>
      </c>
      <c r="D1382" t="s">
        <v>399</v>
      </c>
      <c r="E1382" s="5">
        <v>27.92</v>
      </c>
      <c r="F1382" t="s">
        <v>14</v>
      </c>
    </row>
    <row r="1383" spans="1:6">
      <c r="A1383" s="1">
        <v>45517</v>
      </c>
      <c r="B1383" s="2">
        <v>45517.406902430557</v>
      </c>
      <c r="C1383" t="s">
        <v>3</v>
      </c>
      <c r="D1383" t="s">
        <v>399</v>
      </c>
      <c r="E1383" s="5">
        <v>27.92</v>
      </c>
      <c r="F1383" t="s">
        <v>14</v>
      </c>
    </row>
    <row r="1384" spans="1:6">
      <c r="A1384" s="1">
        <v>45536</v>
      </c>
      <c r="B1384" s="2">
        <v>45536.613935497684</v>
      </c>
      <c r="C1384" t="s">
        <v>3</v>
      </c>
      <c r="D1384" t="s">
        <v>399</v>
      </c>
      <c r="E1384" s="5">
        <v>27.92</v>
      </c>
      <c r="F1384" t="s">
        <v>14</v>
      </c>
    </row>
    <row r="1385" spans="1:6">
      <c r="A1385" s="1">
        <v>45538</v>
      </c>
      <c r="B1385" s="2">
        <v>45538.386831134259</v>
      </c>
      <c r="C1385" t="s">
        <v>3</v>
      </c>
      <c r="D1385" t="s">
        <v>399</v>
      </c>
      <c r="E1385" s="5">
        <v>27.92</v>
      </c>
      <c r="F1385" t="s">
        <v>14</v>
      </c>
    </row>
    <row r="1386" spans="1:6">
      <c r="A1386" s="1">
        <v>45540</v>
      </c>
      <c r="B1386" s="2">
        <v>45540.396724768521</v>
      </c>
      <c r="C1386" t="s">
        <v>3</v>
      </c>
      <c r="D1386" t="s">
        <v>399</v>
      </c>
      <c r="E1386" s="5">
        <v>27.92</v>
      </c>
      <c r="F1386" t="s">
        <v>14</v>
      </c>
    </row>
    <row r="1387" spans="1:6">
      <c r="A1387" s="1">
        <v>45572</v>
      </c>
      <c r="B1387" s="2">
        <v>45572.367783298614</v>
      </c>
      <c r="C1387" t="s">
        <v>3</v>
      </c>
      <c r="D1387" t="s">
        <v>399</v>
      </c>
      <c r="E1387" s="5">
        <v>35.76</v>
      </c>
      <c r="F1387" t="s">
        <v>7</v>
      </c>
    </row>
    <row r="1388" spans="1:6">
      <c r="A1388" s="1">
        <v>45572</v>
      </c>
      <c r="B1388" s="2">
        <v>45572.368537824077</v>
      </c>
      <c r="C1388" t="s">
        <v>3</v>
      </c>
      <c r="D1388" t="s">
        <v>399</v>
      </c>
      <c r="E1388" s="5">
        <v>30.86</v>
      </c>
      <c r="F1388" t="s">
        <v>14</v>
      </c>
    </row>
    <row r="1389" spans="1:6">
      <c r="A1389" s="1">
        <v>45586</v>
      </c>
      <c r="B1389" s="2">
        <v>45586.378407800927</v>
      </c>
      <c r="C1389" t="s">
        <v>3</v>
      </c>
      <c r="D1389" t="s">
        <v>399</v>
      </c>
      <c r="E1389" s="5">
        <v>30.86</v>
      </c>
      <c r="F1389" t="s">
        <v>14</v>
      </c>
    </row>
    <row r="1390" spans="1:6">
      <c r="A1390" s="1">
        <v>45625</v>
      </c>
      <c r="B1390" s="2">
        <v>45625.380225752313</v>
      </c>
      <c r="C1390" t="s">
        <v>3</v>
      </c>
      <c r="D1390" t="s">
        <v>399</v>
      </c>
      <c r="E1390" s="5">
        <v>30.86</v>
      </c>
      <c r="F1390" t="s">
        <v>14</v>
      </c>
    </row>
    <row r="1391" spans="1:6">
      <c r="A1391" s="1">
        <v>45625</v>
      </c>
      <c r="B1391" s="2">
        <v>45625.380905613427</v>
      </c>
      <c r="C1391" t="s">
        <v>3</v>
      </c>
      <c r="D1391" t="s">
        <v>399</v>
      </c>
      <c r="E1391" s="5">
        <v>30.86</v>
      </c>
      <c r="F1391" t="s">
        <v>14</v>
      </c>
    </row>
    <row r="1392" spans="1:6">
      <c r="A1392" s="1">
        <v>45627</v>
      </c>
      <c r="B1392" s="2">
        <v>45627.432483657409</v>
      </c>
      <c r="C1392" t="s">
        <v>3</v>
      </c>
      <c r="D1392" t="s">
        <v>399</v>
      </c>
      <c r="E1392" s="5">
        <v>30.86</v>
      </c>
      <c r="F1392" t="s">
        <v>14</v>
      </c>
    </row>
    <row r="1393" spans="1:6">
      <c r="A1393" s="1">
        <v>45666</v>
      </c>
      <c r="B1393" s="2">
        <v>45666.376756747683</v>
      </c>
      <c r="C1393" t="s">
        <v>3</v>
      </c>
      <c r="D1393" t="s">
        <v>399</v>
      </c>
      <c r="E1393" s="5">
        <v>30.86</v>
      </c>
      <c r="F1393" t="s">
        <v>14</v>
      </c>
    </row>
    <row r="1394" spans="1:6">
      <c r="A1394" s="1">
        <v>45667</v>
      </c>
      <c r="B1394" s="2">
        <v>45667.386533541663</v>
      </c>
      <c r="C1394" t="s">
        <v>3</v>
      </c>
      <c r="D1394" t="s">
        <v>399</v>
      </c>
      <c r="E1394" s="5">
        <v>30.86</v>
      </c>
      <c r="F1394" t="s">
        <v>14</v>
      </c>
    </row>
    <row r="1395" spans="1:6">
      <c r="A1395" s="1">
        <v>45492</v>
      </c>
      <c r="B1395" s="2">
        <v>45492.540712511574</v>
      </c>
      <c r="C1395" t="s">
        <v>3</v>
      </c>
      <c r="D1395" t="s">
        <v>400</v>
      </c>
      <c r="E1395" s="5">
        <v>32.82</v>
      </c>
      <c r="F1395" t="s">
        <v>7</v>
      </c>
    </row>
    <row r="1396" spans="1:6">
      <c r="A1396" s="1">
        <v>45492</v>
      </c>
      <c r="B1396" s="2">
        <v>45492.541613229165</v>
      </c>
      <c r="C1396" t="s">
        <v>3</v>
      </c>
      <c r="D1396" t="s">
        <v>400</v>
      </c>
      <c r="E1396" s="5">
        <v>27.92</v>
      </c>
      <c r="F1396" t="s">
        <v>14</v>
      </c>
    </row>
    <row r="1397" spans="1:6">
      <c r="A1397" s="1">
        <v>45493</v>
      </c>
      <c r="B1397" s="2">
        <v>45493.337320243052</v>
      </c>
      <c r="C1397" t="s">
        <v>3</v>
      </c>
      <c r="D1397" t="s">
        <v>401</v>
      </c>
      <c r="E1397" s="5">
        <v>23.02</v>
      </c>
      <c r="F1397" t="s">
        <v>11</v>
      </c>
    </row>
    <row r="1398" spans="1:6">
      <c r="A1398" s="1">
        <v>45493</v>
      </c>
      <c r="B1398" s="2">
        <v>45493.338063483796</v>
      </c>
      <c r="C1398" t="s">
        <v>3</v>
      </c>
      <c r="D1398" t="s">
        <v>401</v>
      </c>
      <c r="E1398" s="5">
        <v>32.82</v>
      </c>
      <c r="F1398" t="s">
        <v>7</v>
      </c>
    </row>
    <row r="1399" spans="1:6">
      <c r="A1399" s="1">
        <v>45493</v>
      </c>
      <c r="B1399" s="2">
        <v>45493.338789733796</v>
      </c>
      <c r="C1399" t="s">
        <v>3</v>
      </c>
      <c r="D1399" t="s">
        <v>401</v>
      </c>
      <c r="E1399" s="5">
        <v>23.02</v>
      </c>
      <c r="F1399" t="s">
        <v>11</v>
      </c>
    </row>
    <row r="1400" spans="1:6">
      <c r="A1400" s="1">
        <v>45493</v>
      </c>
      <c r="B1400" s="2">
        <v>45493.37562042824</v>
      </c>
      <c r="C1400" t="s">
        <v>3</v>
      </c>
      <c r="D1400" t="s">
        <v>402</v>
      </c>
      <c r="E1400" s="5">
        <v>32.82</v>
      </c>
      <c r="F1400" t="s">
        <v>7</v>
      </c>
    </row>
    <row r="1401" spans="1:6">
      <c r="A1401" s="1">
        <v>45504</v>
      </c>
      <c r="B1401" s="2">
        <v>45504.413024479167</v>
      </c>
      <c r="C1401" t="s">
        <v>3</v>
      </c>
      <c r="D1401" t="s">
        <v>402</v>
      </c>
      <c r="E1401" s="5">
        <v>23.02</v>
      </c>
      <c r="F1401" t="s">
        <v>11</v>
      </c>
    </row>
    <row r="1402" spans="1:6">
      <c r="A1402" s="1">
        <v>45504</v>
      </c>
      <c r="B1402" s="2">
        <v>45504.413716921299</v>
      </c>
      <c r="C1402" t="s">
        <v>3</v>
      </c>
      <c r="D1402" t="s">
        <v>402</v>
      </c>
      <c r="E1402" s="5">
        <v>23.02</v>
      </c>
      <c r="F1402" t="s">
        <v>11</v>
      </c>
    </row>
    <row r="1403" spans="1:6">
      <c r="A1403" s="1">
        <v>45493</v>
      </c>
      <c r="B1403" s="2">
        <v>45493.376711203702</v>
      </c>
      <c r="C1403" t="s">
        <v>3</v>
      </c>
      <c r="D1403" t="s">
        <v>403</v>
      </c>
      <c r="E1403" s="5">
        <v>32.82</v>
      </c>
      <c r="F1403" t="s">
        <v>7</v>
      </c>
    </row>
    <row r="1404" spans="1:6">
      <c r="A1404" s="1">
        <v>45493</v>
      </c>
      <c r="B1404" s="2">
        <v>45493.443993564812</v>
      </c>
      <c r="C1404" t="s">
        <v>3</v>
      </c>
      <c r="D1404" t="s">
        <v>404</v>
      </c>
      <c r="E1404" s="5">
        <v>23.02</v>
      </c>
      <c r="F1404" t="s">
        <v>11</v>
      </c>
    </row>
    <row r="1405" spans="1:6">
      <c r="A1405" s="1">
        <v>45493</v>
      </c>
      <c r="B1405" s="2">
        <v>45493.635523391204</v>
      </c>
      <c r="C1405" t="s">
        <v>3</v>
      </c>
      <c r="D1405" t="s">
        <v>405</v>
      </c>
      <c r="E1405" s="5">
        <v>32.82</v>
      </c>
      <c r="F1405" t="s">
        <v>7</v>
      </c>
    </row>
    <row r="1406" spans="1:6">
      <c r="A1406" s="1">
        <v>45494</v>
      </c>
      <c r="B1406" s="2">
        <v>45494.485749722226</v>
      </c>
      <c r="C1406" t="s">
        <v>3</v>
      </c>
      <c r="D1406" t="s">
        <v>406</v>
      </c>
      <c r="E1406" s="5">
        <v>32.82</v>
      </c>
      <c r="F1406" t="s">
        <v>43</v>
      </c>
    </row>
    <row r="1407" spans="1:6">
      <c r="A1407" s="1">
        <v>45494</v>
      </c>
      <c r="B1407" s="2">
        <v>45494.565634826387</v>
      </c>
      <c r="C1407" t="s">
        <v>3</v>
      </c>
      <c r="D1407" t="s">
        <v>407</v>
      </c>
      <c r="E1407" s="5">
        <v>23.02</v>
      </c>
      <c r="F1407" t="s">
        <v>28</v>
      </c>
    </row>
    <row r="1408" spans="1:6">
      <c r="A1408" s="1">
        <v>45494</v>
      </c>
      <c r="B1408" s="2">
        <v>45494.571197268517</v>
      </c>
      <c r="C1408" t="s">
        <v>3</v>
      </c>
      <c r="D1408" t="s">
        <v>408</v>
      </c>
      <c r="E1408" s="5">
        <v>32.82</v>
      </c>
      <c r="F1408" t="s">
        <v>7</v>
      </c>
    </row>
    <row r="1409" spans="1:6">
      <c r="A1409" s="1">
        <v>45495</v>
      </c>
      <c r="B1409" s="2">
        <v>45495.36168465278</v>
      </c>
      <c r="C1409" t="s">
        <v>3</v>
      </c>
      <c r="D1409" t="s">
        <v>409</v>
      </c>
      <c r="E1409" s="5">
        <v>23.02</v>
      </c>
      <c r="F1409" t="s">
        <v>11</v>
      </c>
    </row>
    <row r="1410" spans="1:6">
      <c r="A1410" s="1">
        <v>45496</v>
      </c>
      <c r="B1410" s="2">
        <v>45496.361330798609</v>
      </c>
      <c r="C1410" t="s">
        <v>3</v>
      </c>
      <c r="D1410" t="s">
        <v>409</v>
      </c>
      <c r="E1410" s="5">
        <v>23.02</v>
      </c>
      <c r="F1410" t="s">
        <v>11</v>
      </c>
    </row>
    <row r="1411" spans="1:6">
      <c r="A1411" s="1">
        <v>45495</v>
      </c>
      <c r="B1411" s="2">
        <v>45495.697657326389</v>
      </c>
      <c r="C1411" t="s">
        <v>3</v>
      </c>
      <c r="D1411" t="s">
        <v>410</v>
      </c>
      <c r="E1411" s="5">
        <v>32.82</v>
      </c>
      <c r="F1411" t="s">
        <v>7</v>
      </c>
    </row>
    <row r="1412" spans="1:6">
      <c r="A1412" s="1">
        <v>45496</v>
      </c>
      <c r="B1412" s="2">
        <v>45496.36451175926</v>
      </c>
      <c r="C1412" t="s">
        <v>3</v>
      </c>
      <c r="D1412" t="s">
        <v>411</v>
      </c>
      <c r="E1412" s="5">
        <v>27.92</v>
      </c>
      <c r="F1412" t="s">
        <v>14</v>
      </c>
    </row>
    <row r="1413" spans="1:6">
      <c r="A1413" s="1">
        <v>45496</v>
      </c>
      <c r="B1413" s="2">
        <v>45496.367651701388</v>
      </c>
      <c r="C1413" t="s">
        <v>3</v>
      </c>
      <c r="D1413" t="s">
        <v>412</v>
      </c>
      <c r="E1413" s="5">
        <v>32.82</v>
      </c>
      <c r="F1413" t="s">
        <v>18</v>
      </c>
    </row>
    <row r="1414" spans="1:6">
      <c r="A1414" s="1">
        <v>45496</v>
      </c>
      <c r="B1414" s="2">
        <v>45496.368869965278</v>
      </c>
      <c r="C1414" t="s">
        <v>3</v>
      </c>
      <c r="D1414" t="s">
        <v>413</v>
      </c>
      <c r="E1414" s="5">
        <v>32.82</v>
      </c>
      <c r="F1414" t="s">
        <v>7</v>
      </c>
    </row>
    <row r="1415" spans="1:6">
      <c r="A1415" s="1">
        <v>45497</v>
      </c>
      <c r="B1415" s="2">
        <v>45497.580021076392</v>
      </c>
      <c r="C1415" t="s">
        <v>3</v>
      </c>
      <c r="D1415" t="s">
        <v>413</v>
      </c>
      <c r="E1415" s="5">
        <v>32.82</v>
      </c>
      <c r="F1415" t="s">
        <v>7</v>
      </c>
    </row>
    <row r="1416" spans="1:6">
      <c r="A1416" s="1">
        <v>45498</v>
      </c>
      <c r="B1416" s="2">
        <v>45498.367574398151</v>
      </c>
      <c r="C1416" t="s">
        <v>3</v>
      </c>
      <c r="D1416" t="s">
        <v>413</v>
      </c>
      <c r="E1416" s="5">
        <v>32.82</v>
      </c>
      <c r="F1416" t="s">
        <v>7</v>
      </c>
    </row>
    <row r="1417" spans="1:6">
      <c r="A1417" s="1">
        <v>45496</v>
      </c>
      <c r="B1417" s="2">
        <v>45496.419172361107</v>
      </c>
      <c r="C1417" t="s">
        <v>3</v>
      </c>
      <c r="D1417" t="s">
        <v>414</v>
      </c>
      <c r="E1417" s="5">
        <v>27.92</v>
      </c>
      <c r="F1417" t="s">
        <v>14</v>
      </c>
    </row>
    <row r="1418" spans="1:6">
      <c r="A1418" s="1">
        <v>45496</v>
      </c>
      <c r="B1418" s="2">
        <v>45496.638946423613</v>
      </c>
      <c r="C1418" t="s">
        <v>3</v>
      </c>
      <c r="D1418" t="s">
        <v>415</v>
      </c>
      <c r="E1418" s="5">
        <v>27.92</v>
      </c>
      <c r="F1418" t="s">
        <v>14</v>
      </c>
    </row>
    <row r="1419" spans="1:6">
      <c r="A1419" s="1">
        <v>45496</v>
      </c>
      <c r="B1419" s="2">
        <v>45496.639598148147</v>
      </c>
      <c r="C1419" t="s">
        <v>3</v>
      </c>
      <c r="D1419" t="s">
        <v>415</v>
      </c>
      <c r="E1419" s="5">
        <v>32.82</v>
      </c>
      <c r="F1419" t="s">
        <v>7</v>
      </c>
    </row>
    <row r="1420" spans="1:6">
      <c r="A1420" s="1">
        <v>45507</v>
      </c>
      <c r="B1420" s="2">
        <v>45507.400916817132</v>
      </c>
      <c r="C1420" t="s">
        <v>3</v>
      </c>
      <c r="D1420" t="s">
        <v>415</v>
      </c>
      <c r="E1420" s="5">
        <v>27.92</v>
      </c>
      <c r="F1420" t="s">
        <v>14</v>
      </c>
    </row>
    <row r="1421" spans="1:6">
      <c r="A1421" s="1">
        <v>45507</v>
      </c>
      <c r="B1421" s="2">
        <v>45507.401863541665</v>
      </c>
      <c r="C1421" t="s">
        <v>3</v>
      </c>
      <c r="D1421" t="s">
        <v>415</v>
      </c>
      <c r="E1421" s="5">
        <v>27.92</v>
      </c>
      <c r="F1421" t="s">
        <v>14</v>
      </c>
    </row>
    <row r="1422" spans="1:6">
      <c r="A1422" s="1">
        <v>45497</v>
      </c>
      <c r="B1422" s="2">
        <v>45497.412933518521</v>
      </c>
      <c r="C1422" t="s">
        <v>3</v>
      </c>
      <c r="D1422" t="s">
        <v>416</v>
      </c>
      <c r="E1422" s="5">
        <v>18.12</v>
      </c>
      <c r="F1422" t="s">
        <v>35</v>
      </c>
    </row>
    <row r="1423" spans="1:6">
      <c r="A1423" s="1">
        <v>45576</v>
      </c>
      <c r="B1423" s="2">
        <v>45576.401932025467</v>
      </c>
      <c r="C1423" t="s">
        <v>3</v>
      </c>
      <c r="D1423" t="s">
        <v>416</v>
      </c>
      <c r="E1423" s="5">
        <v>25.96</v>
      </c>
      <c r="F1423" t="s">
        <v>28</v>
      </c>
    </row>
    <row r="1424" spans="1:6">
      <c r="A1424" s="1">
        <v>45587</v>
      </c>
      <c r="B1424" s="2">
        <v>45587.452457013889</v>
      </c>
      <c r="C1424" t="s">
        <v>3</v>
      </c>
      <c r="D1424" t="s">
        <v>416</v>
      </c>
      <c r="E1424" s="5">
        <v>21.06</v>
      </c>
      <c r="F1424" t="s">
        <v>35</v>
      </c>
    </row>
    <row r="1425" spans="1:6">
      <c r="A1425" s="1">
        <v>45587</v>
      </c>
      <c r="B1425" s="2">
        <v>45587.452975706015</v>
      </c>
      <c r="C1425" t="s">
        <v>3</v>
      </c>
      <c r="D1425" t="s">
        <v>416</v>
      </c>
      <c r="E1425" s="5">
        <v>25.96</v>
      </c>
      <c r="F1425" t="s">
        <v>28</v>
      </c>
    </row>
    <row r="1426" spans="1:6">
      <c r="A1426" s="1">
        <v>45590</v>
      </c>
      <c r="B1426" s="2">
        <v>45590.323181168984</v>
      </c>
      <c r="C1426" t="s">
        <v>3</v>
      </c>
      <c r="D1426" t="s">
        <v>416</v>
      </c>
      <c r="E1426" s="5">
        <v>21.06</v>
      </c>
      <c r="F1426" t="s">
        <v>35</v>
      </c>
    </row>
    <row r="1427" spans="1:6">
      <c r="A1427" s="1">
        <v>45498</v>
      </c>
      <c r="B1427" s="2">
        <v>45498.642436481481</v>
      </c>
      <c r="C1427" t="s">
        <v>3</v>
      </c>
      <c r="D1427" t="s">
        <v>417</v>
      </c>
      <c r="E1427" s="5">
        <v>32.82</v>
      </c>
      <c r="F1427" t="s">
        <v>43</v>
      </c>
    </row>
    <row r="1428" spans="1:6">
      <c r="A1428" s="1">
        <v>45498</v>
      </c>
      <c r="B1428" s="2">
        <v>45498.879181388889</v>
      </c>
      <c r="C1428" t="s">
        <v>3</v>
      </c>
      <c r="D1428" t="s">
        <v>418</v>
      </c>
      <c r="E1428" s="5">
        <v>23.02</v>
      </c>
      <c r="F1428" t="s">
        <v>28</v>
      </c>
    </row>
    <row r="1429" spans="1:6">
      <c r="A1429" s="1">
        <v>45498</v>
      </c>
      <c r="B1429" s="2">
        <v>45498.879745393519</v>
      </c>
      <c r="C1429" t="s">
        <v>3</v>
      </c>
      <c r="D1429" t="s">
        <v>418</v>
      </c>
      <c r="E1429" s="5">
        <v>18.12</v>
      </c>
      <c r="F1429" t="s">
        <v>35</v>
      </c>
    </row>
    <row r="1430" spans="1:6">
      <c r="A1430" s="1">
        <v>45498</v>
      </c>
      <c r="B1430" s="2">
        <v>45498.944291550928</v>
      </c>
      <c r="C1430" t="s">
        <v>3</v>
      </c>
      <c r="D1430" t="s">
        <v>419</v>
      </c>
      <c r="E1430" s="5">
        <v>32.82</v>
      </c>
      <c r="F1430" t="s">
        <v>18</v>
      </c>
    </row>
    <row r="1431" spans="1:6">
      <c r="A1431" s="1">
        <v>45499</v>
      </c>
      <c r="B1431" s="2">
        <v>45499.356264733797</v>
      </c>
      <c r="C1431" t="s">
        <v>3</v>
      </c>
      <c r="D1431" t="s">
        <v>420</v>
      </c>
      <c r="E1431" s="5">
        <v>32.82</v>
      </c>
      <c r="F1431" t="s">
        <v>7</v>
      </c>
    </row>
    <row r="1432" spans="1:6">
      <c r="A1432" s="1">
        <v>45673</v>
      </c>
      <c r="B1432" s="2">
        <v>45673.691099606483</v>
      </c>
      <c r="C1432" t="s">
        <v>3</v>
      </c>
      <c r="D1432" t="s">
        <v>420</v>
      </c>
      <c r="E1432" s="5">
        <v>35.76</v>
      </c>
      <c r="F1432" t="s">
        <v>7</v>
      </c>
    </row>
    <row r="1433" spans="1:6">
      <c r="A1433" s="1">
        <v>45499</v>
      </c>
      <c r="B1433" s="2">
        <v>45499.398049895834</v>
      </c>
      <c r="C1433" t="s">
        <v>3</v>
      </c>
      <c r="D1433" t="s">
        <v>421</v>
      </c>
      <c r="E1433" s="5">
        <v>23.02</v>
      </c>
      <c r="F1433" t="s">
        <v>28</v>
      </c>
    </row>
    <row r="1434" spans="1:6">
      <c r="A1434" s="1">
        <v>45499</v>
      </c>
      <c r="B1434" s="2">
        <v>45499.398803622687</v>
      </c>
      <c r="C1434" t="s">
        <v>3</v>
      </c>
      <c r="D1434" t="s">
        <v>421</v>
      </c>
      <c r="E1434" s="5">
        <v>23.02</v>
      </c>
      <c r="F1434" t="s">
        <v>28</v>
      </c>
    </row>
    <row r="1435" spans="1:6">
      <c r="A1435" s="1">
        <v>45499</v>
      </c>
      <c r="B1435" s="2">
        <v>45499.416063275465</v>
      </c>
      <c r="C1435" t="s">
        <v>3</v>
      </c>
      <c r="D1435" t="s">
        <v>422</v>
      </c>
      <c r="E1435" s="5">
        <v>32.82</v>
      </c>
      <c r="F1435" t="s">
        <v>7</v>
      </c>
    </row>
    <row r="1436" spans="1:6">
      <c r="A1436" s="1">
        <v>45499</v>
      </c>
      <c r="B1436" s="2">
        <v>45499.416698136571</v>
      </c>
      <c r="C1436" t="s">
        <v>3</v>
      </c>
      <c r="D1436" t="s">
        <v>422</v>
      </c>
      <c r="E1436" s="5">
        <v>32.82</v>
      </c>
      <c r="F1436" t="s">
        <v>7</v>
      </c>
    </row>
    <row r="1437" spans="1:6">
      <c r="A1437" s="1">
        <v>45529</v>
      </c>
      <c r="B1437" s="2">
        <v>45529.351709155089</v>
      </c>
      <c r="C1437" t="s">
        <v>3</v>
      </c>
      <c r="D1437" t="s">
        <v>422</v>
      </c>
      <c r="E1437" s="5">
        <v>23.02</v>
      </c>
      <c r="F1437" t="s">
        <v>11</v>
      </c>
    </row>
    <row r="1438" spans="1:6">
      <c r="A1438" s="1">
        <v>45529</v>
      </c>
      <c r="B1438" s="2">
        <v>45529.3525046875</v>
      </c>
      <c r="C1438" t="s">
        <v>3</v>
      </c>
      <c r="D1438" t="s">
        <v>422</v>
      </c>
      <c r="E1438" s="5">
        <v>23.02</v>
      </c>
      <c r="F1438" t="s">
        <v>11</v>
      </c>
    </row>
    <row r="1439" spans="1:6">
      <c r="A1439" s="1">
        <v>45530</v>
      </c>
      <c r="B1439" s="2">
        <v>45530.344555682874</v>
      </c>
      <c r="C1439" t="s">
        <v>3</v>
      </c>
      <c r="D1439" t="s">
        <v>422</v>
      </c>
      <c r="E1439" s="5">
        <v>23.02</v>
      </c>
      <c r="F1439" t="s">
        <v>11</v>
      </c>
    </row>
    <row r="1440" spans="1:6">
      <c r="A1440" s="1">
        <v>45530</v>
      </c>
      <c r="B1440" s="2">
        <v>45530.345407511573</v>
      </c>
      <c r="C1440" t="s">
        <v>3</v>
      </c>
      <c r="D1440" t="s">
        <v>422</v>
      </c>
      <c r="E1440" s="5">
        <v>23.02</v>
      </c>
      <c r="F1440" t="s">
        <v>11</v>
      </c>
    </row>
    <row r="1441" spans="1:6">
      <c r="A1441" s="1">
        <v>45559</v>
      </c>
      <c r="B1441" s="2">
        <v>45559.779895081017</v>
      </c>
      <c r="C1441" t="s">
        <v>3</v>
      </c>
      <c r="D1441" t="s">
        <v>422</v>
      </c>
      <c r="E1441" s="5">
        <v>23.02</v>
      </c>
      <c r="F1441" t="s">
        <v>11</v>
      </c>
    </row>
    <row r="1442" spans="1:6">
      <c r="A1442" s="1">
        <v>45559</v>
      </c>
      <c r="B1442" s="2">
        <v>45559.780487060183</v>
      </c>
      <c r="C1442" t="s">
        <v>3</v>
      </c>
      <c r="D1442" t="s">
        <v>422</v>
      </c>
      <c r="E1442" s="5">
        <v>23.02</v>
      </c>
      <c r="F1442" t="s">
        <v>11</v>
      </c>
    </row>
    <row r="1443" spans="1:6">
      <c r="A1443" s="1">
        <v>45562</v>
      </c>
      <c r="B1443" s="2">
        <v>45562.845987118053</v>
      </c>
      <c r="C1443" t="s">
        <v>3</v>
      </c>
      <c r="D1443" t="s">
        <v>422</v>
      </c>
      <c r="E1443" s="5">
        <v>32.82</v>
      </c>
      <c r="F1443" t="s">
        <v>43</v>
      </c>
    </row>
    <row r="1444" spans="1:6">
      <c r="A1444" s="1">
        <v>45562</v>
      </c>
      <c r="B1444" s="2">
        <v>45562.846693506945</v>
      </c>
      <c r="C1444" t="s">
        <v>3</v>
      </c>
      <c r="D1444" t="s">
        <v>422</v>
      </c>
      <c r="E1444" s="5">
        <v>32.82</v>
      </c>
      <c r="F1444" t="s">
        <v>43</v>
      </c>
    </row>
    <row r="1445" spans="1:6">
      <c r="A1445" s="1">
        <v>45499</v>
      </c>
      <c r="B1445" s="2">
        <v>45499.548566412035</v>
      </c>
      <c r="C1445" t="s">
        <v>3</v>
      </c>
      <c r="D1445" t="s">
        <v>423</v>
      </c>
      <c r="E1445" s="5">
        <v>32.82</v>
      </c>
      <c r="F1445" t="s">
        <v>7</v>
      </c>
    </row>
    <row r="1446" spans="1:6">
      <c r="A1446" s="1">
        <v>45633</v>
      </c>
      <c r="B1446" s="2">
        <v>45633.655611817128</v>
      </c>
      <c r="C1446" t="s">
        <v>3</v>
      </c>
      <c r="D1446" t="s">
        <v>423</v>
      </c>
      <c r="E1446" s="5">
        <v>35.76</v>
      </c>
      <c r="F1446" t="s">
        <v>7</v>
      </c>
    </row>
    <row r="1447" spans="1:6">
      <c r="A1447" s="1">
        <v>45499</v>
      </c>
      <c r="B1447" s="2">
        <v>45499.724645219911</v>
      </c>
      <c r="C1447" t="s">
        <v>3</v>
      </c>
      <c r="D1447" t="s">
        <v>424</v>
      </c>
      <c r="E1447" s="5">
        <v>23.02</v>
      </c>
      <c r="F1447" t="s">
        <v>11</v>
      </c>
    </row>
    <row r="1448" spans="1:6">
      <c r="A1448" s="1">
        <v>45499</v>
      </c>
      <c r="B1448" s="2">
        <v>45499.748949270834</v>
      </c>
      <c r="C1448" t="s">
        <v>3</v>
      </c>
      <c r="D1448" t="s">
        <v>425</v>
      </c>
      <c r="E1448" s="5">
        <v>32.82</v>
      </c>
      <c r="F1448" t="s">
        <v>43</v>
      </c>
    </row>
    <row r="1449" spans="1:6">
      <c r="A1449" s="1">
        <v>45499</v>
      </c>
      <c r="B1449" s="2">
        <v>45499.951299976849</v>
      </c>
      <c r="C1449" t="s">
        <v>3</v>
      </c>
      <c r="D1449" t="s">
        <v>426</v>
      </c>
      <c r="E1449" s="5">
        <v>27.92</v>
      </c>
      <c r="F1449" t="s">
        <v>14</v>
      </c>
    </row>
    <row r="1450" spans="1:6">
      <c r="A1450" s="1">
        <v>45500</v>
      </c>
      <c r="B1450" s="2">
        <v>45500.496890983799</v>
      </c>
      <c r="C1450" t="s">
        <v>3</v>
      </c>
      <c r="D1450" t="s">
        <v>427</v>
      </c>
      <c r="E1450" s="5">
        <v>27.92</v>
      </c>
      <c r="F1450" t="s">
        <v>14</v>
      </c>
    </row>
    <row r="1451" spans="1:6">
      <c r="A1451" s="1">
        <v>45500</v>
      </c>
      <c r="B1451" s="2">
        <v>45500.710108310188</v>
      </c>
      <c r="C1451" t="s">
        <v>3</v>
      </c>
      <c r="D1451" t="s">
        <v>428</v>
      </c>
      <c r="E1451" s="5">
        <v>32.82</v>
      </c>
      <c r="F1451" t="s">
        <v>43</v>
      </c>
    </row>
    <row r="1452" spans="1:6">
      <c r="A1452" s="1">
        <v>45515</v>
      </c>
      <c r="B1452" s="2">
        <v>45515.685823217595</v>
      </c>
      <c r="C1452" t="s">
        <v>3</v>
      </c>
      <c r="D1452" t="s">
        <v>428</v>
      </c>
      <c r="E1452" s="5">
        <v>32.82</v>
      </c>
      <c r="F1452" t="s">
        <v>43</v>
      </c>
    </row>
    <row r="1453" spans="1:6">
      <c r="A1453" s="1">
        <v>45500</v>
      </c>
      <c r="B1453" s="2">
        <v>45500.710869351853</v>
      </c>
      <c r="C1453" t="s">
        <v>3</v>
      </c>
      <c r="D1453" t="s">
        <v>429</v>
      </c>
      <c r="E1453" s="5">
        <v>32.82</v>
      </c>
      <c r="F1453" t="s">
        <v>43</v>
      </c>
    </row>
    <row r="1454" spans="1:6">
      <c r="A1454" s="1">
        <v>45500</v>
      </c>
      <c r="B1454" s="2">
        <v>45500.714588240742</v>
      </c>
      <c r="C1454" t="s">
        <v>3</v>
      </c>
      <c r="D1454" t="s">
        <v>430</v>
      </c>
      <c r="E1454" s="5">
        <v>27.92</v>
      </c>
      <c r="F1454" t="s">
        <v>14</v>
      </c>
    </row>
    <row r="1455" spans="1:6">
      <c r="A1455" s="1">
        <v>45500</v>
      </c>
      <c r="B1455" s="2">
        <v>45500.715371226848</v>
      </c>
      <c r="C1455" t="s">
        <v>3</v>
      </c>
      <c r="D1455" t="s">
        <v>430</v>
      </c>
      <c r="E1455" s="5">
        <v>27.92</v>
      </c>
      <c r="F1455" t="s">
        <v>14</v>
      </c>
    </row>
    <row r="1456" spans="1:6">
      <c r="A1456" s="1">
        <v>45500</v>
      </c>
      <c r="B1456" s="2">
        <v>45500.955832349537</v>
      </c>
      <c r="C1456" t="s">
        <v>3</v>
      </c>
      <c r="D1456" t="s">
        <v>431</v>
      </c>
      <c r="E1456" s="5">
        <v>32.82</v>
      </c>
      <c r="F1456" t="s">
        <v>43</v>
      </c>
    </row>
    <row r="1457" spans="1:6">
      <c r="A1457" s="1">
        <v>45502</v>
      </c>
      <c r="B1457" s="2">
        <v>45502.341740810189</v>
      </c>
      <c r="C1457" t="s">
        <v>3</v>
      </c>
      <c r="D1457" t="s">
        <v>432</v>
      </c>
      <c r="E1457" s="5">
        <v>32.82</v>
      </c>
      <c r="F1457" t="s">
        <v>7</v>
      </c>
    </row>
    <row r="1458" spans="1:6">
      <c r="A1458" s="1">
        <v>45502</v>
      </c>
      <c r="B1458" s="2">
        <v>45502.410703090274</v>
      </c>
      <c r="C1458" t="s">
        <v>3</v>
      </c>
      <c r="D1458" t="s">
        <v>433</v>
      </c>
      <c r="E1458" s="5">
        <v>27.92</v>
      </c>
      <c r="F1458" t="s">
        <v>14</v>
      </c>
    </row>
    <row r="1459" spans="1:6">
      <c r="A1459" s="1">
        <v>45526</v>
      </c>
      <c r="B1459" s="2">
        <v>45526.423188310182</v>
      </c>
      <c r="C1459" t="s">
        <v>3</v>
      </c>
      <c r="D1459" t="s">
        <v>433</v>
      </c>
      <c r="E1459" s="5">
        <v>27.92</v>
      </c>
      <c r="F1459" t="s">
        <v>14</v>
      </c>
    </row>
    <row r="1460" spans="1:6">
      <c r="A1460" s="1">
        <v>45527</v>
      </c>
      <c r="B1460" s="2">
        <v>45527.385324351853</v>
      </c>
      <c r="C1460" t="s">
        <v>3</v>
      </c>
      <c r="D1460" t="s">
        <v>433</v>
      </c>
      <c r="E1460" s="5">
        <v>27.92</v>
      </c>
      <c r="F1460" t="s">
        <v>14</v>
      </c>
    </row>
    <row r="1461" spans="1:6">
      <c r="A1461" s="1">
        <v>45672</v>
      </c>
      <c r="B1461" s="2">
        <v>45672.383382418979</v>
      </c>
      <c r="C1461" t="s">
        <v>3</v>
      </c>
      <c r="D1461" t="s">
        <v>433</v>
      </c>
      <c r="E1461" s="5">
        <v>30.86</v>
      </c>
      <c r="F1461" t="s">
        <v>14</v>
      </c>
    </row>
    <row r="1462" spans="1:6">
      <c r="A1462" s="1">
        <v>45673</v>
      </c>
      <c r="B1462" s="2">
        <v>45673.401497210645</v>
      </c>
      <c r="C1462" t="s">
        <v>3</v>
      </c>
      <c r="D1462" t="s">
        <v>433</v>
      </c>
      <c r="E1462" s="5">
        <v>30.86</v>
      </c>
      <c r="F1462" t="s">
        <v>14</v>
      </c>
    </row>
    <row r="1463" spans="1:6">
      <c r="A1463" s="1">
        <v>45502</v>
      </c>
      <c r="B1463" s="2">
        <v>45502.415620821761</v>
      </c>
      <c r="C1463" t="s">
        <v>3</v>
      </c>
      <c r="D1463" t="s">
        <v>434</v>
      </c>
      <c r="E1463" s="5">
        <v>32.82</v>
      </c>
      <c r="F1463" t="s">
        <v>43</v>
      </c>
    </row>
    <row r="1464" spans="1:6">
      <c r="A1464" s="1">
        <v>45512</v>
      </c>
      <c r="B1464" s="2">
        <v>45512.518812187503</v>
      </c>
      <c r="C1464" t="s">
        <v>3</v>
      </c>
      <c r="D1464" t="s">
        <v>434</v>
      </c>
      <c r="E1464" s="5">
        <v>27.92</v>
      </c>
      <c r="F1464" t="s">
        <v>14</v>
      </c>
    </row>
    <row r="1465" spans="1:6">
      <c r="A1465" s="1">
        <v>45502</v>
      </c>
      <c r="B1465" s="2">
        <v>45502.447036585647</v>
      </c>
      <c r="C1465" t="s">
        <v>3</v>
      </c>
      <c r="D1465" t="s">
        <v>435</v>
      </c>
      <c r="E1465" s="5">
        <v>32.82</v>
      </c>
      <c r="F1465" t="s">
        <v>9</v>
      </c>
    </row>
    <row r="1466" spans="1:6">
      <c r="A1466" s="1">
        <v>45502</v>
      </c>
      <c r="B1466" s="2">
        <v>45502.447868587966</v>
      </c>
      <c r="C1466" t="s">
        <v>3</v>
      </c>
      <c r="D1466" t="s">
        <v>435</v>
      </c>
      <c r="E1466" s="5">
        <v>32.82</v>
      </c>
      <c r="F1466" t="s">
        <v>9</v>
      </c>
    </row>
    <row r="1467" spans="1:6">
      <c r="A1467" s="1">
        <v>45502</v>
      </c>
      <c r="B1467" s="2">
        <v>45502.79619364583</v>
      </c>
      <c r="C1467" t="s">
        <v>3</v>
      </c>
      <c r="D1467" t="s">
        <v>436</v>
      </c>
      <c r="E1467" s="5">
        <v>32.82</v>
      </c>
      <c r="F1467" t="s">
        <v>43</v>
      </c>
    </row>
    <row r="1468" spans="1:6">
      <c r="A1468" s="1">
        <v>45503</v>
      </c>
      <c r="B1468" s="2">
        <v>45503.320265567127</v>
      </c>
      <c r="C1468" t="s">
        <v>3</v>
      </c>
      <c r="D1468" t="s">
        <v>437</v>
      </c>
      <c r="E1468" s="5">
        <v>27.92</v>
      </c>
      <c r="F1468" t="s">
        <v>14</v>
      </c>
    </row>
    <row r="1469" spans="1:6">
      <c r="A1469" s="1">
        <v>45504</v>
      </c>
      <c r="B1469" s="2">
        <v>45504.333241875</v>
      </c>
      <c r="C1469" t="s">
        <v>3</v>
      </c>
      <c r="D1469" t="s">
        <v>437</v>
      </c>
      <c r="E1469" s="5">
        <v>27.92</v>
      </c>
      <c r="F1469" t="s">
        <v>14</v>
      </c>
    </row>
    <row r="1470" spans="1:6">
      <c r="A1470" s="1">
        <v>45505</v>
      </c>
      <c r="B1470" s="2">
        <v>45505.313195428243</v>
      </c>
      <c r="C1470" t="s">
        <v>3</v>
      </c>
      <c r="D1470" t="s">
        <v>437</v>
      </c>
      <c r="E1470" s="5">
        <v>27.92</v>
      </c>
      <c r="F1470" t="s">
        <v>14</v>
      </c>
    </row>
    <row r="1471" spans="1:6">
      <c r="A1471" s="1">
        <v>45505</v>
      </c>
      <c r="B1471" s="2">
        <v>45505.655368287036</v>
      </c>
      <c r="C1471" t="s">
        <v>3</v>
      </c>
      <c r="D1471" t="s">
        <v>437</v>
      </c>
      <c r="E1471" s="5">
        <v>27.92</v>
      </c>
      <c r="F1471" t="s">
        <v>14</v>
      </c>
    </row>
    <row r="1472" spans="1:6">
      <c r="A1472" s="1">
        <v>45503</v>
      </c>
      <c r="B1472" s="2">
        <v>45503.336889074075</v>
      </c>
      <c r="C1472" t="s">
        <v>3</v>
      </c>
      <c r="D1472" t="s">
        <v>438</v>
      </c>
      <c r="E1472" s="5">
        <v>23.02</v>
      </c>
      <c r="F1472" t="s">
        <v>28</v>
      </c>
    </row>
    <row r="1473" spans="1:6">
      <c r="A1473" s="1">
        <v>45574</v>
      </c>
      <c r="B1473" s="2">
        <v>45574.405104502315</v>
      </c>
      <c r="C1473" t="s">
        <v>3</v>
      </c>
      <c r="D1473" t="s">
        <v>438</v>
      </c>
      <c r="E1473" s="5">
        <v>30.86</v>
      </c>
      <c r="F1473" t="s">
        <v>14</v>
      </c>
    </row>
    <row r="1474" spans="1:6">
      <c r="A1474" s="1">
        <v>45503</v>
      </c>
      <c r="B1474" s="2">
        <v>45503.347813831017</v>
      </c>
      <c r="C1474" t="s">
        <v>3</v>
      </c>
      <c r="D1474" t="s">
        <v>439</v>
      </c>
      <c r="E1474" s="5">
        <v>32.82</v>
      </c>
      <c r="F1474" t="s">
        <v>43</v>
      </c>
    </row>
    <row r="1475" spans="1:6">
      <c r="A1475" s="1">
        <v>45527</v>
      </c>
      <c r="B1475" s="2">
        <v>45527.349265821758</v>
      </c>
      <c r="C1475" t="s">
        <v>3</v>
      </c>
      <c r="D1475" t="s">
        <v>439</v>
      </c>
      <c r="E1475" s="5">
        <v>32.82</v>
      </c>
      <c r="F1475" t="s">
        <v>7</v>
      </c>
    </row>
    <row r="1476" spans="1:6">
      <c r="A1476" s="1">
        <v>45537</v>
      </c>
      <c r="B1476" s="2">
        <v>45537.350460706017</v>
      </c>
      <c r="C1476" t="s">
        <v>3</v>
      </c>
      <c r="D1476" t="s">
        <v>439</v>
      </c>
      <c r="E1476" s="5">
        <v>32.82</v>
      </c>
      <c r="F1476" t="s">
        <v>7</v>
      </c>
    </row>
    <row r="1477" spans="1:6">
      <c r="A1477" s="1">
        <v>45541</v>
      </c>
      <c r="B1477" s="2">
        <v>45541.357486423614</v>
      </c>
      <c r="C1477" t="s">
        <v>3</v>
      </c>
      <c r="D1477" t="s">
        <v>439</v>
      </c>
      <c r="E1477" s="5">
        <v>32.82</v>
      </c>
      <c r="F1477" t="s">
        <v>7</v>
      </c>
    </row>
    <row r="1478" spans="1:6">
      <c r="A1478" s="1">
        <v>45548</v>
      </c>
      <c r="B1478" s="2">
        <v>45548.361840104168</v>
      </c>
      <c r="C1478" t="s">
        <v>3</v>
      </c>
      <c r="D1478" t="s">
        <v>439</v>
      </c>
      <c r="E1478" s="5">
        <v>32.82</v>
      </c>
      <c r="F1478" t="s">
        <v>7</v>
      </c>
    </row>
    <row r="1479" spans="1:6">
      <c r="A1479" s="1">
        <v>45503</v>
      </c>
      <c r="B1479" s="2">
        <v>45503.466751840278</v>
      </c>
      <c r="C1479" t="s">
        <v>3</v>
      </c>
      <c r="D1479" t="s">
        <v>440</v>
      </c>
      <c r="E1479" s="5">
        <v>23.02</v>
      </c>
      <c r="F1479" t="s">
        <v>11</v>
      </c>
    </row>
    <row r="1480" spans="1:6">
      <c r="A1480" s="1">
        <v>45503</v>
      </c>
      <c r="B1480" s="2">
        <v>45503.467548819448</v>
      </c>
      <c r="C1480" t="s">
        <v>3</v>
      </c>
      <c r="D1480" t="s">
        <v>440</v>
      </c>
      <c r="E1480" s="5">
        <v>18.12</v>
      </c>
      <c r="F1480" t="s">
        <v>35</v>
      </c>
    </row>
    <row r="1481" spans="1:6">
      <c r="A1481" s="1">
        <v>45503</v>
      </c>
      <c r="B1481" s="2">
        <v>45503.468537939814</v>
      </c>
      <c r="C1481" t="s">
        <v>3</v>
      </c>
      <c r="D1481" t="s">
        <v>441</v>
      </c>
      <c r="E1481" s="5">
        <v>27.92</v>
      </c>
      <c r="F1481" t="s">
        <v>14</v>
      </c>
    </row>
    <row r="1482" spans="1:6">
      <c r="A1482" s="1">
        <v>45689</v>
      </c>
      <c r="B1482" s="2">
        <v>45689.900715000003</v>
      </c>
      <c r="C1482" t="s">
        <v>3</v>
      </c>
      <c r="D1482" t="s">
        <v>441</v>
      </c>
      <c r="E1482" s="5">
        <v>30.86</v>
      </c>
      <c r="F1482" t="s">
        <v>14</v>
      </c>
    </row>
    <row r="1483" spans="1:6">
      <c r="A1483" s="1">
        <v>45503</v>
      </c>
      <c r="B1483" s="2">
        <v>45503.469463310183</v>
      </c>
      <c r="C1483" t="s">
        <v>3</v>
      </c>
      <c r="D1483" t="s">
        <v>442</v>
      </c>
      <c r="E1483" s="5">
        <v>27.92</v>
      </c>
      <c r="F1483" t="s">
        <v>14</v>
      </c>
    </row>
    <row r="1484" spans="1:6">
      <c r="A1484" s="1">
        <v>45503</v>
      </c>
      <c r="B1484" s="2">
        <v>45503.47956871528</v>
      </c>
      <c r="C1484" t="s">
        <v>3</v>
      </c>
      <c r="D1484" t="s">
        <v>443</v>
      </c>
      <c r="E1484" s="5">
        <v>27.92</v>
      </c>
      <c r="F1484" t="s">
        <v>14</v>
      </c>
    </row>
    <row r="1485" spans="1:6">
      <c r="A1485" s="1">
        <v>45520</v>
      </c>
      <c r="B1485" s="2">
        <v>45520.566814791666</v>
      </c>
      <c r="C1485" t="s">
        <v>3</v>
      </c>
      <c r="D1485" t="s">
        <v>443</v>
      </c>
      <c r="E1485" s="5">
        <v>27.92</v>
      </c>
      <c r="F1485" t="s">
        <v>14</v>
      </c>
    </row>
    <row r="1486" spans="1:6">
      <c r="A1486" s="1">
        <v>45503</v>
      </c>
      <c r="B1486" s="2">
        <v>45503.480333437503</v>
      </c>
      <c r="C1486" t="s">
        <v>3</v>
      </c>
      <c r="D1486" t="s">
        <v>444</v>
      </c>
      <c r="E1486" s="5">
        <v>27.92</v>
      </c>
      <c r="F1486" t="s">
        <v>14</v>
      </c>
    </row>
    <row r="1487" spans="1:6">
      <c r="A1487" s="1">
        <v>45503</v>
      </c>
      <c r="B1487" s="2">
        <v>45503.505642453703</v>
      </c>
      <c r="C1487" t="s">
        <v>3</v>
      </c>
      <c r="D1487" t="s">
        <v>445</v>
      </c>
      <c r="E1487" s="5">
        <v>32.82</v>
      </c>
      <c r="F1487" t="s">
        <v>7</v>
      </c>
    </row>
    <row r="1488" spans="1:6">
      <c r="A1488" s="1">
        <v>45503</v>
      </c>
      <c r="B1488" s="2">
        <v>45503.636222546294</v>
      </c>
      <c r="C1488" t="s">
        <v>3</v>
      </c>
      <c r="D1488" t="s">
        <v>446</v>
      </c>
      <c r="E1488" s="5">
        <v>27.92</v>
      </c>
      <c r="F1488" t="s">
        <v>14</v>
      </c>
    </row>
    <row r="1489" spans="1:6">
      <c r="A1489" s="1">
        <v>45503</v>
      </c>
      <c r="B1489" s="2">
        <v>45503.672834212965</v>
      </c>
      <c r="C1489" t="s">
        <v>3</v>
      </c>
      <c r="D1489" t="s">
        <v>447</v>
      </c>
      <c r="E1489" s="5">
        <v>23.02</v>
      </c>
      <c r="F1489" t="s">
        <v>28</v>
      </c>
    </row>
    <row r="1490" spans="1:6">
      <c r="A1490" s="1">
        <v>45503</v>
      </c>
      <c r="B1490" s="2">
        <v>45503.673421608793</v>
      </c>
      <c r="C1490" t="s">
        <v>3</v>
      </c>
      <c r="D1490" t="s">
        <v>447</v>
      </c>
      <c r="E1490" s="5">
        <v>27.92</v>
      </c>
      <c r="F1490" t="s">
        <v>14</v>
      </c>
    </row>
    <row r="1491" spans="1:6">
      <c r="A1491" s="1">
        <v>45503</v>
      </c>
      <c r="B1491" s="2">
        <v>45503.850230023148</v>
      </c>
      <c r="C1491" t="s">
        <v>3</v>
      </c>
      <c r="D1491" t="s">
        <v>448</v>
      </c>
      <c r="E1491" s="5">
        <v>18.12</v>
      </c>
      <c r="F1491" t="s">
        <v>35</v>
      </c>
    </row>
    <row r="1492" spans="1:6">
      <c r="A1492" s="1">
        <v>45503</v>
      </c>
      <c r="B1492" s="2">
        <v>45503.898138865741</v>
      </c>
      <c r="C1492" t="s">
        <v>3</v>
      </c>
      <c r="D1492" t="s">
        <v>449</v>
      </c>
      <c r="E1492" s="5">
        <v>32.82</v>
      </c>
      <c r="F1492" t="s">
        <v>7</v>
      </c>
    </row>
    <row r="1493" spans="1:6">
      <c r="A1493" s="1">
        <v>45503</v>
      </c>
      <c r="B1493" s="2">
        <v>45503.927331990744</v>
      </c>
      <c r="C1493" t="s">
        <v>3</v>
      </c>
      <c r="D1493" t="s">
        <v>450</v>
      </c>
      <c r="E1493" s="5">
        <v>23.02</v>
      </c>
      <c r="F1493" t="s">
        <v>11</v>
      </c>
    </row>
    <row r="1494" spans="1:6">
      <c r="A1494" s="1">
        <v>45503</v>
      </c>
      <c r="B1494" s="2">
        <v>45503.928000694446</v>
      </c>
      <c r="C1494" t="s">
        <v>3</v>
      </c>
      <c r="D1494" t="s">
        <v>450</v>
      </c>
      <c r="E1494" s="5">
        <v>32.82</v>
      </c>
      <c r="F1494" t="s">
        <v>43</v>
      </c>
    </row>
    <row r="1495" spans="1:6">
      <c r="A1495" s="1">
        <v>45504</v>
      </c>
      <c r="B1495" s="2">
        <v>45504.359513229167</v>
      </c>
      <c r="C1495" t="s">
        <v>3</v>
      </c>
      <c r="D1495" t="s">
        <v>451</v>
      </c>
      <c r="E1495" s="5">
        <v>27.92</v>
      </c>
      <c r="F1495" t="s">
        <v>14</v>
      </c>
    </row>
    <row r="1496" spans="1:6">
      <c r="A1496" s="1">
        <v>45504</v>
      </c>
      <c r="B1496" s="2">
        <v>45504.360164768521</v>
      </c>
      <c r="C1496" t="s">
        <v>3</v>
      </c>
      <c r="D1496" t="s">
        <v>451</v>
      </c>
      <c r="E1496" s="5">
        <v>27.92</v>
      </c>
      <c r="F1496" t="s">
        <v>14</v>
      </c>
    </row>
    <row r="1497" spans="1:6">
      <c r="A1497" s="1">
        <v>45504</v>
      </c>
      <c r="B1497" s="2">
        <v>45504.558905520833</v>
      </c>
      <c r="C1497" t="s">
        <v>3</v>
      </c>
      <c r="D1497" t="s">
        <v>452</v>
      </c>
      <c r="E1497" s="5">
        <v>27.92</v>
      </c>
      <c r="F1497" t="s">
        <v>14</v>
      </c>
    </row>
    <row r="1498" spans="1:6">
      <c r="A1498" s="1">
        <v>45504</v>
      </c>
      <c r="B1498" s="2">
        <v>45504.741745219908</v>
      </c>
      <c r="C1498" t="s">
        <v>3</v>
      </c>
      <c r="D1498" t="s">
        <v>453</v>
      </c>
      <c r="E1498" s="5">
        <v>23.02</v>
      </c>
      <c r="F1498" t="s">
        <v>28</v>
      </c>
    </row>
    <row r="1499" spans="1:6">
      <c r="A1499" s="1">
        <v>45504</v>
      </c>
      <c r="B1499" s="2">
        <v>45504.752951064816</v>
      </c>
      <c r="C1499" t="s">
        <v>3</v>
      </c>
      <c r="D1499" t="s">
        <v>454</v>
      </c>
      <c r="E1499" s="5">
        <v>32.82</v>
      </c>
      <c r="F1499" t="s">
        <v>7</v>
      </c>
    </row>
    <row r="1500" spans="1:6">
      <c r="A1500" s="1">
        <v>45515</v>
      </c>
      <c r="B1500" s="2">
        <v>45515.411534606479</v>
      </c>
      <c r="C1500" t="s">
        <v>3</v>
      </c>
      <c r="D1500" t="s">
        <v>454</v>
      </c>
      <c r="E1500" s="5">
        <v>32.82</v>
      </c>
      <c r="F1500" t="s">
        <v>7</v>
      </c>
    </row>
    <row r="1501" spans="1:6">
      <c r="A1501" s="1">
        <v>45515</v>
      </c>
      <c r="B1501" s="2">
        <v>45515.412309768515</v>
      </c>
      <c r="C1501" t="s">
        <v>3</v>
      </c>
      <c r="D1501" t="s">
        <v>454</v>
      </c>
      <c r="E1501" s="5">
        <v>32.82</v>
      </c>
      <c r="F1501" t="s">
        <v>7</v>
      </c>
    </row>
    <row r="1502" spans="1:6">
      <c r="A1502" s="1">
        <v>45569</v>
      </c>
      <c r="B1502" s="2">
        <v>45569.363898993055</v>
      </c>
      <c r="C1502" t="s">
        <v>3</v>
      </c>
      <c r="D1502" t="s">
        <v>454</v>
      </c>
      <c r="E1502" s="5">
        <v>25.96</v>
      </c>
      <c r="F1502" t="s">
        <v>11</v>
      </c>
    </row>
    <row r="1503" spans="1:6">
      <c r="A1503" s="1">
        <v>45569</v>
      </c>
      <c r="B1503" s="2">
        <v>45569.365034166665</v>
      </c>
      <c r="C1503" t="s">
        <v>3</v>
      </c>
      <c r="D1503" t="s">
        <v>454</v>
      </c>
      <c r="E1503" s="5">
        <v>25.96</v>
      </c>
      <c r="F1503" t="s">
        <v>11</v>
      </c>
    </row>
    <row r="1504" spans="1:6">
      <c r="A1504" s="1">
        <v>45579</v>
      </c>
      <c r="B1504" s="2">
        <v>45579.443133773151</v>
      </c>
      <c r="C1504" t="s">
        <v>3</v>
      </c>
      <c r="D1504" t="s">
        <v>454</v>
      </c>
      <c r="E1504" s="5">
        <v>35.76</v>
      </c>
      <c r="F1504" t="s">
        <v>7</v>
      </c>
    </row>
    <row r="1505" spans="1:6">
      <c r="A1505" s="1">
        <v>45579</v>
      </c>
      <c r="B1505" s="2">
        <v>45579.44390875</v>
      </c>
      <c r="C1505" t="s">
        <v>3</v>
      </c>
      <c r="D1505" t="s">
        <v>454</v>
      </c>
      <c r="E1505" s="5">
        <v>35.76</v>
      </c>
      <c r="F1505" t="s">
        <v>7</v>
      </c>
    </row>
    <row r="1506" spans="1:6">
      <c r="A1506" s="1">
        <v>45504</v>
      </c>
      <c r="B1506" s="2">
        <v>45504.807394479169</v>
      </c>
      <c r="C1506" t="s">
        <v>3</v>
      </c>
      <c r="D1506" t="s">
        <v>455</v>
      </c>
      <c r="E1506" s="5">
        <v>23.02</v>
      </c>
      <c r="F1506" t="s">
        <v>28</v>
      </c>
    </row>
    <row r="1507" spans="1:6">
      <c r="A1507" s="1">
        <v>45504</v>
      </c>
      <c r="B1507" s="2">
        <v>45504.86576872685</v>
      </c>
      <c r="C1507" t="s">
        <v>3</v>
      </c>
      <c r="D1507" t="s">
        <v>456</v>
      </c>
      <c r="E1507" s="5">
        <v>32.82</v>
      </c>
      <c r="F1507" t="s">
        <v>18</v>
      </c>
    </row>
    <row r="1508" spans="1:6">
      <c r="A1508" s="1">
        <v>45511</v>
      </c>
      <c r="B1508" s="2">
        <v>45511.861218530095</v>
      </c>
      <c r="C1508" t="s">
        <v>3</v>
      </c>
      <c r="D1508" t="s">
        <v>456</v>
      </c>
      <c r="E1508" s="5">
        <v>32.82</v>
      </c>
      <c r="F1508" t="s">
        <v>18</v>
      </c>
    </row>
    <row r="1509" spans="1:6">
      <c r="A1509" s="1">
        <v>45514</v>
      </c>
      <c r="B1509" s="2">
        <v>45514.901174965278</v>
      </c>
      <c r="C1509" t="s">
        <v>3</v>
      </c>
      <c r="D1509" t="s">
        <v>456</v>
      </c>
      <c r="E1509" s="5">
        <v>32.82</v>
      </c>
      <c r="F1509" t="s">
        <v>18</v>
      </c>
    </row>
    <row r="1510" spans="1:6">
      <c r="A1510" s="1">
        <v>45504</v>
      </c>
      <c r="B1510" s="2">
        <v>45504.868141331019</v>
      </c>
      <c r="C1510" t="s">
        <v>3</v>
      </c>
      <c r="D1510" t="s">
        <v>457</v>
      </c>
      <c r="E1510" s="5">
        <v>23.02</v>
      </c>
      <c r="F1510" t="s">
        <v>28</v>
      </c>
    </row>
    <row r="1511" spans="1:6">
      <c r="A1511" s="1">
        <v>45504</v>
      </c>
      <c r="B1511" s="2">
        <v>45504.86887017361</v>
      </c>
      <c r="C1511" t="s">
        <v>3</v>
      </c>
      <c r="D1511" t="s">
        <v>457</v>
      </c>
      <c r="E1511" s="5">
        <v>32.82</v>
      </c>
      <c r="F1511" t="s">
        <v>7</v>
      </c>
    </row>
    <row r="1512" spans="1:6">
      <c r="A1512" s="1">
        <v>45504</v>
      </c>
      <c r="B1512" s="2">
        <v>45504.870544872683</v>
      </c>
      <c r="C1512" t="s">
        <v>3</v>
      </c>
      <c r="D1512" t="s">
        <v>457</v>
      </c>
      <c r="E1512" s="5">
        <v>23.02</v>
      </c>
      <c r="F1512" t="s">
        <v>28</v>
      </c>
    </row>
    <row r="1513" spans="1:6">
      <c r="A1513" s="1">
        <v>45504</v>
      </c>
      <c r="B1513" s="2">
        <v>45504.89335648148</v>
      </c>
      <c r="C1513" t="s">
        <v>3</v>
      </c>
      <c r="D1513" t="s">
        <v>458</v>
      </c>
      <c r="E1513" s="5">
        <v>32.82</v>
      </c>
      <c r="F1513" t="s">
        <v>7</v>
      </c>
    </row>
    <row r="1514" spans="1:6">
      <c r="A1514" s="1">
        <v>45504</v>
      </c>
      <c r="B1514" s="2">
        <v>45504.912636851848</v>
      </c>
      <c r="C1514" t="s">
        <v>3</v>
      </c>
      <c r="D1514" t="s">
        <v>459</v>
      </c>
      <c r="E1514" s="5">
        <v>32.82</v>
      </c>
      <c r="F1514" t="s">
        <v>7</v>
      </c>
    </row>
    <row r="1515" spans="1:6">
      <c r="A1515" s="1">
        <v>45563</v>
      </c>
      <c r="B1515" s="2">
        <v>45563.857304513891</v>
      </c>
      <c r="C1515" t="s">
        <v>3</v>
      </c>
      <c r="D1515" t="s">
        <v>459</v>
      </c>
      <c r="E1515" s="5">
        <v>35.76</v>
      </c>
      <c r="F1515" t="s">
        <v>7</v>
      </c>
    </row>
    <row r="1516" spans="1:6">
      <c r="A1516" s="1">
        <v>45504</v>
      </c>
      <c r="B1516" s="2">
        <v>45504.91338622685</v>
      </c>
      <c r="C1516" t="s">
        <v>3</v>
      </c>
      <c r="D1516" t="s">
        <v>460</v>
      </c>
      <c r="E1516" s="5">
        <v>32.82</v>
      </c>
      <c r="F1516" t="s">
        <v>7</v>
      </c>
    </row>
    <row r="1517" spans="1:6">
      <c r="A1517" s="1">
        <v>45505</v>
      </c>
      <c r="B1517" s="2">
        <v>45505.474147789355</v>
      </c>
      <c r="C1517" t="s">
        <v>3</v>
      </c>
      <c r="D1517" t="s">
        <v>461</v>
      </c>
      <c r="E1517" s="5">
        <v>27.92</v>
      </c>
      <c r="F1517" t="s">
        <v>14</v>
      </c>
    </row>
    <row r="1518" spans="1:6">
      <c r="A1518" s="1">
        <v>45505</v>
      </c>
      <c r="B1518" s="2">
        <v>45505.557483807868</v>
      </c>
      <c r="C1518" t="s">
        <v>3</v>
      </c>
      <c r="D1518" t="s">
        <v>462</v>
      </c>
      <c r="E1518" s="5">
        <v>23.02</v>
      </c>
      <c r="F1518" t="s">
        <v>28</v>
      </c>
    </row>
    <row r="1519" spans="1:6">
      <c r="A1519" s="1">
        <v>45505</v>
      </c>
      <c r="B1519" s="2">
        <v>45505.558070763887</v>
      </c>
      <c r="C1519" t="s">
        <v>3</v>
      </c>
      <c r="D1519" t="s">
        <v>462</v>
      </c>
      <c r="E1519" s="5">
        <v>32.82</v>
      </c>
      <c r="F1519" t="s">
        <v>43</v>
      </c>
    </row>
    <row r="1520" spans="1:6">
      <c r="A1520" s="1">
        <v>45505</v>
      </c>
      <c r="B1520" s="2">
        <v>45505.575778530096</v>
      </c>
      <c r="C1520" t="s">
        <v>3</v>
      </c>
      <c r="D1520" t="s">
        <v>463</v>
      </c>
      <c r="E1520" s="5">
        <v>32.82</v>
      </c>
      <c r="F1520" t="s">
        <v>43</v>
      </c>
    </row>
    <row r="1521" spans="1:6">
      <c r="A1521" s="1">
        <v>45505</v>
      </c>
      <c r="B1521" s="2">
        <v>45505.683341006945</v>
      </c>
      <c r="C1521" t="s">
        <v>3</v>
      </c>
      <c r="D1521" t="s">
        <v>464</v>
      </c>
      <c r="E1521" s="5">
        <v>27.92</v>
      </c>
      <c r="F1521" t="s">
        <v>14</v>
      </c>
    </row>
    <row r="1522" spans="1:6">
      <c r="A1522" s="1">
        <v>45505</v>
      </c>
      <c r="B1522" s="2">
        <v>45505.684807071761</v>
      </c>
      <c r="C1522" t="s">
        <v>3</v>
      </c>
      <c r="D1522" t="s">
        <v>464</v>
      </c>
      <c r="E1522" s="5">
        <v>23.02</v>
      </c>
      <c r="F1522" t="s">
        <v>11</v>
      </c>
    </row>
    <row r="1523" spans="1:6">
      <c r="A1523" s="1">
        <v>45518</v>
      </c>
      <c r="B1523" s="2">
        <v>45518.535473032411</v>
      </c>
      <c r="C1523" t="s">
        <v>3</v>
      </c>
      <c r="D1523" t="s">
        <v>464</v>
      </c>
      <c r="E1523" s="5">
        <v>23.02</v>
      </c>
      <c r="F1523" t="s">
        <v>11</v>
      </c>
    </row>
    <row r="1524" spans="1:6">
      <c r="A1524" s="1">
        <v>45505</v>
      </c>
      <c r="B1524" s="2">
        <v>45505.724713402778</v>
      </c>
      <c r="C1524" t="s">
        <v>3</v>
      </c>
      <c r="D1524" t="s">
        <v>465</v>
      </c>
      <c r="E1524" s="5">
        <v>23.02</v>
      </c>
      <c r="F1524" t="s">
        <v>11</v>
      </c>
    </row>
    <row r="1525" spans="1:6">
      <c r="A1525" s="1">
        <v>45505</v>
      </c>
      <c r="B1525" s="2">
        <v>45505.862130995367</v>
      </c>
      <c r="C1525" t="s">
        <v>3</v>
      </c>
      <c r="D1525" t="s">
        <v>466</v>
      </c>
      <c r="E1525" s="5">
        <v>32.82</v>
      </c>
      <c r="F1525" t="s">
        <v>43</v>
      </c>
    </row>
    <row r="1526" spans="1:6">
      <c r="A1526" s="1">
        <v>45506</v>
      </c>
      <c r="B1526" s="2">
        <v>45506.376321354168</v>
      </c>
      <c r="C1526" t="s">
        <v>3</v>
      </c>
      <c r="D1526" t="s">
        <v>467</v>
      </c>
      <c r="E1526" s="5">
        <v>27.92</v>
      </c>
      <c r="F1526" t="s">
        <v>14</v>
      </c>
    </row>
    <row r="1527" spans="1:6">
      <c r="A1527" s="1">
        <v>45511</v>
      </c>
      <c r="B1527" s="2">
        <v>45511.372088599535</v>
      </c>
      <c r="C1527" t="s">
        <v>3</v>
      </c>
      <c r="D1527" t="s">
        <v>467</v>
      </c>
      <c r="E1527" s="5">
        <v>27.92</v>
      </c>
      <c r="F1527" t="s">
        <v>14</v>
      </c>
    </row>
    <row r="1528" spans="1:6">
      <c r="A1528" s="1">
        <v>45506</v>
      </c>
      <c r="B1528" s="2">
        <v>45506.755963912037</v>
      </c>
      <c r="C1528" t="s">
        <v>3</v>
      </c>
      <c r="D1528" t="s">
        <v>468</v>
      </c>
      <c r="E1528" s="5">
        <v>27.92</v>
      </c>
      <c r="F1528" t="s">
        <v>14</v>
      </c>
    </row>
    <row r="1529" spans="1:6">
      <c r="A1529" s="1">
        <v>45507</v>
      </c>
      <c r="B1529" s="2">
        <v>45507.472529756946</v>
      </c>
      <c r="C1529" t="s">
        <v>3</v>
      </c>
      <c r="D1529" t="s">
        <v>469</v>
      </c>
      <c r="E1529" s="5">
        <v>23.02</v>
      </c>
      <c r="F1529" t="s">
        <v>28</v>
      </c>
    </row>
    <row r="1530" spans="1:6">
      <c r="A1530" s="1">
        <v>45507</v>
      </c>
      <c r="B1530" s="2">
        <v>45507.473171296297</v>
      </c>
      <c r="C1530" t="s">
        <v>3</v>
      </c>
      <c r="D1530" t="s">
        <v>469</v>
      </c>
      <c r="E1530" s="5">
        <v>23.02</v>
      </c>
      <c r="F1530" t="s">
        <v>28</v>
      </c>
    </row>
    <row r="1531" spans="1:6">
      <c r="A1531" s="1">
        <v>45557</v>
      </c>
      <c r="B1531" s="2">
        <v>45557.865581111109</v>
      </c>
      <c r="C1531" t="s">
        <v>3</v>
      </c>
      <c r="D1531" t="s">
        <v>469</v>
      </c>
      <c r="E1531" s="5">
        <v>27.92</v>
      </c>
      <c r="F1531" t="s">
        <v>14</v>
      </c>
    </row>
    <row r="1532" spans="1:6">
      <c r="A1532" s="1">
        <v>45557</v>
      </c>
      <c r="B1532" s="2">
        <v>45557.866378425926</v>
      </c>
      <c r="C1532" t="s">
        <v>3</v>
      </c>
      <c r="D1532" t="s">
        <v>469</v>
      </c>
      <c r="E1532" s="5">
        <v>27.92</v>
      </c>
      <c r="F1532" t="s">
        <v>14</v>
      </c>
    </row>
    <row r="1533" spans="1:6">
      <c r="A1533" s="1">
        <v>45585</v>
      </c>
      <c r="B1533" s="2">
        <v>45585.661632581017</v>
      </c>
      <c r="C1533" t="s">
        <v>3</v>
      </c>
      <c r="D1533" t="s">
        <v>469</v>
      </c>
      <c r="E1533" s="5">
        <v>30.86</v>
      </c>
      <c r="F1533" t="s">
        <v>14</v>
      </c>
    </row>
    <row r="1534" spans="1:6">
      <c r="A1534" s="1">
        <v>45601</v>
      </c>
      <c r="B1534" s="2">
        <v>45601.786762430558</v>
      </c>
      <c r="C1534" t="s">
        <v>3</v>
      </c>
      <c r="D1534" t="s">
        <v>469</v>
      </c>
      <c r="E1534" s="5">
        <v>35.76</v>
      </c>
      <c r="F1534" t="s">
        <v>43</v>
      </c>
    </row>
    <row r="1535" spans="1:6">
      <c r="A1535" s="1">
        <v>45601</v>
      </c>
      <c r="B1535" s="2">
        <v>45601.787624155091</v>
      </c>
      <c r="C1535" t="s">
        <v>3</v>
      </c>
      <c r="D1535" t="s">
        <v>469</v>
      </c>
      <c r="E1535" s="5">
        <v>35.76</v>
      </c>
      <c r="F1535" t="s">
        <v>43</v>
      </c>
    </row>
    <row r="1536" spans="1:6">
      <c r="A1536" s="1">
        <v>45601</v>
      </c>
      <c r="B1536" s="2">
        <v>45601.788410023146</v>
      </c>
      <c r="C1536" t="s">
        <v>3</v>
      </c>
      <c r="D1536" t="s">
        <v>469</v>
      </c>
      <c r="E1536" s="5">
        <v>35.76</v>
      </c>
      <c r="F1536" t="s">
        <v>43</v>
      </c>
    </row>
    <row r="1537" spans="1:6">
      <c r="A1537" s="1">
        <v>45507</v>
      </c>
      <c r="B1537" s="2">
        <v>45507.77687530093</v>
      </c>
      <c r="C1537" t="s">
        <v>3</v>
      </c>
      <c r="D1537" t="s">
        <v>470</v>
      </c>
      <c r="E1537" s="5">
        <v>32.82</v>
      </c>
      <c r="F1537" t="s">
        <v>43</v>
      </c>
    </row>
    <row r="1538" spans="1:6">
      <c r="A1538" s="1">
        <v>45521</v>
      </c>
      <c r="B1538" s="2">
        <v>45521.784014490739</v>
      </c>
      <c r="C1538" t="s">
        <v>3</v>
      </c>
      <c r="D1538" t="s">
        <v>470</v>
      </c>
      <c r="E1538" s="5">
        <v>32.82</v>
      </c>
      <c r="F1538" t="s">
        <v>43</v>
      </c>
    </row>
    <row r="1539" spans="1:6">
      <c r="A1539" s="1">
        <v>45507</v>
      </c>
      <c r="B1539" s="2">
        <v>45507.896399976853</v>
      </c>
      <c r="C1539" t="s">
        <v>3</v>
      </c>
      <c r="D1539" t="s">
        <v>471</v>
      </c>
      <c r="E1539" s="5">
        <v>32.82</v>
      </c>
      <c r="F1539" t="s">
        <v>7</v>
      </c>
    </row>
    <row r="1540" spans="1:6">
      <c r="A1540" s="1">
        <v>45507</v>
      </c>
      <c r="B1540" s="2">
        <v>45507.897989178244</v>
      </c>
      <c r="C1540" t="s">
        <v>3</v>
      </c>
      <c r="D1540" t="s">
        <v>471</v>
      </c>
      <c r="E1540" s="5">
        <v>32.82</v>
      </c>
      <c r="F1540" t="s">
        <v>7</v>
      </c>
    </row>
    <row r="1541" spans="1:6">
      <c r="A1541" s="1">
        <v>45508</v>
      </c>
      <c r="B1541" s="2">
        <v>45508.346265208333</v>
      </c>
      <c r="C1541" t="s">
        <v>3</v>
      </c>
      <c r="D1541" t="s">
        <v>472</v>
      </c>
      <c r="E1541" s="5">
        <v>32.82</v>
      </c>
      <c r="F1541" t="s">
        <v>43</v>
      </c>
    </row>
    <row r="1542" spans="1:6">
      <c r="A1542" s="1">
        <v>45509</v>
      </c>
      <c r="B1542" s="2">
        <v>45509.368122141204</v>
      </c>
      <c r="C1542" t="s">
        <v>3</v>
      </c>
      <c r="D1542" t="s">
        <v>473</v>
      </c>
      <c r="E1542" s="5">
        <v>23.02</v>
      </c>
      <c r="F1542" t="s">
        <v>28</v>
      </c>
    </row>
    <row r="1543" spans="1:6">
      <c r="A1543" s="1">
        <v>45509</v>
      </c>
      <c r="B1543" s="2">
        <v>45509.573176550926</v>
      </c>
      <c r="C1543" t="s">
        <v>3</v>
      </c>
      <c r="D1543" t="s">
        <v>474</v>
      </c>
      <c r="E1543" s="5">
        <v>32.82</v>
      </c>
      <c r="F1543" t="s">
        <v>43</v>
      </c>
    </row>
    <row r="1544" spans="1:6">
      <c r="A1544" s="1">
        <v>45509</v>
      </c>
      <c r="B1544" s="2">
        <v>45509.670807152776</v>
      </c>
      <c r="C1544" t="s">
        <v>3</v>
      </c>
      <c r="D1544" t="s">
        <v>475</v>
      </c>
      <c r="E1544" s="5">
        <v>32.82</v>
      </c>
      <c r="F1544" t="s">
        <v>7</v>
      </c>
    </row>
    <row r="1545" spans="1:6">
      <c r="A1545" s="1">
        <v>45509</v>
      </c>
      <c r="B1545" s="2">
        <v>45509.671745798609</v>
      </c>
      <c r="C1545" t="s">
        <v>3</v>
      </c>
      <c r="D1545" t="s">
        <v>475</v>
      </c>
      <c r="E1545" s="5">
        <v>32.82</v>
      </c>
      <c r="F1545" t="s">
        <v>7</v>
      </c>
    </row>
    <row r="1546" spans="1:6">
      <c r="A1546" s="1">
        <v>45509</v>
      </c>
      <c r="B1546" s="2">
        <v>45509.73917252315</v>
      </c>
      <c r="C1546" t="s">
        <v>3</v>
      </c>
      <c r="D1546" t="s">
        <v>476</v>
      </c>
      <c r="E1546" s="5">
        <v>32.82</v>
      </c>
      <c r="F1546" t="s">
        <v>7</v>
      </c>
    </row>
    <row r="1547" spans="1:6">
      <c r="A1547" s="1">
        <v>45509</v>
      </c>
      <c r="B1547" s="2">
        <v>45509.73995505787</v>
      </c>
      <c r="C1547" t="s">
        <v>3</v>
      </c>
      <c r="D1547" t="s">
        <v>476</v>
      </c>
      <c r="E1547" s="5">
        <v>27.92</v>
      </c>
      <c r="F1547" t="s">
        <v>14</v>
      </c>
    </row>
    <row r="1548" spans="1:6">
      <c r="A1548" s="1">
        <v>45509</v>
      </c>
      <c r="B1548" s="2">
        <v>45509.867719270835</v>
      </c>
      <c r="C1548" t="s">
        <v>3</v>
      </c>
      <c r="D1548" t="s">
        <v>477</v>
      </c>
      <c r="E1548" s="5">
        <v>32.82</v>
      </c>
      <c r="F1548" t="s">
        <v>18</v>
      </c>
    </row>
    <row r="1549" spans="1:6">
      <c r="A1549" s="1">
        <v>45509</v>
      </c>
      <c r="B1549" s="2">
        <v>45509.868309247686</v>
      </c>
      <c r="C1549" t="s">
        <v>3</v>
      </c>
      <c r="D1549" t="s">
        <v>477</v>
      </c>
      <c r="E1549" s="5">
        <v>32.82</v>
      </c>
      <c r="F1549" t="s">
        <v>18</v>
      </c>
    </row>
    <row r="1550" spans="1:6">
      <c r="A1550" s="1">
        <v>45514</v>
      </c>
      <c r="B1550" s="2">
        <v>45514.523060810185</v>
      </c>
      <c r="C1550" t="s">
        <v>3</v>
      </c>
      <c r="D1550" t="s">
        <v>477</v>
      </c>
      <c r="E1550" s="5">
        <v>27.92</v>
      </c>
      <c r="F1550" t="s">
        <v>14</v>
      </c>
    </row>
    <row r="1551" spans="1:6">
      <c r="A1551" s="1">
        <v>45522</v>
      </c>
      <c r="B1551" s="2">
        <v>45522.522001064812</v>
      </c>
      <c r="C1551" t="s">
        <v>3</v>
      </c>
      <c r="D1551" t="s">
        <v>477</v>
      </c>
      <c r="E1551" s="5">
        <v>32.82</v>
      </c>
      <c r="F1551" t="s">
        <v>43</v>
      </c>
    </row>
    <row r="1552" spans="1:6">
      <c r="A1552" s="1">
        <v>45679</v>
      </c>
      <c r="B1552" s="2">
        <v>45679.730631331018</v>
      </c>
      <c r="C1552" t="s">
        <v>3</v>
      </c>
      <c r="D1552" t="s">
        <v>477</v>
      </c>
      <c r="E1552" s="5">
        <v>30.86</v>
      </c>
      <c r="F1552" t="s">
        <v>14</v>
      </c>
    </row>
    <row r="1553" spans="1:6">
      <c r="A1553" s="1">
        <v>45509</v>
      </c>
      <c r="B1553" s="2">
        <v>45509.947085567132</v>
      </c>
      <c r="C1553" t="s">
        <v>3</v>
      </c>
      <c r="D1553" t="s">
        <v>478</v>
      </c>
      <c r="E1553" s="5">
        <v>27.92</v>
      </c>
      <c r="F1553" t="s">
        <v>14</v>
      </c>
    </row>
    <row r="1554" spans="1:6">
      <c r="A1554" s="1">
        <v>45510</v>
      </c>
      <c r="B1554" s="2">
        <v>45510.439263136577</v>
      </c>
      <c r="C1554" t="s">
        <v>3</v>
      </c>
      <c r="D1554" t="s">
        <v>479</v>
      </c>
      <c r="E1554" s="5">
        <v>32.82</v>
      </c>
      <c r="F1554" t="s">
        <v>9</v>
      </c>
    </row>
    <row r="1555" spans="1:6">
      <c r="A1555" s="1">
        <v>45510</v>
      </c>
      <c r="B1555" s="2">
        <v>45510.736680567126</v>
      </c>
      <c r="C1555" t="s">
        <v>3</v>
      </c>
      <c r="D1555" t="s">
        <v>480</v>
      </c>
      <c r="E1555" s="5">
        <v>32.82</v>
      </c>
      <c r="F1555" t="s">
        <v>43</v>
      </c>
    </row>
    <row r="1556" spans="1:6">
      <c r="A1556" s="1">
        <v>45510</v>
      </c>
      <c r="B1556" s="2">
        <v>45510.738109953701</v>
      </c>
      <c r="C1556" t="s">
        <v>3</v>
      </c>
      <c r="D1556" t="s">
        <v>480</v>
      </c>
      <c r="E1556" s="5">
        <v>32.82</v>
      </c>
      <c r="F1556" t="s">
        <v>7</v>
      </c>
    </row>
    <row r="1557" spans="1:6">
      <c r="A1557" s="1">
        <v>45510</v>
      </c>
      <c r="B1557" s="2">
        <v>45510.738947534723</v>
      </c>
      <c r="C1557" t="s">
        <v>3</v>
      </c>
      <c r="D1557" t="s">
        <v>480</v>
      </c>
      <c r="E1557" s="5">
        <v>32.82</v>
      </c>
      <c r="F1557" t="s">
        <v>18</v>
      </c>
    </row>
    <row r="1558" spans="1:6">
      <c r="A1558" s="1">
        <v>45510</v>
      </c>
      <c r="B1558" s="2">
        <v>45510.795406365738</v>
      </c>
      <c r="C1558" t="s">
        <v>3</v>
      </c>
      <c r="D1558" t="s">
        <v>481</v>
      </c>
      <c r="E1558" s="5">
        <v>27.92</v>
      </c>
      <c r="F1558" t="s">
        <v>14</v>
      </c>
    </row>
    <row r="1559" spans="1:6">
      <c r="A1559" s="1">
        <v>45538</v>
      </c>
      <c r="B1559" s="2">
        <v>45538.799448055557</v>
      </c>
      <c r="C1559" t="s">
        <v>3</v>
      </c>
      <c r="D1559" t="s">
        <v>481</v>
      </c>
      <c r="E1559" s="5">
        <v>32.82</v>
      </c>
      <c r="F1559" t="s">
        <v>7</v>
      </c>
    </row>
    <row r="1560" spans="1:6">
      <c r="A1560" s="1">
        <v>45538</v>
      </c>
      <c r="B1560" s="2">
        <v>45538.803632037037</v>
      </c>
      <c r="C1560" t="s">
        <v>3</v>
      </c>
      <c r="D1560" t="s">
        <v>481</v>
      </c>
      <c r="E1560" s="5">
        <v>27.92</v>
      </c>
      <c r="F1560" t="s">
        <v>14</v>
      </c>
    </row>
    <row r="1561" spans="1:6">
      <c r="A1561" s="1">
        <v>45541</v>
      </c>
      <c r="B1561" s="2">
        <v>45541.475338587959</v>
      </c>
      <c r="C1561" t="s">
        <v>3</v>
      </c>
      <c r="D1561" t="s">
        <v>481</v>
      </c>
      <c r="E1561" s="5">
        <v>18.12</v>
      </c>
      <c r="F1561" t="s">
        <v>35</v>
      </c>
    </row>
    <row r="1562" spans="1:6">
      <c r="A1562" s="1">
        <v>45564</v>
      </c>
      <c r="B1562" s="2">
        <v>45564.450521412036</v>
      </c>
      <c r="C1562" t="s">
        <v>3</v>
      </c>
      <c r="D1562" t="s">
        <v>481</v>
      </c>
      <c r="E1562" s="5">
        <v>25.96</v>
      </c>
      <c r="F1562" t="s">
        <v>11</v>
      </c>
    </row>
    <row r="1563" spans="1:6">
      <c r="A1563" s="1">
        <v>45510</v>
      </c>
      <c r="B1563" s="2">
        <v>45510.836425150461</v>
      </c>
      <c r="C1563" t="s">
        <v>3</v>
      </c>
      <c r="D1563" t="s">
        <v>482</v>
      </c>
      <c r="E1563" s="5">
        <v>32.82</v>
      </c>
      <c r="F1563" t="s">
        <v>7</v>
      </c>
    </row>
    <row r="1564" spans="1:6">
      <c r="A1564" s="1">
        <v>45511</v>
      </c>
      <c r="B1564" s="2">
        <v>45511.549492534723</v>
      </c>
      <c r="C1564" t="s">
        <v>3</v>
      </c>
      <c r="D1564" t="s">
        <v>483</v>
      </c>
      <c r="E1564" s="5">
        <v>18.12</v>
      </c>
      <c r="F1564" t="s">
        <v>35</v>
      </c>
    </row>
    <row r="1565" spans="1:6">
      <c r="A1565" s="1">
        <v>45511</v>
      </c>
      <c r="B1565" s="2">
        <v>45511.679880289354</v>
      </c>
      <c r="C1565" t="s">
        <v>3</v>
      </c>
      <c r="D1565" t="s">
        <v>484</v>
      </c>
      <c r="E1565" s="5">
        <v>23.02</v>
      </c>
      <c r="F1565" t="s">
        <v>11</v>
      </c>
    </row>
    <row r="1566" spans="1:6">
      <c r="A1566" s="1">
        <v>45511</v>
      </c>
      <c r="B1566" s="2">
        <v>45511.936767199077</v>
      </c>
      <c r="C1566" t="s">
        <v>3</v>
      </c>
      <c r="D1566" t="s">
        <v>485</v>
      </c>
      <c r="E1566" s="5">
        <v>32.82</v>
      </c>
      <c r="F1566" t="s">
        <v>7</v>
      </c>
    </row>
    <row r="1567" spans="1:6">
      <c r="A1567" s="1">
        <v>45511</v>
      </c>
      <c r="B1567" s="2">
        <v>45511.939073738424</v>
      </c>
      <c r="C1567" t="s">
        <v>3</v>
      </c>
      <c r="D1567" t="s">
        <v>486</v>
      </c>
      <c r="E1567" s="5">
        <v>32.82</v>
      </c>
      <c r="F1567" t="s">
        <v>7</v>
      </c>
    </row>
    <row r="1568" spans="1:6">
      <c r="A1568" s="1">
        <v>45518</v>
      </c>
      <c r="B1568" s="2">
        <v>45518.31731017361</v>
      </c>
      <c r="C1568" t="s">
        <v>3</v>
      </c>
      <c r="D1568" t="s">
        <v>486</v>
      </c>
      <c r="E1568" s="5">
        <v>32.82</v>
      </c>
      <c r="F1568" t="s">
        <v>43</v>
      </c>
    </row>
    <row r="1569" spans="1:6">
      <c r="A1569" s="1">
        <v>45561</v>
      </c>
      <c r="B1569" s="2">
        <v>45561.949593368059</v>
      </c>
      <c r="C1569" t="s">
        <v>3</v>
      </c>
      <c r="D1569" t="s">
        <v>486</v>
      </c>
      <c r="E1569" s="5">
        <v>27.92</v>
      </c>
      <c r="F1569" t="s">
        <v>14</v>
      </c>
    </row>
    <row r="1570" spans="1:6">
      <c r="A1570" s="1">
        <v>45512</v>
      </c>
      <c r="B1570" s="2">
        <v>45512.706866504632</v>
      </c>
      <c r="C1570" t="s">
        <v>3</v>
      </c>
      <c r="D1570" t="s">
        <v>487</v>
      </c>
      <c r="E1570" s="5">
        <v>32.82</v>
      </c>
      <c r="F1570" t="s">
        <v>43</v>
      </c>
    </row>
    <row r="1571" spans="1:6">
      <c r="A1571" s="1">
        <v>45512</v>
      </c>
      <c r="B1571" s="2">
        <v>45512.720737835647</v>
      </c>
      <c r="C1571" t="s">
        <v>3</v>
      </c>
      <c r="D1571" t="s">
        <v>488</v>
      </c>
      <c r="E1571" s="5">
        <v>32.82</v>
      </c>
      <c r="F1571" t="s">
        <v>43</v>
      </c>
    </row>
    <row r="1572" spans="1:6">
      <c r="A1572" s="1">
        <v>45513</v>
      </c>
      <c r="B1572" s="2">
        <v>45513.316230787037</v>
      </c>
      <c r="C1572" t="s">
        <v>3</v>
      </c>
      <c r="D1572" t="s">
        <v>489</v>
      </c>
      <c r="E1572" s="5">
        <v>32.82</v>
      </c>
      <c r="F1572" t="s">
        <v>7</v>
      </c>
    </row>
    <row r="1573" spans="1:6">
      <c r="A1573" s="1">
        <v>45513</v>
      </c>
      <c r="B1573" s="2">
        <v>45513.477878726851</v>
      </c>
      <c r="C1573" t="s">
        <v>3</v>
      </c>
      <c r="D1573" t="s">
        <v>489</v>
      </c>
      <c r="E1573" s="5">
        <v>32.82</v>
      </c>
      <c r="F1573" t="s">
        <v>7</v>
      </c>
    </row>
    <row r="1574" spans="1:6">
      <c r="A1574" s="1">
        <v>45515</v>
      </c>
      <c r="B1574" s="2">
        <v>45515.903577199075</v>
      </c>
      <c r="C1574" t="s">
        <v>3</v>
      </c>
      <c r="D1574" t="s">
        <v>489</v>
      </c>
      <c r="E1574" s="5">
        <v>32.82</v>
      </c>
      <c r="F1574" t="s">
        <v>7</v>
      </c>
    </row>
    <row r="1575" spans="1:6">
      <c r="A1575" s="1">
        <v>45518</v>
      </c>
      <c r="B1575" s="2">
        <v>45518.31652896991</v>
      </c>
      <c r="C1575" t="s">
        <v>3</v>
      </c>
      <c r="D1575" t="s">
        <v>489</v>
      </c>
      <c r="E1575" s="5">
        <v>32.82</v>
      </c>
      <c r="F1575" t="s">
        <v>7</v>
      </c>
    </row>
    <row r="1576" spans="1:6">
      <c r="A1576" s="1">
        <v>45527</v>
      </c>
      <c r="B1576" s="2">
        <v>45527.321714432874</v>
      </c>
      <c r="C1576" t="s">
        <v>3</v>
      </c>
      <c r="D1576" t="s">
        <v>489</v>
      </c>
      <c r="E1576" s="5">
        <v>32.82</v>
      </c>
      <c r="F1576" t="s">
        <v>7</v>
      </c>
    </row>
    <row r="1577" spans="1:6">
      <c r="A1577" s="1">
        <v>45560</v>
      </c>
      <c r="B1577" s="2">
        <v>45560.929765671295</v>
      </c>
      <c r="C1577" t="s">
        <v>3</v>
      </c>
      <c r="D1577" t="s">
        <v>489</v>
      </c>
      <c r="E1577" s="5">
        <v>27.92</v>
      </c>
      <c r="F1577" t="s">
        <v>14</v>
      </c>
    </row>
    <row r="1578" spans="1:6">
      <c r="A1578" s="1">
        <v>45573</v>
      </c>
      <c r="B1578" s="2">
        <v>45573.634504050926</v>
      </c>
      <c r="C1578" t="s">
        <v>3</v>
      </c>
      <c r="D1578" t="s">
        <v>489</v>
      </c>
      <c r="E1578" s="5">
        <v>35.76</v>
      </c>
      <c r="F1578" t="s">
        <v>7</v>
      </c>
    </row>
    <row r="1579" spans="1:6">
      <c r="A1579" s="1">
        <v>45513</v>
      </c>
      <c r="B1579" s="2">
        <v>45513.412205474538</v>
      </c>
      <c r="C1579" t="s">
        <v>3</v>
      </c>
      <c r="D1579" t="s">
        <v>490</v>
      </c>
      <c r="E1579" s="5">
        <v>23.02</v>
      </c>
      <c r="F1579" t="s">
        <v>11</v>
      </c>
    </row>
    <row r="1580" spans="1:6">
      <c r="A1580" s="1">
        <v>45513</v>
      </c>
      <c r="B1580" s="2">
        <v>45513.479035671298</v>
      </c>
      <c r="C1580" t="s">
        <v>3</v>
      </c>
      <c r="D1580" t="s">
        <v>491</v>
      </c>
      <c r="E1580" s="5">
        <v>23.02</v>
      </c>
      <c r="F1580" t="s">
        <v>11</v>
      </c>
    </row>
    <row r="1581" spans="1:6">
      <c r="A1581" s="1">
        <v>45513</v>
      </c>
      <c r="B1581" s="2">
        <v>45513.789209629627</v>
      </c>
      <c r="C1581" t="s">
        <v>3</v>
      </c>
      <c r="D1581" t="s">
        <v>492</v>
      </c>
      <c r="E1581" s="5">
        <v>23.02</v>
      </c>
      <c r="F1581" t="s">
        <v>11</v>
      </c>
    </row>
    <row r="1582" spans="1:6">
      <c r="A1582" s="1">
        <v>45513</v>
      </c>
      <c r="B1582" s="2">
        <v>45513.793826516201</v>
      </c>
      <c r="C1582" t="s">
        <v>3</v>
      </c>
      <c r="D1582" t="s">
        <v>493</v>
      </c>
      <c r="E1582" s="5">
        <v>32.82</v>
      </c>
      <c r="F1582" t="s">
        <v>9</v>
      </c>
    </row>
    <row r="1583" spans="1:6">
      <c r="A1583" s="1">
        <v>45514</v>
      </c>
      <c r="B1583" s="2">
        <v>45514.358849861113</v>
      </c>
      <c r="C1583" t="s">
        <v>3</v>
      </c>
      <c r="D1583" t="s">
        <v>494</v>
      </c>
      <c r="E1583" s="5">
        <v>32.82</v>
      </c>
      <c r="F1583" t="s">
        <v>43</v>
      </c>
    </row>
    <row r="1584" spans="1:6">
      <c r="A1584" s="1">
        <v>45514</v>
      </c>
      <c r="B1584" s="2">
        <v>45514.359688298609</v>
      </c>
      <c r="C1584" t="s">
        <v>3</v>
      </c>
      <c r="D1584" t="s">
        <v>494</v>
      </c>
      <c r="E1584" s="5">
        <v>27.92</v>
      </c>
      <c r="F1584" t="s">
        <v>14</v>
      </c>
    </row>
    <row r="1585" spans="1:6">
      <c r="A1585" s="1">
        <v>45515</v>
      </c>
      <c r="B1585" s="2">
        <v>45515.497698425927</v>
      </c>
      <c r="C1585" t="s">
        <v>3</v>
      </c>
      <c r="D1585" t="s">
        <v>494</v>
      </c>
      <c r="E1585" s="5">
        <v>32.82</v>
      </c>
      <c r="F1585" t="s">
        <v>43</v>
      </c>
    </row>
    <row r="1586" spans="1:6">
      <c r="A1586" s="1">
        <v>45515</v>
      </c>
      <c r="B1586" s="2">
        <v>45515.498394317132</v>
      </c>
      <c r="C1586" t="s">
        <v>3</v>
      </c>
      <c r="D1586" t="s">
        <v>494</v>
      </c>
      <c r="E1586" s="5">
        <v>27.92</v>
      </c>
      <c r="F1586" t="s">
        <v>14</v>
      </c>
    </row>
    <row r="1587" spans="1:6">
      <c r="A1587" s="1">
        <v>45514</v>
      </c>
      <c r="B1587" s="2">
        <v>45514.510543136574</v>
      </c>
      <c r="C1587" t="s">
        <v>3</v>
      </c>
      <c r="D1587" t="s">
        <v>495</v>
      </c>
      <c r="E1587" s="5">
        <v>32.82</v>
      </c>
      <c r="F1587" t="s">
        <v>7</v>
      </c>
    </row>
    <row r="1588" spans="1:6">
      <c r="A1588" s="1">
        <v>45514</v>
      </c>
      <c r="B1588" s="2">
        <v>45514.886673171299</v>
      </c>
      <c r="C1588" t="s">
        <v>3</v>
      </c>
      <c r="D1588" t="s">
        <v>496</v>
      </c>
      <c r="E1588" s="5">
        <v>32.82</v>
      </c>
      <c r="F1588" t="s">
        <v>18</v>
      </c>
    </row>
    <row r="1589" spans="1:6">
      <c r="A1589" s="1">
        <v>45514</v>
      </c>
      <c r="B1589" s="2">
        <v>45514.887281099538</v>
      </c>
      <c r="C1589" t="s">
        <v>3</v>
      </c>
      <c r="D1589" t="s">
        <v>496</v>
      </c>
      <c r="E1589" s="5">
        <v>32.82</v>
      </c>
      <c r="F1589" t="s">
        <v>18</v>
      </c>
    </row>
    <row r="1590" spans="1:6">
      <c r="A1590" s="1">
        <v>45515</v>
      </c>
      <c r="B1590" s="2">
        <v>45515.662402222224</v>
      </c>
      <c r="C1590" t="s">
        <v>3</v>
      </c>
      <c r="D1590" t="s">
        <v>497</v>
      </c>
      <c r="E1590" s="5">
        <v>32.82</v>
      </c>
      <c r="F1590" t="s">
        <v>7</v>
      </c>
    </row>
    <row r="1591" spans="1:6">
      <c r="A1591" s="1">
        <v>45515</v>
      </c>
      <c r="B1591" s="2">
        <v>45515.663366354165</v>
      </c>
      <c r="C1591" t="s">
        <v>3</v>
      </c>
      <c r="D1591" t="s">
        <v>498</v>
      </c>
      <c r="E1591" s="5">
        <v>27.92</v>
      </c>
      <c r="F1591" t="s">
        <v>14</v>
      </c>
    </row>
    <row r="1592" spans="1:6">
      <c r="A1592" s="1">
        <v>45515</v>
      </c>
      <c r="B1592" s="2">
        <v>45515.664209456016</v>
      </c>
      <c r="C1592" t="s">
        <v>3</v>
      </c>
      <c r="D1592" t="s">
        <v>498</v>
      </c>
      <c r="E1592" s="5">
        <v>32.82</v>
      </c>
      <c r="F1592" t="s">
        <v>18</v>
      </c>
    </row>
    <row r="1593" spans="1:6">
      <c r="A1593" s="1">
        <v>45515</v>
      </c>
      <c r="B1593" s="2">
        <v>45515.686554351851</v>
      </c>
      <c r="C1593" t="s">
        <v>3</v>
      </c>
      <c r="D1593" t="s">
        <v>499</v>
      </c>
      <c r="E1593" s="5">
        <v>18.12</v>
      </c>
      <c r="F1593" t="s">
        <v>35</v>
      </c>
    </row>
    <row r="1594" spans="1:6">
      <c r="A1594" s="1">
        <v>45515</v>
      </c>
      <c r="B1594" s="2">
        <v>45515.896210057872</v>
      </c>
      <c r="C1594" t="s">
        <v>3</v>
      </c>
      <c r="D1594" t="s">
        <v>500</v>
      </c>
      <c r="E1594" s="5">
        <v>23.02</v>
      </c>
      <c r="F1594" t="s">
        <v>28</v>
      </c>
    </row>
    <row r="1595" spans="1:6">
      <c r="A1595" s="1">
        <v>45543</v>
      </c>
      <c r="B1595" s="2">
        <v>45543.530185497686</v>
      </c>
      <c r="C1595" t="s">
        <v>3</v>
      </c>
      <c r="D1595" t="s">
        <v>500</v>
      </c>
      <c r="E1595" s="5">
        <v>23.02</v>
      </c>
      <c r="F1595" t="s">
        <v>28</v>
      </c>
    </row>
    <row r="1596" spans="1:6">
      <c r="A1596" s="1">
        <v>45515</v>
      </c>
      <c r="B1596" s="2">
        <v>45515.904978101855</v>
      </c>
      <c r="C1596" t="s">
        <v>3</v>
      </c>
      <c r="D1596" t="s">
        <v>501</v>
      </c>
      <c r="E1596" s="5">
        <v>32.82</v>
      </c>
      <c r="F1596" t="s">
        <v>7</v>
      </c>
    </row>
    <row r="1597" spans="1:6">
      <c r="A1597" s="1">
        <v>45515</v>
      </c>
      <c r="B1597" s="2">
        <v>45515.94409621528</v>
      </c>
      <c r="C1597" t="s">
        <v>3</v>
      </c>
      <c r="D1597" t="s">
        <v>502</v>
      </c>
      <c r="E1597" s="5">
        <v>32.82</v>
      </c>
      <c r="F1597" t="s">
        <v>43</v>
      </c>
    </row>
    <row r="1598" spans="1:6">
      <c r="A1598" s="1">
        <v>45516</v>
      </c>
      <c r="B1598" s="2">
        <v>45516.468805219905</v>
      </c>
      <c r="C1598" t="s">
        <v>3</v>
      </c>
      <c r="D1598" t="s">
        <v>503</v>
      </c>
      <c r="E1598" s="5">
        <v>27.92</v>
      </c>
      <c r="F1598" t="s">
        <v>14</v>
      </c>
    </row>
    <row r="1599" spans="1:6">
      <c r="A1599" s="1">
        <v>45516</v>
      </c>
      <c r="B1599" s="2">
        <v>45516.471869363428</v>
      </c>
      <c r="C1599" t="s">
        <v>3</v>
      </c>
      <c r="D1599" t="s">
        <v>504</v>
      </c>
      <c r="E1599" s="5">
        <v>23.02</v>
      </c>
      <c r="F1599" t="s">
        <v>11</v>
      </c>
    </row>
    <row r="1600" spans="1:6">
      <c r="A1600" s="1">
        <v>45516</v>
      </c>
      <c r="B1600" s="2">
        <v>45516.472495833332</v>
      </c>
      <c r="C1600" t="s">
        <v>3</v>
      </c>
      <c r="D1600" t="s">
        <v>504</v>
      </c>
      <c r="E1600" s="5">
        <v>32.82</v>
      </c>
      <c r="F1600" t="s">
        <v>7</v>
      </c>
    </row>
    <row r="1601" spans="1:6">
      <c r="A1601" s="1">
        <v>45516</v>
      </c>
      <c r="B1601" s="2">
        <v>45516.489217407405</v>
      </c>
      <c r="C1601" t="s">
        <v>3</v>
      </c>
      <c r="D1601" t="s">
        <v>505</v>
      </c>
      <c r="E1601" s="5">
        <v>32.82</v>
      </c>
      <c r="F1601" t="s">
        <v>7</v>
      </c>
    </row>
    <row r="1602" spans="1:6">
      <c r="A1602" s="1">
        <v>45523</v>
      </c>
      <c r="B1602" s="2">
        <v>45523.897187916664</v>
      </c>
      <c r="C1602" t="s">
        <v>3</v>
      </c>
      <c r="D1602" t="s">
        <v>505</v>
      </c>
      <c r="E1602" s="5">
        <v>32.82</v>
      </c>
      <c r="F1602" t="s">
        <v>18</v>
      </c>
    </row>
    <row r="1603" spans="1:6">
      <c r="A1603" s="1">
        <v>45516</v>
      </c>
      <c r="B1603" s="2">
        <v>45516.586150451389</v>
      </c>
      <c r="C1603" t="s">
        <v>3</v>
      </c>
      <c r="D1603" t="s">
        <v>506</v>
      </c>
      <c r="E1603" s="5">
        <v>18.12</v>
      </c>
      <c r="F1603" t="s">
        <v>35</v>
      </c>
    </row>
    <row r="1604" spans="1:6">
      <c r="A1604" s="1">
        <v>45516</v>
      </c>
      <c r="B1604" s="2">
        <v>45516.586885775461</v>
      </c>
      <c r="C1604" t="s">
        <v>3</v>
      </c>
      <c r="D1604" t="s">
        <v>506</v>
      </c>
      <c r="E1604" s="5">
        <v>27.92</v>
      </c>
      <c r="F1604" t="s">
        <v>14</v>
      </c>
    </row>
    <row r="1605" spans="1:6">
      <c r="A1605" s="1">
        <v>45516</v>
      </c>
      <c r="B1605" s="2">
        <v>45516.648299884262</v>
      </c>
      <c r="C1605" t="s">
        <v>3</v>
      </c>
      <c r="D1605" t="s">
        <v>507</v>
      </c>
      <c r="E1605" s="5">
        <v>27.92</v>
      </c>
      <c r="F1605" t="s">
        <v>14</v>
      </c>
    </row>
    <row r="1606" spans="1:6">
      <c r="A1606" s="1">
        <v>45516</v>
      </c>
      <c r="B1606" s="2">
        <v>45516.901134733795</v>
      </c>
      <c r="C1606" t="s">
        <v>3</v>
      </c>
      <c r="D1606" t="s">
        <v>508</v>
      </c>
      <c r="E1606" s="5">
        <v>32.82</v>
      </c>
      <c r="F1606" t="s">
        <v>7</v>
      </c>
    </row>
    <row r="1607" spans="1:6">
      <c r="A1607" s="1">
        <v>45517</v>
      </c>
      <c r="B1607" s="2">
        <v>45517.615042696758</v>
      </c>
      <c r="C1607" t="s">
        <v>3</v>
      </c>
      <c r="D1607" t="s">
        <v>508</v>
      </c>
      <c r="E1607" s="5">
        <v>32.82</v>
      </c>
      <c r="F1607" t="s">
        <v>7</v>
      </c>
    </row>
    <row r="1608" spans="1:6">
      <c r="A1608" s="1">
        <v>45539</v>
      </c>
      <c r="B1608" s="2">
        <v>45539.888607048611</v>
      </c>
      <c r="C1608" t="s">
        <v>3</v>
      </c>
      <c r="D1608" t="s">
        <v>508</v>
      </c>
      <c r="E1608" s="5">
        <v>32.82</v>
      </c>
      <c r="F1608" t="s">
        <v>7</v>
      </c>
    </row>
    <row r="1609" spans="1:6">
      <c r="A1609" s="1">
        <v>45544</v>
      </c>
      <c r="B1609" s="2">
        <v>45544.416096643516</v>
      </c>
      <c r="C1609" t="s">
        <v>3</v>
      </c>
      <c r="D1609" t="s">
        <v>508</v>
      </c>
      <c r="E1609" s="5">
        <v>32.82</v>
      </c>
      <c r="F1609" t="s">
        <v>7</v>
      </c>
    </row>
    <row r="1610" spans="1:6">
      <c r="A1610" s="1">
        <v>45554</v>
      </c>
      <c r="B1610" s="2">
        <v>45554.417715034724</v>
      </c>
      <c r="C1610" t="s">
        <v>3</v>
      </c>
      <c r="D1610" t="s">
        <v>508</v>
      </c>
      <c r="E1610" s="5">
        <v>32.82</v>
      </c>
      <c r="F1610" t="s">
        <v>7</v>
      </c>
    </row>
    <row r="1611" spans="1:6">
      <c r="A1611" s="1">
        <v>45572</v>
      </c>
      <c r="B1611" s="2">
        <v>45572.742303310188</v>
      </c>
      <c r="C1611" t="s">
        <v>3</v>
      </c>
      <c r="D1611" t="s">
        <v>508</v>
      </c>
      <c r="E1611" s="5">
        <v>35.76</v>
      </c>
      <c r="F1611" t="s">
        <v>7</v>
      </c>
    </row>
    <row r="1612" spans="1:6">
      <c r="A1612" s="1">
        <v>45574</v>
      </c>
      <c r="B1612" s="2">
        <v>45574.41643484954</v>
      </c>
      <c r="C1612" t="s">
        <v>3</v>
      </c>
      <c r="D1612" t="s">
        <v>508</v>
      </c>
      <c r="E1612" s="5">
        <v>35.76</v>
      </c>
      <c r="F1612" t="s">
        <v>7</v>
      </c>
    </row>
    <row r="1613" spans="1:6">
      <c r="A1613" s="1">
        <v>45584</v>
      </c>
      <c r="B1613" s="2">
        <v>45584.668586006941</v>
      </c>
      <c r="C1613" t="s">
        <v>3</v>
      </c>
      <c r="D1613" t="s">
        <v>508</v>
      </c>
      <c r="E1613" s="5">
        <v>35.76</v>
      </c>
      <c r="F1613" t="s">
        <v>7</v>
      </c>
    </row>
    <row r="1614" spans="1:6">
      <c r="A1614" s="1">
        <v>45604</v>
      </c>
      <c r="B1614" s="2">
        <v>45604.491104050925</v>
      </c>
      <c r="C1614" t="s">
        <v>3</v>
      </c>
      <c r="D1614" t="s">
        <v>508</v>
      </c>
      <c r="E1614" s="5">
        <v>35.76</v>
      </c>
      <c r="F1614" t="s">
        <v>43</v>
      </c>
    </row>
    <row r="1615" spans="1:6">
      <c r="A1615" s="1">
        <v>45611</v>
      </c>
      <c r="B1615" s="2">
        <v>45611.581642291669</v>
      </c>
      <c r="C1615" t="s">
        <v>3</v>
      </c>
      <c r="D1615" t="s">
        <v>508</v>
      </c>
      <c r="E1615" s="5">
        <v>35.76</v>
      </c>
      <c r="F1615" t="s">
        <v>7</v>
      </c>
    </row>
    <row r="1616" spans="1:6">
      <c r="A1616" s="1">
        <v>45619</v>
      </c>
      <c r="B1616" s="2">
        <v>45619.487123460647</v>
      </c>
      <c r="C1616" t="s">
        <v>3</v>
      </c>
      <c r="D1616" t="s">
        <v>508</v>
      </c>
      <c r="E1616" s="5">
        <v>35.76</v>
      </c>
      <c r="F1616" t="s">
        <v>9</v>
      </c>
    </row>
    <row r="1617" spans="1:6">
      <c r="A1617" s="1">
        <v>45626</v>
      </c>
      <c r="B1617" s="2">
        <v>45626.595046516202</v>
      </c>
      <c r="C1617" t="s">
        <v>3</v>
      </c>
      <c r="D1617" t="s">
        <v>508</v>
      </c>
      <c r="E1617" s="5">
        <v>35.76</v>
      </c>
      <c r="F1617" t="s">
        <v>18</v>
      </c>
    </row>
    <row r="1618" spans="1:6">
      <c r="A1618" s="1">
        <v>45639</v>
      </c>
      <c r="B1618" s="2">
        <v>45639.682915486112</v>
      </c>
      <c r="C1618" t="s">
        <v>3</v>
      </c>
      <c r="D1618" t="s">
        <v>508</v>
      </c>
      <c r="E1618" s="5">
        <v>35.76</v>
      </c>
      <c r="F1618" t="s">
        <v>18</v>
      </c>
    </row>
    <row r="1619" spans="1:6">
      <c r="A1619" s="1">
        <v>45517</v>
      </c>
      <c r="B1619" s="2">
        <v>45517.364238275462</v>
      </c>
      <c r="C1619" t="s">
        <v>3</v>
      </c>
      <c r="D1619" t="s">
        <v>509</v>
      </c>
      <c r="E1619" s="5">
        <v>27.92</v>
      </c>
      <c r="F1619" t="s">
        <v>14</v>
      </c>
    </row>
    <row r="1620" spans="1:6">
      <c r="A1620" s="1">
        <v>45517</v>
      </c>
      <c r="B1620" s="2">
        <v>45517.499856620372</v>
      </c>
      <c r="C1620" t="s">
        <v>3</v>
      </c>
      <c r="D1620" t="s">
        <v>510</v>
      </c>
      <c r="E1620" s="5">
        <v>32.82</v>
      </c>
      <c r="F1620" t="s">
        <v>7</v>
      </c>
    </row>
    <row r="1621" spans="1:6">
      <c r="A1621" s="1">
        <v>45517</v>
      </c>
      <c r="B1621" s="2">
        <v>45517.542841284725</v>
      </c>
      <c r="C1621" t="s">
        <v>3</v>
      </c>
      <c r="D1621" t="s">
        <v>511</v>
      </c>
      <c r="E1621" s="5">
        <v>27.92</v>
      </c>
      <c r="F1621" t="s">
        <v>14</v>
      </c>
    </row>
    <row r="1622" spans="1:6">
      <c r="A1622" s="1">
        <v>45517</v>
      </c>
      <c r="B1622" s="2">
        <v>45517.658295173613</v>
      </c>
      <c r="C1622" t="s">
        <v>3</v>
      </c>
      <c r="D1622" t="s">
        <v>512</v>
      </c>
      <c r="E1622" s="5">
        <v>32.82</v>
      </c>
      <c r="F1622" t="s">
        <v>43</v>
      </c>
    </row>
    <row r="1623" spans="1:6">
      <c r="A1623" s="1">
        <v>45517</v>
      </c>
      <c r="B1623" s="2">
        <v>45517.853871886575</v>
      </c>
      <c r="C1623" t="s">
        <v>3</v>
      </c>
      <c r="D1623" t="s">
        <v>513</v>
      </c>
      <c r="E1623" s="5">
        <v>32.82</v>
      </c>
      <c r="F1623" t="s">
        <v>7</v>
      </c>
    </row>
    <row r="1624" spans="1:6">
      <c r="A1624" s="1">
        <v>45517</v>
      </c>
      <c r="B1624" s="2">
        <v>45517.854596643519</v>
      </c>
      <c r="C1624" t="s">
        <v>3</v>
      </c>
      <c r="D1624" t="s">
        <v>513</v>
      </c>
      <c r="E1624" s="5">
        <v>32.82</v>
      </c>
      <c r="F1624" t="s">
        <v>18</v>
      </c>
    </row>
    <row r="1625" spans="1:6">
      <c r="A1625" s="1">
        <v>45517</v>
      </c>
      <c r="B1625" s="2">
        <v>45517.864154988427</v>
      </c>
      <c r="C1625" t="s">
        <v>3</v>
      </c>
      <c r="D1625" t="s">
        <v>514</v>
      </c>
      <c r="E1625" s="5">
        <v>32.82</v>
      </c>
      <c r="F1625" t="s">
        <v>43</v>
      </c>
    </row>
    <row r="1626" spans="1:6">
      <c r="A1626" s="1">
        <v>45517</v>
      </c>
      <c r="B1626" s="2">
        <v>45517.875517222223</v>
      </c>
      <c r="C1626" t="s">
        <v>3</v>
      </c>
      <c r="D1626" t="s">
        <v>515</v>
      </c>
      <c r="E1626" s="5">
        <v>23.02</v>
      </c>
      <c r="F1626" t="s">
        <v>28</v>
      </c>
    </row>
    <row r="1627" spans="1:6">
      <c r="A1627" s="1">
        <v>45518</v>
      </c>
      <c r="B1627" s="2">
        <v>45518.534223969909</v>
      </c>
      <c r="C1627" t="s">
        <v>3</v>
      </c>
      <c r="D1627" t="s">
        <v>516</v>
      </c>
      <c r="E1627" s="5">
        <v>23.02</v>
      </c>
      <c r="F1627" t="s">
        <v>11</v>
      </c>
    </row>
    <row r="1628" spans="1:6">
      <c r="A1628" s="1">
        <v>45518</v>
      </c>
      <c r="B1628" s="2">
        <v>45518.639898842594</v>
      </c>
      <c r="C1628" t="s">
        <v>3</v>
      </c>
      <c r="D1628" t="s">
        <v>517</v>
      </c>
      <c r="E1628" s="5">
        <v>32.82</v>
      </c>
      <c r="F1628" t="s">
        <v>7</v>
      </c>
    </row>
    <row r="1629" spans="1:6">
      <c r="A1629" s="1">
        <v>45518</v>
      </c>
      <c r="B1629" s="2">
        <v>45518.725263749999</v>
      </c>
      <c r="C1629" t="s">
        <v>3</v>
      </c>
      <c r="D1629" t="s">
        <v>518</v>
      </c>
      <c r="E1629" s="5">
        <v>23.02</v>
      </c>
      <c r="F1629" t="s">
        <v>11</v>
      </c>
    </row>
    <row r="1630" spans="1:6">
      <c r="A1630" s="1">
        <v>45518</v>
      </c>
      <c r="B1630" s="2">
        <v>45518.756987534725</v>
      </c>
      <c r="C1630" t="s">
        <v>3</v>
      </c>
      <c r="D1630" t="s">
        <v>519</v>
      </c>
      <c r="E1630" s="5">
        <v>23.02</v>
      </c>
      <c r="F1630" t="s">
        <v>28</v>
      </c>
    </row>
    <row r="1631" spans="1:6">
      <c r="A1631" s="1">
        <v>45518</v>
      </c>
      <c r="B1631" s="2">
        <v>45518.79118378472</v>
      </c>
      <c r="C1631" t="s">
        <v>3</v>
      </c>
      <c r="D1631" t="s">
        <v>520</v>
      </c>
      <c r="E1631" s="5">
        <v>27.92</v>
      </c>
      <c r="F1631" t="s">
        <v>14</v>
      </c>
    </row>
    <row r="1632" spans="1:6">
      <c r="A1632" s="1">
        <v>45518</v>
      </c>
      <c r="B1632" s="2">
        <v>45518.90385440972</v>
      </c>
      <c r="C1632" t="s">
        <v>3</v>
      </c>
      <c r="D1632" t="s">
        <v>521</v>
      </c>
      <c r="E1632" s="5">
        <v>32.82</v>
      </c>
      <c r="F1632" t="s">
        <v>7</v>
      </c>
    </row>
    <row r="1633" spans="1:6">
      <c r="A1633" s="1">
        <v>45523</v>
      </c>
      <c r="B1633" s="2">
        <v>45523.889723159722</v>
      </c>
      <c r="C1633" t="s">
        <v>3</v>
      </c>
      <c r="D1633" t="s">
        <v>521</v>
      </c>
      <c r="E1633" s="5">
        <v>32.82</v>
      </c>
      <c r="F1633" t="s">
        <v>7</v>
      </c>
    </row>
    <row r="1634" spans="1:6">
      <c r="A1634" s="1">
        <v>45525</v>
      </c>
      <c r="B1634" s="2">
        <v>45525.820874108795</v>
      </c>
      <c r="C1634" t="s">
        <v>3</v>
      </c>
      <c r="D1634" t="s">
        <v>521</v>
      </c>
      <c r="E1634" s="5">
        <v>32.82</v>
      </c>
      <c r="F1634" t="s">
        <v>7</v>
      </c>
    </row>
    <row r="1635" spans="1:6">
      <c r="A1635" s="1">
        <v>45527</v>
      </c>
      <c r="B1635" s="2">
        <v>45527.825032488428</v>
      </c>
      <c r="C1635" t="s">
        <v>3</v>
      </c>
      <c r="D1635" t="s">
        <v>521</v>
      </c>
      <c r="E1635" s="5">
        <v>32.82</v>
      </c>
      <c r="F1635" t="s">
        <v>7</v>
      </c>
    </row>
    <row r="1636" spans="1:6">
      <c r="A1636" s="1">
        <v>45541</v>
      </c>
      <c r="B1636" s="2">
        <v>45541.881611655095</v>
      </c>
      <c r="C1636" t="s">
        <v>3</v>
      </c>
      <c r="D1636" t="s">
        <v>521</v>
      </c>
      <c r="E1636" s="5">
        <v>32.82</v>
      </c>
      <c r="F1636" t="s">
        <v>7</v>
      </c>
    </row>
    <row r="1637" spans="1:6">
      <c r="A1637" s="1">
        <v>45544</v>
      </c>
      <c r="B1637" s="2">
        <v>45544.759563888889</v>
      </c>
      <c r="C1637" t="s">
        <v>3</v>
      </c>
      <c r="D1637" t="s">
        <v>521</v>
      </c>
      <c r="E1637" s="5">
        <v>32.82</v>
      </c>
      <c r="F1637" t="s">
        <v>7</v>
      </c>
    </row>
    <row r="1638" spans="1:6">
      <c r="A1638" s="1">
        <v>45556</v>
      </c>
      <c r="B1638" s="2">
        <v>45556.761443298608</v>
      </c>
      <c r="C1638" t="s">
        <v>3</v>
      </c>
      <c r="D1638" t="s">
        <v>521</v>
      </c>
      <c r="E1638" s="5">
        <v>32.82</v>
      </c>
      <c r="F1638" t="s">
        <v>7</v>
      </c>
    </row>
    <row r="1639" spans="1:6">
      <c r="A1639" s="1">
        <v>45556</v>
      </c>
      <c r="B1639" s="2">
        <v>45556.76216071759</v>
      </c>
      <c r="C1639" t="s">
        <v>3</v>
      </c>
      <c r="D1639" t="s">
        <v>521</v>
      </c>
      <c r="E1639" s="5">
        <v>32.82</v>
      </c>
      <c r="F1639" t="s">
        <v>7</v>
      </c>
    </row>
    <row r="1640" spans="1:6">
      <c r="A1640" s="1">
        <v>45558</v>
      </c>
      <c r="B1640" s="2">
        <v>45558.824559606481</v>
      </c>
      <c r="C1640" t="s">
        <v>3</v>
      </c>
      <c r="D1640" t="s">
        <v>521</v>
      </c>
      <c r="E1640" s="5">
        <v>32.82</v>
      </c>
      <c r="F1640" t="s">
        <v>7</v>
      </c>
    </row>
    <row r="1641" spans="1:6">
      <c r="A1641" s="1">
        <v>45563</v>
      </c>
      <c r="B1641" s="2">
        <v>45563.601242326389</v>
      </c>
      <c r="C1641" t="s">
        <v>3</v>
      </c>
      <c r="D1641" t="s">
        <v>521</v>
      </c>
      <c r="E1641" s="5">
        <v>35.76</v>
      </c>
      <c r="F1641" t="s">
        <v>7</v>
      </c>
    </row>
    <row r="1642" spans="1:6">
      <c r="A1642" s="1">
        <v>45565</v>
      </c>
      <c r="B1642" s="2">
        <v>45565.814099537034</v>
      </c>
      <c r="C1642" t="s">
        <v>3</v>
      </c>
      <c r="D1642" t="s">
        <v>521</v>
      </c>
      <c r="E1642" s="5">
        <v>35.76</v>
      </c>
      <c r="F1642" t="s">
        <v>7</v>
      </c>
    </row>
    <row r="1643" spans="1:6">
      <c r="A1643" s="1">
        <v>45573</v>
      </c>
      <c r="B1643" s="2">
        <v>45573.613106770834</v>
      </c>
      <c r="C1643" t="s">
        <v>3</v>
      </c>
      <c r="D1643" t="s">
        <v>521</v>
      </c>
      <c r="E1643" s="5">
        <v>35.76</v>
      </c>
      <c r="F1643" t="s">
        <v>7</v>
      </c>
    </row>
    <row r="1644" spans="1:6">
      <c r="A1644" s="1">
        <v>45577</v>
      </c>
      <c r="B1644" s="2">
        <v>45577.494623831015</v>
      </c>
      <c r="C1644" t="s">
        <v>3</v>
      </c>
      <c r="D1644" t="s">
        <v>521</v>
      </c>
      <c r="E1644" s="5">
        <v>35.76</v>
      </c>
      <c r="F1644" t="s">
        <v>7</v>
      </c>
    </row>
    <row r="1645" spans="1:6">
      <c r="A1645" s="1">
        <v>45577</v>
      </c>
      <c r="B1645" s="2">
        <v>45577.840901759257</v>
      </c>
      <c r="C1645" t="s">
        <v>3</v>
      </c>
      <c r="D1645" t="s">
        <v>521</v>
      </c>
      <c r="E1645" s="5">
        <v>35.76</v>
      </c>
      <c r="F1645" t="s">
        <v>7</v>
      </c>
    </row>
    <row r="1646" spans="1:6">
      <c r="A1646" s="1">
        <v>45578</v>
      </c>
      <c r="B1646" s="2">
        <v>45578.74537866898</v>
      </c>
      <c r="C1646" t="s">
        <v>3</v>
      </c>
      <c r="D1646" t="s">
        <v>521</v>
      </c>
      <c r="E1646" s="5">
        <v>35.76</v>
      </c>
      <c r="F1646" t="s">
        <v>7</v>
      </c>
    </row>
    <row r="1647" spans="1:6">
      <c r="A1647" s="1">
        <v>45578</v>
      </c>
      <c r="B1647" s="2">
        <v>45578.746092939815</v>
      </c>
      <c r="C1647" t="s">
        <v>3</v>
      </c>
      <c r="D1647" t="s">
        <v>521</v>
      </c>
      <c r="E1647" s="5">
        <v>35.76</v>
      </c>
      <c r="F1647" t="s">
        <v>7</v>
      </c>
    </row>
    <row r="1648" spans="1:6">
      <c r="A1648" s="1">
        <v>45579</v>
      </c>
      <c r="B1648" s="2">
        <v>45579.617956736111</v>
      </c>
      <c r="C1648" t="s">
        <v>3</v>
      </c>
      <c r="D1648" t="s">
        <v>521</v>
      </c>
      <c r="E1648" s="5">
        <v>35.76</v>
      </c>
      <c r="F1648" t="s">
        <v>7</v>
      </c>
    </row>
    <row r="1649" spans="1:6">
      <c r="A1649" s="1">
        <v>45580</v>
      </c>
      <c r="B1649" s="2">
        <v>45580.84114449074</v>
      </c>
      <c r="C1649" t="s">
        <v>3</v>
      </c>
      <c r="D1649" t="s">
        <v>521</v>
      </c>
      <c r="E1649" s="5">
        <v>35.76</v>
      </c>
      <c r="F1649" t="s">
        <v>7</v>
      </c>
    </row>
    <row r="1650" spans="1:6">
      <c r="A1650" s="1">
        <v>45580</v>
      </c>
      <c r="B1650" s="2">
        <v>45580.841998043979</v>
      </c>
      <c r="C1650" t="s">
        <v>3</v>
      </c>
      <c r="D1650" t="s">
        <v>521</v>
      </c>
      <c r="E1650" s="5">
        <v>35.76</v>
      </c>
      <c r="F1650" t="s">
        <v>7</v>
      </c>
    </row>
    <row r="1651" spans="1:6">
      <c r="A1651" s="1">
        <v>45582</v>
      </c>
      <c r="B1651" s="2">
        <v>45582.821668599536</v>
      </c>
      <c r="C1651" t="s">
        <v>3</v>
      </c>
      <c r="D1651" t="s">
        <v>521</v>
      </c>
      <c r="E1651" s="5">
        <v>35.76</v>
      </c>
      <c r="F1651" t="s">
        <v>7</v>
      </c>
    </row>
    <row r="1652" spans="1:6">
      <c r="A1652" s="1">
        <v>45584</v>
      </c>
      <c r="B1652" s="2">
        <v>45584.664527986111</v>
      </c>
      <c r="C1652" t="s">
        <v>3</v>
      </c>
      <c r="D1652" t="s">
        <v>521</v>
      </c>
      <c r="E1652" s="5">
        <v>35.76</v>
      </c>
      <c r="F1652" t="s">
        <v>9</v>
      </c>
    </row>
    <row r="1653" spans="1:6">
      <c r="A1653" s="1">
        <v>45584</v>
      </c>
      <c r="B1653" s="2">
        <v>45584.666250879629</v>
      </c>
      <c r="C1653" t="s">
        <v>3</v>
      </c>
      <c r="D1653" t="s">
        <v>521</v>
      </c>
      <c r="E1653" s="5">
        <v>35.76</v>
      </c>
      <c r="F1653" t="s">
        <v>7</v>
      </c>
    </row>
    <row r="1654" spans="1:6">
      <c r="A1654" s="1">
        <v>45585</v>
      </c>
      <c r="B1654" s="2">
        <v>45585.727150775463</v>
      </c>
      <c r="C1654" t="s">
        <v>3</v>
      </c>
      <c r="D1654" t="s">
        <v>521</v>
      </c>
      <c r="E1654" s="5">
        <v>35.76</v>
      </c>
      <c r="F1654" t="s">
        <v>7</v>
      </c>
    </row>
    <row r="1655" spans="1:6">
      <c r="A1655" s="1">
        <v>45587</v>
      </c>
      <c r="B1655" s="2">
        <v>45587.82406496528</v>
      </c>
      <c r="C1655" t="s">
        <v>3</v>
      </c>
      <c r="D1655" t="s">
        <v>521</v>
      </c>
      <c r="E1655" s="5">
        <v>35.76</v>
      </c>
      <c r="F1655" t="s">
        <v>9</v>
      </c>
    </row>
    <row r="1656" spans="1:6">
      <c r="A1656" s="1">
        <v>45587</v>
      </c>
      <c r="B1656" s="2">
        <v>45587.82488965278</v>
      </c>
      <c r="C1656" t="s">
        <v>3</v>
      </c>
      <c r="D1656" t="s">
        <v>521</v>
      </c>
      <c r="E1656" s="5">
        <v>35.76</v>
      </c>
      <c r="F1656" t="s">
        <v>7</v>
      </c>
    </row>
    <row r="1657" spans="1:6">
      <c r="A1657" s="1">
        <v>45589</v>
      </c>
      <c r="B1657" s="2">
        <v>45589.826605740738</v>
      </c>
      <c r="C1657" t="s">
        <v>3</v>
      </c>
      <c r="D1657" t="s">
        <v>521</v>
      </c>
      <c r="E1657" s="5">
        <v>35.76</v>
      </c>
      <c r="F1657" t="s">
        <v>7</v>
      </c>
    </row>
    <row r="1658" spans="1:6">
      <c r="A1658" s="1">
        <v>45592</v>
      </c>
      <c r="B1658" s="2">
        <v>45592.678543692127</v>
      </c>
      <c r="C1658" t="s">
        <v>3</v>
      </c>
      <c r="D1658" t="s">
        <v>521</v>
      </c>
      <c r="E1658" s="5">
        <v>35.76</v>
      </c>
      <c r="F1658" t="s">
        <v>7</v>
      </c>
    </row>
    <row r="1659" spans="1:6">
      <c r="A1659" s="1">
        <v>45594</v>
      </c>
      <c r="B1659" s="2">
        <v>45594.827232939817</v>
      </c>
      <c r="C1659" t="s">
        <v>3</v>
      </c>
      <c r="D1659" t="s">
        <v>521</v>
      </c>
      <c r="E1659" s="5">
        <v>35.76</v>
      </c>
      <c r="F1659" t="s">
        <v>9</v>
      </c>
    </row>
    <row r="1660" spans="1:6">
      <c r="A1660" s="1">
        <v>45594</v>
      </c>
      <c r="B1660" s="2">
        <v>45594.829194317128</v>
      </c>
      <c r="C1660" t="s">
        <v>3</v>
      </c>
      <c r="D1660" t="s">
        <v>521</v>
      </c>
      <c r="E1660" s="5">
        <v>35.76</v>
      </c>
      <c r="F1660" t="s">
        <v>7</v>
      </c>
    </row>
    <row r="1661" spans="1:6">
      <c r="A1661" s="1">
        <v>45595</v>
      </c>
      <c r="B1661" s="2">
        <v>45595.628648067126</v>
      </c>
      <c r="C1661" t="s">
        <v>3</v>
      </c>
      <c r="D1661" t="s">
        <v>521</v>
      </c>
      <c r="E1661" s="5">
        <v>35.76</v>
      </c>
      <c r="F1661" t="s">
        <v>7</v>
      </c>
    </row>
    <row r="1662" spans="1:6">
      <c r="A1662" s="1">
        <v>45595</v>
      </c>
      <c r="B1662" s="2">
        <v>45595.629896331018</v>
      </c>
      <c r="C1662" t="s">
        <v>3</v>
      </c>
      <c r="D1662" t="s">
        <v>521</v>
      </c>
      <c r="E1662" s="5">
        <v>35.76</v>
      </c>
      <c r="F1662" t="s">
        <v>7</v>
      </c>
    </row>
    <row r="1663" spans="1:6">
      <c r="A1663" s="1">
        <v>45598</v>
      </c>
      <c r="B1663" s="2">
        <v>45598.683516840276</v>
      </c>
      <c r="C1663" t="s">
        <v>3</v>
      </c>
      <c r="D1663" t="s">
        <v>521</v>
      </c>
      <c r="E1663" s="5">
        <v>35.76</v>
      </c>
      <c r="F1663" t="s">
        <v>9</v>
      </c>
    </row>
    <row r="1664" spans="1:6">
      <c r="A1664" s="1">
        <v>45598</v>
      </c>
      <c r="B1664" s="2">
        <v>45598.684687638888</v>
      </c>
      <c r="C1664" t="s">
        <v>3</v>
      </c>
      <c r="D1664" t="s">
        <v>521</v>
      </c>
      <c r="E1664" s="5">
        <v>35.76</v>
      </c>
      <c r="F1664" t="s">
        <v>7</v>
      </c>
    </row>
    <row r="1665" spans="1:6">
      <c r="A1665" s="1">
        <v>45603</v>
      </c>
      <c r="B1665" s="2">
        <v>45603.835077222226</v>
      </c>
      <c r="C1665" t="s">
        <v>3</v>
      </c>
      <c r="D1665" t="s">
        <v>521</v>
      </c>
      <c r="E1665" s="5">
        <v>35.76</v>
      </c>
      <c r="F1665" t="s">
        <v>7</v>
      </c>
    </row>
    <row r="1666" spans="1:6">
      <c r="A1666" s="1">
        <v>45610</v>
      </c>
      <c r="B1666" s="2">
        <v>45610.821834421295</v>
      </c>
      <c r="C1666" t="s">
        <v>3</v>
      </c>
      <c r="D1666" t="s">
        <v>521</v>
      </c>
      <c r="E1666" s="5">
        <v>35.76</v>
      </c>
      <c r="F1666" t="s">
        <v>9</v>
      </c>
    </row>
    <row r="1667" spans="1:6">
      <c r="A1667" s="1">
        <v>45610</v>
      </c>
      <c r="B1667" s="2">
        <v>45610.824040960651</v>
      </c>
      <c r="C1667" t="s">
        <v>3</v>
      </c>
      <c r="D1667" t="s">
        <v>521</v>
      </c>
      <c r="E1667" s="5">
        <v>35.76</v>
      </c>
      <c r="F1667" t="s">
        <v>9</v>
      </c>
    </row>
    <row r="1668" spans="1:6">
      <c r="A1668" s="1">
        <v>45624</v>
      </c>
      <c r="B1668" s="2">
        <v>45624.871523935188</v>
      </c>
      <c r="C1668" t="s">
        <v>3</v>
      </c>
      <c r="D1668" t="s">
        <v>521</v>
      </c>
      <c r="E1668" s="5">
        <v>35.76</v>
      </c>
      <c r="F1668" t="s">
        <v>7</v>
      </c>
    </row>
    <row r="1669" spans="1:6">
      <c r="A1669" s="1">
        <v>45647</v>
      </c>
      <c r="B1669" s="2">
        <v>45647.647958668982</v>
      </c>
      <c r="C1669" t="s">
        <v>3</v>
      </c>
      <c r="D1669" t="s">
        <v>521</v>
      </c>
      <c r="E1669" s="5">
        <v>35.76</v>
      </c>
      <c r="F1669" t="s">
        <v>9</v>
      </c>
    </row>
    <row r="1670" spans="1:6">
      <c r="A1670" s="1">
        <v>45647</v>
      </c>
      <c r="B1670" s="2">
        <v>45647.648490902779</v>
      </c>
      <c r="C1670" t="s">
        <v>3</v>
      </c>
      <c r="D1670" t="s">
        <v>521</v>
      </c>
      <c r="E1670" s="5">
        <v>35.76</v>
      </c>
      <c r="F1670" t="s">
        <v>7</v>
      </c>
    </row>
    <row r="1671" spans="1:6">
      <c r="A1671" s="1">
        <v>45654</v>
      </c>
      <c r="B1671" s="2">
        <v>45654.724771666668</v>
      </c>
      <c r="C1671" t="s">
        <v>3</v>
      </c>
      <c r="D1671" t="s">
        <v>521</v>
      </c>
      <c r="E1671" s="5">
        <v>35.76</v>
      </c>
      <c r="F1671" t="s">
        <v>7</v>
      </c>
    </row>
    <row r="1672" spans="1:6">
      <c r="A1672" s="1">
        <v>45675</v>
      </c>
      <c r="B1672" s="2">
        <v>45675.690047442127</v>
      </c>
      <c r="C1672" t="s">
        <v>3</v>
      </c>
      <c r="D1672" t="s">
        <v>521</v>
      </c>
      <c r="E1672" s="5">
        <v>35.76</v>
      </c>
      <c r="F1672" t="s">
        <v>9</v>
      </c>
    </row>
    <row r="1673" spans="1:6">
      <c r="A1673" s="1">
        <v>45675</v>
      </c>
      <c r="B1673" s="2">
        <v>45675.691136886577</v>
      </c>
      <c r="C1673" t="s">
        <v>3</v>
      </c>
      <c r="D1673" t="s">
        <v>521</v>
      </c>
      <c r="E1673" s="5">
        <v>35.76</v>
      </c>
      <c r="F1673" t="s">
        <v>7</v>
      </c>
    </row>
    <row r="1674" spans="1:6">
      <c r="A1674" s="1">
        <v>45675</v>
      </c>
      <c r="B1674" s="2">
        <v>45675.692001967589</v>
      </c>
      <c r="C1674" t="s">
        <v>3</v>
      </c>
      <c r="D1674" t="s">
        <v>521</v>
      </c>
      <c r="E1674" s="5">
        <v>35.76</v>
      </c>
      <c r="F1674" t="s">
        <v>9</v>
      </c>
    </row>
    <row r="1675" spans="1:6">
      <c r="A1675" s="1">
        <v>45688</v>
      </c>
      <c r="B1675" s="2">
        <v>45688.537797638892</v>
      </c>
      <c r="C1675" t="s">
        <v>3</v>
      </c>
      <c r="D1675" t="s">
        <v>521</v>
      </c>
      <c r="E1675" s="5">
        <v>35.76</v>
      </c>
      <c r="F1675" t="s">
        <v>7</v>
      </c>
    </row>
    <row r="1676" spans="1:6">
      <c r="A1676" s="1">
        <v>45690</v>
      </c>
      <c r="B1676" s="2">
        <v>45690.698008310188</v>
      </c>
      <c r="C1676" t="s">
        <v>3</v>
      </c>
      <c r="D1676" t="s">
        <v>521</v>
      </c>
      <c r="E1676" s="5">
        <v>35.76</v>
      </c>
      <c r="F1676" t="s">
        <v>7</v>
      </c>
    </row>
    <row r="1677" spans="1:6">
      <c r="A1677" s="1">
        <v>45691</v>
      </c>
      <c r="B1677" s="2">
        <v>45691.618293692132</v>
      </c>
      <c r="C1677" t="s">
        <v>3</v>
      </c>
      <c r="D1677" t="s">
        <v>521</v>
      </c>
      <c r="E1677" s="5">
        <v>35.76</v>
      </c>
      <c r="F1677" t="s">
        <v>7</v>
      </c>
    </row>
    <row r="1678" spans="1:6">
      <c r="A1678" s="1">
        <v>45693</v>
      </c>
      <c r="B1678" s="2">
        <v>45693.796368773146</v>
      </c>
      <c r="C1678" t="s">
        <v>3</v>
      </c>
      <c r="D1678" t="s">
        <v>521</v>
      </c>
      <c r="E1678" s="5">
        <v>35.76</v>
      </c>
      <c r="F1678" t="s">
        <v>9</v>
      </c>
    </row>
    <row r="1679" spans="1:6">
      <c r="A1679" s="1">
        <v>45700</v>
      </c>
      <c r="B1679" s="2">
        <v>45700.83727708333</v>
      </c>
      <c r="C1679" t="s">
        <v>3</v>
      </c>
      <c r="D1679" t="s">
        <v>521</v>
      </c>
      <c r="E1679" s="5">
        <v>35.76</v>
      </c>
      <c r="F1679" t="s">
        <v>7</v>
      </c>
    </row>
    <row r="1680" spans="1:6">
      <c r="A1680" s="1">
        <v>45702</v>
      </c>
      <c r="B1680" s="2">
        <v>45702.650472881942</v>
      </c>
      <c r="C1680" t="s">
        <v>3</v>
      </c>
      <c r="D1680" t="s">
        <v>521</v>
      </c>
      <c r="E1680" s="5">
        <v>35.76</v>
      </c>
      <c r="F1680" t="s">
        <v>43</v>
      </c>
    </row>
    <row r="1681" spans="1:6">
      <c r="A1681" s="1">
        <v>45702</v>
      </c>
      <c r="B1681" s="2">
        <v>45702.651938402778</v>
      </c>
      <c r="C1681" t="s">
        <v>3</v>
      </c>
      <c r="D1681" t="s">
        <v>521</v>
      </c>
      <c r="E1681" s="5">
        <v>35.76</v>
      </c>
      <c r="F1681" t="s">
        <v>7</v>
      </c>
    </row>
    <row r="1682" spans="1:6">
      <c r="A1682" s="1">
        <v>45737</v>
      </c>
      <c r="B1682" s="2">
        <v>45737.786257708336</v>
      </c>
      <c r="C1682" t="s">
        <v>3</v>
      </c>
      <c r="D1682" t="s">
        <v>521</v>
      </c>
      <c r="E1682" s="5">
        <v>35.76</v>
      </c>
      <c r="F1682" t="s">
        <v>7</v>
      </c>
    </row>
    <row r="1683" spans="1:6">
      <c r="A1683" s="1">
        <v>45519</v>
      </c>
      <c r="B1683" s="2">
        <v>45519.400719583333</v>
      </c>
      <c r="C1683" t="s">
        <v>3</v>
      </c>
      <c r="D1683" t="s">
        <v>522</v>
      </c>
      <c r="E1683" s="5">
        <v>32.82</v>
      </c>
      <c r="F1683" t="s">
        <v>43</v>
      </c>
    </row>
    <row r="1684" spans="1:6">
      <c r="A1684" s="1">
        <v>45519</v>
      </c>
      <c r="B1684" s="2">
        <v>45519.401445636577</v>
      </c>
      <c r="C1684" t="s">
        <v>3</v>
      </c>
      <c r="D1684" t="s">
        <v>523</v>
      </c>
      <c r="E1684" s="5">
        <v>32.82</v>
      </c>
      <c r="F1684" t="s">
        <v>9</v>
      </c>
    </row>
    <row r="1685" spans="1:6">
      <c r="A1685" s="1">
        <v>45519</v>
      </c>
      <c r="B1685" s="2">
        <v>45519.401964525459</v>
      </c>
      <c r="C1685" t="s">
        <v>3</v>
      </c>
      <c r="D1685" t="s">
        <v>523</v>
      </c>
      <c r="E1685" s="5">
        <v>32.82</v>
      </c>
      <c r="F1685" t="s">
        <v>7</v>
      </c>
    </row>
    <row r="1686" spans="1:6">
      <c r="A1686" s="1">
        <v>45519</v>
      </c>
      <c r="B1686" s="2">
        <v>45519.575157418978</v>
      </c>
      <c r="C1686" t="s">
        <v>3</v>
      </c>
      <c r="D1686" t="s">
        <v>524</v>
      </c>
      <c r="E1686" s="5">
        <v>32.82</v>
      </c>
      <c r="F1686" t="s">
        <v>7</v>
      </c>
    </row>
    <row r="1687" spans="1:6">
      <c r="A1687" s="1">
        <v>45526</v>
      </c>
      <c r="B1687" s="2">
        <v>45526.59458409722</v>
      </c>
      <c r="C1687" t="s">
        <v>3</v>
      </c>
      <c r="D1687" t="s">
        <v>524</v>
      </c>
      <c r="E1687" s="5">
        <v>32.82</v>
      </c>
      <c r="F1687" t="s">
        <v>7</v>
      </c>
    </row>
    <row r="1688" spans="1:6">
      <c r="A1688" s="1">
        <v>45539</v>
      </c>
      <c r="B1688" s="2">
        <v>45539.481673587965</v>
      </c>
      <c r="C1688" t="s">
        <v>3</v>
      </c>
      <c r="D1688" t="s">
        <v>524</v>
      </c>
      <c r="E1688" s="5">
        <v>32.82</v>
      </c>
      <c r="F1688" t="s">
        <v>7</v>
      </c>
    </row>
    <row r="1689" spans="1:6">
      <c r="A1689" s="1">
        <v>45557</v>
      </c>
      <c r="B1689" s="2">
        <v>45557.564983344906</v>
      </c>
      <c r="C1689" t="s">
        <v>3</v>
      </c>
      <c r="D1689" t="s">
        <v>524</v>
      </c>
      <c r="E1689" s="5">
        <v>27.92</v>
      </c>
      <c r="F1689" t="s">
        <v>14</v>
      </c>
    </row>
    <row r="1690" spans="1:6">
      <c r="A1690" s="1">
        <v>45559</v>
      </c>
      <c r="B1690" s="2">
        <v>45559.650968726855</v>
      </c>
      <c r="C1690" t="s">
        <v>3</v>
      </c>
      <c r="D1690" t="s">
        <v>524</v>
      </c>
      <c r="E1690" s="5">
        <v>32.82</v>
      </c>
      <c r="F1690" t="s">
        <v>43</v>
      </c>
    </row>
    <row r="1691" spans="1:6">
      <c r="A1691" s="1">
        <v>45575</v>
      </c>
      <c r="B1691" s="2">
        <v>45575.628968726851</v>
      </c>
      <c r="C1691" t="s">
        <v>3</v>
      </c>
      <c r="D1691" t="s">
        <v>524</v>
      </c>
      <c r="E1691" s="5">
        <v>35.76</v>
      </c>
      <c r="F1691" t="s">
        <v>43</v>
      </c>
    </row>
    <row r="1692" spans="1:6">
      <c r="A1692" s="1">
        <v>45579</v>
      </c>
      <c r="B1692" s="2">
        <v>45579.931873437497</v>
      </c>
      <c r="C1692" t="s">
        <v>3</v>
      </c>
      <c r="D1692" t="s">
        <v>524</v>
      </c>
      <c r="E1692" s="5">
        <v>35.76</v>
      </c>
      <c r="F1692" t="s">
        <v>7</v>
      </c>
    </row>
    <row r="1693" spans="1:6">
      <c r="A1693" s="1">
        <v>45581</v>
      </c>
      <c r="B1693" s="2">
        <v>45581.738433530096</v>
      </c>
      <c r="C1693" t="s">
        <v>3</v>
      </c>
      <c r="D1693" t="s">
        <v>524</v>
      </c>
      <c r="E1693" s="5">
        <v>30.86</v>
      </c>
      <c r="F1693" t="s">
        <v>14</v>
      </c>
    </row>
    <row r="1694" spans="1:6">
      <c r="A1694" s="1">
        <v>45582</v>
      </c>
      <c r="B1694" s="2">
        <v>45582.435159606481</v>
      </c>
      <c r="C1694" t="s">
        <v>3</v>
      </c>
      <c r="D1694" t="s">
        <v>524</v>
      </c>
      <c r="E1694" s="5">
        <v>35.76</v>
      </c>
      <c r="F1694" t="s">
        <v>7</v>
      </c>
    </row>
    <row r="1695" spans="1:6">
      <c r="A1695" s="1">
        <v>45519</v>
      </c>
      <c r="B1695" s="2">
        <v>45519.745743344909</v>
      </c>
      <c r="C1695" t="s">
        <v>3</v>
      </c>
      <c r="D1695" t="s">
        <v>525</v>
      </c>
      <c r="E1695" s="5">
        <v>27.92</v>
      </c>
      <c r="F1695" t="s">
        <v>14</v>
      </c>
    </row>
    <row r="1696" spans="1:6">
      <c r="A1696" s="1">
        <v>45519</v>
      </c>
      <c r="B1696" s="2">
        <v>45519.799284976849</v>
      </c>
      <c r="C1696" t="s">
        <v>3</v>
      </c>
      <c r="D1696" t="s">
        <v>526</v>
      </c>
      <c r="E1696" s="5">
        <v>32.82</v>
      </c>
      <c r="F1696" t="s">
        <v>9</v>
      </c>
    </row>
    <row r="1697" spans="1:6">
      <c r="A1697" s="1">
        <v>45519</v>
      </c>
      <c r="B1697" s="2">
        <v>45519.799930972222</v>
      </c>
      <c r="C1697" t="s">
        <v>3</v>
      </c>
      <c r="D1697" t="s">
        <v>526</v>
      </c>
      <c r="E1697" s="5">
        <v>27.92</v>
      </c>
      <c r="F1697" t="s">
        <v>14</v>
      </c>
    </row>
    <row r="1698" spans="1:6">
      <c r="A1698" s="1">
        <v>45519</v>
      </c>
      <c r="B1698" s="2">
        <v>45519.820488935184</v>
      </c>
      <c r="C1698" t="s">
        <v>3</v>
      </c>
      <c r="D1698" t="s">
        <v>527</v>
      </c>
      <c r="E1698" s="5">
        <v>27.92</v>
      </c>
      <c r="F1698" t="s">
        <v>14</v>
      </c>
    </row>
    <row r="1699" spans="1:6">
      <c r="A1699" s="1">
        <v>45519</v>
      </c>
      <c r="B1699" s="2">
        <v>45519.821272997688</v>
      </c>
      <c r="C1699" t="s">
        <v>3</v>
      </c>
      <c r="D1699" t="s">
        <v>527</v>
      </c>
      <c r="E1699" s="5">
        <v>23.02</v>
      </c>
      <c r="F1699" t="s">
        <v>11</v>
      </c>
    </row>
    <row r="1700" spans="1:6">
      <c r="A1700" s="1">
        <v>45520</v>
      </c>
      <c r="B1700" s="2">
        <v>45520.520332546294</v>
      </c>
      <c r="C1700" t="s">
        <v>3</v>
      </c>
      <c r="D1700" t="s">
        <v>527</v>
      </c>
      <c r="E1700" s="5">
        <v>32.82</v>
      </c>
      <c r="F1700" t="s">
        <v>7</v>
      </c>
    </row>
    <row r="1701" spans="1:6">
      <c r="A1701" s="1">
        <v>45519</v>
      </c>
      <c r="B1701" s="2">
        <v>45519.861591620371</v>
      </c>
      <c r="C1701" t="s">
        <v>3</v>
      </c>
      <c r="D1701" t="s">
        <v>528</v>
      </c>
      <c r="E1701" s="5">
        <v>32.82</v>
      </c>
      <c r="F1701" t="s">
        <v>43</v>
      </c>
    </row>
    <row r="1702" spans="1:6">
      <c r="A1702" s="1">
        <v>45520</v>
      </c>
      <c r="B1702" s="2">
        <v>45520.537701990739</v>
      </c>
      <c r="C1702" t="s">
        <v>3</v>
      </c>
      <c r="D1702" t="s">
        <v>529</v>
      </c>
      <c r="E1702" s="5">
        <v>23.02</v>
      </c>
      <c r="F1702" t="s">
        <v>11</v>
      </c>
    </row>
    <row r="1703" spans="1:6">
      <c r="A1703" s="1">
        <v>45521</v>
      </c>
      <c r="B1703" s="2">
        <v>45521.38760396991</v>
      </c>
      <c r="C1703" t="s">
        <v>3</v>
      </c>
      <c r="D1703" t="s">
        <v>530</v>
      </c>
      <c r="E1703" s="5">
        <v>32.82</v>
      </c>
      <c r="F1703" t="s">
        <v>43</v>
      </c>
    </row>
    <row r="1704" spans="1:6">
      <c r="A1704" s="1">
        <v>45521</v>
      </c>
      <c r="B1704" s="2">
        <v>45521.453950543983</v>
      </c>
      <c r="C1704" t="s">
        <v>3</v>
      </c>
      <c r="D1704" t="s">
        <v>531</v>
      </c>
      <c r="E1704" s="5">
        <v>27.92</v>
      </c>
      <c r="F1704" t="s">
        <v>14</v>
      </c>
    </row>
    <row r="1705" spans="1:6">
      <c r="A1705" s="1">
        <v>45521</v>
      </c>
      <c r="B1705" s="2">
        <v>45521.55463175926</v>
      </c>
      <c r="C1705" t="s">
        <v>3</v>
      </c>
      <c r="D1705" t="s">
        <v>532</v>
      </c>
      <c r="E1705" s="5">
        <v>27.92</v>
      </c>
      <c r="F1705" t="s">
        <v>14</v>
      </c>
    </row>
    <row r="1706" spans="1:6">
      <c r="A1706" s="1">
        <v>45588</v>
      </c>
      <c r="B1706" s="2">
        <v>45588.914823437502</v>
      </c>
      <c r="C1706" t="s">
        <v>3</v>
      </c>
      <c r="D1706" t="s">
        <v>532</v>
      </c>
      <c r="E1706" s="5">
        <v>30.86</v>
      </c>
      <c r="F1706" t="s">
        <v>14</v>
      </c>
    </row>
    <row r="1707" spans="1:6">
      <c r="A1707" s="1">
        <v>45521</v>
      </c>
      <c r="B1707" s="2">
        <v>45521.946288784726</v>
      </c>
      <c r="C1707" t="s">
        <v>3</v>
      </c>
      <c r="D1707" t="s">
        <v>533</v>
      </c>
      <c r="E1707" s="5">
        <v>32.82</v>
      </c>
      <c r="F1707" t="s">
        <v>7</v>
      </c>
    </row>
    <row r="1708" spans="1:6">
      <c r="A1708" s="1">
        <v>45522</v>
      </c>
      <c r="B1708" s="2">
        <v>45522.340076400462</v>
      </c>
      <c r="C1708" t="s">
        <v>3</v>
      </c>
      <c r="D1708" t="s">
        <v>534</v>
      </c>
      <c r="E1708" s="5">
        <v>32.82</v>
      </c>
      <c r="F1708" t="s">
        <v>43</v>
      </c>
    </row>
    <row r="1709" spans="1:6">
      <c r="A1709" s="1">
        <v>45522</v>
      </c>
      <c r="B1709" s="2">
        <v>45522.355620335649</v>
      </c>
      <c r="C1709" t="s">
        <v>3</v>
      </c>
      <c r="D1709" t="s">
        <v>535</v>
      </c>
      <c r="E1709" s="5">
        <v>32.82</v>
      </c>
      <c r="F1709" t="s">
        <v>43</v>
      </c>
    </row>
    <row r="1710" spans="1:6">
      <c r="A1710" s="1">
        <v>45522</v>
      </c>
      <c r="B1710" s="2">
        <v>45522.372237175929</v>
      </c>
      <c r="C1710" t="s">
        <v>3</v>
      </c>
      <c r="D1710" t="s">
        <v>536</v>
      </c>
      <c r="E1710" s="5">
        <v>27.92</v>
      </c>
      <c r="F1710" t="s">
        <v>14</v>
      </c>
    </row>
    <row r="1711" spans="1:6">
      <c r="A1711" s="1">
        <v>45522</v>
      </c>
      <c r="B1711" s="2">
        <v>45522.766791388887</v>
      </c>
      <c r="C1711" t="s">
        <v>3</v>
      </c>
      <c r="D1711" t="s">
        <v>537</v>
      </c>
      <c r="E1711" s="5">
        <v>27.92</v>
      </c>
      <c r="F1711" t="s">
        <v>14</v>
      </c>
    </row>
    <row r="1712" spans="1:6">
      <c r="A1712" s="1">
        <v>45522</v>
      </c>
      <c r="B1712" s="2">
        <v>45522.768099374996</v>
      </c>
      <c r="C1712" t="s">
        <v>3</v>
      </c>
      <c r="D1712" t="s">
        <v>537</v>
      </c>
      <c r="E1712" s="5">
        <v>27.92</v>
      </c>
      <c r="F1712" t="s">
        <v>14</v>
      </c>
    </row>
    <row r="1713" spans="1:6">
      <c r="A1713" s="1">
        <v>45522</v>
      </c>
      <c r="B1713" s="2">
        <v>45522.768953159721</v>
      </c>
      <c r="C1713" t="s">
        <v>3</v>
      </c>
      <c r="D1713" t="s">
        <v>537</v>
      </c>
      <c r="E1713" s="5">
        <v>23.02</v>
      </c>
      <c r="F1713" t="s">
        <v>11</v>
      </c>
    </row>
    <row r="1714" spans="1:6">
      <c r="A1714" s="1">
        <v>45522</v>
      </c>
      <c r="B1714" s="2">
        <v>45522.76959570602</v>
      </c>
      <c r="C1714" t="s">
        <v>3</v>
      </c>
      <c r="D1714" t="s">
        <v>537</v>
      </c>
      <c r="E1714" s="5">
        <v>23.02</v>
      </c>
      <c r="F1714" t="s">
        <v>11</v>
      </c>
    </row>
    <row r="1715" spans="1:6">
      <c r="A1715" s="1">
        <v>45523</v>
      </c>
      <c r="B1715" s="2">
        <v>45523.631816921297</v>
      </c>
      <c r="C1715" t="s">
        <v>3</v>
      </c>
      <c r="D1715" t="s">
        <v>538</v>
      </c>
      <c r="E1715" s="5">
        <v>27.92</v>
      </c>
      <c r="F1715" t="s">
        <v>14</v>
      </c>
    </row>
    <row r="1716" spans="1:6">
      <c r="A1716" s="1">
        <v>45523</v>
      </c>
      <c r="B1716" s="2">
        <v>45523.632537175923</v>
      </c>
      <c r="C1716" t="s">
        <v>3</v>
      </c>
      <c r="D1716" t="s">
        <v>538</v>
      </c>
      <c r="E1716" s="5">
        <v>27.92</v>
      </c>
      <c r="F1716" t="s">
        <v>14</v>
      </c>
    </row>
    <row r="1717" spans="1:6">
      <c r="A1717" s="1">
        <v>45524</v>
      </c>
      <c r="B1717" s="2">
        <v>45524.353644861112</v>
      </c>
      <c r="C1717" t="s">
        <v>3</v>
      </c>
      <c r="D1717" t="s">
        <v>539</v>
      </c>
      <c r="E1717" s="5">
        <v>32.82</v>
      </c>
      <c r="F1717" t="s">
        <v>7</v>
      </c>
    </row>
    <row r="1718" spans="1:6">
      <c r="A1718" s="1">
        <v>45657</v>
      </c>
      <c r="B1718" s="2">
        <v>45657.715480752318</v>
      </c>
      <c r="C1718" t="s">
        <v>3</v>
      </c>
      <c r="D1718" t="s">
        <v>539</v>
      </c>
      <c r="E1718" s="5">
        <v>35.76</v>
      </c>
      <c r="F1718" t="s">
        <v>7</v>
      </c>
    </row>
    <row r="1719" spans="1:6">
      <c r="A1719" s="1">
        <v>45659</v>
      </c>
      <c r="B1719" s="2">
        <v>45659.738312210648</v>
      </c>
      <c r="C1719" t="s">
        <v>3</v>
      </c>
      <c r="D1719" t="s">
        <v>539</v>
      </c>
      <c r="E1719" s="5">
        <v>35.76</v>
      </c>
      <c r="F1719" t="s">
        <v>43</v>
      </c>
    </row>
    <row r="1720" spans="1:6">
      <c r="A1720" s="1">
        <v>45524</v>
      </c>
      <c r="B1720" s="2">
        <v>45524.367910578701</v>
      </c>
      <c r="C1720" t="s">
        <v>3</v>
      </c>
      <c r="D1720" t="s">
        <v>540</v>
      </c>
      <c r="E1720" s="5">
        <v>18.12</v>
      </c>
      <c r="F1720" t="s">
        <v>35</v>
      </c>
    </row>
    <row r="1721" spans="1:6">
      <c r="A1721" s="1">
        <v>45524</v>
      </c>
      <c r="B1721" s="2">
        <v>45524.368476192132</v>
      </c>
      <c r="C1721" t="s">
        <v>3</v>
      </c>
      <c r="D1721" t="s">
        <v>540</v>
      </c>
      <c r="E1721" s="5">
        <v>23.02</v>
      </c>
      <c r="F1721" t="s">
        <v>28</v>
      </c>
    </row>
    <row r="1722" spans="1:6">
      <c r="A1722" s="1">
        <v>45524</v>
      </c>
      <c r="B1722" s="2">
        <v>45524.465226562497</v>
      </c>
      <c r="C1722" t="s">
        <v>3</v>
      </c>
      <c r="D1722" t="s">
        <v>541</v>
      </c>
      <c r="E1722" s="5">
        <v>23.02</v>
      </c>
      <c r="F1722" t="s">
        <v>11</v>
      </c>
    </row>
    <row r="1723" spans="1:6">
      <c r="A1723" s="1">
        <v>45524</v>
      </c>
      <c r="B1723" s="2">
        <v>45524.466424571758</v>
      </c>
      <c r="C1723" t="s">
        <v>3</v>
      </c>
      <c r="D1723" t="s">
        <v>542</v>
      </c>
      <c r="E1723" s="5">
        <v>23.02</v>
      </c>
      <c r="F1723" t="s">
        <v>11</v>
      </c>
    </row>
    <row r="1724" spans="1:6">
      <c r="A1724" s="1">
        <v>45524</v>
      </c>
      <c r="B1724" s="2">
        <v>45524.467027557868</v>
      </c>
      <c r="C1724" t="s">
        <v>3</v>
      </c>
      <c r="D1724" t="s">
        <v>543</v>
      </c>
      <c r="E1724" s="5">
        <v>23.02</v>
      </c>
      <c r="F1724" t="s">
        <v>11</v>
      </c>
    </row>
    <row r="1725" spans="1:6">
      <c r="A1725" s="1">
        <v>45524</v>
      </c>
      <c r="B1725" s="2">
        <v>45524.862973067131</v>
      </c>
      <c r="C1725" t="s">
        <v>3</v>
      </c>
      <c r="D1725" t="s">
        <v>544</v>
      </c>
      <c r="E1725" s="5">
        <v>32.82</v>
      </c>
      <c r="F1725" t="s">
        <v>7</v>
      </c>
    </row>
    <row r="1726" spans="1:6">
      <c r="A1726" s="1">
        <v>45524</v>
      </c>
      <c r="B1726" s="2">
        <v>45524.86406078704</v>
      </c>
      <c r="C1726" t="s">
        <v>3</v>
      </c>
      <c r="D1726" t="s">
        <v>545</v>
      </c>
      <c r="E1726" s="5">
        <v>32.82</v>
      </c>
      <c r="F1726" t="s">
        <v>7</v>
      </c>
    </row>
    <row r="1727" spans="1:6">
      <c r="A1727" s="1">
        <v>45524</v>
      </c>
      <c r="B1727" s="2">
        <v>45524.86472622685</v>
      </c>
      <c r="C1727" t="s">
        <v>3</v>
      </c>
      <c r="D1727" t="s">
        <v>545</v>
      </c>
      <c r="E1727" s="5">
        <v>32.82</v>
      </c>
      <c r="F1727" t="s">
        <v>7</v>
      </c>
    </row>
    <row r="1728" spans="1:6">
      <c r="A1728" s="1">
        <v>45546</v>
      </c>
      <c r="B1728" s="2">
        <v>45546.842533414354</v>
      </c>
      <c r="C1728" t="s">
        <v>3</v>
      </c>
      <c r="D1728" t="s">
        <v>545</v>
      </c>
      <c r="E1728" s="5">
        <v>27.92</v>
      </c>
      <c r="F1728" t="s">
        <v>14</v>
      </c>
    </row>
    <row r="1729" spans="1:6">
      <c r="A1729" s="1">
        <v>45546</v>
      </c>
      <c r="B1729" s="2">
        <v>45546.843274143517</v>
      </c>
      <c r="C1729" t="s">
        <v>3</v>
      </c>
      <c r="D1729" t="s">
        <v>545</v>
      </c>
      <c r="E1729" s="5">
        <v>32.82</v>
      </c>
      <c r="F1729" t="s">
        <v>7</v>
      </c>
    </row>
    <row r="1730" spans="1:6">
      <c r="A1730" s="1">
        <v>45546</v>
      </c>
      <c r="B1730" s="2">
        <v>45546.843973958334</v>
      </c>
      <c r="C1730" t="s">
        <v>3</v>
      </c>
      <c r="D1730" t="s">
        <v>545</v>
      </c>
      <c r="E1730" s="5">
        <v>32.82</v>
      </c>
      <c r="F1730" t="s">
        <v>7</v>
      </c>
    </row>
    <row r="1731" spans="1:6">
      <c r="A1731" s="1">
        <v>45559</v>
      </c>
      <c r="B1731" s="2">
        <v>45559.879541689814</v>
      </c>
      <c r="C1731" t="s">
        <v>3</v>
      </c>
      <c r="D1731" t="s">
        <v>545</v>
      </c>
      <c r="E1731" s="5">
        <v>27.92</v>
      </c>
      <c r="F1731" t="s">
        <v>14</v>
      </c>
    </row>
    <row r="1732" spans="1:6">
      <c r="A1732" s="1">
        <v>45559</v>
      </c>
      <c r="B1732" s="2">
        <v>45559.880265798609</v>
      </c>
      <c r="C1732" t="s">
        <v>3</v>
      </c>
      <c r="D1732" t="s">
        <v>545</v>
      </c>
      <c r="E1732" s="5">
        <v>27.92</v>
      </c>
      <c r="F1732" t="s">
        <v>14</v>
      </c>
    </row>
    <row r="1733" spans="1:6">
      <c r="A1733" s="1">
        <v>45565</v>
      </c>
      <c r="B1733" s="2">
        <v>45565.833821006941</v>
      </c>
      <c r="C1733" t="s">
        <v>3</v>
      </c>
      <c r="D1733" t="s">
        <v>545</v>
      </c>
      <c r="E1733" s="5">
        <v>30.86</v>
      </c>
      <c r="F1733" t="s">
        <v>14</v>
      </c>
    </row>
    <row r="1734" spans="1:6">
      <c r="A1734" s="1">
        <v>45524</v>
      </c>
      <c r="B1734" s="2">
        <v>45524.86532394676</v>
      </c>
      <c r="C1734" t="s">
        <v>3</v>
      </c>
      <c r="D1734" t="s">
        <v>546</v>
      </c>
      <c r="E1734" s="5">
        <v>32.82</v>
      </c>
      <c r="F1734" t="s">
        <v>7</v>
      </c>
    </row>
    <row r="1735" spans="1:6">
      <c r="A1735" s="1">
        <v>45525</v>
      </c>
      <c r="B1735" s="2">
        <v>45525.332790486114</v>
      </c>
      <c r="C1735" t="s">
        <v>3</v>
      </c>
      <c r="D1735" t="s">
        <v>547</v>
      </c>
      <c r="E1735" s="5">
        <v>27.92</v>
      </c>
      <c r="F1735" t="s">
        <v>14</v>
      </c>
    </row>
    <row r="1736" spans="1:6">
      <c r="A1736" s="1">
        <v>45670</v>
      </c>
      <c r="B1736" s="2">
        <v>45670.339123530095</v>
      </c>
      <c r="C1736" t="s">
        <v>3</v>
      </c>
      <c r="D1736" t="s">
        <v>547</v>
      </c>
      <c r="E1736" s="5">
        <v>30.86</v>
      </c>
      <c r="F1736" t="s">
        <v>14</v>
      </c>
    </row>
    <row r="1737" spans="1:6">
      <c r="A1737" s="1">
        <v>45525</v>
      </c>
      <c r="B1737" s="2">
        <v>45525.55359664352</v>
      </c>
      <c r="C1737" t="s">
        <v>3</v>
      </c>
      <c r="D1737" t="s">
        <v>548</v>
      </c>
      <c r="E1737" s="5">
        <v>32.82</v>
      </c>
      <c r="F1737" t="s">
        <v>7</v>
      </c>
    </row>
    <row r="1738" spans="1:6">
      <c r="A1738" s="1">
        <v>45526</v>
      </c>
      <c r="B1738" s="2">
        <v>45526.449992546295</v>
      </c>
      <c r="C1738" t="s">
        <v>3</v>
      </c>
      <c r="D1738" t="s">
        <v>549</v>
      </c>
      <c r="E1738" s="5">
        <v>27.92</v>
      </c>
      <c r="F1738" t="s">
        <v>14</v>
      </c>
    </row>
    <row r="1739" spans="1:6">
      <c r="A1739" s="1">
        <v>45526</v>
      </c>
      <c r="B1739" s="2">
        <v>45526.602063634258</v>
      </c>
      <c r="C1739" t="s">
        <v>3</v>
      </c>
      <c r="D1739" t="s">
        <v>550</v>
      </c>
      <c r="E1739" s="5">
        <v>32.82</v>
      </c>
      <c r="F1739" t="s">
        <v>7</v>
      </c>
    </row>
    <row r="1740" spans="1:6">
      <c r="A1740" s="1">
        <v>45526</v>
      </c>
      <c r="B1740" s="2">
        <v>45526.629947071757</v>
      </c>
      <c r="C1740" t="s">
        <v>3</v>
      </c>
      <c r="D1740" t="s">
        <v>551</v>
      </c>
      <c r="E1740" s="5">
        <v>32.82</v>
      </c>
      <c r="F1740" t="s">
        <v>43</v>
      </c>
    </row>
    <row r="1741" spans="1:6">
      <c r="A1741" s="1">
        <v>45526</v>
      </c>
      <c r="B1741" s="2">
        <v>45526.644066168985</v>
      </c>
      <c r="C1741" t="s">
        <v>3</v>
      </c>
      <c r="D1741" t="s">
        <v>552</v>
      </c>
      <c r="E1741" s="5">
        <v>23.02</v>
      </c>
      <c r="F1741" t="s">
        <v>11</v>
      </c>
    </row>
    <row r="1742" spans="1:6">
      <c r="A1742" s="1">
        <v>45527</v>
      </c>
      <c r="B1742" s="2">
        <v>45527.424290555558</v>
      </c>
      <c r="C1742" t="s">
        <v>3</v>
      </c>
      <c r="D1742" t="s">
        <v>553</v>
      </c>
      <c r="E1742" s="5">
        <v>32.82</v>
      </c>
      <c r="F1742" t="s">
        <v>18</v>
      </c>
    </row>
    <row r="1743" spans="1:6">
      <c r="A1743" s="1">
        <v>45527</v>
      </c>
      <c r="B1743" s="2">
        <v>45527.424947557869</v>
      </c>
      <c r="C1743" t="s">
        <v>3</v>
      </c>
      <c r="D1743" t="s">
        <v>553</v>
      </c>
      <c r="E1743" s="5">
        <v>23.02</v>
      </c>
      <c r="F1743" t="s">
        <v>11</v>
      </c>
    </row>
    <row r="1744" spans="1:6">
      <c r="A1744" s="1">
        <v>45527</v>
      </c>
      <c r="B1744" s="2">
        <v>45527.467354016204</v>
      </c>
      <c r="C1744" t="s">
        <v>3</v>
      </c>
      <c r="D1744" t="s">
        <v>554</v>
      </c>
      <c r="E1744" s="5">
        <v>32.82</v>
      </c>
      <c r="F1744" t="s">
        <v>9</v>
      </c>
    </row>
    <row r="1745" spans="1:6">
      <c r="A1745" s="1">
        <v>45527</v>
      </c>
      <c r="B1745" s="2">
        <v>45527.558966990742</v>
      </c>
      <c r="C1745" t="s">
        <v>3</v>
      </c>
      <c r="D1745" t="s">
        <v>555</v>
      </c>
      <c r="E1745" s="5">
        <v>23.02</v>
      </c>
      <c r="F1745" t="s">
        <v>11</v>
      </c>
    </row>
    <row r="1746" spans="1:6">
      <c r="A1746" s="1">
        <v>45527</v>
      </c>
      <c r="B1746" s="2">
        <v>45527.645055312503</v>
      </c>
      <c r="C1746" t="s">
        <v>3</v>
      </c>
      <c r="D1746" t="s">
        <v>556</v>
      </c>
      <c r="E1746" s="5">
        <v>23.02</v>
      </c>
      <c r="F1746" t="s">
        <v>11</v>
      </c>
    </row>
    <row r="1747" spans="1:6">
      <c r="A1747" s="1">
        <v>45528</v>
      </c>
      <c r="B1747" s="2">
        <v>45528.364022858797</v>
      </c>
      <c r="C1747" t="s">
        <v>3</v>
      </c>
      <c r="D1747" t="s">
        <v>557</v>
      </c>
      <c r="E1747" s="5">
        <v>23.02</v>
      </c>
      <c r="F1747" t="s">
        <v>28</v>
      </c>
    </row>
    <row r="1748" spans="1:6">
      <c r="A1748" s="1">
        <v>45542</v>
      </c>
      <c r="B1748" s="2">
        <v>45542.411145821759</v>
      </c>
      <c r="C1748" t="s">
        <v>3</v>
      </c>
      <c r="D1748" t="s">
        <v>557</v>
      </c>
      <c r="E1748" s="5">
        <v>23.02</v>
      </c>
      <c r="F1748" t="s">
        <v>28</v>
      </c>
    </row>
    <row r="1749" spans="1:6">
      <c r="A1749" s="1">
        <v>45542</v>
      </c>
      <c r="B1749" s="2">
        <v>45542.411846932868</v>
      </c>
      <c r="C1749" t="s">
        <v>3</v>
      </c>
      <c r="D1749" t="s">
        <v>557</v>
      </c>
      <c r="E1749" s="5">
        <v>23.02</v>
      </c>
      <c r="F1749" t="s">
        <v>28</v>
      </c>
    </row>
    <row r="1750" spans="1:6">
      <c r="A1750" s="1">
        <v>45543</v>
      </c>
      <c r="B1750" s="2">
        <v>45543.387697071761</v>
      </c>
      <c r="C1750" t="s">
        <v>3</v>
      </c>
      <c r="D1750" t="s">
        <v>557</v>
      </c>
      <c r="E1750" s="5">
        <v>23.02</v>
      </c>
      <c r="F1750" t="s">
        <v>28</v>
      </c>
    </row>
    <row r="1751" spans="1:6">
      <c r="A1751" s="1">
        <v>45543</v>
      </c>
      <c r="B1751" s="2">
        <v>45543.38833814815</v>
      </c>
      <c r="C1751" t="s">
        <v>3</v>
      </c>
      <c r="D1751" t="s">
        <v>557</v>
      </c>
      <c r="E1751" s="5">
        <v>23.02</v>
      </c>
      <c r="F1751" t="s">
        <v>28</v>
      </c>
    </row>
    <row r="1752" spans="1:6">
      <c r="A1752" s="1">
        <v>45543</v>
      </c>
      <c r="B1752" s="2">
        <v>45543.420788715281</v>
      </c>
      <c r="C1752" t="s">
        <v>3</v>
      </c>
      <c r="D1752" t="s">
        <v>557</v>
      </c>
      <c r="E1752" s="5">
        <v>23.02</v>
      </c>
      <c r="F1752" t="s">
        <v>28</v>
      </c>
    </row>
    <row r="1753" spans="1:6">
      <c r="A1753" s="1">
        <v>45545</v>
      </c>
      <c r="B1753" s="2">
        <v>45545.640212812497</v>
      </c>
      <c r="C1753" t="s">
        <v>3</v>
      </c>
      <c r="D1753" t="s">
        <v>557</v>
      </c>
      <c r="E1753" s="5">
        <v>23.02</v>
      </c>
      <c r="F1753" t="s">
        <v>28</v>
      </c>
    </row>
    <row r="1754" spans="1:6">
      <c r="A1754" s="1">
        <v>45545</v>
      </c>
      <c r="B1754" s="2">
        <v>45545.641041041665</v>
      </c>
      <c r="C1754" t="s">
        <v>3</v>
      </c>
      <c r="D1754" t="s">
        <v>557</v>
      </c>
      <c r="E1754" s="5">
        <v>23.02</v>
      </c>
      <c r="F1754" t="s">
        <v>28</v>
      </c>
    </row>
    <row r="1755" spans="1:6">
      <c r="A1755" s="1">
        <v>45549</v>
      </c>
      <c r="B1755" s="2">
        <v>45549.687029618057</v>
      </c>
      <c r="C1755" t="s">
        <v>3</v>
      </c>
      <c r="D1755" t="s">
        <v>557</v>
      </c>
      <c r="E1755" s="5">
        <v>32.82</v>
      </c>
      <c r="F1755" t="s">
        <v>43</v>
      </c>
    </row>
    <row r="1756" spans="1:6">
      <c r="A1756" s="1">
        <v>45549</v>
      </c>
      <c r="B1756" s="2">
        <v>45549.687695289351</v>
      </c>
      <c r="C1756" t="s">
        <v>3</v>
      </c>
      <c r="D1756" t="s">
        <v>557</v>
      </c>
      <c r="E1756" s="5">
        <v>32.82</v>
      </c>
      <c r="F1756" t="s">
        <v>43</v>
      </c>
    </row>
    <row r="1757" spans="1:6">
      <c r="A1757" s="1">
        <v>45550</v>
      </c>
      <c r="B1757" s="2">
        <v>45550.620355416664</v>
      </c>
      <c r="C1757" t="s">
        <v>3</v>
      </c>
      <c r="D1757" t="s">
        <v>557</v>
      </c>
      <c r="E1757" s="5">
        <v>32.82</v>
      </c>
      <c r="F1757" t="s">
        <v>43</v>
      </c>
    </row>
    <row r="1758" spans="1:6">
      <c r="A1758" s="1">
        <v>45556</v>
      </c>
      <c r="B1758" s="2">
        <v>45556.484574571761</v>
      </c>
      <c r="C1758" t="s">
        <v>3</v>
      </c>
      <c r="D1758" t="s">
        <v>557</v>
      </c>
      <c r="E1758" s="5">
        <v>23.02</v>
      </c>
      <c r="F1758" t="s">
        <v>28</v>
      </c>
    </row>
    <row r="1759" spans="1:6">
      <c r="A1759" s="1">
        <v>45556</v>
      </c>
      <c r="B1759" s="2">
        <v>45556.485243020834</v>
      </c>
      <c r="C1759" t="s">
        <v>3</v>
      </c>
      <c r="D1759" t="s">
        <v>557</v>
      </c>
      <c r="E1759" s="5">
        <v>23.02</v>
      </c>
      <c r="F1759" t="s">
        <v>28</v>
      </c>
    </row>
    <row r="1760" spans="1:6">
      <c r="A1760" s="1">
        <v>45619</v>
      </c>
      <c r="B1760" s="2">
        <v>45619.382479918982</v>
      </c>
      <c r="C1760" t="s">
        <v>3</v>
      </c>
      <c r="D1760" t="s">
        <v>557</v>
      </c>
      <c r="E1760" s="5">
        <v>25.96</v>
      </c>
      <c r="F1760" t="s">
        <v>28</v>
      </c>
    </row>
    <row r="1761" spans="1:6">
      <c r="A1761" s="1">
        <v>45619</v>
      </c>
      <c r="B1761" s="2">
        <v>45619.383205775463</v>
      </c>
      <c r="C1761" t="s">
        <v>3</v>
      </c>
      <c r="D1761" t="s">
        <v>557</v>
      </c>
      <c r="E1761" s="5">
        <v>25.96</v>
      </c>
      <c r="F1761" t="s">
        <v>28</v>
      </c>
    </row>
    <row r="1762" spans="1:6">
      <c r="A1762" s="1">
        <v>45528</v>
      </c>
      <c r="B1762" s="2">
        <v>45528.429276446761</v>
      </c>
      <c r="C1762" t="s">
        <v>3</v>
      </c>
      <c r="D1762" t="s">
        <v>558</v>
      </c>
      <c r="E1762" s="5">
        <v>18.12</v>
      </c>
      <c r="F1762" t="s">
        <v>35</v>
      </c>
    </row>
    <row r="1763" spans="1:6">
      <c r="A1763" s="1">
        <v>45528</v>
      </c>
      <c r="B1763" s="2">
        <v>45528.4297715625</v>
      </c>
      <c r="C1763" t="s">
        <v>3</v>
      </c>
      <c r="D1763" t="s">
        <v>558</v>
      </c>
      <c r="E1763" s="5">
        <v>18.12</v>
      </c>
      <c r="F1763" t="s">
        <v>35</v>
      </c>
    </row>
    <row r="1764" spans="1:6">
      <c r="A1764" s="1">
        <v>45528</v>
      </c>
      <c r="B1764" s="2">
        <v>45528.430431053239</v>
      </c>
      <c r="C1764" t="s">
        <v>3</v>
      </c>
      <c r="D1764" t="s">
        <v>558</v>
      </c>
      <c r="E1764" s="5">
        <v>23.02</v>
      </c>
      <c r="F1764" t="s">
        <v>11</v>
      </c>
    </row>
    <row r="1765" spans="1:6">
      <c r="A1765" s="1">
        <v>45529</v>
      </c>
      <c r="B1765" s="2">
        <v>45529.391924363423</v>
      </c>
      <c r="C1765" t="s">
        <v>3</v>
      </c>
      <c r="D1765" t="s">
        <v>559</v>
      </c>
      <c r="E1765" s="5">
        <v>32.82</v>
      </c>
      <c r="F1765" t="s">
        <v>43</v>
      </c>
    </row>
    <row r="1766" spans="1:6">
      <c r="A1766" s="1">
        <v>45529</v>
      </c>
      <c r="B1766" s="2">
        <v>45529.528966469908</v>
      </c>
      <c r="C1766" t="s">
        <v>3</v>
      </c>
      <c r="D1766" t="s">
        <v>560</v>
      </c>
      <c r="E1766" s="5">
        <v>32.82</v>
      </c>
      <c r="F1766" t="s">
        <v>43</v>
      </c>
    </row>
    <row r="1767" spans="1:6">
      <c r="A1767" s="1">
        <v>45530</v>
      </c>
      <c r="B1767" s="2">
        <v>45530.442875740744</v>
      </c>
      <c r="C1767" t="s">
        <v>3</v>
      </c>
      <c r="D1767" t="s">
        <v>561</v>
      </c>
      <c r="E1767" s="5">
        <v>32.82</v>
      </c>
      <c r="F1767" t="s">
        <v>7</v>
      </c>
    </row>
    <row r="1768" spans="1:6">
      <c r="A1768" s="1">
        <v>45530</v>
      </c>
      <c r="B1768" s="2">
        <v>45530.443623113424</v>
      </c>
      <c r="C1768" t="s">
        <v>3</v>
      </c>
      <c r="D1768" t="s">
        <v>562</v>
      </c>
      <c r="E1768" s="5">
        <v>32.82</v>
      </c>
      <c r="F1768" t="s">
        <v>43</v>
      </c>
    </row>
    <row r="1769" spans="1:6">
      <c r="A1769" s="1">
        <v>45530</v>
      </c>
      <c r="B1769" s="2">
        <v>45530.787127199073</v>
      </c>
      <c r="C1769" t="s">
        <v>3</v>
      </c>
      <c r="D1769" t="s">
        <v>563</v>
      </c>
      <c r="E1769" s="5">
        <v>27.92</v>
      </c>
      <c r="F1769" t="s">
        <v>14</v>
      </c>
    </row>
    <row r="1770" spans="1:6">
      <c r="A1770" s="1">
        <v>45530</v>
      </c>
      <c r="B1770" s="2">
        <v>45530.787862164354</v>
      </c>
      <c r="C1770" t="s">
        <v>3</v>
      </c>
      <c r="D1770" t="s">
        <v>563</v>
      </c>
      <c r="E1770" s="5">
        <v>32.82</v>
      </c>
      <c r="F1770" t="s">
        <v>7</v>
      </c>
    </row>
    <row r="1771" spans="1:6">
      <c r="A1771" s="1">
        <v>45530</v>
      </c>
      <c r="B1771" s="2">
        <v>45530.955322974536</v>
      </c>
      <c r="C1771" t="s">
        <v>3</v>
      </c>
      <c r="D1771" t="s">
        <v>564</v>
      </c>
      <c r="E1771" s="5">
        <v>27.92</v>
      </c>
      <c r="F1771" t="s">
        <v>14</v>
      </c>
    </row>
    <row r="1772" spans="1:6">
      <c r="A1772" s="1">
        <v>45585</v>
      </c>
      <c r="B1772" s="2">
        <v>45585.928808344906</v>
      </c>
      <c r="C1772" t="s">
        <v>3</v>
      </c>
      <c r="D1772" t="s">
        <v>564</v>
      </c>
      <c r="E1772" s="5">
        <v>35.76</v>
      </c>
      <c r="F1772" t="s">
        <v>43</v>
      </c>
    </row>
    <row r="1773" spans="1:6">
      <c r="A1773" s="1">
        <v>45532</v>
      </c>
      <c r="B1773" s="2">
        <v>45532.505772824072</v>
      </c>
      <c r="C1773" t="s">
        <v>3</v>
      </c>
      <c r="D1773" t="s">
        <v>565</v>
      </c>
      <c r="E1773" s="5">
        <v>27.92</v>
      </c>
      <c r="F1773" t="s">
        <v>14</v>
      </c>
    </row>
    <row r="1774" spans="1:6">
      <c r="A1774" s="1">
        <v>45532</v>
      </c>
      <c r="B1774" s="2">
        <v>45532.506992349539</v>
      </c>
      <c r="C1774" t="s">
        <v>3</v>
      </c>
      <c r="D1774" t="s">
        <v>565</v>
      </c>
      <c r="E1774" s="5">
        <v>32.82</v>
      </c>
      <c r="F1774" t="s">
        <v>43</v>
      </c>
    </row>
    <row r="1775" spans="1:6">
      <c r="A1775" s="1">
        <v>45532</v>
      </c>
      <c r="B1775" s="2">
        <v>45532.575407395831</v>
      </c>
      <c r="C1775" t="s">
        <v>3</v>
      </c>
      <c r="D1775" t="s">
        <v>566</v>
      </c>
      <c r="E1775" s="5">
        <v>27.92</v>
      </c>
      <c r="F1775" t="s">
        <v>14</v>
      </c>
    </row>
    <row r="1776" spans="1:6">
      <c r="A1776" s="1">
        <v>45548</v>
      </c>
      <c r="B1776" s="2">
        <v>45548.660345972225</v>
      </c>
      <c r="C1776" t="s">
        <v>3</v>
      </c>
      <c r="D1776" t="s">
        <v>566</v>
      </c>
      <c r="E1776" s="5">
        <v>27.92</v>
      </c>
      <c r="F1776" t="s">
        <v>14</v>
      </c>
    </row>
    <row r="1777" spans="1:6">
      <c r="A1777" s="1">
        <v>45533</v>
      </c>
      <c r="B1777" s="2">
        <v>45533.31215646991</v>
      </c>
      <c r="C1777" t="s">
        <v>3</v>
      </c>
      <c r="D1777" t="s">
        <v>567</v>
      </c>
      <c r="E1777" s="5">
        <v>23.02</v>
      </c>
      <c r="F1777" t="s">
        <v>11</v>
      </c>
    </row>
    <row r="1778" spans="1:6">
      <c r="A1778" s="1">
        <v>45534</v>
      </c>
      <c r="B1778" s="2">
        <v>45534.717713969905</v>
      </c>
      <c r="C1778" t="s">
        <v>3</v>
      </c>
      <c r="D1778" t="s">
        <v>568</v>
      </c>
      <c r="E1778" s="5">
        <v>32.82</v>
      </c>
      <c r="F1778" t="s">
        <v>7</v>
      </c>
    </row>
    <row r="1779" spans="1:6">
      <c r="A1779" s="1">
        <v>45534</v>
      </c>
      <c r="B1779" s="2">
        <v>45534.71843508102</v>
      </c>
      <c r="C1779" t="s">
        <v>3</v>
      </c>
      <c r="D1779" t="s">
        <v>568</v>
      </c>
      <c r="E1779" s="5">
        <v>27.92</v>
      </c>
      <c r="F1779" t="s">
        <v>14</v>
      </c>
    </row>
    <row r="1780" spans="1:6">
      <c r="A1780" s="1">
        <v>45534</v>
      </c>
      <c r="B1780" s="2">
        <v>45534.719160289351</v>
      </c>
      <c r="C1780" t="s">
        <v>3</v>
      </c>
      <c r="D1780" t="s">
        <v>568</v>
      </c>
      <c r="E1780" s="5">
        <v>27.92</v>
      </c>
      <c r="F1780" t="s">
        <v>14</v>
      </c>
    </row>
    <row r="1781" spans="1:6">
      <c r="A1781" s="1">
        <v>45552</v>
      </c>
      <c r="B1781" s="2">
        <v>45552.381987905093</v>
      </c>
      <c r="C1781" t="s">
        <v>3</v>
      </c>
      <c r="D1781" t="s">
        <v>568</v>
      </c>
      <c r="E1781" s="5">
        <v>32.82</v>
      </c>
      <c r="F1781" t="s">
        <v>43</v>
      </c>
    </row>
    <row r="1782" spans="1:6">
      <c r="A1782" s="1">
        <v>45552</v>
      </c>
      <c r="B1782" s="2">
        <v>45552.382734039355</v>
      </c>
      <c r="C1782" t="s">
        <v>3</v>
      </c>
      <c r="D1782" t="s">
        <v>568</v>
      </c>
      <c r="E1782" s="5">
        <v>27.92</v>
      </c>
      <c r="F1782" t="s">
        <v>14</v>
      </c>
    </row>
    <row r="1783" spans="1:6">
      <c r="A1783" s="1">
        <v>45552</v>
      </c>
      <c r="B1783" s="2">
        <v>45552.579433240739</v>
      </c>
      <c r="C1783" t="s">
        <v>3</v>
      </c>
      <c r="D1783" t="s">
        <v>568</v>
      </c>
      <c r="E1783" s="5">
        <v>27.92</v>
      </c>
      <c r="F1783" t="s">
        <v>14</v>
      </c>
    </row>
    <row r="1784" spans="1:6">
      <c r="A1784" s="1">
        <v>45552</v>
      </c>
      <c r="B1784" s="2">
        <v>45552.687236296297</v>
      </c>
      <c r="C1784" t="s">
        <v>3</v>
      </c>
      <c r="D1784" t="s">
        <v>568</v>
      </c>
      <c r="E1784" s="5">
        <v>32.82</v>
      </c>
      <c r="F1784" t="s">
        <v>43</v>
      </c>
    </row>
    <row r="1785" spans="1:6">
      <c r="A1785" s="1">
        <v>45535</v>
      </c>
      <c r="B1785" s="2">
        <v>45535.418150381942</v>
      </c>
      <c r="C1785" t="s">
        <v>3</v>
      </c>
      <c r="D1785" t="s">
        <v>569</v>
      </c>
      <c r="E1785" s="5">
        <v>27.92</v>
      </c>
      <c r="F1785" t="s">
        <v>14</v>
      </c>
    </row>
    <row r="1786" spans="1:6">
      <c r="A1786" s="1">
        <v>45535</v>
      </c>
      <c r="B1786" s="2">
        <v>45535.432255520835</v>
      </c>
      <c r="C1786" t="s">
        <v>3</v>
      </c>
      <c r="D1786" t="s">
        <v>570</v>
      </c>
      <c r="E1786" s="5">
        <v>18.12</v>
      </c>
      <c r="F1786" t="s">
        <v>35</v>
      </c>
    </row>
    <row r="1787" spans="1:6">
      <c r="A1787" s="1">
        <v>45535</v>
      </c>
      <c r="B1787" s="2">
        <v>45535.479103831021</v>
      </c>
      <c r="C1787" t="s">
        <v>3</v>
      </c>
      <c r="D1787" t="s">
        <v>571</v>
      </c>
      <c r="E1787" s="5">
        <v>27.92</v>
      </c>
      <c r="F1787" t="s">
        <v>14</v>
      </c>
    </row>
    <row r="1788" spans="1:6">
      <c r="A1788" s="1">
        <v>45536</v>
      </c>
      <c r="B1788" s="2">
        <v>45536.507925289348</v>
      </c>
      <c r="C1788" t="s">
        <v>3</v>
      </c>
      <c r="D1788" t="s">
        <v>572</v>
      </c>
      <c r="E1788" s="5">
        <v>32.82</v>
      </c>
      <c r="F1788" t="s">
        <v>43</v>
      </c>
    </row>
    <row r="1789" spans="1:6">
      <c r="A1789" s="1">
        <v>45536</v>
      </c>
      <c r="B1789" s="2">
        <v>45536.53492416667</v>
      </c>
      <c r="C1789" t="s">
        <v>3</v>
      </c>
      <c r="D1789" t="s">
        <v>573</v>
      </c>
      <c r="E1789" s="5">
        <v>27.92</v>
      </c>
      <c r="F1789" t="s">
        <v>14</v>
      </c>
    </row>
    <row r="1790" spans="1:6">
      <c r="A1790" s="1">
        <v>45536</v>
      </c>
      <c r="B1790" s="2">
        <v>45536.581642916666</v>
      </c>
      <c r="C1790" t="s">
        <v>3</v>
      </c>
      <c r="D1790" t="s">
        <v>574</v>
      </c>
      <c r="E1790" s="5">
        <v>32.82</v>
      </c>
      <c r="F1790" t="s">
        <v>7</v>
      </c>
    </row>
    <row r="1791" spans="1:6">
      <c r="A1791" s="1">
        <v>45536</v>
      </c>
      <c r="B1791" s="2">
        <v>45536.722758414355</v>
      </c>
      <c r="C1791" t="s">
        <v>3</v>
      </c>
      <c r="D1791" t="s">
        <v>575</v>
      </c>
      <c r="E1791" s="5">
        <v>32.82</v>
      </c>
      <c r="F1791" t="s">
        <v>7</v>
      </c>
    </row>
    <row r="1792" spans="1:6">
      <c r="A1792" s="1">
        <v>45536</v>
      </c>
      <c r="B1792" s="2">
        <v>45536.72446607639</v>
      </c>
      <c r="C1792" t="s">
        <v>3</v>
      </c>
      <c r="D1792" t="s">
        <v>576</v>
      </c>
      <c r="E1792" s="5">
        <v>32.82</v>
      </c>
      <c r="F1792" t="s">
        <v>7</v>
      </c>
    </row>
    <row r="1793" spans="1:6">
      <c r="A1793" s="1">
        <v>45536</v>
      </c>
      <c r="B1793" s="2">
        <v>45536.725575104167</v>
      </c>
      <c r="C1793" t="s">
        <v>3</v>
      </c>
      <c r="D1793" t="s">
        <v>577</v>
      </c>
      <c r="E1793" s="5">
        <v>32.82</v>
      </c>
      <c r="F1793" t="s">
        <v>7</v>
      </c>
    </row>
    <row r="1794" spans="1:6">
      <c r="A1794" s="1">
        <v>45537</v>
      </c>
      <c r="B1794" s="2">
        <v>45537.368259791663</v>
      </c>
      <c r="C1794" t="s">
        <v>3</v>
      </c>
      <c r="D1794" t="s">
        <v>578</v>
      </c>
      <c r="E1794" s="5">
        <v>27.92</v>
      </c>
      <c r="F1794" t="s">
        <v>14</v>
      </c>
    </row>
    <row r="1795" spans="1:6">
      <c r="A1795" s="1">
        <v>45537</v>
      </c>
      <c r="B1795" s="2">
        <v>45537.369133657405</v>
      </c>
      <c r="C1795" t="s">
        <v>3</v>
      </c>
      <c r="D1795" t="s">
        <v>579</v>
      </c>
      <c r="E1795" s="5">
        <v>32.82</v>
      </c>
      <c r="F1795" t="s">
        <v>7</v>
      </c>
    </row>
    <row r="1796" spans="1:6">
      <c r="A1796" s="1">
        <v>45539</v>
      </c>
      <c r="B1796" s="2">
        <v>45539.537168055555</v>
      </c>
      <c r="C1796" t="s">
        <v>3</v>
      </c>
      <c r="D1796" t="s">
        <v>579</v>
      </c>
      <c r="E1796" s="5">
        <v>32.82</v>
      </c>
      <c r="F1796" t="s">
        <v>7</v>
      </c>
    </row>
    <row r="1797" spans="1:6">
      <c r="A1797" s="1">
        <v>45547</v>
      </c>
      <c r="B1797" s="2">
        <v>45547.505812013886</v>
      </c>
      <c r="C1797" t="s">
        <v>3</v>
      </c>
      <c r="D1797" t="s">
        <v>579</v>
      </c>
      <c r="E1797" s="5">
        <v>32.82</v>
      </c>
      <c r="F1797" t="s">
        <v>43</v>
      </c>
    </row>
    <row r="1798" spans="1:6">
      <c r="A1798" s="1">
        <v>45537</v>
      </c>
      <c r="B1798" s="2">
        <v>45537.624156747683</v>
      </c>
      <c r="C1798" t="s">
        <v>3</v>
      </c>
      <c r="D1798" t="s">
        <v>580</v>
      </c>
      <c r="E1798" s="5">
        <v>27.92</v>
      </c>
      <c r="F1798" t="s">
        <v>14</v>
      </c>
    </row>
    <row r="1799" spans="1:6">
      <c r="A1799" s="1">
        <v>45537</v>
      </c>
      <c r="B1799" s="2">
        <v>45537.840091701386</v>
      </c>
      <c r="C1799" t="s">
        <v>3</v>
      </c>
      <c r="D1799" t="s">
        <v>581</v>
      </c>
      <c r="E1799" s="5">
        <v>32.82</v>
      </c>
      <c r="F1799" t="s">
        <v>43</v>
      </c>
    </row>
    <row r="1800" spans="1:6">
      <c r="A1800" s="1">
        <v>45537</v>
      </c>
      <c r="B1800" s="2">
        <v>45537.86981462963</v>
      </c>
      <c r="C1800" t="s">
        <v>3</v>
      </c>
      <c r="D1800" t="s">
        <v>582</v>
      </c>
      <c r="E1800" s="5">
        <v>23.02</v>
      </c>
      <c r="F1800" t="s">
        <v>11</v>
      </c>
    </row>
    <row r="1801" spans="1:6">
      <c r="A1801" s="1">
        <v>45537</v>
      </c>
      <c r="B1801" s="2">
        <v>45537.870475578704</v>
      </c>
      <c r="C1801" t="s">
        <v>3</v>
      </c>
      <c r="D1801" t="s">
        <v>582</v>
      </c>
      <c r="E1801" s="5">
        <v>23.02</v>
      </c>
      <c r="F1801" t="s">
        <v>11</v>
      </c>
    </row>
    <row r="1802" spans="1:6">
      <c r="A1802" s="1">
        <v>45538</v>
      </c>
      <c r="B1802" s="2">
        <v>45538.348788981479</v>
      </c>
      <c r="C1802" t="s">
        <v>3</v>
      </c>
      <c r="D1802" t="s">
        <v>583</v>
      </c>
      <c r="E1802" s="5">
        <v>32.82</v>
      </c>
      <c r="F1802" t="s">
        <v>18</v>
      </c>
    </row>
    <row r="1803" spans="1:6">
      <c r="A1803" s="1">
        <v>45538</v>
      </c>
      <c r="B1803" s="2">
        <v>45538.361940949071</v>
      </c>
      <c r="C1803" t="s">
        <v>3</v>
      </c>
      <c r="D1803" t="s">
        <v>584</v>
      </c>
      <c r="E1803" s="5">
        <v>32.82</v>
      </c>
      <c r="F1803" t="s">
        <v>7</v>
      </c>
    </row>
    <row r="1804" spans="1:6">
      <c r="A1804" s="1">
        <v>45544</v>
      </c>
      <c r="B1804" s="2">
        <v>45544.330991539355</v>
      </c>
      <c r="C1804" t="s">
        <v>3</v>
      </c>
      <c r="D1804" t="s">
        <v>584</v>
      </c>
      <c r="E1804" s="5">
        <v>32.82</v>
      </c>
      <c r="F1804" t="s">
        <v>7</v>
      </c>
    </row>
    <row r="1805" spans="1:6">
      <c r="A1805" s="1">
        <v>45548</v>
      </c>
      <c r="B1805" s="2">
        <v>45548.331177812499</v>
      </c>
      <c r="C1805" t="s">
        <v>3</v>
      </c>
      <c r="D1805" t="s">
        <v>584</v>
      </c>
      <c r="E1805" s="5">
        <v>32.82</v>
      </c>
      <c r="F1805" t="s">
        <v>7</v>
      </c>
    </row>
    <row r="1806" spans="1:6">
      <c r="A1806" s="1">
        <v>45561</v>
      </c>
      <c r="B1806" s="2">
        <v>45561.363600104167</v>
      </c>
      <c r="C1806" t="s">
        <v>3</v>
      </c>
      <c r="D1806" t="s">
        <v>584</v>
      </c>
      <c r="E1806" s="5">
        <v>32.82</v>
      </c>
      <c r="F1806" t="s">
        <v>7</v>
      </c>
    </row>
    <row r="1807" spans="1:6">
      <c r="A1807" s="1">
        <v>45574</v>
      </c>
      <c r="B1807" s="2">
        <v>45574.329659710646</v>
      </c>
      <c r="C1807" t="s">
        <v>3</v>
      </c>
      <c r="D1807" t="s">
        <v>584</v>
      </c>
      <c r="E1807" s="5">
        <v>35.76</v>
      </c>
      <c r="F1807" t="s">
        <v>7</v>
      </c>
    </row>
    <row r="1808" spans="1:6">
      <c r="A1808" s="1">
        <v>45576</v>
      </c>
      <c r="B1808" s="2">
        <v>45576.352996250003</v>
      </c>
      <c r="C1808" t="s">
        <v>3</v>
      </c>
      <c r="D1808" t="s">
        <v>584</v>
      </c>
      <c r="E1808" s="5">
        <v>35.76</v>
      </c>
      <c r="F1808" t="s">
        <v>7</v>
      </c>
    </row>
    <row r="1809" spans="1:6">
      <c r="A1809" s="1">
        <v>45576</v>
      </c>
      <c r="B1809" s="2">
        <v>45576.353731365743</v>
      </c>
      <c r="C1809" t="s">
        <v>3</v>
      </c>
      <c r="D1809" t="s">
        <v>584</v>
      </c>
      <c r="E1809" s="5">
        <v>35.76</v>
      </c>
      <c r="F1809" t="s">
        <v>18</v>
      </c>
    </row>
    <row r="1810" spans="1:6">
      <c r="A1810" s="1">
        <v>45581</v>
      </c>
      <c r="B1810" s="2">
        <v>45581.392953414354</v>
      </c>
      <c r="C1810" t="s">
        <v>3</v>
      </c>
      <c r="D1810" t="s">
        <v>584</v>
      </c>
      <c r="E1810" s="5">
        <v>35.76</v>
      </c>
      <c r="F1810" t="s">
        <v>7</v>
      </c>
    </row>
    <row r="1811" spans="1:6">
      <c r="A1811" s="1">
        <v>45582</v>
      </c>
      <c r="B1811" s="2">
        <v>45582.332022719907</v>
      </c>
      <c r="C1811" t="s">
        <v>3</v>
      </c>
      <c r="D1811" t="s">
        <v>584</v>
      </c>
      <c r="E1811" s="5">
        <v>35.76</v>
      </c>
      <c r="F1811" t="s">
        <v>7</v>
      </c>
    </row>
    <row r="1812" spans="1:6">
      <c r="A1812" s="1">
        <v>45585</v>
      </c>
      <c r="B1812" s="2">
        <v>45585.361619976851</v>
      </c>
      <c r="C1812" t="s">
        <v>3</v>
      </c>
      <c r="D1812" t="s">
        <v>584</v>
      </c>
      <c r="E1812" s="5">
        <v>35.76</v>
      </c>
      <c r="F1812" t="s">
        <v>7</v>
      </c>
    </row>
    <row r="1813" spans="1:6">
      <c r="A1813" s="1">
        <v>45585</v>
      </c>
      <c r="B1813" s="2">
        <v>45585.362389710652</v>
      </c>
      <c r="C1813" t="s">
        <v>3</v>
      </c>
      <c r="D1813" t="s">
        <v>584</v>
      </c>
      <c r="E1813" s="5">
        <v>35.76</v>
      </c>
      <c r="F1813" t="s">
        <v>18</v>
      </c>
    </row>
    <row r="1814" spans="1:6">
      <c r="A1814" s="1">
        <v>45590</v>
      </c>
      <c r="B1814" s="2">
        <v>45590.340333483793</v>
      </c>
      <c r="C1814" t="s">
        <v>3</v>
      </c>
      <c r="D1814" t="s">
        <v>584</v>
      </c>
      <c r="E1814" s="5">
        <v>35.76</v>
      </c>
      <c r="F1814" t="s">
        <v>18</v>
      </c>
    </row>
    <row r="1815" spans="1:6">
      <c r="A1815" s="1">
        <v>45590</v>
      </c>
      <c r="B1815" s="2">
        <v>45590.340909340281</v>
      </c>
      <c r="C1815" t="s">
        <v>3</v>
      </c>
      <c r="D1815" t="s">
        <v>584</v>
      </c>
      <c r="E1815" s="5">
        <v>35.76</v>
      </c>
      <c r="F1815" t="s">
        <v>7</v>
      </c>
    </row>
    <row r="1816" spans="1:6">
      <c r="A1816" s="1">
        <v>45594</v>
      </c>
      <c r="B1816" s="2">
        <v>45594.397195370373</v>
      </c>
      <c r="C1816" t="s">
        <v>3</v>
      </c>
      <c r="D1816" t="s">
        <v>584</v>
      </c>
      <c r="E1816" s="5">
        <v>35.76</v>
      </c>
      <c r="F1816" t="s">
        <v>7</v>
      </c>
    </row>
    <row r="1817" spans="1:6">
      <c r="A1817" s="1">
        <v>45602</v>
      </c>
      <c r="B1817" s="2">
        <v>45602.34126296296</v>
      </c>
      <c r="C1817" t="s">
        <v>3</v>
      </c>
      <c r="D1817" t="s">
        <v>584</v>
      </c>
      <c r="E1817" s="5">
        <v>35.76</v>
      </c>
      <c r="F1817" t="s">
        <v>7</v>
      </c>
    </row>
    <row r="1818" spans="1:6">
      <c r="A1818" s="1">
        <v>45605</v>
      </c>
      <c r="B1818" s="2">
        <v>45605.677637060187</v>
      </c>
      <c r="C1818" t="s">
        <v>3</v>
      </c>
      <c r="D1818" t="s">
        <v>584</v>
      </c>
      <c r="E1818" s="5">
        <v>35.76</v>
      </c>
      <c r="F1818" t="s">
        <v>7</v>
      </c>
    </row>
    <row r="1819" spans="1:6">
      <c r="A1819" s="1">
        <v>45605</v>
      </c>
      <c r="B1819" s="2">
        <v>45605.678384537037</v>
      </c>
      <c r="C1819" t="s">
        <v>3</v>
      </c>
      <c r="D1819" t="s">
        <v>584</v>
      </c>
      <c r="E1819" s="5">
        <v>35.76</v>
      </c>
      <c r="F1819" t="s">
        <v>18</v>
      </c>
    </row>
    <row r="1820" spans="1:6">
      <c r="A1820" s="1">
        <v>45614</v>
      </c>
      <c r="B1820" s="2">
        <v>45614.331506921299</v>
      </c>
      <c r="C1820" t="s">
        <v>3</v>
      </c>
      <c r="D1820" t="s">
        <v>584</v>
      </c>
      <c r="E1820" s="5">
        <v>35.76</v>
      </c>
      <c r="F1820" t="s">
        <v>7</v>
      </c>
    </row>
    <row r="1821" spans="1:6">
      <c r="A1821" s="1">
        <v>45620</v>
      </c>
      <c r="B1821" s="2">
        <v>45620.34522560185</v>
      </c>
      <c r="C1821" t="s">
        <v>3</v>
      </c>
      <c r="D1821" t="s">
        <v>584</v>
      </c>
      <c r="E1821" s="5">
        <v>35.76</v>
      </c>
      <c r="F1821" t="s">
        <v>7</v>
      </c>
    </row>
    <row r="1822" spans="1:6">
      <c r="A1822" s="1">
        <v>45622</v>
      </c>
      <c r="B1822" s="2">
        <v>45622.329605856481</v>
      </c>
      <c r="C1822" t="s">
        <v>3</v>
      </c>
      <c r="D1822" t="s">
        <v>584</v>
      </c>
      <c r="E1822" s="5">
        <v>35.76</v>
      </c>
      <c r="F1822" t="s">
        <v>7</v>
      </c>
    </row>
    <row r="1823" spans="1:6">
      <c r="A1823" s="1">
        <v>45625</v>
      </c>
      <c r="B1823" s="2">
        <v>45625.331737858796</v>
      </c>
      <c r="C1823" t="s">
        <v>3</v>
      </c>
      <c r="D1823" t="s">
        <v>584</v>
      </c>
      <c r="E1823" s="5">
        <v>35.76</v>
      </c>
      <c r="F1823" t="s">
        <v>7</v>
      </c>
    </row>
    <row r="1824" spans="1:6">
      <c r="A1824" s="1">
        <v>45626</v>
      </c>
      <c r="B1824" s="2">
        <v>45626.540418310185</v>
      </c>
      <c r="C1824" t="s">
        <v>3</v>
      </c>
      <c r="D1824" t="s">
        <v>584</v>
      </c>
      <c r="E1824" s="5">
        <v>35.76</v>
      </c>
      <c r="F1824" t="s">
        <v>18</v>
      </c>
    </row>
    <row r="1825" spans="1:6">
      <c r="A1825" s="1">
        <v>45629</v>
      </c>
      <c r="B1825" s="2">
        <v>45629.341193738423</v>
      </c>
      <c r="C1825" t="s">
        <v>3</v>
      </c>
      <c r="D1825" t="s">
        <v>584</v>
      </c>
      <c r="E1825" s="5">
        <v>35.76</v>
      </c>
      <c r="F1825" t="s">
        <v>7</v>
      </c>
    </row>
    <row r="1826" spans="1:6">
      <c r="A1826" s="1">
        <v>45637</v>
      </c>
      <c r="B1826" s="2">
        <v>45637.326226724537</v>
      </c>
      <c r="C1826" t="s">
        <v>3</v>
      </c>
      <c r="D1826" t="s">
        <v>584</v>
      </c>
      <c r="E1826" s="5">
        <v>35.76</v>
      </c>
      <c r="F1826" t="s">
        <v>7</v>
      </c>
    </row>
    <row r="1827" spans="1:6">
      <c r="A1827" s="1">
        <v>45641</v>
      </c>
      <c r="B1827" s="2">
        <v>45641.464870451389</v>
      </c>
      <c r="C1827" t="s">
        <v>3</v>
      </c>
      <c r="D1827" t="s">
        <v>584</v>
      </c>
      <c r="E1827" s="5">
        <v>35.76</v>
      </c>
      <c r="F1827" t="s">
        <v>7</v>
      </c>
    </row>
    <row r="1828" spans="1:6">
      <c r="A1828" s="1">
        <v>45641</v>
      </c>
      <c r="B1828" s="2">
        <v>45641.465575150462</v>
      </c>
      <c r="C1828" t="s">
        <v>3</v>
      </c>
      <c r="D1828" t="s">
        <v>584</v>
      </c>
      <c r="E1828" s="5">
        <v>35.76</v>
      </c>
      <c r="F1828" t="s">
        <v>18</v>
      </c>
    </row>
    <row r="1829" spans="1:6">
      <c r="A1829" s="1">
        <v>45642</v>
      </c>
      <c r="B1829" s="2">
        <v>45642.327990497688</v>
      </c>
      <c r="C1829" t="s">
        <v>3</v>
      </c>
      <c r="D1829" t="s">
        <v>584</v>
      </c>
      <c r="E1829" s="5">
        <v>35.76</v>
      </c>
      <c r="F1829" t="s">
        <v>7</v>
      </c>
    </row>
    <row r="1830" spans="1:6">
      <c r="A1830" s="1">
        <v>45649</v>
      </c>
      <c r="B1830" s="2">
        <v>45649.483268842596</v>
      </c>
      <c r="C1830" t="s">
        <v>3</v>
      </c>
      <c r="D1830" t="s">
        <v>584</v>
      </c>
      <c r="E1830" s="5">
        <v>35.76</v>
      </c>
      <c r="F1830" t="s">
        <v>43</v>
      </c>
    </row>
    <row r="1831" spans="1:6">
      <c r="A1831" s="1">
        <v>45654</v>
      </c>
      <c r="B1831" s="2">
        <v>45654.452813946758</v>
      </c>
      <c r="C1831" t="s">
        <v>3</v>
      </c>
      <c r="D1831" t="s">
        <v>584</v>
      </c>
      <c r="E1831" s="5">
        <v>35.76</v>
      </c>
      <c r="F1831" t="s">
        <v>7</v>
      </c>
    </row>
    <row r="1832" spans="1:6">
      <c r="A1832" s="1">
        <v>45666</v>
      </c>
      <c r="B1832" s="2">
        <v>45666.372624247684</v>
      </c>
      <c r="C1832" t="s">
        <v>3</v>
      </c>
      <c r="D1832" t="s">
        <v>584</v>
      </c>
      <c r="E1832" s="5">
        <v>35.76</v>
      </c>
      <c r="F1832" t="s">
        <v>7</v>
      </c>
    </row>
    <row r="1833" spans="1:6">
      <c r="A1833" s="1">
        <v>45538</v>
      </c>
      <c r="B1833" s="2">
        <v>45538.377227696757</v>
      </c>
      <c r="C1833" t="s">
        <v>3</v>
      </c>
      <c r="D1833" t="s">
        <v>585</v>
      </c>
      <c r="E1833" s="5">
        <v>27.92</v>
      </c>
      <c r="F1833" t="s">
        <v>14</v>
      </c>
    </row>
    <row r="1834" spans="1:6">
      <c r="A1834" s="1">
        <v>45538</v>
      </c>
      <c r="B1834" s="2">
        <v>45538.377913773147</v>
      </c>
      <c r="C1834" t="s">
        <v>3</v>
      </c>
      <c r="D1834" t="s">
        <v>585</v>
      </c>
      <c r="E1834" s="5">
        <v>32.82</v>
      </c>
      <c r="F1834" t="s">
        <v>43</v>
      </c>
    </row>
    <row r="1835" spans="1:6">
      <c r="A1835" s="1">
        <v>45581</v>
      </c>
      <c r="B1835" s="2">
        <v>45581.427638240741</v>
      </c>
      <c r="C1835" t="s">
        <v>3</v>
      </c>
      <c r="D1835" t="s">
        <v>585</v>
      </c>
      <c r="E1835" s="5">
        <v>30.86</v>
      </c>
      <c r="F1835" t="s">
        <v>14</v>
      </c>
    </row>
    <row r="1836" spans="1:6">
      <c r="A1836" s="1">
        <v>45581</v>
      </c>
      <c r="B1836" s="2">
        <v>45581.428399756944</v>
      </c>
      <c r="C1836" t="s">
        <v>3</v>
      </c>
      <c r="D1836" t="s">
        <v>585</v>
      </c>
      <c r="E1836" s="5">
        <v>30.86</v>
      </c>
      <c r="F1836" t="s">
        <v>14</v>
      </c>
    </row>
    <row r="1837" spans="1:6">
      <c r="A1837" s="1">
        <v>45595</v>
      </c>
      <c r="B1837" s="2">
        <v>45595.36558769676</v>
      </c>
      <c r="C1837" t="s">
        <v>3</v>
      </c>
      <c r="D1837" t="s">
        <v>585</v>
      </c>
      <c r="E1837" s="5">
        <v>30.86</v>
      </c>
      <c r="F1837" t="s">
        <v>14</v>
      </c>
    </row>
    <row r="1838" spans="1:6">
      <c r="A1838" s="1">
        <v>45595</v>
      </c>
      <c r="B1838" s="2">
        <v>45595.366311122685</v>
      </c>
      <c r="C1838" t="s">
        <v>3</v>
      </c>
      <c r="D1838" t="s">
        <v>585</v>
      </c>
      <c r="E1838" s="5">
        <v>30.86</v>
      </c>
      <c r="F1838" t="s">
        <v>14</v>
      </c>
    </row>
    <row r="1839" spans="1:6">
      <c r="A1839" s="1">
        <v>45538</v>
      </c>
      <c r="B1839" s="2">
        <v>45538.383890671299</v>
      </c>
      <c r="C1839" t="s">
        <v>3</v>
      </c>
      <c r="D1839" t="s">
        <v>586</v>
      </c>
      <c r="E1839" s="5">
        <v>32.82</v>
      </c>
      <c r="F1839" t="s">
        <v>18</v>
      </c>
    </row>
    <row r="1840" spans="1:6">
      <c r="A1840" s="1">
        <v>45538</v>
      </c>
      <c r="B1840" s="2">
        <v>45538.384417303241</v>
      </c>
      <c r="C1840" t="s">
        <v>3</v>
      </c>
      <c r="D1840" t="s">
        <v>586</v>
      </c>
      <c r="E1840" s="5">
        <v>32.82</v>
      </c>
      <c r="F1840" t="s">
        <v>18</v>
      </c>
    </row>
    <row r="1841" spans="1:6">
      <c r="A1841" s="1">
        <v>45538</v>
      </c>
      <c r="B1841" s="2">
        <v>45538.389087615738</v>
      </c>
      <c r="C1841" t="s">
        <v>3</v>
      </c>
      <c r="D1841" t="s">
        <v>587</v>
      </c>
      <c r="E1841" s="5">
        <v>27.92</v>
      </c>
      <c r="F1841" t="s">
        <v>14</v>
      </c>
    </row>
    <row r="1842" spans="1:6">
      <c r="A1842" s="1">
        <v>45558</v>
      </c>
      <c r="B1842" s="2">
        <v>45558.589490115737</v>
      </c>
      <c r="C1842" t="s">
        <v>3</v>
      </c>
      <c r="D1842" t="s">
        <v>587</v>
      </c>
      <c r="E1842" s="5">
        <v>27.92</v>
      </c>
      <c r="F1842" t="s">
        <v>14</v>
      </c>
    </row>
    <row r="1843" spans="1:6">
      <c r="A1843" s="1">
        <v>45538</v>
      </c>
      <c r="B1843" s="2">
        <v>45538.40130002315</v>
      </c>
      <c r="C1843" t="s">
        <v>3</v>
      </c>
      <c r="D1843" t="s">
        <v>588</v>
      </c>
      <c r="E1843" s="5">
        <v>32.82</v>
      </c>
      <c r="F1843" t="s">
        <v>7</v>
      </c>
    </row>
    <row r="1844" spans="1:6">
      <c r="A1844" s="1">
        <v>45538</v>
      </c>
      <c r="B1844" s="2">
        <v>45538.402041655092</v>
      </c>
      <c r="C1844" t="s">
        <v>3</v>
      </c>
      <c r="D1844" t="s">
        <v>589</v>
      </c>
      <c r="E1844" s="5">
        <v>32.82</v>
      </c>
      <c r="F1844" t="s">
        <v>18</v>
      </c>
    </row>
    <row r="1845" spans="1:6">
      <c r="A1845" s="1">
        <v>45538</v>
      </c>
      <c r="B1845" s="2">
        <v>45538.539507048612</v>
      </c>
      <c r="C1845" t="s">
        <v>3</v>
      </c>
      <c r="D1845" t="s">
        <v>590</v>
      </c>
      <c r="E1845" s="5">
        <v>23.02</v>
      </c>
      <c r="F1845" t="s">
        <v>28</v>
      </c>
    </row>
    <row r="1846" spans="1:6">
      <c r="A1846" s="1">
        <v>45539</v>
      </c>
      <c r="B1846" s="2">
        <v>45539.466221921299</v>
      </c>
      <c r="C1846" t="s">
        <v>3</v>
      </c>
      <c r="D1846" t="s">
        <v>591</v>
      </c>
      <c r="E1846" s="5">
        <v>27.92</v>
      </c>
      <c r="F1846" t="s">
        <v>14</v>
      </c>
    </row>
    <row r="1847" spans="1:6">
      <c r="A1847" s="1">
        <v>45539</v>
      </c>
      <c r="B1847" s="2">
        <v>45539.496926932872</v>
      </c>
      <c r="C1847" t="s">
        <v>3</v>
      </c>
      <c r="D1847" t="s">
        <v>592</v>
      </c>
      <c r="E1847" s="5">
        <v>27.92</v>
      </c>
      <c r="F1847" t="s">
        <v>14</v>
      </c>
    </row>
    <row r="1848" spans="1:6">
      <c r="A1848" s="1">
        <v>45539</v>
      </c>
      <c r="B1848" s="2">
        <v>45539.544335763887</v>
      </c>
      <c r="C1848" t="s">
        <v>3</v>
      </c>
      <c r="D1848" t="s">
        <v>593</v>
      </c>
      <c r="E1848" s="5">
        <v>32.82</v>
      </c>
      <c r="F1848" t="s">
        <v>7</v>
      </c>
    </row>
    <row r="1849" spans="1:6">
      <c r="A1849" s="1">
        <v>45539</v>
      </c>
      <c r="B1849" s="2">
        <v>45539.545325231484</v>
      </c>
      <c r="C1849" t="s">
        <v>3</v>
      </c>
      <c r="D1849" t="s">
        <v>593</v>
      </c>
      <c r="E1849" s="5">
        <v>27.92</v>
      </c>
      <c r="F1849" t="s">
        <v>14</v>
      </c>
    </row>
    <row r="1850" spans="1:6">
      <c r="A1850" s="1">
        <v>45631</v>
      </c>
      <c r="B1850" s="2">
        <v>45631.480535405091</v>
      </c>
      <c r="C1850" t="s">
        <v>3</v>
      </c>
      <c r="D1850" t="s">
        <v>593</v>
      </c>
      <c r="E1850" s="5">
        <v>35.76</v>
      </c>
      <c r="F1850" t="s">
        <v>7</v>
      </c>
    </row>
    <row r="1851" spans="1:6">
      <c r="A1851" s="1">
        <v>45539</v>
      </c>
      <c r="B1851" s="2">
        <v>45539.75262644676</v>
      </c>
      <c r="C1851" t="s">
        <v>3</v>
      </c>
      <c r="D1851" t="s">
        <v>594</v>
      </c>
      <c r="E1851" s="5">
        <v>32.82</v>
      </c>
      <c r="F1851" t="s">
        <v>43</v>
      </c>
    </row>
    <row r="1852" spans="1:6">
      <c r="A1852" s="1">
        <v>45540</v>
      </c>
      <c r="B1852" s="2">
        <v>45540.436761886573</v>
      </c>
      <c r="C1852" t="s">
        <v>3</v>
      </c>
      <c r="D1852" t="s">
        <v>595</v>
      </c>
      <c r="E1852" s="5">
        <v>27.92</v>
      </c>
      <c r="F1852" t="s">
        <v>14</v>
      </c>
    </row>
    <row r="1853" spans="1:6">
      <c r="A1853" s="1">
        <v>45540</v>
      </c>
      <c r="B1853" s="2">
        <v>45540.583654305556</v>
      </c>
      <c r="C1853" t="s">
        <v>3</v>
      </c>
      <c r="D1853" t="s">
        <v>596</v>
      </c>
      <c r="E1853" s="5">
        <v>32.82</v>
      </c>
      <c r="F1853" t="s">
        <v>7</v>
      </c>
    </row>
    <row r="1854" spans="1:6">
      <c r="A1854" s="1">
        <v>45541</v>
      </c>
      <c r="B1854" s="2">
        <v>45541.351086458337</v>
      </c>
      <c r="C1854" t="s">
        <v>3</v>
      </c>
      <c r="D1854" t="s">
        <v>596</v>
      </c>
      <c r="E1854" s="5">
        <v>32.82</v>
      </c>
      <c r="F1854" t="s">
        <v>43</v>
      </c>
    </row>
    <row r="1855" spans="1:6">
      <c r="A1855" s="1">
        <v>45544</v>
      </c>
      <c r="B1855" s="2">
        <v>45544.329068935185</v>
      </c>
      <c r="C1855" t="s">
        <v>3</v>
      </c>
      <c r="D1855" t="s">
        <v>596</v>
      </c>
      <c r="E1855" s="5">
        <v>32.82</v>
      </c>
      <c r="F1855" t="s">
        <v>43</v>
      </c>
    </row>
    <row r="1856" spans="1:6">
      <c r="A1856" s="1">
        <v>45540</v>
      </c>
      <c r="B1856" s="2">
        <v>45540.642503958334</v>
      </c>
      <c r="C1856" t="s">
        <v>3</v>
      </c>
      <c r="D1856" t="s">
        <v>597</v>
      </c>
      <c r="E1856" s="5">
        <v>32.82</v>
      </c>
      <c r="F1856" t="s">
        <v>7</v>
      </c>
    </row>
    <row r="1857" spans="1:6">
      <c r="A1857" s="1">
        <v>45544</v>
      </c>
      <c r="B1857" s="2">
        <v>45544.409614629629</v>
      </c>
      <c r="C1857" t="s">
        <v>3</v>
      </c>
      <c r="D1857" t="s">
        <v>597</v>
      </c>
      <c r="E1857" s="5">
        <v>32.82</v>
      </c>
      <c r="F1857" t="s">
        <v>7</v>
      </c>
    </row>
    <row r="1858" spans="1:6">
      <c r="A1858" s="1">
        <v>45544</v>
      </c>
      <c r="B1858" s="2">
        <v>45544.410321041665</v>
      </c>
      <c r="C1858" t="s">
        <v>3</v>
      </c>
      <c r="D1858" t="s">
        <v>597</v>
      </c>
      <c r="E1858" s="5">
        <v>32.82</v>
      </c>
      <c r="F1858" t="s">
        <v>9</v>
      </c>
    </row>
    <row r="1859" spans="1:6">
      <c r="A1859" s="1">
        <v>45559</v>
      </c>
      <c r="B1859" s="2">
        <v>45559.693614537035</v>
      </c>
      <c r="C1859" t="s">
        <v>3</v>
      </c>
      <c r="D1859" t="s">
        <v>597</v>
      </c>
      <c r="E1859" s="5">
        <v>32.82</v>
      </c>
      <c r="F1859" t="s">
        <v>7</v>
      </c>
    </row>
    <row r="1860" spans="1:6">
      <c r="A1860" s="1">
        <v>45540</v>
      </c>
      <c r="B1860" s="2">
        <v>45540.693638715275</v>
      </c>
      <c r="C1860" t="s">
        <v>3</v>
      </c>
      <c r="D1860" t="s">
        <v>598</v>
      </c>
      <c r="E1860" s="5">
        <v>23.02</v>
      </c>
      <c r="F1860" t="s">
        <v>11</v>
      </c>
    </row>
    <row r="1861" spans="1:6">
      <c r="A1861" s="1">
        <v>45546</v>
      </c>
      <c r="B1861" s="2">
        <v>45546.87609056713</v>
      </c>
      <c r="C1861" t="s">
        <v>3</v>
      </c>
      <c r="D1861" t="s">
        <v>598</v>
      </c>
      <c r="E1861" s="5">
        <v>23.02</v>
      </c>
      <c r="F1861" t="s">
        <v>28</v>
      </c>
    </row>
    <row r="1862" spans="1:6">
      <c r="A1862" s="1">
        <v>45551</v>
      </c>
      <c r="B1862" s="2">
        <v>45551.565008877318</v>
      </c>
      <c r="C1862" t="s">
        <v>3</v>
      </c>
      <c r="D1862" t="s">
        <v>598</v>
      </c>
      <c r="E1862" s="5">
        <v>27.92</v>
      </c>
      <c r="F1862" t="s">
        <v>14</v>
      </c>
    </row>
    <row r="1863" spans="1:6">
      <c r="A1863" s="1">
        <v>45558</v>
      </c>
      <c r="B1863" s="2">
        <v>45558.507689259262</v>
      </c>
      <c r="C1863" t="s">
        <v>3</v>
      </c>
      <c r="D1863" t="s">
        <v>598</v>
      </c>
      <c r="E1863" s="5">
        <v>23.02</v>
      </c>
      <c r="F1863" t="s">
        <v>11</v>
      </c>
    </row>
    <row r="1864" spans="1:6">
      <c r="A1864" s="1">
        <v>45540</v>
      </c>
      <c r="B1864" s="2">
        <v>45540.694440208332</v>
      </c>
      <c r="C1864" t="s">
        <v>3</v>
      </c>
      <c r="D1864" t="s">
        <v>599</v>
      </c>
      <c r="E1864" s="5">
        <v>27.92</v>
      </c>
      <c r="F1864" t="s">
        <v>14</v>
      </c>
    </row>
    <row r="1865" spans="1:6">
      <c r="A1865" s="1">
        <v>45566</v>
      </c>
      <c r="B1865" s="2">
        <v>45566.835672951391</v>
      </c>
      <c r="C1865" t="s">
        <v>3</v>
      </c>
      <c r="D1865" t="s">
        <v>599</v>
      </c>
      <c r="E1865" s="5">
        <v>35.76</v>
      </c>
      <c r="F1865" t="s">
        <v>9</v>
      </c>
    </row>
    <row r="1866" spans="1:6">
      <c r="A1866" s="1">
        <v>45540</v>
      </c>
      <c r="B1866" s="2">
        <v>45540.711445659719</v>
      </c>
      <c r="C1866" t="s">
        <v>3</v>
      </c>
      <c r="D1866" t="s">
        <v>600</v>
      </c>
      <c r="E1866" s="5">
        <v>32.82</v>
      </c>
      <c r="F1866" t="s">
        <v>43</v>
      </c>
    </row>
    <row r="1867" spans="1:6">
      <c r="A1867" s="1">
        <v>45540</v>
      </c>
      <c r="B1867" s="2">
        <v>45540.712172268519</v>
      </c>
      <c r="C1867" t="s">
        <v>3</v>
      </c>
      <c r="D1867" t="s">
        <v>600</v>
      </c>
      <c r="E1867" s="5">
        <v>32.82</v>
      </c>
      <c r="F1867" t="s">
        <v>43</v>
      </c>
    </row>
    <row r="1868" spans="1:6">
      <c r="A1868" s="1">
        <v>45540</v>
      </c>
      <c r="B1868" s="2">
        <v>45540.854339861115</v>
      </c>
      <c r="C1868" t="s">
        <v>3</v>
      </c>
      <c r="D1868" t="s">
        <v>601</v>
      </c>
      <c r="E1868" s="5">
        <v>32.82</v>
      </c>
      <c r="F1868" t="s">
        <v>43</v>
      </c>
    </row>
    <row r="1869" spans="1:6">
      <c r="A1869" s="1">
        <v>45540</v>
      </c>
      <c r="B1869" s="2">
        <v>45540.871116076392</v>
      </c>
      <c r="C1869" t="s">
        <v>3</v>
      </c>
      <c r="D1869" t="s">
        <v>602</v>
      </c>
      <c r="E1869" s="5">
        <v>23.02</v>
      </c>
      <c r="F1869" t="s">
        <v>11</v>
      </c>
    </row>
    <row r="1870" spans="1:6">
      <c r="A1870" s="1">
        <v>45540</v>
      </c>
      <c r="B1870" s="2">
        <v>45540.871891539355</v>
      </c>
      <c r="C1870" t="s">
        <v>3</v>
      </c>
      <c r="D1870" t="s">
        <v>602</v>
      </c>
      <c r="E1870" s="5">
        <v>32.82</v>
      </c>
      <c r="F1870" t="s">
        <v>43</v>
      </c>
    </row>
    <row r="1871" spans="1:6">
      <c r="A1871" s="1">
        <v>45541</v>
      </c>
      <c r="B1871" s="2">
        <v>45541.371318865742</v>
      </c>
      <c r="C1871" t="s">
        <v>3</v>
      </c>
      <c r="D1871" t="s">
        <v>603</v>
      </c>
      <c r="E1871" s="5">
        <v>23.02</v>
      </c>
      <c r="F1871" t="s">
        <v>11</v>
      </c>
    </row>
    <row r="1872" spans="1:6">
      <c r="A1872" s="1">
        <v>45541</v>
      </c>
      <c r="B1872" s="2">
        <v>45541.410184594904</v>
      </c>
      <c r="C1872" t="s">
        <v>3</v>
      </c>
      <c r="D1872" t="s">
        <v>604</v>
      </c>
      <c r="E1872" s="5">
        <v>18.12</v>
      </c>
      <c r="F1872" t="s">
        <v>35</v>
      </c>
    </row>
    <row r="1873" spans="1:6">
      <c r="A1873" s="1">
        <v>45541</v>
      </c>
      <c r="B1873" s="2">
        <v>45541.411021018517</v>
      </c>
      <c r="C1873" t="s">
        <v>3</v>
      </c>
      <c r="D1873" t="s">
        <v>604</v>
      </c>
      <c r="E1873" s="5">
        <v>32.82</v>
      </c>
      <c r="F1873" t="s">
        <v>7</v>
      </c>
    </row>
    <row r="1874" spans="1:6">
      <c r="A1874" s="1">
        <v>45541</v>
      </c>
      <c r="B1874" s="2">
        <v>45541.437570011571</v>
      </c>
      <c r="C1874" t="s">
        <v>3</v>
      </c>
      <c r="D1874" t="s">
        <v>605</v>
      </c>
      <c r="E1874" s="5">
        <v>32.82</v>
      </c>
      <c r="F1874" t="s">
        <v>9</v>
      </c>
    </row>
    <row r="1875" spans="1:6">
      <c r="A1875" s="1">
        <v>45542</v>
      </c>
      <c r="B1875" s="2">
        <v>45542.367326550928</v>
      </c>
      <c r="C1875" t="s">
        <v>3</v>
      </c>
      <c r="D1875" t="s">
        <v>606</v>
      </c>
      <c r="E1875" s="5">
        <v>32.82</v>
      </c>
      <c r="F1875" t="s">
        <v>7</v>
      </c>
    </row>
    <row r="1876" spans="1:6">
      <c r="A1876" s="1">
        <v>45542</v>
      </c>
      <c r="B1876" s="2">
        <v>45542.412981631947</v>
      </c>
      <c r="C1876" t="s">
        <v>3</v>
      </c>
      <c r="D1876" t="s">
        <v>607</v>
      </c>
      <c r="E1876" s="5">
        <v>23.02</v>
      </c>
      <c r="F1876" t="s">
        <v>28</v>
      </c>
    </row>
    <row r="1877" spans="1:6">
      <c r="A1877" s="1">
        <v>45542</v>
      </c>
      <c r="B1877" s="2">
        <v>45542.432459699077</v>
      </c>
      <c r="C1877" t="s">
        <v>3</v>
      </c>
      <c r="D1877" t="s">
        <v>608</v>
      </c>
      <c r="E1877" s="5">
        <v>23.02</v>
      </c>
      <c r="F1877" t="s">
        <v>11</v>
      </c>
    </row>
    <row r="1878" spans="1:6">
      <c r="A1878" s="1">
        <v>45542</v>
      </c>
      <c r="B1878" s="2">
        <v>45542.442966840281</v>
      </c>
      <c r="C1878" t="s">
        <v>3</v>
      </c>
      <c r="D1878" t="s">
        <v>609</v>
      </c>
      <c r="E1878" s="5">
        <v>18.12</v>
      </c>
      <c r="F1878" t="s">
        <v>35</v>
      </c>
    </row>
    <row r="1879" spans="1:6">
      <c r="A1879" s="1">
        <v>45542</v>
      </c>
      <c r="B1879" s="2">
        <v>45542.444590358798</v>
      </c>
      <c r="C1879" t="s">
        <v>3</v>
      </c>
      <c r="D1879" t="s">
        <v>609</v>
      </c>
      <c r="E1879" s="5">
        <v>18.12</v>
      </c>
      <c r="F1879" t="s">
        <v>35</v>
      </c>
    </row>
    <row r="1880" spans="1:6">
      <c r="A1880" s="1">
        <v>45542</v>
      </c>
      <c r="B1880" s="2">
        <v>45542.453845150463</v>
      </c>
      <c r="C1880" t="s">
        <v>3</v>
      </c>
      <c r="D1880" t="s">
        <v>610</v>
      </c>
      <c r="E1880" s="5">
        <v>32.82</v>
      </c>
      <c r="F1880" t="s">
        <v>7</v>
      </c>
    </row>
    <row r="1881" spans="1:6">
      <c r="A1881" s="1">
        <v>45542</v>
      </c>
      <c r="B1881" s="2">
        <v>45542.663293206017</v>
      </c>
      <c r="C1881" t="s">
        <v>3</v>
      </c>
      <c r="D1881" t="s">
        <v>611</v>
      </c>
      <c r="E1881" s="5">
        <v>32.82</v>
      </c>
      <c r="F1881" t="s">
        <v>7</v>
      </c>
    </row>
    <row r="1882" spans="1:6">
      <c r="A1882" s="1">
        <v>45542</v>
      </c>
      <c r="B1882" s="2">
        <v>45542.842959166665</v>
      </c>
      <c r="C1882" t="s">
        <v>3</v>
      </c>
      <c r="D1882" t="s">
        <v>612</v>
      </c>
      <c r="E1882" s="5">
        <v>32.82</v>
      </c>
      <c r="F1882" t="s">
        <v>7</v>
      </c>
    </row>
    <row r="1883" spans="1:6">
      <c r="A1883" s="1">
        <v>45542</v>
      </c>
      <c r="B1883" s="2">
        <v>45542.843740879631</v>
      </c>
      <c r="C1883" t="s">
        <v>3</v>
      </c>
      <c r="D1883" t="s">
        <v>612</v>
      </c>
      <c r="E1883" s="5">
        <v>32.82</v>
      </c>
      <c r="F1883" t="s">
        <v>7</v>
      </c>
    </row>
    <row r="1884" spans="1:6">
      <c r="A1884" s="1">
        <v>45572</v>
      </c>
      <c r="B1884" s="2">
        <v>45572.903339293982</v>
      </c>
      <c r="C1884" t="s">
        <v>3</v>
      </c>
      <c r="D1884" t="s">
        <v>612</v>
      </c>
      <c r="E1884" s="5">
        <v>35.76</v>
      </c>
      <c r="F1884" t="s">
        <v>7</v>
      </c>
    </row>
    <row r="1885" spans="1:6">
      <c r="A1885" s="1">
        <v>45544</v>
      </c>
      <c r="B1885" s="2">
        <v>45544.327240324077</v>
      </c>
      <c r="C1885" t="s">
        <v>3</v>
      </c>
      <c r="D1885" t="s">
        <v>613</v>
      </c>
      <c r="E1885" s="5">
        <v>32.82</v>
      </c>
      <c r="F1885" t="s">
        <v>7</v>
      </c>
    </row>
    <row r="1886" spans="1:6">
      <c r="A1886" s="1">
        <v>45544</v>
      </c>
      <c r="B1886" s="2">
        <v>45544.330110925926</v>
      </c>
      <c r="C1886" t="s">
        <v>3</v>
      </c>
      <c r="D1886" t="s">
        <v>613</v>
      </c>
      <c r="E1886" s="5">
        <v>27.92</v>
      </c>
      <c r="F1886" t="s">
        <v>14</v>
      </c>
    </row>
    <row r="1887" spans="1:6">
      <c r="A1887" s="1">
        <v>45544</v>
      </c>
      <c r="B1887" s="2">
        <v>45544.466390300928</v>
      </c>
      <c r="C1887" t="s">
        <v>3</v>
      </c>
      <c r="D1887" t="s">
        <v>614</v>
      </c>
      <c r="E1887" s="5">
        <v>27.92</v>
      </c>
      <c r="F1887" t="s">
        <v>14</v>
      </c>
    </row>
    <row r="1888" spans="1:6">
      <c r="A1888" s="1">
        <v>45544</v>
      </c>
      <c r="B1888" s="2">
        <v>45544.46725277778</v>
      </c>
      <c r="C1888" t="s">
        <v>3</v>
      </c>
      <c r="D1888" t="s">
        <v>615</v>
      </c>
      <c r="E1888" s="5">
        <v>27.92</v>
      </c>
      <c r="F1888" t="s">
        <v>14</v>
      </c>
    </row>
    <row r="1889" spans="1:6">
      <c r="A1889" s="1">
        <v>45544</v>
      </c>
      <c r="B1889" s="2">
        <v>45544.479042164348</v>
      </c>
      <c r="C1889" t="s">
        <v>3</v>
      </c>
      <c r="D1889" t="s">
        <v>616</v>
      </c>
      <c r="E1889" s="5">
        <v>32.82</v>
      </c>
      <c r="F1889" t="s">
        <v>7</v>
      </c>
    </row>
    <row r="1890" spans="1:6">
      <c r="A1890" s="1">
        <v>45556</v>
      </c>
      <c r="B1890" s="2">
        <v>45556.856923321757</v>
      </c>
      <c r="C1890" t="s">
        <v>3</v>
      </c>
      <c r="D1890" t="s">
        <v>616</v>
      </c>
      <c r="E1890" s="5">
        <v>32.82</v>
      </c>
      <c r="F1890" t="s">
        <v>7</v>
      </c>
    </row>
    <row r="1891" spans="1:6">
      <c r="A1891" s="1">
        <v>45556</v>
      </c>
      <c r="B1891" s="2">
        <v>45556.857988067131</v>
      </c>
      <c r="C1891" t="s">
        <v>3</v>
      </c>
      <c r="D1891" t="s">
        <v>616</v>
      </c>
      <c r="E1891" s="5">
        <v>32.82</v>
      </c>
      <c r="F1891" t="s">
        <v>7</v>
      </c>
    </row>
    <row r="1892" spans="1:6">
      <c r="A1892" s="1">
        <v>45564</v>
      </c>
      <c r="B1892" s="2">
        <v>45564.537678067129</v>
      </c>
      <c r="C1892" t="s">
        <v>3</v>
      </c>
      <c r="D1892" t="s">
        <v>616</v>
      </c>
      <c r="E1892" s="5">
        <v>35.76</v>
      </c>
      <c r="F1892" t="s">
        <v>7</v>
      </c>
    </row>
    <row r="1893" spans="1:6">
      <c r="A1893" s="1">
        <v>45544</v>
      </c>
      <c r="B1893" s="2">
        <v>45544.504857141204</v>
      </c>
      <c r="C1893" t="s">
        <v>3</v>
      </c>
      <c r="D1893" t="s">
        <v>617</v>
      </c>
      <c r="E1893" s="5">
        <v>18.12</v>
      </c>
      <c r="F1893" t="s">
        <v>35</v>
      </c>
    </row>
    <row r="1894" spans="1:6">
      <c r="A1894" s="1">
        <v>45544</v>
      </c>
      <c r="B1894" s="2">
        <v>45544.63349266204</v>
      </c>
      <c r="C1894" t="s">
        <v>3</v>
      </c>
      <c r="D1894" t="s">
        <v>618</v>
      </c>
      <c r="E1894" s="5">
        <v>32.82</v>
      </c>
      <c r="F1894" t="s">
        <v>7</v>
      </c>
    </row>
    <row r="1895" spans="1:6">
      <c r="A1895" s="1">
        <v>45544</v>
      </c>
      <c r="B1895" s="2">
        <v>45544.634311539354</v>
      </c>
      <c r="C1895" t="s">
        <v>3</v>
      </c>
      <c r="D1895" t="s">
        <v>618</v>
      </c>
      <c r="E1895" s="5">
        <v>23.02</v>
      </c>
      <c r="F1895" t="s">
        <v>11</v>
      </c>
    </row>
    <row r="1896" spans="1:6">
      <c r="A1896" s="1">
        <v>45544</v>
      </c>
      <c r="B1896" s="2">
        <v>45544.72512023148</v>
      </c>
      <c r="C1896" t="s">
        <v>3</v>
      </c>
      <c r="D1896" t="s">
        <v>619</v>
      </c>
      <c r="E1896" s="5">
        <v>32.82</v>
      </c>
      <c r="F1896" t="s">
        <v>7</v>
      </c>
    </row>
    <row r="1897" spans="1:6">
      <c r="A1897" s="1">
        <v>45544</v>
      </c>
      <c r="B1897" s="2">
        <v>45544.842864861108</v>
      </c>
      <c r="C1897" t="s">
        <v>3</v>
      </c>
      <c r="D1897" t="s">
        <v>620</v>
      </c>
      <c r="E1897" s="5">
        <v>32.82</v>
      </c>
      <c r="F1897" t="s">
        <v>7</v>
      </c>
    </row>
    <row r="1898" spans="1:6">
      <c r="A1898" s="1">
        <v>45545</v>
      </c>
      <c r="B1898" s="2">
        <v>45545.341695023148</v>
      </c>
      <c r="C1898" t="s">
        <v>3</v>
      </c>
      <c r="D1898" t="s">
        <v>621</v>
      </c>
      <c r="E1898" s="5">
        <v>32.82</v>
      </c>
      <c r="F1898" t="s">
        <v>9</v>
      </c>
    </row>
    <row r="1899" spans="1:6">
      <c r="A1899" s="1">
        <v>45545</v>
      </c>
      <c r="B1899" s="2">
        <v>45545.397763726854</v>
      </c>
      <c r="C1899" t="s">
        <v>3</v>
      </c>
      <c r="D1899" t="s">
        <v>622</v>
      </c>
      <c r="E1899" s="5">
        <v>32.82</v>
      </c>
      <c r="F1899" t="s">
        <v>43</v>
      </c>
    </row>
    <row r="1900" spans="1:6">
      <c r="A1900" s="1">
        <v>45545</v>
      </c>
      <c r="B1900" s="2">
        <v>45545.780344444443</v>
      </c>
      <c r="C1900" t="s">
        <v>3</v>
      </c>
      <c r="D1900" t="s">
        <v>623</v>
      </c>
      <c r="E1900" s="5">
        <v>32.82</v>
      </c>
      <c r="F1900" t="s">
        <v>43</v>
      </c>
    </row>
    <row r="1901" spans="1:6">
      <c r="A1901" s="1">
        <v>45545</v>
      </c>
      <c r="B1901" s="2">
        <v>45545.781511851848</v>
      </c>
      <c r="C1901" t="s">
        <v>3</v>
      </c>
      <c r="D1901" t="s">
        <v>624</v>
      </c>
      <c r="E1901" s="5">
        <v>27.92</v>
      </c>
      <c r="F1901" t="s">
        <v>14</v>
      </c>
    </row>
    <row r="1902" spans="1:6">
      <c r="A1902" s="1">
        <v>45545</v>
      </c>
      <c r="B1902" s="2">
        <v>45545.793553553238</v>
      </c>
      <c r="C1902" t="s">
        <v>3</v>
      </c>
      <c r="D1902" t="s">
        <v>625</v>
      </c>
      <c r="E1902" s="5">
        <v>32.82</v>
      </c>
      <c r="F1902" t="s">
        <v>7</v>
      </c>
    </row>
    <row r="1903" spans="1:6">
      <c r="A1903" s="1">
        <v>45545</v>
      </c>
      <c r="B1903" s="2">
        <v>45545.794366400463</v>
      </c>
      <c r="C1903" t="s">
        <v>3</v>
      </c>
      <c r="D1903" t="s">
        <v>625</v>
      </c>
      <c r="E1903" s="5">
        <v>32.82</v>
      </c>
      <c r="F1903" t="s">
        <v>7</v>
      </c>
    </row>
    <row r="1904" spans="1:6">
      <c r="A1904" s="1">
        <v>45546</v>
      </c>
      <c r="B1904" s="2">
        <v>45546.366230381944</v>
      </c>
      <c r="C1904" t="s">
        <v>3</v>
      </c>
      <c r="D1904" t="s">
        <v>626</v>
      </c>
      <c r="E1904" s="5">
        <v>32.82</v>
      </c>
      <c r="F1904" t="s">
        <v>7</v>
      </c>
    </row>
    <row r="1905" spans="1:6">
      <c r="A1905" s="1">
        <v>45597</v>
      </c>
      <c r="B1905" s="2">
        <v>45597.454749710647</v>
      </c>
      <c r="C1905" t="s">
        <v>3</v>
      </c>
      <c r="D1905" t="s">
        <v>626</v>
      </c>
      <c r="E1905" s="5">
        <v>35.76</v>
      </c>
      <c r="F1905" t="s">
        <v>7</v>
      </c>
    </row>
    <row r="1906" spans="1:6">
      <c r="A1906" s="1">
        <v>45640</v>
      </c>
      <c r="B1906" s="2">
        <v>45640.673958136576</v>
      </c>
      <c r="C1906" t="s">
        <v>3</v>
      </c>
      <c r="D1906" t="s">
        <v>626</v>
      </c>
      <c r="E1906" s="5">
        <v>35.76</v>
      </c>
      <c r="F1906" t="s">
        <v>18</v>
      </c>
    </row>
    <row r="1907" spans="1:6">
      <c r="A1907" s="1">
        <v>45546</v>
      </c>
      <c r="B1907" s="2">
        <v>45546.452883993057</v>
      </c>
      <c r="C1907" t="s">
        <v>3</v>
      </c>
      <c r="D1907" t="s">
        <v>627</v>
      </c>
      <c r="E1907" s="5">
        <v>32.82</v>
      </c>
      <c r="F1907" t="s">
        <v>7</v>
      </c>
    </row>
    <row r="1908" spans="1:6">
      <c r="A1908" s="1">
        <v>45546</v>
      </c>
      <c r="B1908" s="2">
        <v>45546.828617326391</v>
      </c>
      <c r="C1908" t="s">
        <v>3</v>
      </c>
      <c r="D1908" t="s">
        <v>628</v>
      </c>
      <c r="E1908" s="5">
        <v>32.82</v>
      </c>
      <c r="F1908" t="s">
        <v>43</v>
      </c>
    </row>
    <row r="1909" spans="1:6">
      <c r="A1909" s="1">
        <v>45547</v>
      </c>
      <c r="B1909" s="2">
        <v>45547.477500752313</v>
      </c>
      <c r="C1909" t="s">
        <v>3</v>
      </c>
      <c r="D1909" t="s">
        <v>629</v>
      </c>
      <c r="E1909" s="5">
        <v>27.92</v>
      </c>
      <c r="F1909" t="s">
        <v>14</v>
      </c>
    </row>
    <row r="1910" spans="1:6">
      <c r="A1910" s="1">
        <v>45547</v>
      </c>
      <c r="B1910" s="2">
        <v>45547.521608761577</v>
      </c>
      <c r="C1910" t="s">
        <v>3</v>
      </c>
      <c r="D1910" t="s">
        <v>630</v>
      </c>
      <c r="E1910" s="5">
        <v>23.02</v>
      </c>
      <c r="F1910" t="s">
        <v>28</v>
      </c>
    </row>
    <row r="1911" spans="1:6">
      <c r="A1911" s="1">
        <v>45547</v>
      </c>
      <c r="B1911" s="2">
        <v>45547.522488206021</v>
      </c>
      <c r="C1911" t="s">
        <v>3</v>
      </c>
      <c r="D1911" t="s">
        <v>630</v>
      </c>
      <c r="E1911" s="5">
        <v>23.02</v>
      </c>
      <c r="F1911" t="s">
        <v>28</v>
      </c>
    </row>
    <row r="1912" spans="1:6">
      <c r="A1912" s="1">
        <v>45547</v>
      </c>
      <c r="B1912" s="2">
        <v>45547.70931972222</v>
      </c>
      <c r="C1912" t="s">
        <v>3</v>
      </c>
      <c r="D1912" t="s">
        <v>631</v>
      </c>
      <c r="E1912" s="5">
        <v>32.82</v>
      </c>
      <c r="F1912" t="s">
        <v>7</v>
      </c>
    </row>
    <row r="1913" spans="1:6">
      <c r="A1913" s="1">
        <v>45547</v>
      </c>
      <c r="B1913" s="2">
        <v>45547.881370509262</v>
      </c>
      <c r="C1913" t="s">
        <v>3</v>
      </c>
      <c r="D1913" t="s">
        <v>632</v>
      </c>
      <c r="E1913" s="5">
        <v>23.02</v>
      </c>
      <c r="F1913" t="s">
        <v>11</v>
      </c>
    </row>
    <row r="1914" spans="1:6">
      <c r="A1914" s="1">
        <v>45547</v>
      </c>
      <c r="B1914" s="2">
        <v>45547.882189340278</v>
      </c>
      <c r="C1914" t="s">
        <v>3</v>
      </c>
      <c r="D1914" t="s">
        <v>632</v>
      </c>
      <c r="E1914" s="5">
        <v>32.82</v>
      </c>
      <c r="F1914" t="s">
        <v>43</v>
      </c>
    </row>
    <row r="1915" spans="1:6">
      <c r="A1915" s="1">
        <v>45548</v>
      </c>
      <c r="B1915" s="2">
        <v>45548.41064105324</v>
      </c>
      <c r="C1915" t="s">
        <v>3</v>
      </c>
      <c r="D1915" t="s">
        <v>633</v>
      </c>
      <c r="E1915" s="5">
        <v>32.82</v>
      </c>
      <c r="F1915" t="s">
        <v>7</v>
      </c>
    </row>
    <row r="1916" spans="1:6">
      <c r="A1916" s="1">
        <v>45550</v>
      </c>
      <c r="B1916" s="2">
        <v>45550.409476168985</v>
      </c>
      <c r="C1916" t="s">
        <v>3</v>
      </c>
      <c r="D1916" t="s">
        <v>634</v>
      </c>
      <c r="E1916" s="5">
        <v>27.92</v>
      </c>
      <c r="F1916" t="s">
        <v>14</v>
      </c>
    </row>
    <row r="1917" spans="1:6">
      <c r="A1917" s="1">
        <v>45552</v>
      </c>
      <c r="B1917" s="2">
        <v>45552.399268055553</v>
      </c>
      <c r="C1917" t="s">
        <v>3</v>
      </c>
      <c r="D1917" t="s">
        <v>634</v>
      </c>
      <c r="E1917" s="5">
        <v>27.92</v>
      </c>
      <c r="F1917" t="s">
        <v>14</v>
      </c>
    </row>
    <row r="1918" spans="1:6">
      <c r="A1918" s="1">
        <v>45598</v>
      </c>
      <c r="B1918" s="2">
        <v>45598.762814583337</v>
      </c>
      <c r="C1918" t="s">
        <v>3</v>
      </c>
      <c r="D1918" t="s">
        <v>634</v>
      </c>
      <c r="E1918" s="5">
        <v>30.86</v>
      </c>
      <c r="F1918" t="s">
        <v>14</v>
      </c>
    </row>
    <row r="1919" spans="1:6">
      <c r="A1919" s="1">
        <v>45660</v>
      </c>
      <c r="B1919" s="2">
        <v>45660.926025000001</v>
      </c>
      <c r="C1919" t="s">
        <v>3</v>
      </c>
      <c r="D1919" t="s">
        <v>634</v>
      </c>
      <c r="E1919" s="5">
        <v>35.76</v>
      </c>
      <c r="F1919" t="s">
        <v>43</v>
      </c>
    </row>
    <row r="1920" spans="1:6">
      <c r="A1920" s="1">
        <v>45551</v>
      </c>
      <c r="B1920" s="2">
        <v>45551.564153645835</v>
      </c>
      <c r="C1920" t="s">
        <v>3</v>
      </c>
      <c r="D1920" t="s">
        <v>635</v>
      </c>
      <c r="E1920" s="5">
        <v>32.82</v>
      </c>
      <c r="F1920" t="s">
        <v>7</v>
      </c>
    </row>
    <row r="1921" spans="1:6">
      <c r="A1921" s="1">
        <v>45551</v>
      </c>
      <c r="B1921" s="2">
        <v>45551.641195138887</v>
      </c>
      <c r="C1921" t="s">
        <v>3</v>
      </c>
      <c r="D1921" t="s">
        <v>635</v>
      </c>
      <c r="E1921" s="5">
        <v>32.82</v>
      </c>
      <c r="F1921" t="s">
        <v>7</v>
      </c>
    </row>
    <row r="1922" spans="1:6">
      <c r="A1922" s="1">
        <v>45552</v>
      </c>
      <c r="B1922" s="2">
        <v>45552.339593703706</v>
      </c>
      <c r="C1922" t="s">
        <v>3</v>
      </c>
      <c r="D1922" t="s">
        <v>635</v>
      </c>
      <c r="E1922" s="5">
        <v>32.82</v>
      </c>
      <c r="F1922" t="s">
        <v>7</v>
      </c>
    </row>
    <row r="1923" spans="1:6">
      <c r="A1923" s="1">
        <v>45551</v>
      </c>
      <c r="B1923" s="2">
        <v>45551.719510810188</v>
      </c>
      <c r="C1923" t="s">
        <v>3</v>
      </c>
      <c r="D1923" t="s">
        <v>636</v>
      </c>
      <c r="E1923" s="5">
        <v>27.92</v>
      </c>
      <c r="F1923" t="s">
        <v>14</v>
      </c>
    </row>
    <row r="1924" spans="1:6">
      <c r="A1924" s="1">
        <v>45599</v>
      </c>
      <c r="B1924" s="2">
        <v>45599.677288252315</v>
      </c>
      <c r="C1924" t="s">
        <v>3</v>
      </c>
      <c r="D1924" t="s">
        <v>636</v>
      </c>
      <c r="E1924" s="5">
        <v>35.76</v>
      </c>
      <c r="F1924" t="s">
        <v>9</v>
      </c>
    </row>
    <row r="1925" spans="1:6">
      <c r="A1925" s="1">
        <v>45599</v>
      </c>
      <c r="B1925" s="2">
        <v>45599.678281793982</v>
      </c>
      <c r="C1925" t="s">
        <v>3</v>
      </c>
      <c r="D1925" t="s">
        <v>636</v>
      </c>
      <c r="E1925" s="5">
        <v>35.76</v>
      </c>
      <c r="F1925" t="s">
        <v>9</v>
      </c>
    </row>
    <row r="1926" spans="1:6">
      <c r="A1926" s="1">
        <v>45602</v>
      </c>
      <c r="B1926" s="2">
        <v>45602.655746469907</v>
      </c>
      <c r="C1926" t="s">
        <v>3</v>
      </c>
      <c r="D1926" t="s">
        <v>636</v>
      </c>
      <c r="E1926" s="5">
        <v>35.76</v>
      </c>
      <c r="F1926" t="s">
        <v>43</v>
      </c>
    </row>
    <row r="1927" spans="1:6">
      <c r="A1927" s="1">
        <v>45551</v>
      </c>
      <c r="B1927" s="2">
        <v>45551.720870960649</v>
      </c>
      <c r="C1927" t="s">
        <v>3</v>
      </c>
      <c r="D1927" t="s">
        <v>637</v>
      </c>
      <c r="E1927" s="5">
        <v>32.82</v>
      </c>
      <c r="F1927" t="s">
        <v>7</v>
      </c>
    </row>
    <row r="1928" spans="1:6">
      <c r="A1928" s="1">
        <v>45551</v>
      </c>
      <c r="B1928" s="2">
        <v>45551.788026018519</v>
      </c>
      <c r="C1928" t="s">
        <v>3</v>
      </c>
      <c r="D1928" t="s">
        <v>638</v>
      </c>
      <c r="E1928" s="5">
        <v>32.82</v>
      </c>
      <c r="F1928" t="s">
        <v>7</v>
      </c>
    </row>
    <row r="1929" spans="1:6">
      <c r="A1929" s="1">
        <v>45551</v>
      </c>
      <c r="B1929" s="2">
        <v>45551.788949942129</v>
      </c>
      <c r="C1929" t="s">
        <v>3</v>
      </c>
      <c r="D1929" t="s">
        <v>639</v>
      </c>
      <c r="E1929" s="5">
        <v>32.82</v>
      </c>
      <c r="F1929" t="s">
        <v>7</v>
      </c>
    </row>
    <row r="1930" spans="1:6">
      <c r="A1930" s="1">
        <v>45551</v>
      </c>
      <c r="B1930" s="2">
        <v>45551.88216079861</v>
      </c>
      <c r="C1930" t="s">
        <v>3</v>
      </c>
      <c r="D1930" t="s">
        <v>640</v>
      </c>
      <c r="E1930" s="5">
        <v>27.92</v>
      </c>
      <c r="F1930" t="s">
        <v>14</v>
      </c>
    </row>
    <row r="1931" spans="1:6">
      <c r="A1931" s="1">
        <v>45551</v>
      </c>
      <c r="B1931" s="2">
        <v>45551.883015046296</v>
      </c>
      <c r="C1931" t="s">
        <v>3</v>
      </c>
      <c r="D1931" t="s">
        <v>640</v>
      </c>
      <c r="E1931" s="5">
        <v>32.82</v>
      </c>
      <c r="F1931" t="s">
        <v>7</v>
      </c>
    </row>
    <row r="1932" spans="1:6">
      <c r="A1932" s="1">
        <v>45552</v>
      </c>
      <c r="B1932" s="2">
        <v>45552.329837118057</v>
      </c>
      <c r="C1932" t="s">
        <v>3</v>
      </c>
      <c r="D1932" t="s">
        <v>641</v>
      </c>
      <c r="E1932" s="5">
        <v>23.02</v>
      </c>
      <c r="F1932" t="s">
        <v>28</v>
      </c>
    </row>
    <row r="1933" spans="1:6">
      <c r="A1933" s="1">
        <v>45554</v>
      </c>
      <c r="B1933" s="2">
        <v>45554.354502858798</v>
      </c>
      <c r="C1933" t="s">
        <v>3</v>
      </c>
      <c r="D1933" t="s">
        <v>641</v>
      </c>
      <c r="E1933" s="5">
        <v>23.02</v>
      </c>
      <c r="F1933" t="s">
        <v>28</v>
      </c>
    </row>
    <row r="1934" spans="1:6">
      <c r="A1934" s="1">
        <v>45552</v>
      </c>
      <c r="B1934" s="2">
        <v>45552.526779722219</v>
      </c>
      <c r="C1934" t="s">
        <v>3</v>
      </c>
      <c r="D1934" t="s">
        <v>642</v>
      </c>
      <c r="E1934" s="5">
        <v>18.12</v>
      </c>
      <c r="F1934" t="s">
        <v>35</v>
      </c>
    </row>
    <row r="1935" spans="1:6">
      <c r="A1935" s="1">
        <v>45552</v>
      </c>
      <c r="B1935" s="2">
        <v>45552.5274731713</v>
      </c>
      <c r="C1935" t="s">
        <v>3</v>
      </c>
      <c r="D1935" t="s">
        <v>642</v>
      </c>
      <c r="E1935" s="5">
        <v>27.92</v>
      </c>
      <c r="F1935" t="s">
        <v>14</v>
      </c>
    </row>
    <row r="1936" spans="1:6">
      <c r="A1936" s="1">
        <v>45552</v>
      </c>
      <c r="B1936" s="2">
        <v>45552.530730925922</v>
      </c>
      <c r="C1936" t="s">
        <v>3</v>
      </c>
      <c r="D1936" t="s">
        <v>643</v>
      </c>
      <c r="E1936" s="5">
        <v>32.82</v>
      </c>
      <c r="F1936" t="s">
        <v>7</v>
      </c>
    </row>
    <row r="1937" spans="1:6">
      <c r="A1937" s="1">
        <v>45552</v>
      </c>
      <c r="B1937" s="2">
        <v>45552.580222696757</v>
      </c>
      <c r="C1937" t="s">
        <v>3</v>
      </c>
      <c r="D1937" t="s">
        <v>644</v>
      </c>
      <c r="E1937" s="5">
        <v>23.02</v>
      </c>
      <c r="F1937" t="s">
        <v>28</v>
      </c>
    </row>
    <row r="1938" spans="1:6">
      <c r="A1938" s="1">
        <v>45552</v>
      </c>
      <c r="B1938" s="2">
        <v>45552.688202731479</v>
      </c>
      <c r="C1938" t="s">
        <v>3</v>
      </c>
      <c r="D1938" t="s">
        <v>644</v>
      </c>
      <c r="E1938" s="5">
        <v>32.82</v>
      </c>
      <c r="F1938" t="s">
        <v>7</v>
      </c>
    </row>
    <row r="1939" spans="1:6">
      <c r="A1939" s="1">
        <v>45552</v>
      </c>
      <c r="B1939" s="2">
        <v>45552.787775266203</v>
      </c>
      <c r="C1939" t="s">
        <v>3</v>
      </c>
      <c r="D1939" t="s">
        <v>645</v>
      </c>
      <c r="E1939" s="5">
        <v>32.82</v>
      </c>
      <c r="F1939" t="s">
        <v>9</v>
      </c>
    </row>
    <row r="1940" spans="1:6">
      <c r="A1940" s="1">
        <v>45559</v>
      </c>
      <c r="B1940" s="2">
        <v>45559.878636458336</v>
      </c>
      <c r="C1940" t="s">
        <v>3</v>
      </c>
      <c r="D1940" t="s">
        <v>645</v>
      </c>
      <c r="E1940" s="5">
        <v>32.82</v>
      </c>
      <c r="F1940" t="s">
        <v>7</v>
      </c>
    </row>
    <row r="1941" spans="1:6">
      <c r="A1941" s="1">
        <v>45565</v>
      </c>
      <c r="B1941" s="2">
        <v>45565.832858715279</v>
      </c>
      <c r="C1941" t="s">
        <v>3</v>
      </c>
      <c r="D1941" t="s">
        <v>645</v>
      </c>
      <c r="E1941" s="5">
        <v>35.76</v>
      </c>
      <c r="F1941" t="s">
        <v>7</v>
      </c>
    </row>
    <row r="1942" spans="1:6">
      <c r="A1942" s="1">
        <v>45552</v>
      </c>
      <c r="B1942" s="2">
        <v>45552.792198067131</v>
      </c>
      <c r="C1942" t="s">
        <v>3</v>
      </c>
      <c r="D1942" t="s">
        <v>646</v>
      </c>
      <c r="E1942" s="5">
        <v>27.92</v>
      </c>
      <c r="F1942" t="s">
        <v>14</v>
      </c>
    </row>
    <row r="1943" spans="1:6">
      <c r="A1943" s="1">
        <v>45552</v>
      </c>
      <c r="B1943" s="2">
        <v>45552.79436659722</v>
      </c>
      <c r="C1943" t="s">
        <v>3</v>
      </c>
      <c r="D1943" t="s">
        <v>647</v>
      </c>
      <c r="E1943" s="5">
        <v>27.92</v>
      </c>
      <c r="F1943" t="s">
        <v>14</v>
      </c>
    </row>
    <row r="1944" spans="1:6">
      <c r="A1944" s="1">
        <v>45565</v>
      </c>
      <c r="B1944" s="2">
        <v>45565.834516099538</v>
      </c>
      <c r="C1944" t="s">
        <v>3</v>
      </c>
      <c r="D1944" t="s">
        <v>647</v>
      </c>
      <c r="E1944" s="5">
        <v>30.86</v>
      </c>
      <c r="F1944" t="s">
        <v>14</v>
      </c>
    </row>
    <row r="1945" spans="1:6">
      <c r="A1945" s="1">
        <v>45552</v>
      </c>
      <c r="B1945" s="2">
        <v>45552.800554456022</v>
      </c>
      <c r="C1945" t="s">
        <v>3</v>
      </c>
      <c r="D1945" t="s">
        <v>648</v>
      </c>
      <c r="E1945" s="5">
        <v>32.82</v>
      </c>
      <c r="F1945" t="s">
        <v>7</v>
      </c>
    </row>
    <row r="1946" spans="1:6">
      <c r="A1946" s="1">
        <v>45552</v>
      </c>
      <c r="B1946" s="2">
        <v>45552.801385902778</v>
      </c>
      <c r="C1946" t="s">
        <v>3</v>
      </c>
      <c r="D1946" t="s">
        <v>648</v>
      </c>
      <c r="E1946" s="5">
        <v>27.92</v>
      </c>
      <c r="F1946" t="s">
        <v>14</v>
      </c>
    </row>
    <row r="1947" spans="1:6">
      <c r="A1947" s="1">
        <v>45552</v>
      </c>
      <c r="B1947" s="2">
        <v>45552.802077696761</v>
      </c>
      <c r="C1947" t="s">
        <v>3</v>
      </c>
      <c r="D1947" t="s">
        <v>648</v>
      </c>
      <c r="E1947" s="5">
        <v>27.92</v>
      </c>
      <c r="F1947" t="s">
        <v>14</v>
      </c>
    </row>
    <row r="1948" spans="1:6">
      <c r="A1948" s="1">
        <v>45559</v>
      </c>
      <c r="B1948" s="2">
        <v>45559.516631516206</v>
      </c>
      <c r="C1948" t="s">
        <v>3</v>
      </c>
      <c r="D1948" t="s">
        <v>648</v>
      </c>
      <c r="E1948" s="5">
        <v>32.82</v>
      </c>
      <c r="F1948" t="s">
        <v>7</v>
      </c>
    </row>
    <row r="1949" spans="1:6">
      <c r="A1949" s="1">
        <v>45559</v>
      </c>
      <c r="B1949" s="2">
        <v>45559.517300347223</v>
      </c>
      <c r="C1949" t="s">
        <v>3</v>
      </c>
      <c r="D1949" t="s">
        <v>648</v>
      </c>
      <c r="E1949" s="5">
        <v>32.82</v>
      </c>
      <c r="F1949" t="s">
        <v>7</v>
      </c>
    </row>
    <row r="1950" spans="1:6">
      <c r="A1950" s="1">
        <v>45672</v>
      </c>
      <c r="B1950" s="2">
        <v>45672.649559293983</v>
      </c>
      <c r="C1950" t="s">
        <v>3</v>
      </c>
      <c r="D1950" t="s">
        <v>648</v>
      </c>
      <c r="E1950" s="5">
        <v>35.76</v>
      </c>
      <c r="F1950" t="s">
        <v>7</v>
      </c>
    </row>
    <row r="1951" spans="1:6">
      <c r="A1951" s="1">
        <v>45672</v>
      </c>
      <c r="B1951" s="2">
        <v>45672.651339432872</v>
      </c>
      <c r="C1951" t="s">
        <v>3</v>
      </c>
      <c r="D1951" t="s">
        <v>648</v>
      </c>
      <c r="E1951" s="5">
        <v>35.76</v>
      </c>
      <c r="F1951" t="s">
        <v>7</v>
      </c>
    </row>
    <row r="1952" spans="1:6">
      <c r="A1952" s="1">
        <v>45552</v>
      </c>
      <c r="B1952" s="2">
        <v>45552.813858425929</v>
      </c>
      <c r="C1952" t="s">
        <v>3</v>
      </c>
      <c r="D1952" t="s">
        <v>649</v>
      </c>
      <c r="E1952" s="5">
        <v>27.92</v>
      </c>
      <c r="F1952" t="s">
        <v>14</v>
      </c>
    </row>
    <row r="1953" spans="1:6">
      <c r="A1953" s="1">
        <v>45552</v>
      </c>
      <c r="B1953" s="2">
        <v>45552.930277557869</v>
      </c>
      <c r="C1953" t="s">
        <v>3</v>
      </c>
      <c r="D1953" t="s">
        <v>650</v>
      </c>
      <c r="E1953" s="5">
        <v>32.82</v>
      </c>
      <c r="F1953" t="s">
        <v>9</v>
      </c>
    </row>
    <row r="1954" spans="1:6">
      <c r="A1954" s="1">
        <v>45571</v>
      </c>
      <c r="B1954" s="2">
        <v>45571.882468217591</v>
      </c>
      <c r="C1954" t="s">
        <v>3</v>
      </c>
      <c r="D1954" t="s">
        <v>650</v>
      </c>
      <c r="E1954" s="5">
        <v>35.76</v>
      </c>
      <c r="F1954" t="s">
        <v>9</v>
      </c>
    </row>
    <row r="1955" spans="1:6">
      <c r="A1955" s="1">
        <v>45572</v>
      </c>
      <c r="B1955" s="2">
        <v>45572.885209837965</v>
      </c>
      <c r="C1955" t="s">
        <v>3</v>
      </c>
      <c r="D1955" t="s">
        <v>650</v>
      </c>
      <c r="E1955" s="5">
        <v>35.76</v>
      </c>
      <c r="F1955" t="s">
        <v>9</v>
      </c>
    </row>
    <row r="1956" spans="1:6">
      <c r="A1956" s="1">
        <v>45572</v>
      </c>
      <c r="B1956" s="2">
        <v>45572.885649560187</v>
      </c>
      <c r="C1956" t="s">
        <v>3</v>
      </c>
      <c r="D1956" t="s">
        <v>650</v>
      </c>
      <c r="E1956" s="5">
        <v>35.76</v>
      </c>
      <c r="F1956" t="s">
        <v>9</v>
      </c>
    </row>
    <row r="1957" spans="1:6">
      <c r="A1957" s="1">
        <v>45648</v>
      </c>
      <c r="B1957" s="2">
        <v>45648.851814027781</v>
      </c>
      <c r="C1957" t="s">
        <v>3</v>
      </c>
      <c r="D1957" t="s">
        <v>650</v>
      </c>
      <c r="E1957" s="5">
        <v>35.76</v>
      </c>
      <c r="F1957" t="s">
        <v>9</v>
      </c>
    </row>
    <row r="1958" spans="1:6">
      <c r="A1958" s="1">
        <v>45552</v>
      </c>
      <c r="B1958" s="2">
        <v>45552.930780671297</v>
      </c>
      <c r="C1958" t="s">
        <v>3</v>
      </c>
      <c r="D1958" t="s">
        <v>651</v>
      </c>
      <c r="E1958" s="5">
        <v>32.82</v>
      </c>
      <c r="F1958" t="s">
        <v>9</v>
      </c>
    </row>
    <row r="1959" spans="1:6">
      <c r="A1959" s="1">
        <v>45557</v>
      </c>
      <c r="B1959" s="2">
        <v>45557.912547430555</v>
      </c>
      <c r="C1959" t="s">
        <v>3</v>
      </c>
      <c r="D1959" t="s">
        <v>651</v>
      </c>
      <c r="E1959" s="5">
        <v>32.82</v>
      </c>
      <c r="F1959" t="s">
        <v>9</v>
      </c>
    </row>
    <row r="1960" spans="1:6">
      <c r="A1960" s="1">
        <v>45557</v>
      </c>
      <c r="B1960" s="2">
        <v>45557.913130752313</v>
      </c>
      <c r="C1960" t="s">
        <v>3</v>
      </c>
      <c r="D1960" t="s">
        <v>651</v>
      </c>
      <c r="E1960" s="5">
        <v>32.82</v>
      </c>
      <c r="F1960" t="s">
        <v>9</v>
      </c>
    </row>
    <row r="1961" spans="1:6">
      <c r="A1961" s="1">
        <v>45566</v>
      </c>
      <c r="B1961" s="2">
        <v>45566.67267359954</v>
      </c>
      <c r="C1961" t="s">
        <v>3</v>
      </c>
      <c r="D1961" t="s">
        <v>651</v>
      </c>
      <c r="E1961" s="5">
        <v>35.76</v>
      </c>
      <c r="F1961" t="s">
        <v>9</v>
      </c>
    </row>
    <row r="1962" spans="1:6">
      <c r="A1962" s="1">
        <v>45567</v>
      </c>
      <c r="B1962" s="2">
        <v>45567.929807627312</v>
      </c>
      <c r="C1962" t="s">
        <v>3</v>
      </c>
      <c r="D1962" t="s">
        <v>651</v>
      </c>
      <c r="E1962" s="5">
        <v>35.76</v>
      </c>
      <c r="F1962" t="s">
        <v>9</v>
      </c>
    </row>
    <row r="1963" spans="1:6">
      <c r="A1963" s="1">
        <v>45567</v>
      </c>
      <c r="B1963" s="2">
        <v>45567.93033210648</v>
      </c>
      <c r="C1963" t="s">
        <v>3</v>
      </c>
      <c r="D1963" t="s">
        <v>651</v>
      </c>
      <c r="E1963" s="5">
        <v>35.76</v>
      </c>
      <c r="F1963" t="s">
        <v>9</v>
      </c>
    </row>
    <row r="1964" spans="1:6">
      <c r="A1964" s="1">
        <v>45568</v>
      </c>
      <c r="B1964" s="2">
        <v>45568.889656203704</v>
      </c>
      <c r="C1964" t="s">
        <v>3</v>
      </c>
      <c r="D1964" t="s">
        <v>651</v>
      </c>
      <c r="E1964" s="5">
        <v>35.76</v>
      </c>
      <c r="F1964" t="s">
        <v>9</v>
      </c>
    </row>
    <row r="1965" spans="1:6">
      <c r="A1965" s="1">
        <v>45568</v>
      </c>
      <c r="B1965" s="2">
        <v>45568.890124745369</v>
      </c>
      <c r="C1965" t="s">
        <v>3</v>
      </c>
      <c r="D1965" t="s">
        <v>651</v>
      </c>
      <c r="E1965" s="5">
        <v>35.76</v>
      </c>
      <c r="F1965" t="s">
        <v>9</v>
      </c>
    </row>
    <row r="1966" spans="1:6">
      <c r="A1966" s="1">
        <v>45571</v>
      </c>
      <c r="B1966" s="2">
        <v>45571.886676805552</v>
      </c>
      <c r="C1966" t="s">
        <v>3</v>
      </c>
      <c r="D1966" t="s">
        <v>651</v>
      </c>
      <c r="E1966" s="5">
        <v>35.76</v>
      </c>
      <c r="F1966" t="s">
        <v>7</v>
      </c>
    </row>
    <row r="1967" spans="1:6">
      <c r="A1967" s="1">
        <v>45575</v>
      </c>
      <c r="B1967" s="2">
        <v>45575.939779814813</v>
      </c>
      <c r="C1967" t="s">
        <v>3</v>
      </c>
      <c r="D1967" t="s">
        <v>651</v>
      </c>
      <c r="E1967" s="5">
        <v>35.76</v>
      </c>
      <c r="F1967" t="s">
        <v>9</v>
      </c>
    </row>
    <row r="1968" spans="1:6">
      <c r="A1968" s="1">
        <v>45575</v>
      </c>
      <c r="B1968" s="2">
        <v>45575.940274641202</v>
      </c>
      <c r="C1968" t="s">
        <v>3</v>
      </c>
      <c r="D1968" t="s">
        <v>651</v>
      </c>
      <c r="E1968" s="5">
        <v>35.76</v>
      </c>
      <c r="F1968" t="s">
        <v>9</v>
      </c>
    </row>
    <row r="1969" spans="1:6">
      <c r="A1969" s="1">
        <v>45589</v>
      </c>
      <c r="B1969" s="2">
        <v>45589.914121099537</v>
      </c>
      <c r="C1969" t="s">
        <v>3</v>
      </c>
      <c r="D1969" t="s">
        <v>651</v>
      </c>
      <c r="E1969" s="5">
        <v>35.76</v>
      </c>
      <c r="F1969" t="s">
        <v>9</v>
      </c>
    </row>
    <row r="1970" spans="1:6">
      <c r="A1970" s="1">
        <v>45589</v>
      </c>
      <c r="B1970" s="2">
        <v>45589.914699398149</v>
      </c>
      <c r="C1970" t="s">
        <v>3</v>
      </c>
      <c r="D1970" t="s">
        <v>651</v>
      </c>
      <c r="E1970" s="5">
        <v>35.76</v>
      </c>
      <c r="F1970" t="s">
        <v>43</v>
      </c>
    </row>
    <row r="1971" spans="1:6">
      <c r="A1971" s="1">
        <v>45601</v>
      </c>
      <c r="B1971" s="2">
        <v>45601.92072454861</v>
      </c>
      <c r="C1971" t="s">
        <v>3</v>
      </c>
      <c r="D1971" t="s">
        <v>651</v>
      </c>
      <c r="E1971" s="5">
        <v>35.76</v>
      </c>
      <c r="F1971" t="s">
        <v>9</v>
      </c>
    </row>
    <row r="1972" spans="1:6">
      <c r="A1972" s="1">
        <v>45601</v>
      </c>
      <c r="B1972" s="2">
        <v>45601.92128440972</v>
      </c>
      <c r="C1972" t="s">
        <v>3</v>
      </c>
      <c r="D1972" t="s">
        <v>651</v>
      </c>
      <c r="E1972" s="5">
        <v>30.86</v>
      </c>
      <c r="F1972" t="s">
        <v>14</v>
      </c>
    </row>
    <row r="1973" spans="1:6">
      <c r="A1973" s="1">
        <v>45621</v>
      </c>
      <c r="B1973" s="2">
        <v>45621.904342766204</v>
      </c>
      <c r="C1973" t="s">
        <v>3</v>
      </c>
      <c r="D1973" t="s">
        <v>651</v>
      </c>
      <c r="E1973" s="5">
        <v>35.76</v>
      </c>
      <c r="F1973" t="s">
        <v>9</v>
      </c>
    </row>
    <row r="1974" spans="1:6">
      <c r="A1974" s="1">
        <v>45621</v>
      </c>
      <c r="B1974" s="2">
        <v>45621.904866319448</v>
      </c>
      <c r="C1974" t="s">
        <v>3</v>
      </c>
      <c r="D1974" t="s">
        <v>651</v>
      </c>
      <c r="E1974" s="5">
        <v>35.76</v>
      </c>
      <c r="F1974" t="s">
        <v>43</v>
      </c>
    </row>
    <row r="1975" spans="1:6">
      <c r="A1975" s="1">
        <v>45553</v>
      </c>
      <c r="B1975" s="2">
        <v>45553.604038171296</v>
      </c>
      <c r="C1975" t="s">
        <v>3</v>
      </c>
      <c r="D1975" t="s">
        <v>652</v>
      </c>
      <c r="E1975" s="5">
        <v>32.82</v>
      </c>
      <c r="F1975" t="s">
        <v>7</v>
      </c>
    </row>
    <row r="1976" spans="1:6">
      <c r="A1976" s="1">
        <v>45553</v>
      </c>
      <c r="B1976" s="2">
        <v>45553.732172048614</v>
      </c>
      <c r="C1976" t="s">
        <v>3</v>
      </c>
      <c r="D1976" t="s">
        <v>653</v>
      </c>
      <c r="E1976" s="5">
        <v>32.82</v>
      </c>
      <c r="F1976" t="s">
        <v>7</v>
      </c>
    </row>
    <row r="1977" spans="1:6">
      <c r="A1977" s="1">
        <v>45554</v>
      </c>
      <c r="B1977" s="2">
        <v>45554.573407025462</v>
      </c>
      <c r="C1977" t="s">
        <v>3</v>
      </c>
      <c r="D1977" t="s">
        <v>654</v>
      </c>
      <c r="E1977" s="5">
        <v>23.02</v>
      </c>
      <c r="F1977" t="s">
        <v>28</v>
      </c>
    </row>
    <row r="1978" spans="1:6">
      <c r="A1978" s="1">
        <v>45555</v>
      </c>
      <c r="B1978" s="2">
        <v>45555.407122685188</v>
      </c>
      <c r="C1978" t="s">
        <v>3</v>
      </c>
      <c r="D1978" t="s">
        <v>655</v>
      </c>
      <c r="E1978" s="5">
        <v>27.92</v>
      </c>
      <c r="F1978" t="s">
        <v>14</v>
      </c>
    </row>
    <row r="1979" spans="1:6">
      <c r="A1979" s="1">
        <v>45558</v>
      </c>
      <c r="B1979" s="2">
        <v>45558.926047604167</v>
      </c>
      <c r="C1979" t="s">
        <v>3</v>
      </c>
      <c r="D1979" t="s">
        <v>655</v>
      </c>
      <c r="E1979" s="5">
        <v>27.92</v>
      </c>
      <c r="F1979" t="s">
        <v>14</v>
      </c>
    </row>
    <row r="1980" spans="1:6">
      <c r="A1980" s="1">
        <v>45558</v>
      </c>
      <c r="B1980" s="2">
        <v>45558.92725645833</v>
      </c>
      <c r="C1980" t="s">
        <v>3</v>
      </c>
      <c r="D1980" t="s">
        <v>655</v>
      </c>
      <c r="E1980" s="5">
        <v>27.92</v>
      </c>
      <c r="F1980" t="s">
        <v>14</v>
      </c>
    </row>
    <row r="1981" spans="1:6">
      <c r="A1981" s="1">
        <v>45555</v>
      </c>
      <c r="B1981" s="2">
        <v>45555.669092719909</v>
      </c>
      <c r="C1981" t="s">
        <v>3</v>
      </c>
      <c r="D1981" t="s">
        <v>656</v>
      </c>
      <c r="E1981" s="5">
        <v>32.82</v>
      </c>
      <c r="F1981" t="s">
        <v>7</v>
      </c>
    </row>
    <row r="1982" spans="1:6">
      <c r="A1982" s="1">
        <v>45555</v>
      </c>
      <c r="B1982" s="2">
        <v>45555.860684363426</v>
      </c>
      <c r="C1982" t="s">
        <v>3</v>
      </c>
      <c r="D1982" t="s">
        <v>657</v>
      </c>
      <c r="E1982" s="5">
        <v>23.02</v>
      </c>
      <c r="F1982" t="s">
        <v>11</v>
      </c>
    </row>
    <row r="1983" spans="1:6">
      <c r="A1983" s="1">
        <v>45556</v>
      </c>
      <c r="B1983" s="2">
        <v>45556.459200787038</v>
      </c>
      <c r="C1983" t="s">
        <v>3</v>
      </c>
      <c r="D1983" t="s">
        <v>658</v>
      </c>
      <c r="E1983" s="5">
        <v>32.82</v>
      </c>
      <c r="F1983" t="s">
        <v>7</v>
      </c>
    </row>
    <row r="1984" spans="1:6">
      <c r="A1984" s="1">
        <v>45556</v>
      </c>
      <c r="B1984" s="2">
        <v>45556.459881967596</v>
      </c>
      <c r="C1984" t="s">
        <v>3</v>
      </c>
      <c r="D1984" t="s">
        <v>658</v>
      </c>
      <c r="E1984" s="5">
        <v>32.82</v>
      </c>
      <c r="F1984" t="s">
        <v>18</v>
      </c>
    </row>
    <row r="1985" spans="1:6">
      <c r="A1985" s="1">
        <v>45556</v>
      </c>
      <c r="B1985" s="2">
        <v>45556.632052870373</v>
      </c>
      <c r="C1985" t="s">
        <v>3</v>
      </c>
      <c r="D1985" t="s">
        <v>659</v>
      </c>
      <c r="E1985" s="5">
        <v>32.82</v>
      </c>
      <c r="F1985" t="s">
        <v>43</v>
      </c>
    </row>
    <row r="1986" spans="1:6">
      <c r="A1986" s="1">
        <v>45556</v>
      </c>
      <c r="B1986" s="2">
        <v>45556.650157511576</v>
      </c>
      <c r="C1986" t="s">
        <v>3</v>
      </c>
      <c r="D1986" t="s">
        <v>660</v>
      </c>
      <c r="E1986" s="5">
        <v>32.82</v>
      </c>
      <c r="F1986" t="s">
        <v>7</v>
      </c>
    </row>
    <row r="1987" spans="1:6">
      <c r="A1987" s="1">
        <v>45556</v>
      </c>
      <c r="B1987" s="2">
        <v>45556.929700092594</v>
      </c>
      <c r="C1987" t="s">
        <v>3</v>
      </c>
      <c r="D1987" t="s">
        <v>661</v>
      </c>
      <c r="E1987" s="5">
        <v>27.92</v>
      </c>
      <c r="F1987" t="s">
        <v>14</v>
      </c>
    </row>
    <row r="1988" spans="1:6">
      <c r="A1988" s="1">
        <v>45556</v>
      </c>
      <c r="B1988" s="2">
        <v>45556.930441296296</v>
      </c>
      <c r="C1988" t="s">
        <v>3</v>
      </c>
      <c r="D1988" t="s">
        <v>661</v>
      </c>
      <c r="E1988" s="5">
        <v>23.02</v>
      </c>
      <c r="F1988" t="s">
        <v>11</v>
      </c>
    </row>
    <row r="1989" spans="1:6">
      <c r="A1989" s="1">
        <v>45556</v>
      </c>
      <c r="B1989" s="2">
        <v>45556.931115277781</v>
      </c>
      <c r="C1989" t="s">
        <v>3</v>
      </c>
      <c r="D1989" t="s">
        <v>661</v>
      </c>
      <c r="E1989" s="5">
        <v>23.02</v>
      </c>
      <c r="F1989" t="s">
        <v>11</v>
      </c>
    </row>
    <row r="1990" spans="1:6">
      <c r="A1990" s="1">
        <v>45557</v>
      </c>
      <c r="B1990" s="2">
        <v>45557.356182546297</v>
      </c>
      <c r="C1990" t="s">
        <v>3</v>
      </c>
      <c r="D1990" t="s">
        <v>662</v>
      </c>
      <c r="E1990" s="5">
        <v>23.02</v>
      </c>
      <c r="F1990" t="s">
        <v>11</v>
      </c>
    </row>
    <row r="1991" spans="1:6">
      <c r="A1991" s="1">
        <v>45557</v>
      </c>
      <c r="B1991" s="2">
        <v>45557.42511300926</v>
      </c>
      <c r="C1991" t="s">
        <v>3</v>
      </c>
      <c r="D1991" t="s">
        <v>663</v>
      </c>
      <c r="E1991" s="5">
        <v>27.92</v>
      </c>
      <c r="F1991" t="s">
        <v>14</v>
      </c>
    </row>
    <row r="1992" spans="1:6">
      <c r="A1992" s="1">
        <v>45557</v>
      </c>
      <c r="B1992" s="2">
        <v>45557.425793819442</v>
      </c>
      <c r="C1992" t="s">
        <v>3</v>
      </c>
      <c r="D1992" t="s">
        <v>663</v>
      </c>
      <c r="E1992" s="5">
        <v>32.82</v>
      </c>
      <c r="F1992" t="s">
        <v>7</v>
      </c>
    </row>
    <row r="1993" spans="1:6">
      <c r="A1993" s="1">
        <v>45557</v>
      </c>
      <c r="B1993" s="2">
        <v>45557.462804479168</v>
      </c>
      <c r="C1993" t="s">
        <v>3</v>
      </c>
      <c r="D1993" t="s">
        <v>664</v>
      </c>
      <c r="E1993" s="5">
        <v>23.02</v>
      </c>
      <c r="F1993" t="s">
        <v>28</v>
      </c>
    </row>
    <row r="1994" spans="1:6">
      <c r="A1994" s="1">
        <v>45557</v>
      </c>
      <c r="B1994" s="2">
        <v>45557.463615509259</v>
      </c>
      <c r="C1994" t="s">
        <v>3</v>
      </c>
      <c r="D1994" t="s">
        <v>664</v>
      </c>
      <c r="E1994" s="5">
        <v>23.02</v>
      </c>
      <c r="F1994" t="s">
        <v>28</v>
      </c>
    </row>
    <row r="1995" spans="1:6">
      <c r="A1995" s="1">
        <v>45569</v>
      </c>
      <c r="B1995" s="2">
        <v>45569.41248353009</v>
      </c>
      <c r="C1995" t="s">
        <v>3</v>
      </c>
      <c r="D1995" t="s">
        <v>664</v>
      </c>
      <c r="E1995" s="5">
        <v>25.96</v>
      </c>
      <c r="F1995" t="s">
        <v>28</v>
      </c>
    </row>
    <row r="1996" spans="1:6">
      <c r="A1996" s="1">
        <v>45569</v>
      </c>
      <c r="B1996" s="2">
        <v>45569.413247187498</v>
      </c>
      <c r="C1996" t="s">
        <v>3</v>
      </c>
      <c r="D1996" t="s">
        <v>664</v>
      </c>
      <c r="E1996" s="5">
        <v>25.96</v>
      </c>
      <c r="F1996" t="s">
        <v>28</v>
      </c>
    </row>
    <row r="1997" spans="1:6">
      <c r="A1997" s="1">
        <v>45577</v>
      </c>
      <c r="B1997" s="2">
        <v>45577.438644664355</v>
      </c>
      <c r="C1997" t="s">
        <v>3</v>
      </c>
      <c r="D1997" t="s">
        <v>664</v>
      </c>
      <c r="E1997" s="5">
        <v>25.96</v>
      </c>
      <c r="F1997" t="s">
        <v>28</v>
      </c>
    </row>
    <row r="1998" spans="1:6">
      <c r="A1998" s="1">
        <v>45577</v>
      </c>
      <c r="B1998" s="2">
        <v>45577.439531504628</v>
      </c>
      <c r="C1998" t="s">
        <v>3</v>
      </c>
      <c r="D1998" t="s">
        <v>664</v>
      </c>
      <c r="E1998" s="5">
        <v>25.96</v>
      </c>
      <c r="F1998" t="s">
        <v>28</v>
      </c>
    </row>
    <row r="1999" spans="1:6">
      <c r="A1999" s="1">
        <v>45578</v>
      </c>
      <c r="B1999" s="2">
        <v>45578.564230555552</v>
      </c>
      <c r="C1999" t="s">
        <v>3</v>
      </c>
      <c r="D1999" t="s">
        <v>664</v>
      </c>
      <c r="E1999" s="5">
        <v>25.96</v>
      </c>
      <c r="F1999" t="s">
        <v>28</v>
      </c>
    </row>
    <row r="2000" spans="1:6">
      <c r="A2000" s="1">
        <v>45578</v>
      </c>
      <c r="B2000" s="2">
        <v>45578.564923437501</v>
      </c>
      <c r="C2000" t="s">
        <v>3</v>
      </c>
      <c r="D2000" t="s">
        <v>664</v>
      </c>
      <c r="E2000" s="5">
        <v>21.06</v>
      </c>
      <c r="F2000" t="s">
        <v>35</v>
      </c>
    </row>
    <row r="2001" spans="1:6">
      <c r="A2001" s="1">
        <v>45578</v>
      </c>
      <c r="B2001" s="2">
        <v>45578.565577627312</v>
      </c>
      <c r="C2001" t="s">
        <v>3</v>
      </c>
      <c r="D2001" t="s">
        <v>664</v>
      </c>
      <c r="E2001" s="5">
        <v>25.96</v>
      </c>
      <c r="F2001" t="s">
        <v>28</v>
      </c>
    </row>
    <row r="2002" spans="1:6">
      <c r="A2002" s="1">
        <v>45585</v>
      </c>
      <c r="B2002" s="2">
        <v>45585.603310694445</v>
      </c>
      <c r="C2002" t="s">
        <v>3</v>
      </c>
      <c r="D2002" t="s">
        <v>664</v>
      </c>
      <c r="E2002" s="5">
        <v>35.76</v>
      </c>
      <c r="F2002" t="s">
        <v>9</v>
      </c>
    </row>
    <row r="2003" spans="1:6">
      <c r="A2003" s="1">
        <v>45585</v>
      </c>
      <c r="B2003" s="2">
        <v>45585.60397621528</v>
      </c>
      <c r="C2003" t="s">
        <v>3</v>
      </c>
      <c r="D2003" t="s">
        <v>664</v>
      </c>
      <c r="E2003" s="5">
        <v>25.96</v>
      </c>
      <c r="F2003" t="s">
        <v>28</v>
      </c>
    </row>
    <row r="2004" spans="1:6">
      <c r="A2004" s="1">
        <v>45557</v>
      </c>
      <c r="B2004" s="2">
        <v>45557.494443148149</v>
      </c>
      <c r="C2004" t="s">
        <v>3</v>
      </c>
      <c r="D2004" t="s">
        <v>665</v>
      </c>
      <c r="E2004" s="5">
        <v>27.92</v>
      </c>
      <c r="F2004" t="s">
        <v>14</v>
      </c>
    </row>
    <row r="2005" spans="1:6">
      <c r="A2005" s="1">
        <v>45557</v>
      </c>
      <c r="B2005" s="2">
        <v>45557.648727997686</v>
      </c>
      <c r="C2005" t="s">
        <v>3</v>
      </c>
      <c r="D2005" t="s">
        <v>666</v>
      </c>
      <c r="E2005" s="5">
        <v>32.82</v>
      </c>
      <c r="F2005" t="s">
        <v>7</v>
      </c>
    </row>
    <row r="2006" spans="1:6">
      <c r="A2006" s="1">
        <v>45557</v>
      </c>
      <c r="B2006" s="2">
        <v>45557.649586041669</v>
      </c>
      <c r="C2006" t="s">
        <v>3</v>
      </c>
      <c r="D2006" t="s">
        <v>666</v>
      </c>
      <c r="E2006" s="5">
        <v>27.92</v>
      </c>
      <c r="F2006" t="s">
        <v>14</v>
      </c>
    </row>
    <row r="2007" spans="1:6">
      <c r="A2007" s="1">
        <v>45557</v>
      </c>
      <c r="B2007" s="2">
        <v>45557.684067916663</v>
      </c>
      <c r="C2007" t="s">
        <v>3</v>
      </c>
      <c r="D2007" t="s">
        <v>667</v>
      </c>
      <c r="E2007" s="5">
        <v>32.82</v>
      </c>
      <c r="F2007" t="s">
        <v>18</v>
      </c>
    </row>
    <row r="2008" spans="1:6">
      <c r="A2008" s="1">
        <v>45557</v>
      </c>
      <c r="B2008" s="2">
        <v>45557.846644467594</v>
      </c>
      <c r="C2008" t="s">
        <v>3</v>
      </c>
      <c r="D2008" t="s">
        <v>668</v>
      </c>
      <c r="E2008" s="5">
        <v>32.82</v>
      </c>
      <c r="F2008" t="s">
        <v>7</v>
      </c>
    </row>
    <row r="2009" spans="1:6">
      <c r="A2009" s="1">
        <v>45557</v>
      </c>
      <c r="B2009" s="2">
        <v>45557.847634131947</v>
      </c>
      <c r="C2009" t="s">
        <v>3</v>
      </c>
      <c r="D2009" t="s">
        <v>668</v>
      </c>
      <c r="E2009" s="5">
        <v>32.82</v>
      </c>
      <c r="F2009" t="s">
        <v>43</v>
      </c>
    </row>
    <row r="2010" spans="1:6">
      <c r="A2010" s="1">
        <v>45557</v>
      </c>
      <c r="B2010" s="2">
        <v>45557.879916597223</v>
      </c>
      <c r="C2010" t="s">
        <v>3</v>
      </c>
      <c r="D2010" t="s">
        <v>669</v>
      </c>
      <c r="E2010" s="5">
        <v>27.92</v>
      </c>
      <c r="F2010" t="s">
        <v>14</v>
      </c>
    </row>
    <row r="2011" spans="1:6">
      <c r="A2011" s="1">
        <v>45557</v>
      </c>
      <c r="B2011" s="2">
        <v>45557.880726828706</v>
      </c>
      <c r="C2011" t="s">
        <v>3</v>
      </c>
      <c r="D2011" t="s">
        <v>669</v>
      </c>
      <c r="E2011" s="5">
        <v>27.92</v>
      </c>
      <c r="F2011" t="s">
        <v>14</v>
      </c>
    </row>
    <row r="2012" spans="1:6">
      <c r="A2012" s="1">
        <v>45557</v>
      </c>
      <c r="B2012" s="2">
        <v>45557.942388703705</v>
      </c>
      <c r="C2012" t="s">
        <v>3</v>
      </c>
      <c r="D2012" t="s">
        <v>670</v>
      </c>
      <c r="E2012" s="5">
        <v>23.02</v>
      </c>
      <c r="F2012" t="s">
        <v>11</v>
      </c>
    </row>
    <row r="2013" spans="1:6">
      <c r="A2013" s="1">
        <v>45557</v>
      </c>
      <c r="B2013" s="2">
        <v>45557.943037106481</v>
      </c>
      <c r="C2013" t="s">
        <v>3</v>
      </c>
      <c r="D2013" t="s">
        <v>671</v>
      </c>
      <c r="E2013" s="5">
        <v>27.92</v>
      </c>
      <c r="F2013" t="s">
        <v>14</v>
      </c>
    </row>
    <row r="2014" spans="1:6">
      <c r="A2014" s="1">
        <v>45558</v>
      </c>
      <c r="B2014" s="2">
        <v>45558.72763415509</v>
      </c>
      <c r="C2014" t="s">
        <v>3</v>
      </c>
      <c r="D2014" t="s">
        <v>672</v>
      </c>
      <c r="E2014" s="5">
        <v>32.82</v>
      </c>
      <c r="F2014" t="s">
        <v>43</v>
      </c>
    </row>
    <row r="2015" spans="1:6">
      <c r="A2015" s="1">
        <v>45574</v>
      </c>
      <c r="B2015" s="2">
        <v>45574.726902442133</v>
      </c>
      <c r="C2015" t="s">
        <v>3</v>
      </c>
      <c r="D2015" t="s">
        <v>672</v>
      </c>
      <c r="E2015" s="5">
        <v>35.76</v>
      </c>
      <c r="F2015" t="s">
        <v>43</v>
      </c>
    </row>
    <row r="2016" spans="1:6">
      <c r="A2016" s="1">
        <v>45574</v>
      </c>
      <c r="B2016" s="2">
        <v>45574.727649074077</v>
      </c>
      <c r="C2016" t="s">
        <v>3</v>
      </c>
      <c r="D2016" t="s">
        <v>672</v>
      </c>
      <c r="E2016" s="5">
        <v>25.96</v>
      </c>
      <c r="F2016" t="s">
        <v>11</v>
      </c>
    </row>
    <row r="2017" spans="1:6">
      <c r="A2017" s="1">
        <v>45558</v>
      </c>
      <c r="B2017" s="2">
        <v>45558.783685601855</v>
      </c>
      <c r="C2017" t="s">
        <v>3</v>
      </c>
      <c r="D2017" t="s">
        <v>673</v>
      </c>
      <c r="E2017" s="5">
        <v>23.02</v>
      </c>
      <c r="F2017" t="s">
        <v>11</v>
      </c>
    </row>
    <row r="2018" spans="1:6">
      <c r="A2018" s="1">
        <v>45559</v>
      </c>
      <c r="B2018" s="2">
        <v>45559.532458368056</v>
      </c>
      <c r="C2018" t="s">
        <v>3</v>
      </c>
      <c r="D2018" t="s">
        <v>674</v>
      </c>
      <c r="E2018" s="5">
        <v>32.82</v>
      </c>
      <c r="F2018" t="s">
        <v>7</v>
      </c>
    </row>
    <row r="2019" spans="1:6">
      <c r="A2019" s="1">
        <v>45559</v>
      </c>
      <c r="B2019" s="2">
        <v>45559.533210925925</v>
      </c>
      <c r="C2019" t="s">
        <v>3</v>
      </c>
      <c r="D2019" t="s">
        <v>674</v>
      </c>
      <c r="E2019" s="5">
        <v>32.82</v>
      </c>
      <c r="F2019" t="s">
        <v>7</v>
      </c>
    </row>
    <row r="2020" spans="1:6">
      <c r="A2020" s="1">
        <v>45559</v>
      </c>
      <c r="B2020" s="2">
        <v>45559.591427534724</v>
      </c>
      <c r="C2020" t="s">
        <v>3</v>
      </c>
      <c r="D2020" t="s">
        <v>675</v>
      </c>
      <c r="E2020" s="5">
        <v>32.82</v>
      </c>
      <c r="F2020" t="s">
        <v>7</v>
      </c>
    </row>
    <row r="2021" spans="1:6">
      <c r="A2021" s="1">
        <v>45559</v>
      </c>
      <c r="B2021" s="2">
        <v>45559.605193761578</v>
      </c>
      <c r="C2021" t="s">
        <v>3</v>
      </c>
      <c r="D2021" t="s">
        <v>676</v>
      </c>
      <c r="E2021" s="5">
        <v>23.02</v>
      </c>
      <c r="F2021" t="s">
        <v>28</v>
      </c>
    </row>
    <row r="2022" spans="1:6">
      <c r="A2022" s="1">
        <v>45559</v>
      </c>
      <c r="B2022" s="2">
        <v>45559.844333287037</v>
      </c>
      <c r="C2022" t="s">
        <v>3</v>
      </c>
      <c r="D2022" t="s">
        <v>677</v>
      </c>
      <c r="E2022" s="5">
        <v>32.82</v>
      </c>
      <c r="F2022" t="s">
        <v>9</v>
      </c>
    </row>
    <row r="2023" spans="1:6">
      <c r="A2023" s="1">
        <v>45560</v>
      </c>
      <c r="B2023" s="2">
        <v>45560.3273275463</v>
      </c>
      <c r="C2023" t="s">
        <v>3</v>
      </c>
      <c r="D2023" t="s">
        <v>678</v>
      </c>
      <c r="E2023" s="5">
        <v>32.82</v>
      </c>
      <c r="F2023" t="s">
        <v>43</v>
      </c>
    </row>
    <row r="2024" spans="1:6">
      <c r="A2024" s="1">
        <v>45640</v>
      </c>
      <c r="B2024" s="2">
        <v>45640.487474768517</v>
      </c>
      <c r="C2024" t="s">
        <v>3</v>
      </c>
      <c r="D2024" t="s">
        <v>678</v>
      </c>
      <c r="E2024" s="5">
        <v>35.76</v>
      </c>
      <c r="F2024" t="s">
        <v>43</v>
      </c>
    </row>
    <row r="2025" spans="1:6">
      <c r="A2025" s="1">
        <v>45643</v>
      </c>
      <c r="B2025" s="2">
        <v>45643.718310937496</v>
      </c>
      <c r="C2025" t="s">
        <v>3</v>
      </c>
      <c r="D2025" t="s">
        <v>678</v>
      </c>
      <c r="E2025" s="5">
        <v>35.76</v>
      </c>
      <c r="F2025" t="s">
        <v>43</v>
      </c>
    </row>
    <row r="2026" spans="1:6">
      <c r="A2026" s="1">
        <v>45560</v>
      </c>
      <c r="B2026" s="2">
        <v>45560.493926064817</v>
      </c>
      <c r="C2026" t="s">
        <v>3</v>
      </c>
      <c r="D2026" t="s">
        <v>679</v>
      </c>
      <c r="E2026" s="5">
        <v>27.92</v>
      </c>
      <c r="F2026" t="s">
        <v>14</v>
      </c>
    </row>
    <row r="2027" spans="1:6">
      <c r="A2027" s="1">
        <v>45560</v>
      </c>
      <c r="B2027" s="2">
        <v>45560.495062164351</v>
      </c>
      <c r="C2027" t="s">
        <v>3</v>
      </c>
      <c r="D2027" t="s">
        <v>679</v>
      </c>
      <c r="E2027" s="5">
        <v>32.82</v>
      </c>
      <c r="F2027" t="s">
        <v>7</v>
      </c>
    </row>
    <row r="2028" spans="1:6">
      <c r="A2028" s="1">
        <v>45571</v>
      </c>
      <c r="B2028" s="2">
        <v>45571.506294583334</v>
      </c>
      <c r="C2028" t="s">
        <v>3</v>
      </c>
      <c r="D2028" t="s">
        <v>679</v>
      </c>
      <c r="E2028" s="5">
        <v>35.76</v>
      </c>
      <c r="F2028" t="s">
        <v>7</v>
      </c>
    </row>
    <row r="2029" spans="1:6">
      <c r="A2029" s="1">
        <v>45571</v>
      </c>
      <c r="B2029" s="2">
        <v>45571.507145173608</v>
      </c>
      <c r="C2029" t="s">
        <v>3</v>
      </c>
      <c r="D2029" t="s">
        <v>679</v>
      </c>
      <c r="E2029" s="5">
        <v>35.76</v>
      </c>
      <c r="F2029" t="s">
        <v>43</v>
      </c>
    </row>
    <row r="2030" spans="1:6">
      <c r="A2030" s="1">
        <v>45571</v>
      </c>
      <c r="B2030" s="2">
        <v>45571.508140740742</v>
      </c>
      <c r="C2030" t="s">
        <v>3</v>
      </c>
      <c r="D2030" t="s">
        <v>679</v>
      </c>
      <c r="E2030" s="5">
        <v>30.86</v>
      </c>
      <c r="F2030" t="s">
        <v>14</v>
      </c>
    </row>
    <row r="2031" spans="1:6">
      <c r="A2031" s="1">
        <v>45560</v>
      </c>
      <c r="B2031" s="2">
        <v>45560.579762199071</v>
      </c>
      <c r="C2031" t="s">
        <v>3</v>
      </c>
      <c r="D2031" t="s">
        <v>680</v>
      </c>
      <c r="E2031" s="5">
        <v>27.92</v>
      </c>
      <c r="F2031" t="s">
        <v>14</v>
      </c>
    </row>
    <row r="2032" spans="1:6">
      <c r="A2032" s="1">
        <v>45560</v>
      </c>
      <c r="B2032" s="2">
        <v>45560.580546967591</v>
      </c>
      <c r="C2032" t="s">
        <v>3</v>
      </c>
      <c r="D2032" t="s">
        <v>680</v>
      </c>
      <c r="E2032" s="5">
        <v>27.92</v>
      </c>
      <c r="F2032" t="s">
        <v>14</v>
      </c>
    </row>
    <row r="2033" spans="1:6">
      <c r="A2033" s="1">
        <v>45563</v>
      </c>
      <c r="B2033" s="2">
        <v>45563.338026261576</v>
      </c>
      <c r="C2033" t="s">
        <v>3</v>
      </c>
      <c r="D2033" t="s">
        <v>680</v>
      </c>
      <c r="E2033" s="5">
        <v>27.92</v>
      </c>
      <c r="F2033" t="s">
        <v>14</v>
      </c>
    </row>
    <row r="2034" spans="1:6">
      <c r="A2034" s="1">
        <v>45560</v>
      </c>
      <c r="B2034" s="2">
        <v>45560.733763680553</v>
      </c>
      <c r="C2034" t="s">
        <v>3</v>
      </c>
      <c r="D2034" t="s">
        <v>681</v>
      </c>
      <c r="E2034" s="5">
        <v>27.92</v>
      </c>
      <c r="F2034" t="s">
        <v>14</v>
      </c>
    </row>
    <row r="2035" spans="1:6">
      <c r="A2035" s="1">
        <v>45560</v>
      </c>
      <c r="B2035" s="2">
        <v>45560.734396296299</v>
      </c>
      <c r="C2035" t="s">
        <v>3</v>
      </c>
      <c r="D2035" t="s">
        <v>681</v>
      </c>
      <c r="E2035" s="5">
        <v>27.92</v>
      </c>
      <c r="F2035" t="s">
        <v>14</v>
      </c>
    </row>
    <row r="2036" spans="1:6">
      <c r="A2036" s="1">
        <v>45560</v>
      </c>
      <c r="B2036" s="2">
        <v>45560.899088993057</v>
      </c>
      <c r="C2036" t="s">
        <v>3</v>
      </c>
      <c r="D2036" t="s">
        <v>682</v>
      </c>
      <c r="E2036" s="5">
        <v>23.02</v>
      </c>
      <c r="F2036" t="s">
        <v>11</v>
      </c>
    </row>
    <row r="2037" spans="1:6">
      <c r="A2037" s="1">
        <v>45561</v>
      </c>
      <c r="B2037" s="2">
        <v>45561.455467673608</v>
      </c>
      <c r="C2037" t="s">
        <v>3</v>
      </c>
      <c r="D2037" t="s">
        <v>683</v>
      </c>
      <c r="E2037" s="5">
        <v>18.12</v>
      </c>
      <c r="F2037" t="s">
        <v>35</v>
      </c>
    </row>
    <row r="2038" spans="1:6">
      <c r="A2038" s="1">
        <v>45561</v>
      </c>
      <c r="B2038" s="2">
        <v>45561.482506608794</v>
      </c>
      <c r="C2038" t="s">
        <v>3</v>
      </c>
      <c r="D2038" t="s">
        <v>684</v>
      </c>
      <c r="E2038" s="5">
        <v>32.82</v>
      </c>
      <c r="F2038" t="s">
        <v>43</v>
      </c>
    </row>
    <row r="2039" spans="1:6">
      <c r="A2039" s="1">
        <v>45561</v>
      </c>
      <c r="B2039" s="2">
        <v>45561.533349166668</v>
      </c>
      <c r="C2039" t="s">
        <v>3</v>
      </c>
      <c r="D2039" t="s">
        <v>685</v>
      </c>
      <c r="E2039" s="5">
        <v>32.82</v>
      </c>
      <c r="F2039" t="s">
        <v>7</v>
      </c>
    </row>
    <row r="2040" spans="1:6">
      <c r="A2040" s="1">
        <v>45561</v>
      </c>
      <c r="B2040" s="2">
        <v>45561.765228391203</v>
      </c>
      <c r="C2040" t="s">
        <v>3</v>
      </c>
      <c r="D2040" t="s">
        <v>686</v>
      </c>
      <c r="E2040" s="5">
        <v>32.82</v>
      </c>
      <c r="F2040" t="s">
        <v>7</v>
      </c>
    </row>
    <row r="2041" spans="1:6">
      <c r="A2041" s="1">
        <v>45561</v>
      </c>
      <c r="B2041" s="2">
        <v>45561.948091215279</v>
      </c>
      <c r="C2041" t="s">
        <v>3</v>
      </c>
      <c r="D2041" t="s">
        <v>687</v>
      </c>
      <c r="E2041" s="5">
        <v>32.82</v>
      </c>
      <c r="F2041" t="s">
        <v>7</v>
      </c>
    </row>
    <row r="2042" spans="1:6">
      <c r="A2042" s="1">
        <v>45561</v>
      </c>
      <c r="B2042" s="2">
        <v>45561.948815243057</v>
      </c>
      <c r="C2042" t="s">
        <v>3</v>
      </c>
      <c r="D2042" t="s">
        <v>687</v>
      </c>
      <c r="E2042" s="5">
        <v>23.02</v>
      </c>
      <c r="F2042" t="s">
        <v>28</v>
      </c>
    </row>
    <row r="2043" spans="1:6">
      <c r="A2043" s="1">
        <v>45562</v>
      </c>
      <c r="B2043" s="2">
        <v>45562.40352699074</v>
      </c>
      <c r="C2043" t="s">
        <v>3</v>
      </c>
      <c r="D2043" t="s">
        <v>688</v>
      </c>
      <c r="E2043" s="5">
        <v>32.82</v>
      </c>
      <c r="F2043" t="s">
        <v>43</v>
      </c>
    </row>
    <row r="2044" spans="1:6">
      <c r="A2044" s="1">
        <v>45562</v>
      </c>
      <c r="B2044" s="2">
        <v>45562.555914988428</v>
      </c>
      <c r="C2044" t="s">
        <v>3</v>
      </c>
      <c r="D2044" t="s">
        <v>689</v>
      </c>
      <c r="E2044" s="5">
        <v>32.82</v>
      </c>
      <c r="F2044" t="s">
        <v>43</v>
      </c>
    </row>
    <row r="2045" spans="1:6">
      <c r="A2045" s="1">
        <v>45562</v>
      </c>
      <c r="B2045" s="2">
        <v>45562.559088796297</v>
      </c>
      <c r="C2045" t="s">
        <v>3</v>
      </c>
      <c r="D2045" t="s">
        <v>690</v>
      </c>
      <c r="E2045" s="5">
        <v>32.82</v>
      </c>
      <c r="F2045" t="s">
        <v>43</v>
      </c>
    </row>
    <row r="2046" spans="1:6">
      <c r="A2046" s="1">
        <v>45562</v>
      </c>
      <c r="B2046" s="2">
        <v>45562.561494293979</v>
      </c>
      <c r="C2046" t="s">
        <v>3</v>
      </c>
      <c r="D2046" t="s">
        <v>690</v>
      </c>
      <c r="E2046" s="5">
        <v>23.02</v>
      </c>
      <c r="F2046" t="s">
        <v>11</v>
      </c>
    </row>
    <row r="2047" spans="1:6">
      <c r="A2047" s="1">
        <v>45562</v>
      </c>
      <c r="B2047" s="2">
        <v>45562.565190451387</v>
      </c>
      <c r="C2047" t="s">
        <v>3</v>
      </c>
      <c r="D2047" t="s">
        <v>691</v>
      </c>
      <c r="E2047" s="5">
        <v>27.92</v>
      </c>
      <c r="F2047" t="s">
        <v>14</v>
      </c>
    </row>
    <row r="2048" spans="1:6">
      <c r="A2048" s="1">
        <v>45562</v>
      </c>
      <c r="B2048" s="2">
        <v>45562.755366956022</v>
      </c>
      <c r="C2048" t="s">
        <v>3</v>
      </c>
      <c r="D2048" t="s">
        <v>692</v>
      </c>
      <c r="E2048" s="5">
        <v>32.82</v>
      </c>
      <c r="F2048" t="s">
        <v>7</v>
      </c>
    </row>
    <row r="2049" spans="1:6">
      <c r="A2049" s="1">
        <v>45562</v>
      </c>
      <c r="B2049" s="2">
        <v>45562.756229618055</v>
      </c>
      <c r="C2049" t="s">
        <v>3</v>
      </c>
      <c r="D2049" t="s">
        <v>692</v>
      </c>
      <c r="E2049" s="5">
        <v>32.82</v>
      </c>
      <c r="F2049" t="s">
        <v>7</v>
      </c>
    </row>
    <row r="2050" spans="1:6">
      <c r="A2050" s="1">
        <v>45562</v>
      </c>
      <c r="B2050" s="2">
        <v>45562.776225590278</v>
      </c>
      <c r="C2050" t="s">
        <v>3</v>
      </c>
      <c r="D2050" t="s">
        <v>693</v>
      </c>
      <c r="E2050" s="5">
        <v>32.82</v>
      </c>
      <c r="F2050" t="s">
        <v>43</v>
      </c>
    </row>
    <row r="2051" spans="1:6">
      <c r="A2051" s="1">
        <v>45562</v>
      </c>
      <c r="B2051" s="2">
        <v>45562.778399965275</v>
      </c>
      <c r="C2051" t="s">
        <v>3</v>
      </c>
      <c r="D2051" t="s">
        <v>694</v>
      </c>
      <c r="E2051" s="5">
        <v>32.82</v>
      </c>
      <c r="F2051" t="s">
        <v>43</v>
      </c>
    </row>
    <row r="2052" spans="1:6">
      <c r="A2052" s="1">
        <v>45562</v>
      </c>
      <c r="B2052" s="2">
        <v>45562.873784340278</v>
      </c>
      <c r="C2052" t="s">
        <v>3</v>
      </c>
      <c r="D2052" t="s">
        <v>695</v>
      </c>
      <c r="E2052" s="5">
        <v>27.92</v>
      </c>
      <c r="F2052" t="s">
        <v>14</v>
      </c>
    </row>
    <row r="2053" spans="1:6">
      <c r="A2053" s="1">
        <v>45563</v>
      </c>
      <c r="B2053" s="2">
        <v>45563.396698599536</v>
      </c>
      <c r="C2053" t="s">
        <v>3</v>
      </c>
      <c r="D2053" t="s">
        <v>696</v>
      </c>
      <c r="E2053" s="5">
        <v>27.92</v>
      </c>
      <c r="F2053" t="s">
        <v>14</v>
      </c>
    </row>
    <row r="2054" spans="1:6">
      <c r="A2054" s="1">
        <v>45591</v>
      </c>
      <c r="B2054" s="2">
        <v>45591.326379930557</v>
      </c>
      <c r="C2054" t="s">
        <v>3</v>
      </c>
      <c r="D2054" t="s">
        <v>696</v>
      </c>
      <c r="E2054" s="5">
        <v>35.76</v>
      </c>
      <c r="F2054" t="s">
        <v>43</v>
      </c>
    </row>
    <row r="2055" spans="1:6">
      <c r="A2055" s="1">
        <v>45671</v>
      </c>
      <c r="B2055" s="2">
        <v>45671.31785255787</v>
      </c>
      <c r="C2055" t="s">
        <v>3</v>
      </c>
      <c r="D2055" t="s">
        <v>696</v>
      </c>
      <c r="E2055" s="5">
        <v>35.76</v>
      </c>
      <c r="F2055" t="s">
        <v>7</v>
      </c>
    </row>
    <row r="2056" spans="1:6">
      <c r="A2056" s="1">
        <v>45563</v>
      </c>
      <c r="B2056" s="2">
        <v>45563.706482847221</v>
      </c>
      <c r="C2056" t="s">
        <v>3</v>
      </c>
      <c r="D2056" t="s">
        <v>697</v>
      </c>
      <c r="E2056" s="5">
        <v>35.76</v>
      </c>
      <c r="F2056" t="s">
        <v>7</v>
      </c>
    </row>
    <row r="2057" spans="1:6">
      <c r="A2057" s="1">
        <v>45564</v>
      </c>
      <c r="B2057" s="2">
        <v>45564.52480835648</v>
      </c>
      <c r="C2057" t="s">
        <v>3</v>
      </c>
      <c r="D2057" t="s">
        <v>697</v>
      </c>
      <c r="E2057" s="5">
        <v>35.76</v>
      </c>
      <c r="F2057" t="s">
        <v>7</v>
      </c>
    </row>
    <row r="2058" spans="1:6">
      <c r="A2058" s="1">
        <v>45573</v>
      </c>
      <c r="B2058" s="2">
        <v>45573.435518715276</v>
      </c>
      <c r="C2058" t="s">
        <v>3</v>
      </c>
      <c r="D2058" t="s">
        <v>697</v>
      </c>
      <c r="E2058" s="5">
        <v>35.76</v>
      </c>
      <c r="F2058" t="s">
        <v>7</v>
      </c>
    </row>
    <row r="2059" spans="1:6">
      <c r="A2059" s="1">
        <v>45580</v>
      </c>
      <c r="B2059" s="2">
        <v>45580.647352754633</v>
      </c>
      <c r="C2059" t="s">
        <v>3</v>
      </c>
      <c r="D2059" t="s">
        <v>697</v>
      </c>
      <c r="E2059" s="5">
        <v>35.76</v>
      </c>
      <c r="F2059" t="s">
        <v>7</v>
      </c>
    </row>
    <row r="2060" spans="1:6">
      <c r="A2060" s="1">
        <v>45583</v>
      </c>
      <c r="B2060" s="2">
        <v>45583.652314467596</v>
      </c>
      <c r="C2060" t="s">
        <v>3</v>
      </c>
      <c r="D2060" t="s">
        <v>697</v>
      </c>
      <c r="E2060" s="5">
        <v>25.96</v>
      </c>
      <c r="F2060" t="s">
        <v>11</v>
      </c>
    </row>
    <row r="2061" spans="1:6">
      <c r="A2061" s="1">
        <v>45590</v>
      </c>
      <c r="B2061" s="2">
        <v>45590.419077592589</v>
      </c>
      <c r="C2061" t="s">
        <v>3</v>
      </c>
      <c r="D2061" t="s">
        <v>697</v>
      </c>
      <c r="E2061" s="5">
        <v>25.96</v>
      </c>
      <c r="F2061" t="s">
        <v>11</v>
      </c>
    </row>
    <row r="2062" spans="1:6">
      <c r="A2062" s="1">
        <v>45590</v>
      </c>
      <c r="B2062" s="2">
        <v>45590.420382083335</v>
      </c>
      <c r="C2062" t="s">
        <v>3</v>
      </c>
      <c r="D2062" t="s">
        <v>697</v>
      </c>
      <c r="E2062" s="5">
        <v>25.96</v>
      </c>
      <c r="F2062" t="s">
        <v>11</v>
      </c>
    </row>
    <row r="2063" spans="1:6">
      <c r="A2063" s="1">
        <v>45593</v>
      </c>
      <c r="B2063" s="2">
        <v>45593.357672465281</v>
      </c>
      <c r="C2063" t="s">
        <v>3</v>
      </c>
      <c r="D2063" t="s">
        <v>697</v>
      </c>
      <c r="E2063" s="5">
        <v>35.76</v>
      </c>
      <c r="F2063" t="s">
        <v>7</v>
      </c>
    </row>
    <row r="2064" spans="1:6">
      <c r="A2064" s="1">
        <v>45594</v>
      </c>
      <c r="B2064" s="2">
        <v>45594.366037569445</v>
      </c>
      <c r="C2064" t="s">
        <v>3</v>
      </c>
      <c r="D2064" t="s">
        <v>697</v>
      </c>
      <c r="E2064" s="5">
        <v>35.76</v>
      </c>
      <c r="F2064" t="s">
        <v>7</v>
      </c>
    </row>
    <row r="2065" spans="1:6">
      <c r="A2065" s="1">
        <v>45596</v>
      </c>
      <c r="B2065" s="2">
        <v>45596.360346041663</v>
      </c>
      <c r="C2065" t="s">
        <v>3</v>
      </c>
      <c r="D2065" t="s">
        <v>697</v>
      </c>
      <c r="E2065" s="5">
        <v>35.76</v>
      </c>
      <c r="F2065" t="s">
        <v>7</v>
      </c>
    </row>
    <row r="2066" spans="1:6">
      <c r="A2066" s="1">
        <v>45619</v>
      </c>
      <c r="B2066" s="2">
        <v>45619.420321226855</v>
      </c>
      <c r="C2066" t="s">
        <v>3</v>
      </c>
      <c r="D2066" t="s">
        <v>697</v>
      </c>
      <c r="E2066" s="5">
        <v>35.76</v>
      </c>
      <c r="F2066" t="s">
        <v>7</v>
      </c>
    </row>
    <row r="2067" spans="1:6">
      <c r="A2067" s="1">
        <v>45563</v>
      </c>
      <c r="B2067" s="2">
        <v>45563.726582222225</v>
      </c>
      <c r="C2067" t="s">
        <v>3</v>
      </c>
      <c r="D2067" t="s">
        <v>698</v>
      </c>
      <c r="E2067" s="5">
        <v>30.86</v>
      </c>
      <c r="F2067" t="s">
        <v>14</v>
      </c>
    </row>
    <row r="2068" spans="1:6">
      <c r="A2068" s="1">
        <v>45563</v>
      </c>
      <c r="B2068" s="2">
        <v>45563.860144699072</v>
      </c>
      <c r="C2068" t="s">
        <v>3</v>
      </c>
      <c r="D2068" t="s">
        <v>699</v>
      </c>
      <c r="E2068" s="5">
        <v>35.76</v>
      </c>
      <c r="F2068" t="s">
        <v>7</v>
      </c>
    </row>
    <row r="2069" spans="1:6">
      <c r="A2069" s="1">
        <v>45629</v>
      </c>
      <c r="B2069" s="2">
        <v>45629.898111886578</v>
      </c>
      <c r="C2069" t="s">
        <v>3</v>
      </c>
      <c r="D2069" t="s">
        <v>699</v>
      </c>
      <c r="E2069" s="5">
        <v>35.76</v>
      </c>
      <c r="F2069" t="s">
        <v>7</v>
      </c>
    </row>
    <row r="2070" spans="1:6">
      <c r="A2070" s="1">
        <v>45629</v>
      </c>
      <c r="B2070" s="2">
        <v>45629.898763020836</v>
      </c>
      <c r="C2070" t="s">
        <v>3</v>
      </c>
      <c r="D2070" t="s">
        <v>699</v>
      </c>
      <c r="E2070" s="5">
        <v>35.76</v>
      </c>
      <c r="F2070" t="s">
        <v>43</v>
      </c>
    </row>
    <row r="2071" spans="1:6">
      <c r="A2071" s="1">
        <v>45629</v>
      </c>
      <c r="B2071" s="2">
        <v>45629.899523761575</v>
      </c>
      <c r="C2071" t="s">
        <v>3</v>
      </c>
      <c r="D2071" t="s">
        <v>699</v>
      </c>
      <c r="E2071" s="5">
        <v>35.76</v>
      </c>
      <c r="F2071" t="s">
        <v>9</v>
      </c>
    </row>
    <row r="2072" spans="1:6">
      <c r="A2072" s="1">
        <v>45563</v>
      </c>
      <c r="B2072" s="2">
        <v>45563.928203437499</v>
      </c>
      <c r="C2072" t="s">
        <v>3</v>
      </c>
      <c r="D2072" t="s">
        <v>700</v>
      </c>
      <c r="E2072" s="5">
        <v>35.76</v>
      </c>
      <c r="F2072" t="s">
        <v>43</v>
      </c>
    </row>
    <row r="2073" spans="1:6">
      <c r="A2073" s="1">
        <v>45563</v>
      </c>
      <c r="B2073" s="2">
        <v>45563.928814664352</v>
      </c>
      <c r="C2073" t="s">
        <v>3</v>
      </c>
      <c r="D2073" t="s">
        <v>700</v>
      </c>
      <c r="E2073" s="5">
        <v>35.76</v>
      </c>
      <c r="F2073" t="s">
        <v>18</v>
      </c>
    </row>
    <row r="2074" spans="1:6">
      <c r="A2074" s="1">
        <v>45563</v>
      </c>
      <c r="B2074" s="2">
        <v>45563.929352685183</v>
      </c>
      <c r="C2074" t="s">
        <v>3</v>
      </c>
      <c r="D2074" t="s">
        <v>701</v>
      </c>
      <c r="E2074" s="5">
        <v>25.96</v>
      </c>
      <c r="F2074" t="s">
        <v>28</v>
      </c>
    </row>
    <row r="2075" spans="1:6">
      <c r="A2075" s="1">
        <v>45563</v>
      </c>
      <c r="B2075" s="2">
        <v>45563.930011909724</v>
      </c>
      <c r="C2075" t="s">
        <v>3</v>
      </c>
      <c r="D2075" t="s">
        <v>701</v>
      </c>
      <c r="E2075" s="5">
        <v>35.76</v>
      </c>
      <c r="F2075" t="s">
        <v>9</v>
      </c>
    </row>
    <row r="2076" spans="1:6">
      <c r="A2076" s="1">
        <v>45564</v>
      </c>
      <c r="B2076" s="2">
        <v>45564.538444872684</v>
      </c>
      <c r="C2076" t="s">
        <v>3</v>
      </c>
      <c r="D2076" t="s">
        <v>702</v>
      </c>
      <c r="E2076" s="5">
        <v>35.76</v>
      </c>
      <c r="F2076" t="s">
        <v>7</v>
      </c>
    </row>
    <row r="2077" spans="1:6">
      <c r="A2077" s="1">
        <v>45564</v>
      </c>
      <c r="B2077" s="2">
        <v>45564.751704814815</v>
      </c>
      <c r="C2077" t="s">
        <v>3</v>
      </c>
      <c r="D2077" t="s">
        <v>703</v>
      </c>
      <c r="E2077" s="5">
        <v>35.76</v>
      </c>
      <c r="F2077" t="s">
        <v>43</v>
      </c>
    </row>
    <row r="2078" spans="1:6">
      <c r="A2078" s="1">
        <v>45564</v>
      </c>
      <c r="B2078" s="2">
        <v>45564.938227025465</v>
      </c>
      <c r="C2078" t="s">
        <v>3</v>
      </c>
      <c r="D2078" t="s">
        <v>704</v>
      </c>
      <c r="E2078" s="5">
        <v>35.76</v>
      </c>
      <c r="F2078" t="s">
        <v>7</v>
      </c>
    </row>
    <row r="2079" spans="1:6">
      <c r="A2079" s="1">
        <v>45576</v>
      </c>
      <c r="B2079" s="2">
        <v>45576.908769907408</v>
      </c>
      <c r="C2079" t="s">
        <v>3</v>
      </c>
      <c r="D2079" t="s">
        <v>704</v>
      </c>
      <c r="E2079" s="5">
        <v>35.76</v>
      </c>
      <c r="F2079" t="s">
        <v>7</v>
      </c>
    </row>
    <row r="2080" spans="1:6">
      <c r="A2080" s="1">
        <v>45580</v>
      </c>
      <c r="B2080" s="2">
        <v>45580.927310798608</v>
      </c>
      <c r="C2080" t="s">
        <v>3</v>
      </c>
      <c r="D2080" t="s">
        <v>704</v>
      </c>
      <c r="E2080" s="5">
        <v>35.76</v>
      </c>
      <c r="F2080" t="s">
        <v>7</v>
      </c>
    </row>
    <row r="2081" spans="1:6">
      <c r="A2081" s="1">
        <v>45583</v>
      </c>
      <c r="B2081" s="2">
        <v>45583.919062083332</v>
      </c>
      <c r="C2081" t="s">
        <v>3</v>
      </c>
      <c r="D2081" t="s">
        <v>704</v>
      </c>
      <c r="E2081" s="5">
        <v>35.76</v>
      </c>
      <c r="F2081" t="s">
        <v>7</v>
      </c>
    </row>
    <row r="2082" spans="1:6">
      <c r="A2082" s="1">
        <v>45584</v>
      </c>
      <c r="B2082" s="2">
        <v>45584.907471261577</v>
      </c>
      <c r="C2082" t="s">
        <v>3</v>
      </c>
      <c r="D2082" t="s">
        <v>704</v>
      </c>
      <c r="E2082" s="5">
        <v>35.76</v>
      </c>
      <c r="F2082" t="s">
        <v>18</v>
      </c>
    </row>
    <row r="2083" spans="1:6">
      <c r="A2083" s="1">
        <v>45604</v>
      </c>
      <c r="B2083" s="2">
        <v>45604.935528553244</v>
      </c>
      <c r="C2083" t="s">
        <v>3</v>
      </c>
      <c r="D2083" t="s">
        <v>704</v>
      </c>
      <c r="E2083" s="5">
        <v>35.76</v>
      </c>
      <c r="F2083" t="s">
        <v>7</v>
      </c>
    </row>
    <row r="2084" spans="1:6">
      <c r="A2084" s="1">
        <v>45637</v>
      </c>
      <c r="B2084" s="2">
        <v>45637.875782164352</v>
      </c>
      <c r="C2084" t="s">
        <v>3</v>
      </c>
      <c r="D2084" t="s">
        <v>704</v>
      </c>
      <c r="E2084" s="5">
        <v>35.76</v>
      </c>
      <c r="F2084" t="s">
        <v>7</v>
      </c>
    </row>
    <row r="2085" spans="1:6">
      <c r="A2085" s="1">
        <v>45660</v>
      </c>
      <c r="B2085" s="2">
        <v>45660.931550370369</v>
      </c>
      <c r="C2085" t="s">
        <v>3</v>
      </c>
      <c r="D2085" t="s">
        <v>704</v>
      </c>
      <c r="E2085" s="5">
        <v>35.76</v>
      </c>
      <c r="F2085" t="s">
        <v>7</v>
      </c>
    </row>
    <row r="2086" spans="1:6">
      <c r="A2086" s="1">
        <v>45565</v>
      </c>
      <c r="B2086" s="2">
        <v>45565.374243854167</v>
      </c>
      <c r="C2086" t="s">
        <v>3</v>
      </c>
      <c r="D2086" t="s">
        <v>705</v>
      </c>
      <c r="E2086" s="5">
        <v>25.96</v>
      </c>
      <c r="F2086" t="s">
        <v>28</v>
      </c>
    </row>
    <row r="2087" spans="1:6">
      <c r="A2087" s="1">
        <v>45608</v>
      </c>
      <c r="B2087" s="2">
        <v>45608.610588981479</v>
      </c>
      <c r="C2087" t="s">
        <v>3</v>
      </c>
      <c r="D2087" t="s">
        <v>705</v>
      </c>
      <c r="E2087" s="5">
        <v>35.76</v>
      </c>
      <c r="F2087" t="s">
        <v>7</v>
      </c>
    </row>
    <row r="2088" spans="1:6">
      <c r="A2088" s="1">
        <v>45565</v>
      </c>
      <c r="B2088" s="2">
        <v>45565.375056909725</v>
      </c>
      <c r="C2088" t="s">
        <v>3</v>
      </c>
      <c r="D2088" t="s">
        <v>706</v>
      </c>
      <c r="E2088" s="5">
        <v>35.76</v>
      </c>
      <c r="F2088" t="s">
        <v>9</v>
      </c>
    </row>
    <row r="2089" spans="1:6">
      <c r="A2089" s="1">
        <v>45565</v>
      </c>
      <c r="B2089" s="2">
        <v>45565.481187013887</v>
      </c>
      <c r="C2089" t="s">
        <v>3</v>
      </c>
      <c r="D2089" t="s">
        <v>707</v>
      </c>
      <c r="E2089" s="5">
        <v>30.86</v>
      </c>
      <c r="F2089" t="s">
        <v>14</v>
      </c>
    </row>
    <row r="2090" spans="1:6">
      <c r="A2090" s="1">
        <v>45565</v>
      </c>
      <c r="B2090" s="2">
        <v>45565.828635324076</v>
      </c>
      <c r="C2090" t="s">
        <v>3</v>
      </c>
      <c r="D2090" t="s">
        <v>708</v>
      </c>
      <c r="E2090" s="5">
        <v>30.86</v>
      </c>
      <c r="F2090" t="s">
        <v>14</v>
      </c>
    </row>
    <row r="2091" spans="1:6">
      <c r="A2091" s="1">
        <v>45565</v>
      </c>
      <c r="B2091" s="2">
        <v>45565.829370601852</v>
      </c>
      <c r="C2091" t="s">
        <v>3</v>
      </c>
      <c r="D2091" t="s">
        <v>708</v>
      </c>
      <c r="E2091" s="5">
        <v>25.96</v>
      </c>
      <c r="F2091" t="s">
        <v>28</v>
      </c>
    </row>
    <row r="2092" spans="1:6">
      <c r="A2092" s="1">
        <v>45565</v>
      </c>
      <c r="B2092" s="2">
        <v>45565.90355934028</v>
      </c>
      <c r="C2092" t="s">
        <v>3</v>
      </c>
      <c r="D2092" t="s">
        <v>709</v>
      </c>
      <c r="E2092" s="5">
        <v>30.86</v>
      </c>
      <c r="F2092" t="s">
        <v>14</v>
      </c>
    </row>
    <row r="2093" spans="1:6">
      <c r="A2093" s="1">
        <v>45593</v>
      </c>
      <c r="B2093" s="2">
        <v>45593.92072652778</v>
      </c>
      <c r="C2093" t="s">
        <v>3</v>
      </c>
      <c r="D2093" t="s">
        <v>709</v>
      </c>
      <c r="E2093" s="5">
        <v>30.86</v>
      </c>
      <c r="F2093" t="s">
        <v>14</v>
      </c>
    </row>
    <row r="2094" spans="1:6">
      <c r="A2094" s="1">
        <v>45597</v>
      </c>
      <c r="B2094" s="2">
        <v>45597.945785833334</v>
      </c>
      <c r="C2094" t="s">
        <v>3</v>
      </c>
      <c r="D2094" t="s">
        <v>709</v>
      </c>
      <c r="E2094" s="5">
        <v>30.86</v>
      </c>
      <c r="F2094" t="s">
        <v>14</v>
      </c>
    </row>
    <row r="2095" spans="1:6">
      <c r="A2095" s="1">
        <v>45566</v>
      </c>
      <c r="B2095" s="2">
        <v>45566.324403344908</v>
      </c>
      <c r="C2095" t="s">
        <v>3</v>
      </c>
      <c r="D2095" t="s">
        <v>710</v>
      </c>
      <c r="E2095" s="5">
        <v>35.76</v>
      </c>
      <c r="F2095" t="s">
        <v>7</v>
      </c>
    </row>
    <row r="2096" spans="1:6">
      <c r="A2096" s="1">
        <v>45581</v>
      </c>
      <c r="B2096" s="2">
        <v>45581.35860634259</v>
      </c>
      <c r="C2096" t="s">
        <v>3</v>
      </c>
      <c r="D2096" t="s">
        <v>710</v>
      </c>
      <c r="E2096" s="5">
        <v>35.76</v>
      </c>
      <c r="F2096" t="s">
        <v>9</v>
      </c>
    </row>
    <row r="2097" spans="1:6">
      <c r="A2097" s="1">
        <v>45582</v>
      </c>
      <c r="B2097" s="2">
        <v>45582.324316215279</v>
      </c>
      <c r="C2097" t="s">
        <v>3</v>
      </c>
      <c r="D2097" t="s">
        <v>710</v>
      </c>
      <c r="E2097" s="5">
        <v>35.76</v>
      </c>
      <c r="F2097" t="s">
        <v>7</v>
      </c>
    </row>
    <row r="2098" spans="1:6">
      <c r="A2098" s="1">
        <v>45584</v>
      </c>
      <c r="B2098" s="2">
        <v>45584.678964293984</v>
      </c>
      <c r="C2098" t="s">
        <v>3</v>
      </c>
      <c r="D2098" t="s">
        <v>710</v>
      </c>
      <c r="E2098" s="5">
        <v>35.76</v>
      </c>
      <c r="F2098" t="s">
        <v>7</v>
      </c>
    </row>
    <row r="2099" spans="1:6">
      <c r="A2099" s="1">
        <v>45586</v>
      </c>
      <c r="B2099" s="2">
        <v>45586.325498692131</v>
      </c>
      <c r="C2099" t="s">
        <v>3</v>
      </c>
      <c r="D2099" t="s">
        <v>710</v>
      </c>
      <c r="E2099" s="5">
        <v>35.76</v>
      </c>
      <c r="F2099" t="s">
        <v>7</v>
      </c>
    </row>
    <row r="2100" spans="1:6">
      <c r="A2100" s="1">
        <v>45587</v>
      </c>
      <c r="B2100" s="2">
        <v>45587.314577893521</v>
      </c>
      <c r="C2100" t="s">
        <v>3</v>
      </c>
      <c r="D2100" t="s">
        <v>710</v>
      </c>
      <c r="E2100" s="5">
        <v>35.76</v>
      </c>
      <c r="F2100" t="s">
        <v>7</v>
      </c>
    </row>
    <row r="2101" spans="1:6">
      <c r="A2101" s="1">
        <v>45587</v>
      </c>
      <c r="B2101" s="2">
        <v>45587.315278287038</v>
      </c>
      <c r="C2101" t="s">
        <v>3</v>
      </c>
      <c r="D2101" t="s">
        <v>710</v>
      </c>
      <c r="E2101" s="5">
        <v>35.76</v>
      </c>
      <c r="F2101" t="s">
        <v>43</v>
      </c>
    </row>
    <row r="2102" spans="1:6">
      <c r="A2102" s="1">
        <v>45588</v>
      </c>
      <c r="B2102" s="2">
        <v>45588.332022766204</v>
      </c>
      <c r="C2102" t="s">
        <v>3</v>
      </c>
      <c r="D2102" t="s">
        <v>710</v>
      </c>
      <c r="E2102" s="5">
        <v>35.76</v>
      </c>
      <c r="F2102" t="s">
        <v>7</v>
      </c>
    </row>
    <row r="2103" spans="1:6">
      <c r="A2103" s="1">
        <v>45590</v>
      </c>
      <c r="B2103" s="2">
        <v>45590.318184548611</v>
      </c>
      <c r="C2103" t="s">
        <v>3</v>
      </c>
      <c r="D2103" t="s">
        <v>710</v>
      </c>
      <c r="E2103" s="5">
        <v>35.76</v>
      </c>
      <c r="F2103" t="s">
        <v>43</v>
      </c>
    </row>
    <row r="2104" spans="1:6">
      <c r="A2104" s="1">
        <v>45593</v>
      </c>
      <c r="B2104" s="2">
        <v>45593.323937349538</v>
      </c>
      <c r="C2104" t="s">
        <v>3</v>
      </c>
      <c r="D2104" t="s">
        <v>710</v>
      </c>
      <c r="E2104" s="5">
        <v>35.76</v>
      </c>
      <c r="F2104" t="s">
        <v>43</v>
      </c>
    </row>
    <row r="2105" spans="1:6">
      <c r="A2105" s="1">
        <v>45600</v>
      </c>
      <c r="B2105" s="2">
        <v>45600.321954618055</v>
      </c>
      <c r="C2105" t="s">
        <v>3</v>
      </c>
      <c r="D2105" t="s">
        <v>710</v>
      </c>
      <c r="E2105" s="5">
        <v>35.76</v>
      </c>
      <c r="F2105" t="s">
        <v>7</v>
      </c>
    </row>
    <row r="2106" spans="1:6">
      <c r="A2106" s="1">
        <v>45601</v>
      </c>
      <c r="B2106" s="2">
        <v>45601.326060347223</v>
      </c>
      <c r="C2106" t="s">
        <v>3</v>
      </c>
      <c r="D2106" t="s">
        <v>710</v>
      </c>
      <c r="E2106" s="5">
        <v>35.76</v>
      </c>
      <c r="F2106" t="s">
        <v>18</v>
      </c>
    </row>
    <row r="2107" spans="1:6">
      <c r="A2107" s="1">
        <v>45607</v>
      </c>
      <c r="B2107" s="2">
        <v>45607.325310231485</v>
      </c>
      <c r="C2107" t="s">
        <v>3</v>
      </c>
      <c r="D2107" t="s">
        <v>710</v>
      </c>
      <c r="E2107" s="5">
        <v>35.76</v>
      </c>
      <c r="F2107" t="s">
        <v>43</v>
      </c>
    </row>
    <row r="2108" spans="1:6">
      <c r="A2108" s="1">
        <v>45608</v>
      </c>
      <c r="B2108" s="2">
        <v>45608.781416006947</v>
      </c>
      <c r="C2108" t="s">
        <v>3</v>
      </c>
      <c r="D2108" t="s">
        <v>710</v>
      </c>
      <c r="E2108" s="5">
        <v>35.76</v>
      </c>
      <c r="F2108" t="s">
        <v>43</v>
      </c>
    </row>
    <row r="2109" spans="1:6">
      <c r="A2109" s="1">
        <v>45615</v>
      </c>
      <c r="B2109" s="2">
        <v>45615.325701712965</v>
      </c>
      <c r="C2109" t="s">
        <v>3</v>
      </c>
      <c r="D2109" t="s">
        <v>710</v>
      </c>
      <c r="E2109" s="5">
        <v>35.76</v>
      </c>
      <c r="F2109" t="s">
        <v>18</v>
      </c>
    </row>
    <row r="2110" spans="1:6">
      <c r="A2110" s="1">
        <v>45618</v>
      </c>
      <c r="B2110" s="2">
        <v>45618.419241944444</v>
      </c>
      <c r="C2110" t="s">
        <v>3</v>
      </c>
      <c r="D2110" t="s">
        <v>710</v>
      </c>
      <c r="E2110" s="5">
        <v>35.76</v>
      </c>
      <c r="F2110" t="s">
        <v>43</v>
      </c>
    </row>
    <row r="2111" spans="1:6">
      <c r="A2111" s="1">
        <v>45621</v>
      </c>
      <c r="B2111" s="2">
        <v>45621.325902245371</v>
      </c>
      <c r="C2111" t="s">
        <v>3</v>
      </c>
      <c r="D2111" t="s">
        <v>710</v>
      </c>
      <c r="E2111" s="5">
        <v>35.76</v>
      </c>
      <c r="F2111" t="s">
        <v>43</v>
      </c>
    </row>
    <row r="2112" spans="1:6">
      <c r="A2112" s="1">
        <v>45625</v>
      </c>
      <c r="B2112" s="2">
        <v>45625.328655532408</v>
      </c>
      <c r="C2112" t="s">
        <v>3</v>
      </c>
      <c r="D2112" t="s">
        <v>710</v>
      </c>
      <c r="E2112" s="5">
        <v>35.76</v>
      </c>
      <c r="F2112" t="s">
        <v>18</v>
      </c>
    </row>
    <row r="2113" spans="1:6">
      <c r="A2113" s="1">
        <v>45628</v>
      </c>
      <c r="B2113" s="2">
        <v>45628.326812175925</v>
      </c>
      <c r="C2113" t="s">
        <v>3</v>
      </c>
      <c r="D2113" t="s">
        <v>710</v>
      </c>
      <c r="E2113" s="5">
        <v>35.76</v>
      </c>
      <c r="F2113" t="s">
        <v>7</v>
      </c>
    </row>
    <row r="2114" spans="1:6">
      <c r="A2114" s="1">
        <v>45566</v>
      </c>
      <c r="B2114" s="2">
        <v>45566.496896446763</v>
      </c>
      <c r="C2114" t="s">
        <v>3</v>
      </c>
      <c r="D2114" t="s">
        <v>711</v>
      </c>
      <c r="E2114" s="5">
        <v>30.86</v>
      </c>
      <c r="F2114" t="s">
        <v>14</v>
      </c>
    </row>
    <row r="2115" spans="1:6">
      <c r="A2115" s="1">
        <v>45566</v>
      </c>
      <c r="B2115" s="2">
        <v>45566.508894050923</v>
      </c>
      <c r="C2115" t="s">
        <v>3</v>
      </c>
      <c r="D2115" t="s">
        <v>712</v>
      </c>
      <c r="E2115" s="5">
        <v>30.86</v>
      </c>
      <c r="F2115" t="s">
        <v>14</v>
      </c>
    </row>
    <row r="2116" spans="1:6">
      <c r="A2116" s="1">
        <v>45566</v>
      </c>
      <c r="B2116" s="2">
        <v>45566.509992847219</v>
      </c>
      <c r="C2116" t="s">
        <v>3</v>
      </c>
      <c r="D2116" t="s">
        <v>712</v>
      </c>
      <c r="E2116" s="5">
        <v>30.86</v>
      </c>
      <c r="F2116" t="s">
        <v>14</v>
      </c>
    </row>
    <row r="2117" spans="1:6">
      <c r="A2117" s="1">
        <v>45566</v>
      </c>
      <c r="B2117" s="2">
        <v>45566.595543483796</v>
      </c>
      <c r="C2117" t="s">
        <v>3</v>
      </c>
      <c r="D2117" t="s">
        <v>713</v>
      </c>
      <c r="E2117" s="5">
        <v>25.96</v>
      </c>
      <c r="F2117" t="s">
        <v>11</v>
      </c>
    </row>
    <row r="2118" spans="1:6">
      <c r="A2118" s="1">
        <v>45566</v>
      </c>
      <c r="B2118" s="2">
        <v>45566.596441643516</v>
      </c>
      <c r="C2118" t="s">
        <v>3</v>
      </c>
      <c r="D2118" t="s">
        <v>713</v>
      </c>
      <c r="E2118" s="5">
        <v>30.86</v>
      </c>
      <c r="F2118" t="s">
        <v>14</v>
      </c>
    </row>
    <row r="2119" spans="1:6">
      <c r="A2119" s="1">
        <v>45566</v>
      </c>
      <c r="B2119" s="2">
        <v>45566.695769456019</v>
      </c>
      <c r="C2119" t="s">
        <v>3</v>
      </c>
      <c r="D2119" t="s">
        <v>714</v>
      </c>
      <c r="E2119" s="5">
        <v>25.96</v>
      </c>
      <c r="F2119" t="s">
        <v>11</v>
      </c>
    </row>
    <row r="2120" spans="1:6">
      <c r="A2120" s="1">
        <v>45573</v>
      </c>
      <c r="B2120" s="2">
        <v>45573.432307569441</v>
      </c>
      <c r="C2120" t="s">
        <v>3</v>
      </c>
      <c r="D2120" t="s">
        <v>714</v>
      </c>
      <c r="E2120" s="5">
        <v>25.96</v>
      </c>
      <c r="F2120" t="s">
        <v>11</v>
      </c>
    </row>
    <row r="2121" spans="1:6">
      <c r="A2121" s="1">
        <v>45586</v>
      </c>
      <c r="B2121" s="2">
        <v>45586.434135925927</v>
      </c>
      <c r="C2121" t="s">
        <v>3</v>
      </c>
      <c r="D2121" t="s">
        <v>714</v>
      </c>
      <c r="E2121" s="5">
        <v>25.96</v>
      </c>
      <c r="F2121" t="s">
        <v>11</v>
      </c>
    </row>
    <row r="2122" spans="1:6">
      <c r="A2122" s="1">
        <v>45566</v>
      </c>
      <c r="B2122" s="2">
        <v>45566.755862789352</v>
      </c>
      <c r="C2122" t="s">
        <v>3</v>
      </c>
      <c r="D2122" t="s">
        <v>715</v>
      </c>
      <c r="E2122" s="5">
        <v>35.76</v>
      </c>
      <c r="F2122" t="s">
        <v>7</v>
      </c>
    </row>
    <row r="2123" spans="1:6">
      <c r="A2123" s="1">
        <v>45653</v>
      </c>
      <c r="B2123" s="2">
        <v>45653.954547372683</v>
      </c>
      <c r="C2123" t="s">
        <v>3</v>
      </c>
      <c r="D2123" t="s">
        <v>715</v>
      </c>
      <c r="E2123" s="5">
        <v>35.76</v>
      </c>
      <c r="F2123" t="s">
        <v>18</v>
      </c>
    </row>
    <row r="2124" spans="1:6">
      <c r="A2124" s="1">
        <v>45566</v>
      </c>
      <c r="B2124" s="2">
        <v>45566.766104861112</v>
      </c>
      <c r="C2124" t="s">
        <v>3</v>
      </c>
      <c r="D2124" t="s">
        <v>716</v>
      </c>
      <c r="E2124" s="5">
        <v>35.76</v>
      </c>
      <c r="F2124" t="s">
        <v>7</v>
      </c>
    </row>
    <row r="2125" spans="1:6">
      <c r="A2125" s="1">
        <v>45566</v>
      </c>
      <c r="B2125" s="2">
        <v>45566.766831620371</v>
      </c>
      <c r="C2125" t="s">
        <v>3</v>
      </c>
      <c r="D2125" t="s">
        <v>716</v>
      </c>
      <c r="E2125" s="5">
        <v>35.76</v>
      </c>
      <c r="F2125" t="s">
        <v>9</v>
      </c>
    </row>
    <row r="2126" spans="1:6">
      <c r="A2126" s="1">
        <v>45582</v>
      </c>
      <c r="B2126" s="2">
        <v>45582.692506782405</v>
      </c>
      <c r="C2126" t="s">
        <v>3</v>
      </c>
      <c r="D2126" t="s">
        <v>716</v>
      </c>
      <c r="E2126" s="5">
        <v>35.76</v>
      </c>
      <c r="F2126" t="s">
        <v>9</v>
      </c>
    </row>
    <row r="2127" spans="1:6">
      <c r="A2127" s="1">
        <v>45582</v>
      </c>
      <c r="B2127" s="2">
        <v>45582.693263530091</v>
      </c>
      <c r="C2127" t="s">
        <v>3</v>
      </c>
      <c r="D2127" t="s">
        <v>716</v>
      </c>
      <c r="E2127" s="5">
        <v>35.76</v>
      </c>
      <c r="F2127" t="s">
        <v>9</v>
      </c>
    </row>
    <row r="2128" spans="1:6">
      <c r="A2128" s="1">
        <v>45582</v>
      </c>
      <c r="B2128" s="2">
        <v>45582.693861180553</v>
      </c>
      <c r="C2128" t="s">
        <v>3</v>
      </c>
      <c r="D2128" t="s">
        <v>716</v>
      </c>
      <c r="E2128" s="5">
        <v>35.76</v>
      </c>
      <c r="F2128" t="s">
        <v>7</v>
      </c>
    </row>
    <row r="2129" spans="1:6">
      <c r="A2129" s="1">
        <v>45567</v>
      </c>
      <c r="B2129" s="2">
        <v>45567.331467511576</v>
      </c>
      <c r="C2129" t="s">
        <v>3</v>
      </c>
      <c r="D2129" t="s">
        <v>717</v>
      </c>
      <c r="E2129" s="5">
        <v>35.76</v>
      </c>
      <c r="F2129" t="s">
        <v>7</v>
      </c>
    </row>
    <row r="2130" spans="1:6">
      <c r="A2130" s="1">
        <v>45573</v>
      </c>
      <c r="B2130" s="2">
        <v>45573.341561157409</v>
      </c>
      <c r="C2130" t="s">
        <v>3</v>
      </c>
      <c r="D2130" t="s">
        <v>717</v>
      </c>
      <c r="E2130" s="5">
        <v>35.76</v>
      </c>
      <c r="F2130" t="s">
        <v>7</v>
      </c>
    </row>
    <row r="2131" spans="1:6">
      <c r="A2131" s="1">
        <v>45576</v>
      </c>
      <c r="B2131" s="2">
        <v>45576.333922893522</v>
      </c>
      <c r="C2131" t="s">
        <v>3</v>
      </c>
      <c r="D2131" t="s">
        <v>717</v>
      </c>
      <c r="E2131" s="5">
        <v>35.76</v>
      </c>
      <c r="F2131" t="s">
        <v>7</v>
      </c>
    </row>
    <row r="2132" spans="1:6">
      <c r="A2132" s="1">
        <v>45595</v>
      </c>
      <c r="B2132" s="2">
        <v>45595.327841307873</v>
      </c>
      <c r="C2132" t="s">
        <v>3</v>
      </c>
      <c r="D2132" t="s">
        <v>717</v>
      </c>
      <c r="E2132" s="5">
        <v>35.76</v>
      </c>
      <c r="F2132" t="s">
        <v>7</v>
      </c>
    </row>
    <row r="2133" spans="1:6">
      <c r="A2133" s="1">
        <v>45596</v>
      </c>
      <c r="B2133" s="2">
        <v>45596.329367256942</v>
      </c>
      <c r="C2133" t="s">
        <v>3</v>
      </c>
      <c r="D2133" t="s">
        <v>717</v>
      </c>
      <c r="E2133" s="5">
        <v>35.76</v>
      </c>
      <c r="F2133" t="s">
        <v>7</v>
      </c>
    </row>
    <row r="2134" spans="1:6">
      <c r="A2134" s="1">
        <v>45567</v>
      </c>
      <c r="B2134" s="2">
        <v>45567.433278611112</v>
      </c>
      <c r="C2134" t="s">
        <v>3</v>
      </c>
      <c r="D2134" t="s">
        <v>718</v>
      </c>
      <c r="E2134" s="5">
        <v>30.86</v>
      </c>
      <c r="F2134" t="s">
        <v>14</v>
      </c>
    </row>
    <row r="2135" spans="1:6">
      <c r="A2135" s="1">
        <v>45567</v>
      </c>
      <c r="B2135" s="2">
        <v>45567.478401539352</v>
      </c>
      <c r="C2135" t="s">
        <v>3</v>
      </c>
      <c r="D2135" t="s">
        <v>719</v>
      </c>
      <c r="E2135" s="5">
        <v>35.76</v>
      </c>
      <c r="F2135" t="s">
        <v>43</v>
      </c>
    </row>
    <row r="2136" spans="1:6">
      <c r="A2136" s="1">
        <v>45567</v>
      </c>
      <c r="B2136" s="2">
        <v>45567.634515532409</v>
      </c>
      <c r="C2136" t="s">
        <v>3</v>
      </c>
      <c r="D2136" t="s">
        <v>720</v>
      </c>
      <c r="E2136" s="5">
        <v>35.76</v>
      </c>
      <c r="F2136" t="s">
        <v>43</v>
      </c>
    </row>
    <row r="2137" spans="1:6">
      <c r="A2137" s="1">
        <v>45567</v>
      </c>
      <c r="B2137" s="2">
        <v>45567.930829293982</v>
      </c>
      <c r="C2137" t="s">
        <v>3</v>
      </c>
      <c r="D2137" t="s">
        <v>721</v>
      </c>
      <c r="E2137" s="5">
        <v>35.76</v>
      </c>
      <c r="F2137" t="s">
        <v>9</v>
      </c>
    </row>
    <row r="2138" spans="1:6">
      <c r="A2138" s="1">
        <v>45593</v>
      </c>
      <c r="B2138" s="2">
        <v>45593.501111736114</v>
      </c>
      <c r="C2138" t="s">
        <v>3</v>
      </c>
      <c r="D2138" t="s">
        <v>721</v>
      </c>
      <c r="E2138" s="5">
        <v>35.76</v>
      </c>
      <c r="F2138" t="s">
        <v>9</v>
      </c>
    </row>
    <row r="2139" spans="1:6">
      <c r="A2139" s="1">
        <v>45568</v>
      </c>
      <c r="B2139" s="2">
        <v>45568.574721319441</v>
      </c>
      <c r="C2139" t="s">
        <v>3</v>
      </c>
      <c r="D2139" t="s">
        <v>722</v>
      </c>
      <c r="E2139" s="5">
        <v>35.76</v>
      </c>
      <c r="F2139" t="s">
        <v>18</v>
      </c>
    </row>
    <row r="2140" spans="1:6">
      <c r="A2140" s="1">
        <v>45568</v>
      </c>
      <c r="B2140" s="2">
        <v>45568.633393055556</v>
      </c>
      <c r="C2140" t="s">
        <v>3</v>
      </c>
      <c r="D2140" t="s">
        <v>723</v>
      </c>
      <c r="E2140" s="5">
        <v>30.86</v>
      </c>
      <c r="F2140" t="s">
        <v>14</v>
      </c>
    </row>
    <row r="2141" spans="1:6">
      <c r="A2141" s="1">
        <v>45568</v>
      </c>
      <c r="B2141" s="2">
        <v>45568.842335196758</v>
      </c>
      <c r="C2141" t="s">
        <v>3</v>
      </c>
      <c r="D2141" t="s">
        <v>724</v>
      </c>
      <c r="E2141" s="5">
        <v>25.96</v>
      </c>
      <c r="F2141" t="s">
        <v>28</v>
      </c>
    </row>
    <row r="2142" spans="1:6">
      <c r="A2142" s="1">
        <v>45568</v>
      </c>
      <c r="B2142" s="2">
        <v>45568.843110891205</v>
      </c>
      <c r="C2142" t="s">
        <v>3</v>
      </c>
      <c r="D2142" t="s">
        <v>724</v>
      </c>
      <c r="E2142" s="5">
        <v>35.76</v>
      </c>
      <c r="F2142" t="s">
        <v>9</v>
      </c>
    </row>
    <row r="2143" spans="1:6">
      <c r="A2143" s="1">
        <v>45568</v>
      </c>
      <c r="B2143" s="2">
        <v>45568.895178125</v>
      </c>
      <c r="C2143" t="s">
        <v>3</v>
      </c>
      <c r="D2143" t="s">
        <v>725</v>
      </c>
      <c r="E2143" s="5">
        <v>35.76</v>
      </c>
      <c r="F2143" t="s">
        <v>43</v>
      </c>
    </row>
    <row r="2144" spans="1:6">
      <c r="A2144" s="1">
        <v>45568</v>
      </c>
      <c r="B2144" s="2">
        <v>45568.896532997685</v>
      </c>
      <c r="C2144" t="s">
        <v>3</v>
      </c>
      <c r="D2144" t="s">
        <v>726</v>
      </c>
      <c r="E2144" s="5">
        <v>35.76</v>
      </c>
      <c r="F2144" t="s">
        <v>9</v>
      </c>
    </row>
    <row r="2145" spans="1:6">
      <c r="A2145" s="1">
        <v>45569</v>
      </c>
      <c r="B2145" s="2">
        <v>45569.732810289352</v>
      </c>
      <c r="C2145" t="s">
        <v>3</v>
      </c>
      <c r="D2145" t="s">
        <v>727</v>
      </c>
      <c r="E2145" s="5">
        <v>35.76</v>
      </c>
      <c r="F2145" t="s">
        <v>7</v>
      </c>
    </row>
    <row r="2146" spans="1:6">
      <c r="A2146" s="1">
        <v>45575</v>
      </c>
      <c r="B2146" s="2">
        <v>45575.789244189815</v>
      </c>
      <c r="C2146" t="s">
        <v>3</v>
      </c>
      <c r="D2146" t="s">
        <v>727</v>
      </c>
      <c r="E2146" s="5">
        <v>30.86</v>
      </c>
      <c r="F2146" t="s">
        <v>14</v>
      </c>
    </row>
    <row r="2147" spans="1:6">
      <c r="A2147" s="1">
        <v>45575</v>
      </c>
      <c r="B2147" s="2">
        <v>45575.789991307873</v>
      </c>
      <c r="C2147" t="s">
        <v>3</v>
      </c>
      <c r="D2147" t="s">
        <v>727</v>
      </c>
      <c r="E2147" s="5">
        <v>35.76</v>
      </c>
      <c r="F2147" t="s">
        <v>7</v>
      </c>
    </row>
    <row r="2148" spans="1:6">
      <c r="A2148" s="1">
        <v>45569</v>
      </c>
      <c r="B2148" s="2">
        <v>45569.737756724535</v>
      </c>
      <c r="C2148" t="s">
        <v>3</v>
      </c>
      <c r="D2148" t="s">
        <v>728</v>
      </c>
      <c r="E2148" s="5">
        <v>35.76</v>
      </c>
      <c r="F2148" t="s">
        <v>9</v>
      </c>
    </row>
    <row r="2149" spans="1:6">
      <c r="A2149" s="1">
        <v>45569</v>
      </c>
      <c r="B2149" s="2">
        <v>45569.739309837962</v>
      </c>
      <c r="C2149" t="s">
        <v>3</v>
      </c>
      <c r="D2149" t="s">
        <v>728</v>
      </c>
      <c r="E2149" s="5">
        <v>35.76</v>
      </c>
      <c r="F2149" t="s">
        <v>18</v>
      </c>
    </row>
    <row r="2150" spans="1:6">
      <c r="A2150" s="1">
        <v>45576</v>
      </c>
      <c r="B2150" s="2">
        <v>45576.618156956021</v>
      </c>
      <c r="C2150" t="s">
        <v>3</v>
      </c>
      <c r="D2150" t="s">
        <v>728</v>
      </c>
      <c r="E2150" s="5">
        <v>35.76</v>
      </c>
      <c r="F2150" t="s">
        <v>43</v>
      </c>
    </row>
    <row r="2151" spans="1:6">
      <c r="A2151" s="1">
        <v>45642</v>
      </c>
      <c r="B2151" s="2">
        <v>45642.365900763885</v>
      </c>
      <c r="C2151" t="s">
        <v>3</v>
      </c>
      <c r="D2151" t="s">
        <v>728</v>
      </c>
      <c r="E2151" s="5">
        <v>35.76</v>
      </c>
      <c r="F2151" t="s">
        <v>18</v>
      </c>
    </row>
    <row r="2152" spans="1:6">
      <c r="A2152" s="1">
        <v>45570</v>
      </c>
      <c r="B2152" s="2">
        <v>45570.399825266206</v>
      </c>
      <c r="C2152" t="s">
        <v>3</v>
      </c>
      <c r="D2152" t="s">
        <v>729</v>
      </c>
      <c r="E2152" s="5">
        <v>35.76</v>
      </c>
      <c r="F2152" t="s">
        <v>18</v>
      </c>
    </row>
    <row r="2153" spans="1:6">
      <c r="A2153" s="1">
        <v>45591</v>
      </c>
      <c r="B2153" s="2">
        <v>45591.80510769676</v>
      </c>
      <c r="C2153" t="s">
        <v>3</v>
      </c>
      <c r="D2153" t="s">
        <v>729</v>
      </c>
      <c r="E2153" s="5">
        <v>35.76</v>
      </c>
      <c r="F2153" t="s">
        <v>43</v>
      </c>
    </row>
    <row r="2154" spans="1:6">
      <c r="A2154" s="1">
        <v>45571</v>
      </c>
      <c r="B2154" s="2">
        <v>45571.496861643522</v>
      </c>
      <c r="C2154" t="s">
        <v>3</v>
      </c>
      <c r="D2154" t="s">
        <v>730</v>
      </c>
      <c r="E2154" s="5">
        <v>35.76</v>
      </c>
      <c r="F2154" t="s">
        <v>7</v>
      </c>
    </row>
    <row r="2155" spans="1:6">
      <c r="A2155" s="1">
        <v>45571</v>
      </c>
      <c r="B2155" s="2">
        <v>45571.573653645835</v>
      </c>
      <c r="C2155" t="s">
        <v>3</v>
      </c>
      <c r="D2155" t="s">
        <v>731</v>
      </c>
      <c r="E2155" s="5">
        <v>25.96</v>
      </c>
      <c r="F2155" t="s">
        <v>11</v>
      </c>
    </row>
    <row r="2156" spans="1:6">
      <c r="A2156" s="1">
        <v>45571</v>
      </c>
      <c r="B2156" s="2">
        <v>45571.574328159724</v>
      </c>
      <c r="C2156" t="s">
        <v>3</v>
      </c>
      <c r="D2156" t="s">
        <v>731</v>
      </c>
      <c r="E2156" s="5">
        <v>35.76</v>
      </c>
      <c r="F2156" t="s">
        <v>43</v>
      </c>
    </row>
    <row r="2157" spans="1:6">
      <c r="A2157" s="1">
        <v>45571</v>
      </c>
      <c r="B2157" s="2">
        <v>45571.576390509261</v>
      </c>
      <c r="C2157" t="s">
        <v>3</v>
      </c>
      <c r="D2157" t="s">
        <v>732</v>
      </c>
      <c r="E2157" s="5">
        <v>30.86</v>
      </c>
      <c r="F2157" t="s">
        <v>14</v>
      </c>
    </row>
    <row r="2158" spans="1:6">
      <c r="A2158" s="1">
        <v>45571</v>
      </c>
      <c r="B2158" s="2">
        <v>45571.577132523147</v>
      </c>
      <c r="C2158" t="s">
        <v>3</v>
      </c>
      <c r="D2158" t="s">
        <v>732</v>
      </c>
      <c r="E2158" s="5">
        <v>35.76</v>
      </c>
      <c r="F2158" t="s">
        <v>7</v>
      </c>
    </row>
    <row r="2159" spans="1:6">
      <c r="A2159" s="1">
        <v>45571</v>
      </c>
      <c r="B2159" s="2">
        <v>45571.577734756946</v>
      </c>
      <c r="C2159" t="s">
        <v>3</v>
      </c>
      <c r="D2159" t="s">
        <v>732</v>
      </c>
      <c r="E2159" s="5">
        <v>35.76</v>
      </c>
      <c r="F2159" t="s">
        <v>43</v>
      </c>
    </row>
    <row r="2160" spans="1:6">
      <c r="A2160" s="1">
        <v>45571</v>
      </c>
      <c r="B2160" s="2">
        <v>45571.688583194446</v>
      </c>
      <c r="C2160" t="s">
        <v>3</v>
      </c>
      <c r="D2160" t="s">
        <v>733</v>
      </c>
      <c r="E2160" s="5">
        <v>35.76</v>
      </c>
      <c r="F2160" t="s">
        <v>43</v>
      </c>
    </row>
    <row r="2161" spans="1:6">
      <c r="A2161" s="1">
        <v>45571</v>
      </c>
      <c r="B2161" s="2">
        <v>45571.691500289351</v>
      </c>
      <c r="C2161" t="s">
        <v>3</v>
      </c>
      <c r="D2161" t="s">
        <v>734</v>
      </c>
      <c r="E2161" s="5">
        <v>21.06</v>
      </c>
      <c r="F2161" t="s">
        <v>35</v>
      </c>
    </row>
    <row r="2162" spans="1:6">
      <c r="A2162" s="1">
        <v>45571</v>
      </c>
      <c r="B2162" s="2">
        <v>45571.762326099539</v>
      </c>
      <c r="C2162" t="s">
        <v>3</v>
      </c>
      <c r="D2162" t="s">
        <v>735</v>
      </c>
      <c r="E2162" s="5">
        <v>30.86</v>
      </c>
      <c r="F2162" t="s">
        <v>14</v>
      </c>
    </row>
    <row r="2163" spans="1:6">
      <c r="A2163" s="1">
        <v>45571</v>
      </c>
      <c r="B2163" s="2">
        <v>45571.774496157406</v>
      </c>
      <c r="C2163" t="s">
        <v>3</v>
      </c>
      <c r="D2163" t="s">
        <v>736</v>
      </c>
      <c r="E2163" s="5">
        <v>35.76</v>
      </c>
      <c r="F2163" t="s">
        <v>9</v>
      </c>
    </row>
    <row r="2164" spans="1:6">
      <c r="A2164" s="1">
        <v>45601</v>
      </c>
      <c r="B2164" s="2">
        <v>45601.912727395837</v>
      </c>
      <c r="C2164" t="s">
        <v>3</v>
      </c>
      <c r="D2164" t="s">
        <v>736</v>
      </c>
      <c r="E2164" s="5">
        <v>35.76</v>
      </c>
      <c r="F2164" t="s">
        <v>9</v>
      </c>
    </row>
    <row r="2165" spans="1:6">
      <c r="A2165" s="1">
        <v>45571</v>
      </c>
      <c r="B2165" s="2">
        <v>45571.881399178237</v>
      </c>
      <c r="C2165" t="s">
        <v>3</v>
      </c>
      <c r="D2165" t="s">
        <v>737</v>
      </c>
      <c r="E2165" s="5">
        <v>35.76</v>
      </c>
      <c r="F2165" t="s">
        <v>9</v>
      </c>
    </row>
    <row r="2166" spans="1:6">
      <c r="A2166" s="1">
        <v>45571</v>
      </c>
      <c r="B2166" s="2">
        <v>45571.881949953706</v>
      </c>
      <c r="C2166" t="s">
        <v>3</v>
      </c>
      <c r="D2166" t="s">
        <v>737</v>
      </c>
      <c r="E2166" s="5">
        <v>35.76</v>
      </c>
      <c r="F2166" t="s">
        <v>9</v>
      </c>
    </row>
    <row r="2167" spans="1:6">
      <c r="A2167" s="1">
        <v>45572</v>
      </c>
      <c r="B2167" s="2">
        <v>45572.356671562498</v>
      </c>
      <c r="C2167" t="s">
        <v>3</v>
      </c>
      <c r="D2167" t="s">
        <v>738</v>
      </c>
      <c r="E2167" s="5">
        <v>35.76</v>
      </c>
      <c r="F2167" t="s">
        <v>7</v>
      </c>
    </row>
    <row r="2168" spans="1:6">
      <c r="A2168" s="1">
        <v>45572</v>
      </c>
      <c r="B2168" s="2">
        <v>45572.378797349535</v>
      </c>
      <c r="C2168" t="s">
        <v>3</v>
      </c>
      <c r="D2168" t="s">
        <v>739</v>
      </c>
      <c r="E2168" s="5">
        <v>35.76</v>
      </c>
      <c r="F2168" t="s">
        <v>18</v>
      </c>
    </row>
    <row r="2169" spans="1:6">
      <c r="A2169" s="1">
        <v>45576</v>
      </c>
      <c r="B2169" s="2">
        <v>45576.372034571759</v>
      </c>
      <c r="C2169" t="s">
        <v>3</v>
      </c>
      <c r="D2169" t="s">
        <v>739</v>
      </c>
      <c r="E2169" s="5">
        <v>35.76</v>
      </c>
      <c r="F2169" t="s">
        <v>18</v>
      </c>
    </row>
    <row r="2170" spans="1:6">
      <c r="A2170" s="1">
        <v>45572</v>
      </c>
      <c r="B2170" s="2">
        <v>45572.381925034722</v>
      </c>
      <c r="C2170" t="s">
        <v>3</v>
      </c>
      <c r="D2170" t="s">
        <v>740</v>
      </c>
      <c r="E2170" s="5">
        <v>35.76</v>
      </c>
      <c r="F2170" t="s">
        <v>7</v>
      </c>
    </row>
    <row r="2171" spans="1:6">
      <c r="A2171" s="1">
        <v>45573</v>
      </c>
      <c r="B2171" s="2">
        <v>45573.479285335648</v>
      </c>
      <c r="C2171" t="s">
        <v>3</v>
      </c>
      <c r="D2171" t="s">
        <v>740</v>
      </c>
      <c r="E2171" s="5">
        <v>35.76</v>
      </c>
      <c r="F2171" t="s">
        <v>7</v>
      </c>
    </row>
    <row r="2172" spans="1:6">
      <c r="A2172" s="1">
        <v>45574</v>
      </c>
      <c r="B2172" s="2">
        <v>45574.543848541667</v>
      </c>
      <c r="C2172" t="s">
        <v>3</v>
      </c>
      <c r="D2172" t="s">
        <v>740</v>
      </c>
      <c r="E2172" s="5">
        <v>35.76</v>
      </c>
      <c r="F2172" t="s">
        <v>7</v>
      </c>
    </row>
    <row r="2173" spans="1:6">
      <c r="A2173" s="1">
        <v>45576</v>
      </c>
      <c r="B2173" s="2">
        <v>45576.372902523151</v>
      </c>
      <c r="C2173" t="s">
        <v>3</v>
      </c>
      <c r="D2173" t="s">
        <v>740</v>
      </c>
      <c r="E2173" s="5">
        <v>30.86</v>
      </c>
      <c r="F2173" t="s">
        <v>14</v>
      </c>
    </row>
    <row r="2174" spans="1:6">
      <c r="A2174" s="1">
        <v>45586</v>
      </c>
      <c r="B2174" s="2">
        <v>45586.613866284722</v>
      </c>
      <c r="C2174" t="s">
        <v>3</v>
      </c>
      <c r="D2174" t="s">
        <v>740</v>
      </c>
      <c r="E2174" s="5">
        <v>35.76</v>
      </c>
      <c r="F2174" t="s">
        <v>7</v>
      </c>
    </row>
    <row r="2175" spans="1:6">
      <c r="A2175" s="1">
        <v>45572</v>
      </c>
      <c r="B2175" s="2">
        <v>45572.512462002313</v>
      </c>
      <c r="C2175" t="s">
        <v>3</v>
      </c>
      <c r="D2175" t="s">
        <v>741</v>
      </c>
      <c r="E2175" s="5">
        <v>30.86</v>
      </c>
      <c r="F2175" t="s">
        <v>14</v>
      </c>
    </row>
    <row r="2176" spans="1:6">
      <c r="A2176" s="1">
        <v>45654</v>
      </c>
      <c r="B2176" s="2">
        <v>45654.429678541666</v>
      </c>
      <c r="C2176" t="s">
        <v>3</v>
      </c>
      <c r="D2176" t="s">
        <v>741</v>
      </c>
      <c r="E2176" s="5">
        <v>30.86</v>
      </c>
      <c r="F2176" t="s">
        <v>14</v>
      </c>
    </row>
    <row r="2177" spans="1:6">
      <c r="A2177" s="1">
        <v>45572</v>
      </c>
      <c r="B2177" s="2">
        <v>45572.605384930554</v>
      </c>
      <c r="C2177" t="s">
        <v>3</v>
      </c>
      <c r="D2177" t="s">
        <v>742</v>
      </c>
      <c r="E2177" s="5">
        <v>25.96</v>
      </c>
      <c r="F2177" t="s">
        <v>11</v>
      </c>
    </row>
    <row r="2178" spans="1:6">
      <c r="A2178" s="1">
        <v>45572</v>
      </c>
      <c r="B2178" s="2">
        <v>45572.606004224537</v>
      </c>
      <c r="C2178" t="s">
        <v>3</v>
      </c>
      <c r="D2178" t="s">
        <v>742</v>
      </c>
      <c r="E2178" s="5">
        <v>25.96</v>
      </c>
      <c r="F2178" t="s">
        <v>11</v>
      </c>
    </row>
    <row r="2179" spans="1:6">
      <c r="A2179" s="1">
        <v>45573</v>
      </c>
      <c r="B2179" s="2">
        <v>45573.544454918978</v>
      </c>
      <c r="C2179" t="s">
        <v>3</v>
      </c>
      <c r="D2179" t="s">
        <v>743</v>
      </c>
      <c r="E2179" s="5">
        <v>35.76</v>
      </c>
      <c r="F2179" t="s">
        <v>7</v>
      </c>
    </row>
    <row r="2180" spans="1:6">
      <c r="A2180" s="1">
        <v>45573</v>
      </c>
      <c r="B2180" s="2">
        <v>45573.545132453706</v>
      </c>
      <c r="C2180" t="s">
        <v>3</v>
      </c>
      <c r="D2180" t="s">
        <v>743</v>
      </c>
      <c r="E2180" s="5">
        <v>35.76</v>
      </c>
      <c r="F2180" t="s">
        <v>7</v>
      </c>
    </row>
    <row r="2181" spans="1:6">
      <c r="A2181" s="1">
        <v>45655</v>
      </c>
      <c r="B2181" s="2">
        <v>45655.887029282407</v>
      </c>
      <c r="C2181" t="s">
        <v>3</v>
      </c>
      <c r="D2181" t="s">
        <v>743</v>
      </c>
      <c r="E2181" s="5">
        <v>35.76</v>
      </c>
      <c r="F2181" t="s">
        <v>7</v>
      </c>
    </row>
    <row r="2182" spans="1:6">
      <c r="A2182" s="1">
        <v>45573</v>
      </c>
      <c r="B2182" s="2">
        <v>45573.660221319442</v>
      </c>
      <c r="C2182" t="s">
        <v>3</v>
      </c>
      <c r="D2182" t="s">
        <v>744</v>
      </c>
      <c r="E2182" s="5">
        <v>30.86</v>
      </c>
      <c r="F2182" t="s">
        <v>14</v>
      </c>
    </row>
    <row r="2183" spans="1:6">
      <c r="A2183" s="1">
        <v>45573</v>
      </c>
      <c r="B2183" s="2">
        <v>45573.861579386576</v>
      </c>
      <c r="C2183" t="s">
        <v>3</v>
      </c>
      <c r="D2183" t="s">
        <v>745</v>
      </c>
      <c r="E2183" s="5">
        <v>35.76</v>
      </c>
      <c r="F2183" t="s">
        <v>9</v>
      </c>
    </row>
    <row r="2184" spans="1:6">
      <c r="A2184" s="1">
        <v>45573</v>
      </c>
      <c r="B2184" s="2">
        <v>45573.862192870372</v>
      </c>
      <c r="C2184" t="s">
        <v>3</v>
      </c>
      <c r="D2184" t="s">
        <v>745</v>
      </c>
      <c r="E2184" s="5">
        <v>35.76</v>
      </c>
      <c r="F2184" t="s">
        <v>43</v>
      </c>
    </row>
    <row r="2185" spans="1:6">
      <c r="A2185" s="1">
        <v>45601</v>
      </c>
      <c r="B2185" s="2">
        <v>45601.383475972223</v>
      </c>
      <c r="C2185" t="s">
        <v>3</v>
      </c>
      <c r="D2185" t="s">
        <v>745</v>
      </c>
      <c r="E2185" s="5">
        <v>35.76</v>
      </c>
      <c r="F2185" t="s">
        <v>43</v>
      </c>
    </row>
    <row r="2186" spans="1:6">
      <c r="A2186" s="1">
        <v>45601</v>
      </c>
      <c r="B2186" s="2">
        <v>45601.384494861108</v>
      </c>
      <c r="C2186" t="s">
        <v>3</v>
      </c>
      <c r="D2186" t="s">
        <v>745</v>
      </c>
      <c r="E2186" s="5">
        <v>30.86</v>
      </c>
      <c r="F2186" t="s">
        <v>14</v>
      </c>
    </row>
    <row r="2187" spans="1:6">
      <c r="A2187" s="1">
        <v>45632</v>
      </c>
      <c r="B2187" s="2">
        <v>45632.93788513889</v>
      </c>
      <c r="C2187" t="s">
        <v>3</v>
      </c>
      <c r="D2187" t="s">
        <v>745</v>
      </c>
      <c r="E2187" s="5">
        <v>35.76</v>
      </c>
      <c r="F2187" t="s">
        <v>7</v>
      </c>
    </row>
    <row r="2188" spans="1:6">
      <c r="A2188" s="1">
        <v>45632</v>
      </c>
      <c r="B2188" s="2">
        <v>45632.938541689815</v>
      </c>
      <c r="C2188" t="s">
        <v>3</v>
      </c>
      <c r="D2188" t="s">
        <v>745</v>
      </c>
      <c r="E2188" s="5">
        <v>35.76</v>
      </c>
      <c r="F2188" t="s">
        <v>9</v>
      </c>
    </row>
    <row r="2189" spans="1:6">
      <c r="A2189" s="1">
        <v>45672</v>
      </c>
      <c r="B2189" s="2">
        <v>45672.903637314812</v>
      </c>
      <c r="C2189" t="s">
        <v>3</v>
      </c>
      <c r="D2189" t="s">
        <v>745</v>
      </c>
      <c r="E2189" s="5">
        <v>35.76</v>
      </c>
      <c r="F2189" t="s">
        <v>43</v>
      </c>
    </row>
    <row r="2190" spans="1:6">
      <c r="A2190" s="1">
        <v>45573</v>
      </c>
      <c r="B2190" s="2">
        <v>45573.868850949075</v>
      </c>
      <c r="C2190" t="s">
        <v>3</v>
      </c>
      <c r="D2190" t="s">
        <v>746</v>
      </c>
      <c r="E2190" s="5">
        <v>35.76</v>
      </c>
      <c r="F2190" t="s">
        <v>7</v>
      </c>
    </row>
    <row r="2191" spans="1:6">
      <c r="A2191" s="1">
        <v>45574</v>
      </c>
      <c r="B2191" s="2">
        <v>45574.443019976854</v>
      </c>
      <c r="C2191" t="s">
        <v>3</v>
      </c>
      <c r="D2191" t="s">
        <v>747</v>
      </c>
      <c r="E2191" s="5">
        <v>21.06</v>
      </c>
      <c r="F2191" t="s">
        <v>35</v>
      </c>
    </row>
    <row r="2192" spans="1:6">
      <c r="A2192" s="1">
        <v>45574</v>
      </c>
      <c r="B2192" s="2">
        <v>45574.470858078705</v>
      </c>
      <c r="C2192" t="s">
        <v>3</v>
      </c>
      <c r="D2192" t="s">
        <v>748</v>
      </c>
      <c r="E2192" s="5">
        <v>25.96</v>
      </c>
      <c r="F2192" t="s">
        <v>11</v>
      </c>
    </row>
    <row r="2193" spans="1:6">
      <c r="A2193" s="1">
        <v>45595</v>
      </c>
      <c r="B2193" s="2">
        <v>45595.507620266202</v>
      </c>
      <c r="C2193" t="s">
        <v>3</v>
      </c>
      <c r="D2193" t="s">
        <v>748</v>
      </c>
      <c r="E2193" s="5">
        <v>30.86</v>
      </c>
      <c r="F2193" t="s">
        <v>14</v>
      </c>
    </row>
    <row r="2194" spans="1:6">
      <c r="A2194" s="1">
        <v>45574</v>
      </c>
      <c r="B2194" s="2">
        <v>45574.578179814816</v>
      </c>
      <c r="C2194" t="s">
        <v>3</v>
      </c>
      <c r="D2194" t="s">
        <v>749</v>
      </c>
      <c r="E2194" s="5">
        <v>30.86</v>
      </c>
      <c r="F2194" t="s">
        <v>14</v>
      </c>
    </row>
    <row r="2195" spans="1:6">
      <c r="A2195" s="1">
        <v>45574</v>
      </c>
      <c r="B2195" s="2">
        <v>45574.743050370373</v>
      </c>
      <c r="C2195" t="s">
        <v>3</v>
      </c>
      <c r="D2195" t="s">
        <v>750</v>
      </c>
      <c r="E2195" s="5">
        <v>21.06</v>
      </c>
      <c r="F2195" t="s">
        <v>35</v>
      </c>
    </row>
    <row r="2196" spans="1:6">
      <c r="A2196" s="1">
        <v>45580</v>
      </c>
      <c r="B2196" s="2">
        <v>45580.468988680557</v>
      </c>
      <c r="C2196" t="s">
        <v>3</v>
      </c>
      <c r="D2196" t="s">
        <v>750</v>
      </c>
      <c r="E2196" s="5">
        <v>35.76</v>
      </c>
      <c r="F2196" t="s">
        <v>7</v>
      </c>
    </row>
    <row r="2197" spans="1:6">
      <c r="A2197" s="1">
        <v>45580</v>
      </c>
      <c r="B2197" s="2">
        <v>45580.469762372682</v>
      </c>
      <c r="C2197" t="s">
        <v>3</v>
      </c>
      <c r="D2197" t="s">
        <v>750</v>
      </c>
      <c r="E2197" s="5">
        <v>35.76</v>
      </c>
      <c r="F2197" t="s">
        <v>9</v>
      </c>
    </row>
    <row r="2198" spans="1:6">
      <c r="A2198" s="1">
        <v>45574</v>
      </c>
      <c r="B2198" s="2">
        <v>45574.867505787035</v>
      </c>
      <c r="C2198" t="s">
        <v>3</v>
      </c>
      <c r="D2198" t="s">
        <v>751</v>
      </c>
      <c r="E2198" s="5">
        <v>35.76</v>
      </c>
      <c r="F2198" t="s">
        <v>43</v>
      </c>
    </row>
    <row r="2199" spans="1:6">
      <c r="A2199" s="1">
        <v>45575</v>
      </c>
      <c r="B2199" s="2">
        <v>45575.410928368059</v>
      </c>
      <c r="C2199" t="s">
        <v>3</v>
      </c>
      <c r="D2199" t="s">
        <v>752</v>
      </c>
      <c r="E2199" s="5">
        <v>35.76</v>
      </c>
      <c r="F2199" t="s">
        <v>9</v>
      </c>
    </row>
    <row r="2200" spans="1:6">
      <c r="A2200" s="1">
        <v>45575</v>
      </c>
      <c r="B2200" s="2">
        <v>45575.45523861111</v>
      </c>
      <c r="C2200" t="s">
        <v>3</v>
      </c>
      <c r="D2200" t="s">
        <v>753</v>
      </c>
      <c r="E2200" s="5">
        <v>35.76</v>
      </c>
      <c r="F2200" t="s">
        <v>7</v>
      </c>
    </row>
    <row r="2201" spans="1:6">
      <c r="A2201" s="1">
        <v>45575</v>
      </c>
      <c r="B2201" s="2">
        <v>45575.461335057873</v>
      </c>
      <c r="C2201" t="s">
        <v>3</v>
      </c>
      <c r="D2201" t="s">
        <v>754</v>
      </c>
      <c r="E2201" s="5">
        <v>35.76</v>
      </c>
      <c r="F2201" t="s">
        <v>7</v>
      </c>
    </row>
    <row r="2202" spans="1:6">
      <c r="A2202" s="1">
        <v>45576</v>
      </c>
      <c r="B2202" s="2">
        <v>45576.545155127315</v>
      </c>
      <c r="C2202" t="s">
        <v>3</v>
      </c>
      <c r="D2202" t="s">
        <v>754</v>
      </c>
      <c r="E2202" s="5">
        <v>35.76</v>
      </c>
      <c r="F2202" t="s">
        <v>7</v>
      </c>
    </row>
    <row r="2203" spans="1:6">
      <c r="A2203" s="1">
        <v>45575</v>
      </c>
      <c r="B2203" s="2">
        <v>45575.736624814817</v>
      </c>
      <c r="C2203" t="s">
        <v>3</v>
      </c>
      <c r="D2203" t="s">
        <v>755</v>
      </c>
      <c r="E2203" s="5">
        <v>35.76</v>
      </c>
      <c r="F2203" t="s">
        <v>7</v>
      </c>
    </row>
    <row r="2204" spans="1:6">
      <c r="A2204" s="1">
        <v>45575</v>
      </c>
      <c r="B2204" s="2">
        <v>45575.76287859954</v>
      </c>
      <c r="C2204" t="s">
        <v>3</v>
      </c>
      <c r="D2204" t="s">
        <v>756</v>
      </c>
      <c r="E2204" s="5">
        <v>25.96</v>
      </c>
      <c r="F2204" t="s">
        <v>11</v>
      </c>
    </row>
    <row r="2205" spans="1:6">
      <c r="A2205" s="1">
        <v>45602</v>
      </c>
      <c r="B2205" s="2">
        <v>45602.552463680557</v>
      </c>
      <c r="C2205" t="s">
        <v>3</v>
      </c>
      <c r="D2205" t="s">
        <v>756</v>
      </c>
      <c r="E2205" s="5">
        <v>25.96</v>
      </c>
      <c r="F2205" t="s">
        <v>11</v>
      </c>
    </row>
    <row r="2206" spans="1:6">
      <c r="A2206" s="1">
        <v>45576</v>
      </c>
      <c r="B2206" s="2">
        <v>45576.373716458336</v>
      </c>
      <c r="C2206" t="s">
        <v>3</v>
      </c>
      <c r="D2206" t="s">
        <v>757</v>
      </c>
      <c r="E2206" s="5">
        <v>35.76</v>
      </c>
      <c r="F2206" t="s">
        <v>9</v>
      </c>
    </row>
    <row r="2207" spans="1:6">
      <c r="A2207" s="1">
        <v>45576</v>
      </c>
      <c r="B2207" s="2">
        <v>45576.397017800926</v>
      </c>
      <c r="C2207" t="s">
        <v>3</v>
      </c>
      <c r="D2207" t="s">
        <v>758</v>
      </c>
      <c r="E2207" s="5">
        <v>30.86</v>
      </c>
      <c r="F2207" t="s">
        <v>14</v>
      </c>
    </row>
    <row r="2208" spans="1:6">
      <c r="A2208" s="1">
        <v>45576</v>
      </c>
      <c r="B2208" s="2">
        <v>45576.60671915509</v>
      </c>
      <c r="C2208" t="s">
        <v>3</v>
      </c>
      <c r="D2208" t="s">
        <v>759</v>
      </c>
      <c r="E2208" s="5">
        <v>35.76</v>
      </c>
      <c r="F2208" t="s">
        <v>18</v>
      </c>
    </row>
    <row r="2209" spans="1:6">
      <c r="A2209" s="1">
        <v>45576</v>
      </c>
      <c r="B2209" s="2">
        <v>45576.607978148146</v>
      </c>
      <c r="C2209" t="s">
        <v>3</v>
      </c>
      <c r="D2209" t="s">
        <v>759</v>
      </c>
      <c r="E2209" s="5">
        <v>25.96</v>
      </c>
      <c r="F2209" t="s">
        <v>11</v>
      </c>
    </row>
    <row r="2210" spans="1:6">
      <c r="A2210" s="1">
        <v>45576</v>
      </c>
      <c r="B2210" s="2">
        <v>45576.716751539352</v>
      </c>
      <c r="C2210" t="s">
        <v>3</v>
      </c>
      <c r="D2210" t="s">
        <v>760</v>
      </c>
      <c r="E2210" s="5">
        <v>35.76</v>
      </c>
      <c r="F2210" t="s">
        <v>7</v>
      </c>
    </row>
    <row r="2211" spans="1:6">
      <c r="A2211" s="1">
        <v>45576</v>
      </c>
      <c r="B2211" s="2">
        <v>45576.71761107639</v>
      </c>
      <c r="C2211" t="s">
        <v>3</v>
      </c>
      <c r="D2211" t="s">
        <v>760</v>
      </c>
      <c r="E2211" s="5">
        <v>35.76</v>
      </c>
      <c r="F2211" t="s">
        <v>9</v>
      </c>
    </row>
    <row r="2212" spans="1:6">
      <c r="A2212" s="1">
        <v>45576</v>
      </c>
      <c r="B2212" s="2">
        <v>45576.726518124997</v>
      </c>
      <c r="C2212" t="s">
        <v>3</v>
      </c>
      <c r="D2212" t="s">
        <v>761</v>
      </c>
      <c r="E2212" s="5">
        <v>35.76</v>
      </c>
      <c r="F2212" t="s">
        <v>9</v>
      </c>
    </row>
    <row r="2213" spans="1:6">
      <c r="A2213" s="1">
        <v>45576</v>
      </c>
      <c r="B2213" s="2">
        <v>45576.912426006944</v>
      </c>
      <c r="C2213" t="s">
        <v>3</v>
      </c>
      <c r="D2213" t="s">
        <v>762</v>
      </c>
      <c r="E2213" s="5">
        <v>30.86</v>
      </c>
      <c r="F2213" t="s">
        <v>14</v>
      </c>
    </row>
    <row r="2214" spans="1:6">
      <c r="A2214" s="1">
        <v>45624</v>
      </c>
      <c r="B2214" s="2">
        <v>45624.916848310182</v>
      </c>
      <c r="C2214" t="s">
        <v>3</v>
      </c>
      <c r="D2214" t="s">
        <v>762</v>
      </c>
      <c r="E2214" s="5">
        <v>35.76</v>
      </c>
      <c r="F2214" t="s">
        <v>43</v>
      </c>
    </row>
    <row r="2215" spans="1:6">
      <c r="A2215" s="1">
        <v>45639</v>
      </c>
      <c r="B2215" s="2">
        <v>45639.899791145835</v>
      </c>
      <c r="C2215" t="s">
        <v>3</v>
      </c>
      <c r="D2215" t="s">
        <v>762</v>
      </c>
      <c r="E2215" s="5">
        <v>35.76</v>
      </c>
      <c r="F2215" t="s">
        <v>7</v>
      </c>
    </row>
    <row r="2216" spans="1:6">
      <c r="A2216" s="1">
        <v>45576</v>
      </c>
      <c r="B2216" s="2">
        <v>45576.941986493053</v>
      </c>
      <c r="C2216" t="s">
        <v>3</v>
      </c>
      <c r="D2216" t="s">
        <v>763</v>
      </c>
      <c r="E2216" s="5">
        <v>35.76</v>
      </c>
      <c r="F2216" t="s">
        <v>9</v>
      </c>
    </row>
    <row r="2217" spans="1:6">
      <c r="A2217" s="1">
        <v>45576</v>
      </c>
      <c r="B2217" s="2">
        <v>45576.942670150464</v>
      </c>
      <c r="C2217" t="s">
        <v>3</v>
      </c>
      <c r="D2217" t="s">
        <v>763</v>
      </c>
      <c r="E2217" s="5">
        <v>35.76</v>
      </c>
      <c r="F2217" t="s">
        <v>9</v>
      </c>
    </row>
    <row r="2218" spans="1:6">
      <c r="A2218" s="1">
        <v>45577</v>
      </c>
      <c r="B2218" s="2">
        <v>45577.495614502317</v>
      </c>
      <c r="C2218" t="s">
        <v>3</v>
      </c>
      <c r="D2218" t="s">
        <v>764</v>
      </c>
      <c r="E2218" s="5">
        <v>30.86</v>
      </c>
      <c r="F2218" t="s">
        <v>14</v>
      </c>
    </row>
    <row r="2219" spans="1:6">
      <c r="A2219" s="1">
        <v>45577</v>
      </c>
      <c r="B2219" s="2">
        <v>45577.55471128472</v>
      </c>
      <c r="C2219" t="s">
        <v>3</v>
      </c>
      <c r="D2219" t="s">
        <v>765</v>
      </c>
      <c r="E2219" s="5">
        <v>35.76</v>
      </c>
      <c r="F2219" t="s">
        <v>43</v>
      </c>
    </row>
    <row r="2220" spans="1:6">
      <c r="A2220" s="1">
        <v>45586</v>
      </c>
      <c r="B2220" s="2">
        <v>45586.528058958334</v>
      </c>
      <c r="C2220" t="s">
        <v>3</v>
      </c>
      <c r="D2220" t="s">
        <v>765</v>
      </c>
      <c r="E2220" s="5">
        <v>35.76</v>
      </c>
      <c r="F2220" t="s">
        <v>43</v>
      </c>
    </row>
    <row r="2221" spans="1:6">
      <c r="A2221" s="1">
        <v>45578</v>
      </c>
      <c r="B2221" s="2">
        <v>45578.514428182869</v>
      </c>
      <c r="C2221" t="s">
        <v>3</v>
      </c>
      <c r="D2221" t="s">
        <v>766</v>
      </c>
      <c r="E2221" s="5">
        <v>30.86</v>
      </c>
      <c r="F2221" t="s">
        <v>14</v>
      </c>
    </row>
    <row r="2222" spans="1:6">
      <c r="A2222" s="1">
        <v>45578</v>
      </c>
      <c r="B2222" s="2">
        <v>45578.765958553238</v>
      </c>
      <c r="C2222" t="s">
        <v>3</v>
      </c>
      <c r="D2222" t="s">
        <v>767</v>
      </c>
      <c r="E2222" s="5">
        <v>35.76</v>
      </c>
      <c r="F2222" t="s">
        <v>43</v>
      </c>
    </row>
    <row r="2223" spans="1:6">
      <c r="A2223" s="1">
        <v>45579</v>
      </c>
      <c r="B2223" s="2">
        <v>45579.409659155092</v>
      </c>
      <c r="C2223" t="s">
        <v>3</v>
      </c>
      <c r="D2223" t="s">
        <v>768</v>
      </c>
      <c r="E2223" s="5">
        <v>35.76</v>
      </c>
      <c r="F2223" t="s">
        <v>18</v>
      </c>
    </row>
    <row r="2224" spans="1:6">
      <c r="A2224" s="1">
        <v>45579</v>
      </c>
      <c r="B2224" s="2">
        <v>45579.474890925929</v>
      </c>
      <c r="C2224" t="s">
        <v>3</v>
      </c>
      <c r="D2224" t="s">
        <v>769</v>
      </c>
      <c r="E2224" s="5">
        <v>35.76</v>
      </c>
      <c r="F2224" t="s">
        <v>43</v>
      </c>
    </row>
    <row r="2225" spans="1:6">
      <c r="A2225" s="1">
        <v>45579</v>
      </c>
      <c r="B2225" s="2">
        <v>45579.608415925926</v>
      </c>
      <c r="C2225" t="s">
        <v>3</v>
      </c>
      <c r="D2225" t="s">
        <v>770</v>
      </c>
      <c r="E2225" s="5">
        <v>35.76</v>
      </c>
      <c r="F2225" t="s">
        <v>7</v>
      </c>
    </row>
    <row r="2226" spans="1:6">
      <c r="A2226" s="1">
        <v>45579</v>
      </c>
      <c r="B2226" s="2">
        <v>45579.692910486112</v>
      </c>
      <c r="C2226" t="s">
        <v>3</v>
      </c>
      <c r="D2226" t="s">
        <v>771</v>
      </c>
      <c r="E2226" s="5">
        <v>25.96</v>
      </c>
      <c r="F2226" t="s">
        <v>11</v>
      </c>
    </row>
    <row r="2227" spans="1:6">
      <c r="A2227" s="1">
        <v>45579</v>
      </c>
      <c r="B2227" s="2">
        <v>45579.763416562499</v>
      </c>
      <c r="C2227" t="s">
        <v>3</v>
      </c>
      <c r="D2227" t="s">
        <v>772</v>
      </c>
      <c r="E2227" s="5">
        <v>35.76</v>
      </c>
      <c r="F2227" t="s">
        <v>7</v>
      </c>
    </row>
    <row r="2228" spans="1:6">
      <c r="A2228" s="1">
        <v>45579</v>
      </c>
      <c r="B2228" s="2">
        <v>45579.764127129631</v>
      </c>
      <c r="C2228" t="s">
        <v>3</v>
      </c>
      <c r="D2228" t="s">
        <v>772</v>
      </c>
      <c r="E2228" s="5">
        <v>35.76</v>
      </c>
      <c r="F2228" t="s">
        <v>43</v>
      </c>
    </row>
    <row r="2229" spans="1:6">
      <c r="A2229" s="1">
        <v>45579</v>
      </c>
      <c r="B2229" s="2">
        <v>45579.922844097222</v>
      </c>
      <c r="C2229" t="s">
        <v>3</v>
      </c>
      <c r="D2229" t="s">
        <v>773</v>
      </c>
      <c r="E2229" s="5">
        <v>35.76</v>
      </c>
      <c r="F2229" t="s">
        <v>7</v>
      </c>
    </row>
    <row r="2230" spans="1:6">
      <c r="A2230" s="1">
        <v>45579</v>
      </c>
      <c r="B2230" s="2">
        <v>45579.92388509259</v>
      </c>
      <c r="C2230" t="s">
        <v>3</v>
      </c>
      <c r="D2230" t="s">
        <v>774</v>
      </c>
      <c r="E2230" s="5">
        <v>35.76</v>
      </c>
      <c r="F2230" t="s">
        <v>7</v>
      </c>
    </row>
    <row r="2231" spans="1:6">
      <c r="A2231" s="1">
        <v>45580</v>
      </c>
      <c r="B2231" s="2">
        <v>45580.357151238422</v>
      </c>
      <c r="C2231" t="s">
        <v>3</v>
      </c>
      <c r="D2231" t="s">
        <v>775</v>
      </c>
      <c r="E2231" s="5">
        <v>21.06</v>
      </c>
      <c r="F2231" t="s">
        <v>35</v>
      </c>
    </row>
    <row r="2232" spans="1:6">
      <c r="A2232" s="1">
        <v>45580</v>
      </c>
      <c r="B2232" s="2">
        <v>45580.467615312496</v>
      </c>
      <c r="C2232" t="s">
        <v>3</v>
      </c>
      <c r="D2232" t="s">
        <v>776</v>
      </c>
      <c r="E2232" s="5">
        <v>35.76</v>
      </c>
      <c r="F2232" t="s">
        <v>9</v>
      </c>
    </row>
    <row r="2233" spans="1:6">
      <c r="A2233" s="1">
        <v>45580</v>
      </c>
      <c r="B2233" s="2">
        <v>45580.54216704861</v>
      </c>
      <c r="C2233" t="s">
        <v>3</v>
      </c>
      <c r="D2233" t="s">
        <v>777</v>
      </c>
      <c r="E2233" s="5">
        <v>35.76</v>
      </c>
      <c r="F2233" t="s">
        <v>7</v>
      </c>
    </row>
    <row r="2234" spans="1:6">
      <c r="A2234" s="1">
        <v>45580</v>
      </c>
      <c r="B2234" s="2">
        <v>45580.552602268515</v>
      </c>
      <c r="C2234" t="s">
        <v>3</v>
      </c>
      <c r="D2234" t="s">
        <v>778</v>
      </c>
      <c r="E2234" s="5">
        <v>30.86</v>
      </c>
      <c r="F2234" t="s">
        <v>14</v>
      </c>
    </row>
    <row r="2235" spans="1:6">
      <c r="A2235" s="1">
        <v>45581</v>
      </c>
      <c r="B2235" s="2">
        <v>45581.555676736112</v>
      </c>
      <c r="C2235" t="s">
        <v>3</v>
      </c>
      <c r="D2235" t="s">
        <v>778</v>
      </c>
      <c r="E2235" s="5">
        <v>25.96</v>
      </c>
      <c r="F2235" t="s">
        <v>11</v>
      </c>
    </row>
    <row r="2236" spans="1:6">
      <c r="A2236" s="1">
        <v>45580</v>
      </c>
      <c r="B2236" s="2">
        <v>45580.662691122685</v>
      </c>
      <c r="C2236" t="s">
        <v>3</v>
      </c>
      <c r="D2236" t="s">
        <v>779</v>
      </c>
      <c r="E2236" s="5">
        <v>25.96</v>
      </c>
      <c r="F2236" t="s">
        <v>11</v>
      </c>
    </row>
    <row r="2237" spans="1:6">
      <c r="A2237" s="1">
        <v>45580</v>
      </c>
      <c r="B2237" s="2">
        <v>45580.663414803239</v>
      </c>
      <c r="C2237" t="s">
        <v>3</v>
      </c>
      <c r="D2237" t="s">
        <v>779</v>
      </c>
      <c r="E2237" s="5">
        <v>21.06</v>
      </c>
      <c r="F2237" t="s">
        <v>35</v>
      </c>
    </row>
    <row r="2238" spans="1:6">
      <c r="A2238" s="1">
        <v>45580</v>
      </c>
      <c r="B2238" s="2">
        <v>45580.711242303238</v>
      </c>
      <c r="C2238" t="s">
        <v>3</v>
      </c>
      <c r="D2238" t="s">
        <v>780</v>
      </c>
      <c r="E2238" s="5">
        <v>35.76</v>
      </c>
      <c r="F2238" t="s">
        <v>9</v>
      </c>
    </row>
    <row r="2239" spans="1:6">
      <c r="A2239" s="1">
        <v>45580</v>
      </c>
      <c r="B2239" s="2">
        <v>45580.807191886575</v>
      </c>
      <c r="C2239" t="s">
        <v>3</v>
      </c>
      <c r="D2239" t="s">
        <v>781</v>
      </c>
      <c r="E2239" s="5">
        <v>25.96</v>
      </c>
      <c r="F2239" t="s">
        <v>11</v>
      </c>
    </row>
    <row r="2240" spans="1:6">
      <c r="A2240" s="1">
        <v>45580</v>
      </c>
      <c r="B2240" s="2">
        <v>45580.807839733796</v>
      </c>
      <c r="C2240" t="s">
        <v>3</v>
      </c>
      <c r="D2240" t="s">
        <v>781</v>
      </c>
      <c r="E2240" s="5">
        <v>35.76</v>
      </c>
      <c r="F2240" t="s">
        <v>18</v>
      </c>
    </row>
    <row r="2241" spans="1:6">
      <c r="A2241" s="1">
        <v>45581</v>
      </c>
      <c r="B2241" s="2">
        <v>45581.492877696757</v>
      </c>
      <c r="C2241" t="s">
        <v>3</v>
      </c>
      <c r="D2241" t="s">
        <v>782</v>
      </c>
      <c r="E2241" s="5">
        <v>25.96</v>
      </c>
      <c r="F2241" t="s">
        <v>11</v>
      </c>
    </row>
    <row r="2242" spans="1:6">
      <c r="A2242" s="1">
        <v>45581</v>
      </c>
      <c r="B2242" s="2">
        <v>45581.520651087965</v>
      </c>
      <c r="C2242" t="s">
        <v>3</v>
      </c>
      <c r="D2242" t="s">
        <v>783</v>
      </c>
      <c r="E2242" s="5">
        <v>30.86</v>
      </c>
      <c r="F2242" t="s">
        <v>14</v>
      </c>
    </row>
    <row r="2243" spans="1:6">
      <c r="A2243" s="1">
        <v>45611</v>
      </c>
      <c r="B2243" s="2">
        <v>45611.462419386575</v>
      </c>
      <c r="C2243" t="s">
        <v>3</v>
      </c>
      <c r="D2243" t="s">
        <v>783</v>
      </c>
      <c r="E2243" s="5">
        <v>30.86</v>
      </c>
      <c r="F2243" t="s">
        <v>14</v>
      </c>
    </row>
    <row r="2244" spans="1:6">
      <c r="A2244" s="1">
        <v>45614</v>
      </c>
      <c r="B2244" s="2">
        <v>45614.328004849536</v>
      </c>
      <c r="C2244" t="s">
        <v>3</v>
      </c>
      <c r="D2244" t="s">
        <v>783</v>
      </c>
      <c r="E2244" s="5">
        <v>30.86</v>
      </c>
      <c r="F2244" t="s">
        <v>14</v>
      </c>
    </row>
    <row r="2245" spans="1:6">
      <c r="A2245" s="1">
        <v>45581</v>
      </c>
      <c r="B2245" s="2">
        <v>45581.698258530094</v>
      </c>
      <c r="C2245" t="s">
        <v>3</v>
      </c>
      <c r="D2245" t="s">
        <v>784</v>
      </c>
      <c r="E2245" s="5">
        <v>35.76</v>
      </c>
      <c r="F2245" t="s">
        <v>7</v>
      </c>
    </row>
    <row r="2246" spans="1:6">
      <c r="A2246" s="1">
        <v>45581</v>
      </c>
      <c r="B2246" s="2">
        <v>45581.817851979169</v>
      </c>
      <c r="C2246" t="s">
        <v>3</v>
      </c>
      <c r="D2246" t="s">
        <v>785</v>
      </c>
      <c r="E2246" s="5">
        <v>30.86</v>
      </c>
      <c r="F2246" t="s">
        <v>14</v>
      </c>
    </row>
    <row r="2247" spans="1:6">
      <c r="A2247" s="1">
        <v>45581</v>
      </c>
      <c r="B2247" s="2">
        <v>45581.81847972222</v>
      </c>
      <c r="C2247" t="s">
        <v>3</v>
      </c>
      <c r="D2247" t="s">
        <v>785</v>
      </c>
      <c r="E2247" s="5">
        <v>30.86</v>
      </c>
      <c r="F2247" t="s">
        <v>14</v>
      </c>
    </row>
    <row r="2248" spans="1:6">
      <c r="A2248" s="1">
        <v>45631</v>
      </c>
      <c r="B2248" s="2">
        <v>45631.668171469908</v>
      </c>
      <c r="C2248" t="s">
        <v>3</v>
      </c>
      <c r="D2248" t="s">
        <v>785</v>
      </c>
      <c r="E2248" s="5">
        <v>35.76</v>
      </c>
      <c r="F2248" t="s">
        <v>7</v>
      </c>
    </row>
    <row r="2249" spans="1:6">
      <c r="A2249" s="1">
        <v>45581</v>
      </c>
      <c r="B2249" s="2">
        <v>45581.889219131946</v>
      </c>
      <c r="C2249" t="s">
        <v>3</v>
      </c>
      <c r="D2249" t="s">
        <v>786</v>
      </c>
      <c r="E2249" s="5">
        <v>35.76</v>
      </c>
      <c r="F2249" t="s">
        <v>9</v>
      </c>
    </row>
    <row r="2250" spans="1:6">
      <c r="A2250" s="1">
        <v>45582</v>
      </c>
      <c r="B2250" s="2">
        <v>45582.39198104167</v>
      </c>
      <c r="C2250" t="s">
        <v>3</v>
      </c>
      <c r="D2250" t="s">
        <v>787</v>
      </c>
      <c r="E2250" s="5">
        <v>30.86</v>
      </c>
      <c r="F2250" t="s">
        <v>14</v>
      </c>
    </row>
    <row r="2251" spans="1:6">
      <c r="A2251" s="1">
        <v>45582</v>
      </c>
      <c r="B2251" s="2">
        <v>45582.499616354165</v>
      </c>
      <c r="C2251" t="s">
        <v>3</v>
      </c>
      <c r="D2251" t="s">
        <v>788</v>
      </c>
      <c r="E2251" s="5">
        <v>30.86</v>
      </c>
      <c r="F2251" t="s">
        <v>14</v>
      </c>
    </row>
    <row r="2252" spans="1:6">
      <c r="A2252" s="1">
        <v>45582</v>
      </c>
      <c r="B2252" s="2">
        <v>45582.581538136576</v>
      </c>
      <c r="C2252" t="s">
        <v>3</v>
      </c>
      <c r="D2252" t="s">
        <v>789</v>
      </c>
      <c r="E2252" s="5">
        <v>35.76</v>
      </c>
      <c r="F2252" t="s">
        <v>7</v>
      </c>
    </row>
    <row r="2253" spans="1:6">
      <c r="A2253" s="1">
        <v>45582</v>
      </c>
      <c r="B2253" s="2">
        <v>45582.60743747685</v>
      </c>
      <c r="C2253" t="s">
        <v>3</v>
      </c>
      <c r="D2253" t="s">
        <v>790</v>
      </c>
      <c r="E2253" s="5">
        <v>25.96</v>
      </c>
      <c r="F2253" t="s">
        <v>11</v>
      </c>
    </row>
    <row r="2254" spans="1:6">
      <c r="A2254" s="1">
        <v>45582</v>
      </c>
      <c r="B2254" s="2">
        <v>45582.700415011575</v>
      </c>
      <c r="C2254" t="s">
        <v>3</v>
      </c>
      <c r="D2254" t="s">
        <v>791</v>
      </c>
      <c r="E2254" s="5">
        <v>35.76</v>
      </c>
      <c r="F2254" t="s">
        <v>9</v>
      </c>
    </row>
    <row r="2255" spans="1:6">
      <c r="A2255" s="1">
        <v>45582</v>
      </c>
      <c r="B2255" s="2">
        <v>45582.701078194441</v>
      </c>
      <c r="C2255" t="s">
        <v>3</v>
      </c>
      <c r="D2255" t="s">
        <v>791</v>
      </c>
      <c r="E2255" s="5">
        <v>35.76</v>
      </c>
      <c r="F2255" t="s">
        <v>9</v>
      </c>
    </row>
    <row r="2256" spans="1:6">
      <c r="A2256" s="1">
        <v>45582</v>
      </c>
      <c r="B2256" s="2">
        <v>45582.841393564813</v>
      </c>
      <c r="C2256" t="s">
        <v>3</v>
      </c>
      <c r="D2256" t="s">
        <v>792</v>
      </c>
      <c r="E2256" s="5">
        <v>30.86</v>
      </c>
      <c r="F2256" t="s">
        <v>14</v>
      </c>
    </row>
    <row r="2257" spans="1:6">
      <c r="A2257" s="1">
        <v>45582</v>
      </c>
      <c r="B2257" s="2">
        <v>45582.907094270835</v>
      </c>
      <c r="C2257" t="s">
        <v>3</v>
      </c>
      <c r="D2257" t="s">
        <v>793</v>
      </c>
      <c r="E2257" s="5">
        <v>35.76</v>
      </c>
      <c r="F2257" t="s">
        <v>7</v>
      </c>
    </row>
    <row r="2258" spans="1:6">
      <c r="A2258" s="1">
        <v>45582</v>
      </c>
      <c r="B2258" s="2">
        <v>45582.90787570602</v>
      </c>
      <c r="C2258" t="s">
        <v>3</v>
      </c>
      <c r="D2258" t="s">
        <v>793</v>
      </c>
      <c r="E2258" s="5">
        <v>35.76</v>
      </c>
      <c r="F2258" t="s">
        <v>7</v>
      </c>
    </row>
    <row r="2259" spans="1:6">
      <c r="A2259" s="1">
        <v>45582</v>
      </c>
      <c r="B2259" s="2">
        <v>45582.908700219908</v>
      </c>
      <c r="C2259" t="s">
        <v>3</v>
      </c>
      <c r="D2259" t="s">
        <v>793</v>
      </c>
      <c r="E2259" s="5">
        <v>35.76</v>
      </c>
      <c r="F2259" t="s">
        <v>7</v>
      </c>
    </row>
    <row r="2260" spans="1:6">
      <c r="A2260" s="1">
        <v>45582</v>
      </c>
      <c r="B2260" s="2">
        <v>45582.909659942132</v>
      </c>
      <c r="C2260" t="s">
        <v>3</v>
      </c>
      <c r="D2260" t="s">
        <v>793</v>
      </c>
      <c r="E2260" s="5">
        <v>35.76</v>
      </c>
      <c r="F2260" t="s">
        <v>9</v>
      </c>
    </row>
    <row r="2261" spans="1:6">
      <c r="A2261" s="1">
        <v>45583</v>
      </c>
      <c r="B2261" s="2">
        <v>45583.413428576387</v>
      </c>
      <c r="C2261" t="s">
        <v>3</v>
      </c>
      <c r="D2261" t="s">
        <v>794</v>
      </c>
      <c r="E2261" s="5">
        <v>35.76</v>
      </c>
      <c r="F2261" t="s">
        <v>43</v>
      </c>
    </row>
    <row r="2262" spans="1:6">
      <c r="A2262" s="1">
        <v>45583</v>
      </c>
      <c r="B2262" s="2">
        <v>45583.496514074075</v>
      </c>
      <c r="C2262" t="s">
        <v>3</v>
      </c>
      <c r="D2262" t="s">
        <v>794</v>
      </c>
      <c r="E2262" s="5">
        <v>35.76</v>
      </c>
      <c r="F2262" t="s">
        <v>43</v>
      </c>
    </row>
    <row r="2263" spans="1:6">
      <c r="A2263" s="1">
        <v>45583</v>
      </c>
      <c r="B2263" s="2">
        <v>45583.618797650466</v>
      </c>
      <c r="C2263" t="s">
        <v>3</v>
      </c>
      <c r="D2263" t="s">
        <v>795</v>
      </c>
      <c r="E2263" s="5">
        <v>35.76</v>
      </c>
      <c r="F2263" t="s">
        <v>7</v>
      </c>
    </row>
    <row r="2264" spans="1:6">
      <c r="A2264" s="1">
        <v>45583</v>
      </c>
      <c r="B2264" s="2">
        <v>45583.619621817132</v>
      </c>
      <c r="C2264" t="s">
        <v>3</v>
      </c>
      <c r="D2264" t="s">
        <v>795</v>
      </c>
      <c r="E2264" s="5">
        <v>35.76</v>
      </c>
      <c r="F2264" t="s">
        <v>43</v>
      </c>
    </row>
    <row r="2265" spans="1:6">
      <c r="A2265" s="1">
        <v>45583</v>
      </c>
      <c r="B2265" s="2">
        <v>45583.673586527781</v>
      </c>
      <c r="C2265" t="s">
        <v>3</v>
      </c>
      <c r="D2265" t="s">
        <v>796</v>
      </c>
      <c r="E2265" s="5">
        <v>35.76</v>
      </c>
      <c r="F2265" t="s">
        <v>7</v>
      </c>
    </row>
    <row r="2266" spans="1:6">
      <c r="A2266" s="1">
        <v>45583</v>
      </c>
      <c r="B2266" s="2">
        <v>45583.740034467592</v>
      </c>
      <c r="C2266" t="s">
        <v>3</v>
      </c>
      <c r="D2266" t="s">
        <v>797</v>
      </c>
      <c r="E2266" s="5">
        <v>35.76</v>
      </c>
      <c r="F2266" t="s">
        <v>9</v>
      </c>
    </row>
    <row r="2267" spans="1:6">
      <c r="A2267" s="1">
        <v>45630</v>
      </c>
      <c r="B2267" s="2">
        <v>45630.437356446761</v>
      </c>
      <c r="C2267" t="s">
        <v>3</v>
      </c>
      <c r="D2267" t="s">
        <v>797</v>
      </c>
      <c r="E2267" s="5">
        <v>35.76</v>
      </c>
      <c r="F2267" t="s">
        <v>9</v>
      </c>
    </row>
    <row r="2268" spans="1:6">
      <c r="A2268" s="1">
        <v>45583</v>
      </c>
      <c r="B2268" s="2">
        <v>45583.91138203704</v>
      </c>
      <c r="C2268" t="s">
        <v>3</v>
      </c>
      <c r="D2268" t="s">
        <v>798</v>
      </c>
      <c r="E2268" s="5">
        <v>30.86</v>
      </c>
      <c r="F2268" t="s">
        <v>14</v>
      </c>
    </row>
    <row r="2269" spans="1:6">
      <c r="A2269" s="1">
        <v>45584</v>
      </c>
      <c r="B2269" s="2">
        <v>45584.357102476853</v>
      </c>
      <c r="C2269" t="s">
        <v>3</v>
      </c>
      <c r="D2269" t="s">
        <v>799</v>
      </c>
      <c r="E2269" s="5">
        <v>30.86</v>
      </c>
      <c r="F2269" t="s">
        <v>14</v>
      </c>
    </row>
    <row r="2270" spans="1:6">
      <c r="A2270" s="1">
        <v>45584</v>
      </c>
      <c r="B2270" s="2">
        <v>45584.949047418981</v>
      </c>
      <c r="C2270" t="s">
        <v>3</v>
      </c>
      <c r="D2270" t="s">
        <v>800</v>
      </c>
      <c r="E2270" s="5">
        <v>35.76</v>
      </c>
      <c r="F2270" t="s">
        <v>43</v>
      </c>
    </row>
    <row r="2271" spans="1:6">
      <c r="A2271" s="1">
        <v>45585</v>
      </c>
      <c r="B2271" s="2">
        <v>45585.470044456022</v>
      </c>
      <c r="C2271" t="s">
        <v>3</v>
      </c>
      <c r="D2271" t="s">
        <v>801</v>
      </c>
      <c r="E2271" s="5">
        <v>35.76</v>
      </c>
      <c r="F2271" t="s">
        <v>7</v>
      </c>
    </row>
    <row r="2272" spans="1:6">
      <c r="A2272" s="1">
        <v>45634</v>
      </c>
      <c r="B2272" s="2">
        <v>45634.446275000002</v>
      </c>
      <c r="C2272" t="s">
        <v>3</v>
      </c>
      <c r="D2272" t="s">
        <v>801</v>
      </c>
      <c r="E2272" s="5">
        <v>35.76</v>
      </c>
      <c r="F2272" t="s">
        <v>7</v>
      </c>
    </row>
    <row r="2273" spans="1:6">
      <c r="A2273" s="1">
        <v>45634</v>
      </c>
      <c r="B2273" s="2">
        <v>45634.447022291664</v>
      </c>
      <c r="C2273" t="s">
        <v>3</v>
      </c>
      <c r="D2273" t="s">
        <v>801</v>
      </c>
      <c r="E2273" s="5">
        <v>35.76</v>
      </c>
      <c r="F2273" t="s">
        <v>43</v>
      </c>
    </row>
    <row r="2274" spans="1:6">
      <c r="A2274" s="1">
        <v>45585</v>
      </c>
      <c r="B2274" s="2">
        <v>45585.698029895837</v>
      </c>
      <c r="C2274" t="s">
        <v>3</v>
      </c>
      <c r="D2274" t="s">
        <v>802</v>
      </c>
      <c r="E2274" s="5">
        <v>35.76</v>
      </c>
      <c r="F2274" t="s">
        <v>7</v>
      </c>
    </row>
    <row r="2275" spans="1:6">
      <c r="A2275" s="1">
        <v>45585</v>
      </c>
      <c r="B2275" s="2">
        <v>45585.698666840275</v>
      </c>
      <c r="C2275" t="s">
        <v>3</v>
      </c>
      <c r="D2275" t="s">
        <v>802</v>
      </c>
      <c r="E2275" s="5">
        <v>35.76</v>
      </c>
      <c r="F2275" t="s">
        <v>7</v>
      </c>
    </row>
    <row r="2276" spans="1:6">
      <c r="A2276" s="1">
        <v>45589</v>
      </c>
      <c r="B2276" s="2">
        <v>45589.658018425929</v>
      </c>
      <c r="C2276" t="s">
        <v>3</v>
      </c>
      <c r="D2276" t="s">
        <v>802</v>
      </c>
      <c r="E2276" s="5">
        <v>35.76</v>
      </c>
      <c r="F2276" t="s">
        <v>7</v>
      </c>
    </row>
    <row r="2277" spans="1:6">
      <c r="A2277" s="1">
        <v>45589</v>
      </c>
      <c r="B2277" s="2">
        <v>45589.658679826389</v>
      </c>
      <c r="C2277" t="s">
        <v>3</v>
      </c>
      <c r="D2277" t="s">
        <v>802</v>
      </c>
      <c r="E2277" s="5">
        <v>35.76</v>
      </c>
      <c r="F2277" t="s">
        <v>7</v>
      </c>
    </row>
    <row r="2278" spans="1:6">
      <c r="A2278" s="1">
        <v>45585</v>
      </c>
      <c r="B2278" s="2">
        <v>45585.884931076391</v>
      </c>
      <c r="C2278" t="s">
        <v>3</v>
      </c>
      <c r="D2278" t="s">
        <v>803</v>
      </c>
      <c r="E2278" s="5">
        <v>35.76</v>
      </c>
      <c r="F2278" t="s">
        <v>9</v>
      </c>
    </row>
    <row r="2279" spans="1:6">
      <c r="A2279" s="1">
        <v>45586</v>
      </c>
      <c r="B2279" s="2">
        <v>45586.938014467596</v>
      </c>
      <c r="C2279" t="s">
        <v>3</v>
      </c>
      <c r="D2279" t="s">
        <v>803</v>
      </c>
      <c r="E2279" s="5">
        <v>35.76</v>
      </c>
      <c r="F2279" t="s">
        <v>18</v>
      </c>
    </row>
    <row r="2280" spans="1:6">
      <c r="A2280" s="1">
        <v>45585</v>
      </c>
      <c r="B2280" s="2">
        <v>45585.885622453701</v>
      </c>
      <c r="C2280" t="s">
        <v>3</v>
      </c>
      <c r="D2280" t="s">
        <v>804</v>
      </c>
      <c r="E2280" s="5">
        <v>25.96</v>
      </c>
      <c r="F2280" t="s">
        <v>28</v>
      </c>
    </row>
    <row r="2281" spans="1:6">
      <c r="A2281" s="1">
        <v>45585</v>
      </c>
      <c r="B2281" s="2">
        <v>45585.887116493053</v>
      </c>
      <c r="C2281" t="s">
        <v>3</v>
      </c>
      <c r="D2281" t="s">
        <v>805</v>
      </c>
      <c r="E2281" s="5">
        <v>35.76</v>
      </c>
      <c r="F2281" t="s">
        <v>18</v>
      </c>
    </row>
    <row r="2282" spans="1:6">
      <c r="A2282" s="1">
        <v>45586</v>
      </c>
      <c r="B2282" s="2">
        <v>45586.938587569442</v>
      </c>
      <c r="C2282" t="s">
        <v>3</v>
      </c>
      <c r="D2282" t="s">
        <v>805</v>
      </c>
      <c r="E2282" s="5">
        <v>35.76</v>
      </c>
      <c r="F2282" t="s">
        <v>9</v>
      </c>
    </row>
    <row r="2283" spans="1:6">
      <c r="A2283" s="1">
        <v>45585</v>
      </c>
      <c r="B2283" s="2">
        <v>45585.892362094906</v>
      </c>
      <c r="C2283" t="s">
        <v>3</v>
      </c>
      <c r="D2283" t="s">
        <v>806</v>
      </c>
      <c r="E2283" s="5">
        <v>35.76</v>
      </c>
      <c r="F2283" t="s">
        <v>7</v>
      </c>
    </row>
    <row r="2284" spans="1:6">
      <c r="A2284" s="1">
        <v>45586</v>
      </c>
      <c r="B2284" s="2">
        <v>45586.398906793984</v>
      </c>
      <c r="C2284" t="s">
        <v>3</v>
      </c>
      <c r="D2284" t="s">
        <v>807</v>
      </c>
      <c r="E2284" s="5">
        <v>35.76</v>
      </c>
      <c r="F2284" t="s">
        <v>7</v>
      </c>
    </row>
    <row r="2285" spans="1:6">
      <c r="A2285" s="1">
        <v>45586</v>
      </c>
      <c r="B2285" s="2">
        <v>45586.613148715274</v>
      </c>
      <c r="C2285" t="s">
        <v>3</v>
      </c>
      <c r="D2285" t="s">
        <v>808</v>
      </c>
      <c r="E2285" s="5">
        <v>35.76</v>
      </c>
      <c r="F2285" t="s">
        <v>7</v>
      </c>
    </row>
    <row r="2286" spans="1:6">
      <c r="A2286" s="1">
        <v>45586</v>
      </c>
      <c r="B2286" s="2">
        <v>45586.643778252313</v>
      </c>
      <c r="C2286" t="s">
        <v>3</v>
      </c>
      <c r="D2286" t="s">
        <v>809</v>
      </c>
      <c r="E2286" s="5">
        <v>30.86</v>
      </c>
      <c r="F2286" t="s">
        <v>14</v>
      </c>
    </row>
    <row r="2287" spans="1:6">
      <c r="A2287" s="1">
        <v>45586</v>
      </c>
      <c r="B2287" s="2">
        <v>45586.652137569443</v>
      </c>
      <c r="C2287" t="s">
        <v>3</v>
      </c>
      <c r="D2287" t="s">
        <v>810</v>
      </c>
      <c r="E2287" s="5">
        <v>25.96</v>
      </c>
      <c r="F2287" t="s">
        <v>28</v>
      </c>
    </row>
    <row r="2288" spans="1:6">
      <c r="A2288" s="1">
        <v>45586</v>
      </c>
      <c r="B2288" s="2">
        <v>45586.705122094907</v>
      </c>
      <c r="C2288" t="s">
        <v>3</v>
      </c>
      <c r="D2288" t="s">
        <v>811</v>
      </c>
      <c r="E2288" s="5">
        <v>35.76</v>
      </c>
      <c r="F2288" t="s">
        <v>7</v>
      </c>
    </row>
    <row r="2289" spans="1:6">
      <c r="A2289" s="1">
        <v>45586</v>
      </c>
      <c r="B2289" s="2">
        <v>45586.806404537034</v>
      </c>
      <c r="C2289" t="s">
        <v>3</v>
      </c>
      <c r="D2289" t="s">
        <v>812</v>
      </c>
      <c r="E2289" s="5">
        <v>35.76</v>
      </c>
      <c r="F2289" t="s">
        <v>9</v>
      </c>
    </row>
    <row r="2290" spans="1:6">
      <c r="A2290" s="1">
        <v>45641</v>
      </c>
      <c r="B2290" s="2">
        <v>45641.748673449074</v>
      </c>
      <c r="C2290" t="s">
        <v>3</v>
      </c>
      <c r="D2290" t="s">
        <v>812</v>
      </c>
      <c r="E2290" s="5">
        <v>35.76</v>
      </c>
      <c r="F2290" t="s">
        <v>9</v>
      </c>
    </row>
    <row r="2291" spans="1:6">
      <c r="A2291" s="1">
        <v>45586</v>
      </c>
      <c r="B2291" s="2">
        <v>45586.878890115739</v>
      </c>
      <c r="C2291" t="s">
        <v>3</v>
      </c>
      <c r="D2291" t="s">
        <v>813</v>
      </c>
      <c r="E2291" s="5">
        <v>35.76</v>
      </c>
      <c r="F2291" t="s">
        <v>7</v>
      </c>
    </row>
    <row r="2292" spans="1:6">
      <c r="A2292" s="1">
        <v>45594</v>
      </c>
      <c r="B2292" s="2">
        <v>45594.838607164354</v>
      </c>
      <c r="C2292" t="s">
        <v>3</v>
      </c>
      <c r="D2292" t="s">
        <v>813</v>
      </c>
      <c r="E2292" s="5">
        <v>35.76</v>
      </c>
      <c r="F2292" t="s">
        <v>7</v>
      </c>
    </row>
    <row r="2293" spans="1:6">
      <c r="A2293" s="1">
        <v>45587</v>
      </c>
      <c r="B2293" s="2">
        <v>45587.38738896991</v>
      </c>
      <c r="C2293" t="s">
        <v>3</v>
      </c>
      <c r="D2293" t="s">
        <v>814</v>
      </c>
      <c r="E2293" s="5">
        <v>25.96</v>
      </c>
      <c r="F2293" t="s">
        <v>28</v>
      </c>
    </row>
    <row r="2294" spans="1:6">
      <c r="A2294" s="1">
        <v>45587</v>
      </c>
      <c r="B2294" s="2">
        <v>45587.754890902776</v>
      </c>
      <c r="C2294" t="s">
        <v>3</v>
      </c>
      <c r="D2294" t="s">
        <v>815</v>
      </c>
      <c r="E2294" s="5">
        <v>25.96</v>
      </c>
      <c r="F2294" t="s">
        <v>11</v>
      </c>
    </row>
    <row r="2295" spans="1:6">
      <c r="A2295" s="1">
        <v>45588</v>
      </c>
      <c r="B2295" s="2">
        <v>45588.521590567128</v>
      </c>
      <c r="C2295" t="s">
        <v>3</v>
      </c>
      <c r="D2295" t="s">
        <v>816</v>
      </c>
      <c r="E2295" s="5">
        <v>30.86</v>
      </c>
      <c r="F2295" t="s">
        <v>14</v>
      </c>
    </row>
    <row r="2296" spans="1:6">
      <c r="A2296" s="1">
        <v>45635</v>
      </c>
      <c r="B2296" s="2">
        <v>45635.542302233793</v>
      </c>
      <c r="C2296" t="s">
        <v>3</v>
      </c>
      <c r="D2296" t="s">
        <v>816</v>
      </c>
      <c r="E2296" s="5">
        <v>25.96</v>
      </c>
      <c r="F2296" t="s">
        <v>28</v>
      </c>
    </row>
    <row r="2297" spans="1:6">
      <c r="A2297" s="1">
        <v>45588</v>
      </c>
      <c r="B2297" s="2">
        <v>45588.680581736109</v>
      </c>
      <c r="C2297" t="s">
        <v>3</v>
      </c>
      <c r="D2297" t="s">
        <v>817</v>
      </c>
      <c r="E2297" s="5">
        <v>30.86</v>
      </c>
      <c r="F2297" t="s">
        <v>14</v>
      </c>
    </row>
    <row r="2298" spans="1:6">
      <c r="A2298" s="1">
        <v>45588</v>
      </c>
      <c r="B2298" s="2">
        <v>45588.68135457176</v>
      </c>
      <c r="C2298" t="s">
        <v>3</v>
      </c>
      <c r="D2298" t="s">
        <v>817</v>
      </c>
      <c r="E2298" s="5">
        <v>30.86</v>
      </c>
      <c r="F2298" t="s">
        <v>14</v>
      </c>
    </row>
    <row r="2299" spans="1:6">
      <c r="A2299" s="1">
        <v>45588</v>
      </c>
      <c r="B2299" s="2">
        <v>45588.696183101849</v>
      </c>
      <c r="C2299" t="s">
        <v>3</v>
      </c>
      <c r="D2299" t="s">
        <v>818</v>
      </c>
      <c r="E2299" s="5">
        <v>35.76</v>
      </c>
      <c r="F2299" t="s">
        <v>43</v>
      </c>
    </row>
    <row r="2300" spans="1:6">
      <c r="A2300" s="1">
        <v>45589</v>
      </c>
      <c r="B2300" s="2">
        <v>45589.590123969909</v>
      </c>
      <c r="C2300" t="s">
        <v>3</v>
      </c>
      <c r="D2300" t="s">
        <v>818</v>
      </c>
      <c r="E2300" s="5">
        <v>35.76</v>
      </c>
      <c r="F2300" t="s">
        <v>43</v>
      </c>
    </row>
    <row r="2301" spans="1:6">
      <c r="A2301" s="1">
        <v>45594</v>
      </c>
      <c r="B2301" s="2">
        <v>45594.361717071763</v>
      </c>
      <c r="C2301" t="s">
        <v>3</v>
      </c>
      <c r="D2301" t="s">
        <v>818</v>
      </c>
      <c r="E2301" s="5">
        <v>35.76</v>
      </c>
      <c r="F2301" t="s">
        <v>7</v>
      </c>
    </row>
    <row r="2302" spans="1:6">
      <c r="A2302" s="1">
        <v>45588</v>
      </c>
      <c r="B2302" s="2">
        <v>45588.710258437502</v>
      </c>
      <c r="C2302" t="s">
        <v>3</v>
      </c>
      <c r="D2302" t="s">
        <v>819</v>
      </c>
      <c r="E2302" s="5">
        <v>21.06</v>
      </c>
      <c r="F2302" t="s">
        <v>35</v>
      </c>
    </row>
    <row r="2303" spans="1:6">
      <c r="A2303" s="1">
        <v>45588</v>
      </c>
      <c r="B2303" s="2">
        <v>45588.915552627317</v>
      </c>
      <c r="C2303" t="s">
        <v>3</v>
      </c>
      <c r="D2303" t="s">
        <v>820</v>
      </c>
      <c r="E2303" s="5">
        <v>35.76</v>
      </c>
      <c r="F2303" t="s">
        <v>9</v>
      </c>
    </row>
    <row r="2304" spans="1:6">
      <c r="A2304" s="1">
        <v>45588</v>
      </c>
      <c r="B2304" s="2">
        <v>45588.933082291667</v>
      </c>
      <c r="C2304" t="s">
        <v>3</v>
      </c>
      <c r="D2304" t="s">
        <v>821</v>
      </c>
      <c r="E2304" s="5">
        <v>35.76</v>
      </c>
      <c r="F2304" t="s">
        <v>7</v>
      </c>
    </row>
    <row r="2305" spans="1:6">
      <c r="A2305" s="1">
        <v>45589</v>
      </c>
      <c r="B2305" s="2">
        <v>45589.505400023147</v>
      </c>
      <c r="C2305" t="s">
        <v>3</v>
      </c>
      <c r="D2305" t="s">
        <v>822</v>
      </c>
      <c r="E2305" s="5">
        <v>25.96</v>
      </c>
      <c r="F2305" t="s">
        <v>11</v>
      </c>
    </row>
    <row r="2306" spans="1:6">
      <c r="A2306" s="1">
        <v>45589</v>
      </c>
      <c r="B2306" s="2">
        <v>45589.558328483799</v>
      </c>
      <c r="C2306" t="s">
        <v>3</v>
      </c>
      <c r="D2306" t="s">
        <v>823</v>
      </c>
      <c r="E2306" s="5">
        <v>35.76</v>
      </c>
      <c r="F2306" t="s">
        <v>43</v>
      </c>
    </row>
    <row r="2307" spans="1:6">
      <c r="A2307" s="1">
        <v>45589</v>
      </c>
      <c r="B2307" s="2">
        <v>45589.617382627315</v>
      </c>
      <c r="C2307" t="s">
        <v>3</v>
      </c>
      <c r="D2307" t="s">
        <v>824</v>
      </c>
      <c r="E2307" s="5">
        <v>35.76</v>
      </c>
      <c r="F2307" t="s">
        <v>9</v>
      </c>
    </row>
    <row r="2308" spans="1:6">
      <c r="A2308" s="1">
        <v>45589</v>
      </c>
      <c r="B2308" s="2">
        <v>45589.617932175926</v>
      </c>
      <c r="C2308" t="s">
        <v>3</v>
      </c>
      <c r="D2308" t="s">
        <v>824</v>
      </c>
      <c r="E2308" s="5">
        <v>35.76</v>
      </c>
      <c r="F2308" t="s">
        <v>7</v>
      </c>
    </row>
    <row r="2309" spans="1:6">
      <c r="A2309" s="1">
        <v>45589</v>
      </c>
      <c r="B2309" s="2">
        <v>45589.787353217595</v>
      </c>
      <c r="C2309" t="s">
        <v>3</v>
      </c>
      <c r="D2309" t="s">
        <v>825</v>
      </c>
      <c r="E2309" s="5">
        <v>25.96</v>
      </c>
      <c r="F2309" t="s">
        <v>11</v>
      </c>
    </row>
    <row r="2310" spans="1:6">
      <c r="A2310" s="1">
        <v>45589</v>
      </c>
      <c r="B2310" s="2">
        <v>45589.788282106485</v>
      </c>
      <c r="C2310" t="s">
        <v>3</v>
      </c>
      <c r="D2310" t="s">
        <v>825</v>
      </c>
      <c r="E2310" s="5">
        <v>25.96</v>
      </c>
      <c r="F2310" t="s">
        <v>11</v>
      </c>
    </row>
    <row r="2311" spans="1:6">
      <c r="A2311" s="1">
        <v>45589</v>
      </c>
      <c r="B2311" s="2">
        <v>45589.864021712965</v>
      </c>
      <c r="C2311" t="s">
        <v>3</v>
      </c>
      <c r="D2311" t="s">
        <v>826</v>
      </c>
      <c r="E2311" s="5">
        <v>25.96</v>
      </c>
      <c r="F2311" t="s">
        <v>11</v>
      </c>
    </row>
    <row r="2312" spans="1:6">
      <c r="A2312" s="1">
        <v>45589</v>
      </c>
      <c r="B2312" s="2">
        <v>45589.885241759257</v>
      </c>
      <c r="C2312" t="s">
        <v>3</v>
      </c>
      <c r="D2312" t="s">
        <v>827</v>
      </c>
      <c r="E2312" s="5">
        <v>35.76</v>
      </c>
      <c r="F2312" t="s">
        <v>9</v>
      </c>
    </row>
    <row r="2313" spans="1:6">
      <c r="A2313" s="1">
        <v>45589</v>
      </c>
      <c r="B2313" s="2">
        <v>45589.885753773146</v>
      </c>
      <c r="C2313" t="s">
        <v>3</v>
      </c>
      <c r="D2313" t="s">
        <v>827</v>
      </c>
      <c r="E2313" s="5">
        <v>35.76</v>
      </c>
      <c r="F2313" t="s">
        <v>9</v>
      </c>
    </row>
    <row r="2314" spans="1:6">
      <c r="A2314" s="1">
        <v>45590</v>
      </c>
      <c r="B2314" s="2">
        <v>45590.528211412035</v>
      </c>
      <c r="C2314" t="s">
        <v>3</v>
      </c>
      <c r="D2314" t="s">
        <v>828</v>
      </c>
      <c r="E2314" s="5">
        <v>35.76</v>
      </c>
      <c r="F2314" t="s">
        <v>7</v>
      </c>
    </row>
    <row r="2315" spans="1:6">
      <c r="A2315" s="1">
        <v>45590</v>
      </c>
      <c r="B2315" s="2">
        <v>45590.930138414355</v>
      </c>
      <c r="C2315" t="s">
        <v>3</v>
      </c>
      <c r="D2315" t="s">
        <v>829</v>
      </c>
      <c r="E2315" s="5">
        <v>35.76</v>
      </c>
      <c r="F2315" t="s">
        <v>9</v>
      </c>
    </row>
    <row r="2316" spans="1:6">
      <c r="A2316" s="1">
        <v>45590</v>
      </c>
      <c r="B2316" s="2">
        <v>45590.932311863427</v>
      </c>
      <c r="C2316" t="s">
        <v>3</v>
      </c>
      <c r="D2316" t="s">
        <v>829</v>
      </c>
      <c r="E2316" s="5">
        <v>21.06</v>
      </c>
      <c r="F2316" t="s">
        <v>35</v>
      </c>
    </row>
    <row r="2317" spans="1:6">
      <c r="A2317" s="1">
        <v>45591</v>
      </c>
      <c r="B2317" s="2">
        <v>45591.433776631944</v>
      </c>
      <c r="C2317" t="s">
        <v>3</v>
      </c>
      <c r="D2317" t="s">
        <v>830</v>
      </c>
      <c r="E2317" s="5">
        <v>25.96</v>
      </c>
      <c r="F2317" t="s">
        <v>11</v>
      </c>
    </row>
    <row r="2318" spans="1:6">
      <c r="A2318" s="1">
        <v>45591</v>
      </c>
      <c r="B2318" s="2">
        <v>45591.544109247683</v>
      </c>
      <c r="C2318" t="s">
        <v>3</v>
      </c>
      <c r="D2318" t="s">
        <v>831</v>
      </c>
      <c r="E2318" s="5">
        <v>35.76</v>
      </c>
      <c r="F2318" t="s">
        <v>7</v>
      </c>
    </row>
    <row r="2319" spans="1:6">
      <c r="A2319" s="1">
        <v>45591</v>
      </c>
      <c r="B2319" s="2">
        <v>45591.651721400463</v>
      </c>
      <c r="C2319" t="s">
        <v>3</v>
      </c>
      <c r="D2319" t="s">
        <v>832</v>
      </c>
      <c r="E2319" s="5">
        <v>35.76</v>
      </c>
      <c r="F2319" t="s">
        <v>7</v>
      </c>
    </row>
    <row r="2320" spans="1:6">
      <c r="A2320" s="1">
        <v>45591</v>
      </c>
      <c r="B2320" s="2">
        <v>45591.652425613429</v>
      </c>
      <c r="C2320" t="s">
        <v>3</v>
      </c>
      <c r="D2320" t="s">
        <v>832</v>
      </c>
      <c r="E2320" s="5">
        <v>35.76</v>
      </c>
      <c r="F2320" t="s">
        <v>7</v>
      </c>
    </row>
    <row r="2321" spans="1:6">
      <c r="A2321" s="1">
        <v>45591</v>
      </c>
      <c r="B2321" s="2">
        <v>45591.661130324072</v>
      </c>
      <c r="C2321" t="s">
        <v>3</v>
      </c>
      <c r="D2321" t="s">
        <v>833</v>
      </c>
      <c r="E2321" s="5">
        <v>30.86</v>
      </c>
      <c r="F2321" t="s">
        <v>14</v>
      </c>
    </row>
    <row r="2322" spans="1:6">
      <c r="A2322" s="1">
        <v>45593</v>
      </c>
      <c r="B2322" s="2">
        <v>45593.590909849539</v>
      </c>
      <c r="C2322" t="s">
        <v>3</v>
      </c>
      <c r="D2322" t="s">
        <v>833</v>
      </c>
      <c r="E2322" s="5">
        <v>30.86</v>
      </c>
      <c r="F2322" t="s">
        <v>14</v>
      </c>
    </row>
    <row r="2323" spans="1:6">
      <c r="A2323" s="1">
        <v>45593</v>
      </c>
      <c r="B2323" s="2">
        <v>45593.59162402778</v>
      </c>
      <c r="C2323" t="s">
        <v>3</v>
      </c>
      <c r="D2323" t="s">
        <v>833</v>
      </c>
      <c r="E2323" s="5">
        <v>30.86</v>
      </c>
      <c r="F2323" t="s">
        <v>14</v>
      </c>
    </row>
    <row r="2324" spans="1:6">
      <c r="A2324" s="1">
        <v>45595</v>
      </c>
      <c r="B2324" s="2">
        <v>45595.804531076392</v>
      </c>
      <c r="C2324" t="s">
        <v>3</v>
      </c>
      <c r="D2324" t="s">
        <v>833</v>
      </c>
      <c r="E2324" s="5">
        <v>30.86</v>
      </c>
      <c r="F2324" t="s">
        <v>14</v>
      </c>
    </row>
    <row r="2325" spans="1:6">
      <c r="A2325" s="1">
        <v>45610</v>
      </c>
      <c r="B2325" s="2">
        <v>45610.675790613423</v>
      </c>
      <c r="C2325" t="s">
        <v>3</v>
      </c>
      <c r="D2325" t="s">
        <v>833</v>
      </c>
      <c r="E2325" s="5">
        <v>30.86</v>
      </c>
      <c r="F2325" t="s">
        <v>14</v>
      </c>
    </row>
    <row r="2326" spans="1:6">
      <c r="A2326" s="1">
        <v>45610</v>
      </c>
      <c r="B2326" s="2">
        <v>45610.676638379628</v>
      </c>
      <c r="C2326" t="s">
        <v>3</v>
      </c>
      <c r="D2326" t="s">
        <v>833</v>
      </c>
      <c r="E2326" s="5">
        <v>35.76</v>
      </c>
      <c r="F2326" t="s">
        <v>43</v>
      </c>
    </row>
    <row r="2327" spans="1:6">
      <c r="A2327" s="1">
        <v>45612</v>
      </c>
      <c r="B2327" s="2">
        <v>45612.553419895834</v>
      </c>
      <c r="C2327" t="s">
        <v>3</v>
      </c>
      <c r="D2327" t="s">
        <v>833</v>
      </c>
      <c r="E2327" s="5">
        <v>30.86</v>
      </c>
      <c r="F2327" t="s">
        <v>14</v>
      </c>
    </row>
    <row r="2328" spans="1:6">
      <c r="A2328" s="1">
        <v>45629</v>
      </c>
      <c r="B2328" s="2">
        <v>45629.488375393521</v>
      </c>
      <c r="C2328" t="s">
        <v>3</v>
      </c>
      <c r="D2328" t="s">
        <v>833</v>
      </c>
      <c r="E2328" s="5">
        <v>30.86</v>
      </c>
      <c r="F2328" t="s">
        <v>14</v>
      </c>
    </row>
    <row r="2329" spans="1:6">
      <c r="A2329" s="1">
        <v>45629</v>
      </c>
      <c r="B2329" s="2">
        <v>45629.490213344907</v>
      </c>
      <c r="C2329" t="s">
        <v>3</v>
      </c>
      <c r="D2329" t="s">
        <v>833</v>
      </c>
      <c r="E2329" s="5">
        <v>30.86</v>
      </c>
      <c r="F2329" t="s">
        <v>14</v>
      </c>
    </row>
    <row r="2330" spans="1:6">
      <c r="A2330" s="1">
        <v>45646</v>
      </c>
      <c r="B2330" s="2">
        <v>45646.514782789352</v>
      </c>
      <c r="C2330" t="s">
        <v>3</v>
      </c>
      <c r="D2330" t="s">
        <v>833</v>
      </c>
      <c r="E2330" s="5">
        <v>21.06</v>
      </c>
      <c r="F2330" t="s">
        <v>35</v>
      </c>
    </row>
    <row r="2331" spans="1:6">
      <c r="A2331" s="1">
        <v>45646</v>
      </c>
      <c r="B2331" s="2">
        <v>45646.515849212963</v>
      </c>
      <c r="C2331" t="s">
        <v>3</v>
      </c>
      <c r="D2331" t="s">
        <v>833</v>
      </c>
      <c r="E2331" s="5">
        <v>30.86</v>
      </c>
      <c r="F2331" t="s">
        <v>14</v>
      </c>
    </row>
    <row r="2332" spans="1:6">
      <c r="A2332" s="1">
        <v>45591</v>
      </c>
      <c r="B2332" s="2">
        <v>45591.66205446759</v>
      </c>
      <c r="C2332" t="s">
        <v>3</v>
      </c>
      <c r="D2332" t="s">
        <v>834</v>
      </c>
      <c r="E2332" s="5">
        <v>30.86</v>
      </c>
      <c r="F2332" t="s">
        <v>14</v>
      </c>
    </row>
    <row r="2333" spans="1:6">
      <c r="A2333" s="1">
        <v>45591</v>
      </c>
      <c r="B2333" s="2">
        <v>45591.857485162036</v>
      </c>
      <c r="C2333" t="s">
        <v>3</v>
      </c>
      <c r="D2333" t="s">
        <v>835</v>
      </c>
      <c r="E2333" s="5">
        <v>30.86</v>
      </c>
      <c r="F2333" t="s">
        <v>14</v>
      </c>
    </row>
    <row r="2334" spans="1:6">
      <c r="A2334" s="1">
        <v>45592</v>
      </c>
      <c r="B2334" s="2">
        <v>45592.572067233799</v>
      </c>
      <c r="C2334" t="s">
        <v>3</v>
      </c>
      <c r="D2334" t="s">
        <v>836</v>
      </c>
      <c r="E2334" s="5">
        <v>35.76</v>
      </c>
      <c r="F2334" t="s">
        <v>43</v>
      </c>
    </row>
    <row r="2335" spans="1:6">
      <c r="A2335" s="1">
        <v>45593</v>
      </c>
      <c r="B2335" s="2">
        <v>45593.334170127317</v>
      </c>
      <c r="C2335" t="s">
        <v>3</v>
      </c>
      <c r="D2335" t="s">
        <v>837</v>
      </c>
      <c r="E2335" s="5">
        <v>25.96</v>
      </c>
      <c r="F2335" t="s">
        <v>11</v>
      </c>
    </row>
    <row r="2336" spans="1:6">
      <c r="A2336" s="1">
        <v>45593</v>
      </c>
      <c r="B2336" s="2">
        <v>45593.487922395834</v>
      </c>
      <c r="C2336" t="s">
        <v>3</v>
      </c>
      <c r="D2336" t="s">
        <v>838</v>
      </c>
      <c r="E2336" s="5">
        <v>35.76</v>
      </c>
      <c r="F2336" t="s">
        <v>7</v>
      </c>
    </row>
    <row r="2337" spans="1:6">
      <c r="A2337" s="1">
        <v>45593</v>
      </c>
      <c r="B2337" s="2">
        <v>45593.488695856482</v>
      </c>
      <c r="C2337" t="s">
        <v>3</v>
      </c>
      <c r="D2337" t="s">
        <v>838</v>
      </c>
      <c r="E2337" s="5">
        <v>35.76</v>
      </c>
      <c r="F2337" t="s">
        <v>7</v>
      </c>
    </row>
    <row r="2338" spans="1:6">
      <c r="A2338" s="1">
        <v>45593</v>
      </c>
      <c r="B2338" s="2">
        <v>45593.501791747687</v>
      </c>
      <c r="C2338" t="s">
        <v>3</v>
      </c>
      <c r="D2338" t="s">
        <v>839</v>
      </c>
      <c r="E2338" s="5">
        <v>30.86</v>
      </c>
      <c r="F2338" t="s">
        <v>14</v>
      </c>
    </row>
    <row r="2339" spans="1:6">
      <c r="A2339" s="1">
        <v>45593</v>
      </c>
      <c r="B2339" s="2">
        <v>45593.514935393519</v>
      </c>
      <c r="C2339" t="s">
        <v>3</v>
      </c>
      <c r="D2339" t="s">
        <v>840</v>
      </c>
      <c r="E2339" s="5">
        <v>35.76</v>
      </c>
      <c r="F2339" t="s">
        <v>43</v>
      </c>
    </row>
    <row r="2340" spans="1:6">
      <c r="A2340" s="1">
        <v>45593</v>
      </c>
      <c r="B2340" s="2">
        <v>45593.604856030091</v>
      </c>
      <c r="C2340" t="s">
        <v>3</v>
      </c>
      <c r="D2340" t="s">
        <v>841</v>
      </c>
      <c r="E2340" s="5">
        <v>30.86</v>
      </c>
      <c r="F2340" t="s">
        <v>14</v>
      </c>
    </row>
    <row r="2341" spans="1:6">
      <c r="A2341" s="1">
        <v>45593</v>
      </c>
      <c r="B2341" s="2">
        <v>45593.746737488429</v>
      </c>
      <c r="C2341" t="s">
        <v>3</v>
      </c>
      <c r="D2341" t="s">
        <v>842</v>
      </c>
      <c r="E2341" s="5">
        <v>35.76</v>
      </c>
      <c r="F2341" t="s">
        <v>18</v>
      </c>
    </row>
    <row r="2342" spans="1:6">
      <c r="A2342" s="1">
        <v>45593</v>
      </c>
      <c r="B2342" s="2">
        <v>45593.747249965279</v>
      </c>
      <c r="C2342" t="s">
        <v>3</v>
      </c>
      <c r="D2342" t="s">
        <v>842</v>
      </c>
      <c r="E2342" s="5">
        <v>35.76</v>
      </c>
      <c r="F2342" t="s">
        <v>18</v>
      </c>
    </row>
    <row r="2343" spans="1:6">
      <c r="A2343" s="1">
        <v>45598</v>
      </c>
      <c r="B2343" s="2">
        <v>45598.434559803238</v>
      </c>
      <c r="C2343" t="s">
        <v>3</v>
      </c>
      <c r="D2343" t="s">
        <v>842</v>
      </c>
      <c r="E2343" s="5">
        <v>35.76</v>
      </c>
      <c r="F2343" t="s">
        <v>18</v>
      </c>
    </row>
    <row r="2344" spans="1:6">
      <c r="A2344" s="1">
        <v>45603</v>
      </c>
      <c r="B2344" s="2">
        <v>45603.762195995369</v>
      </c>
      <c r="C2344" t="s">
        <v>3</v>
      </c>
      <c r="D2344" t="s">
        <v>842</v>
      </c>
      <c r="E2344" s="5">
        <v>35.76</v>
      </c>
      <c r="F2344" t="s">
        <v>18</v>
      </c>
    </row>
    <row r="2345" spans="1:6">
      <c r="A2345" s="1">
        <v>45594</v>
      </c>
      <c r="B2345" s="2">
        <v>45594.499845833336</v>
      </c>
      <c r="C2345" t="s">
        <v>3</v>
      </c>
      <c r="D2345" t="s">
        <v>843</v>
      </c>
      <c r="E2345" s="5">
        <v>30.86</v>
      </c>
      <c r="F2345" t="s">
        <v>14</v>
      </c>
    </row>
    <row r="2346" spans="1:6">
      <c r="A2346" s="1">
        <v>45594</v>
      </c>
      <c r="B2346" s="2">
        <v>45594.515009328701</v>
      </c>
      <c r="C2346" t="s">
        <v>3</v>
      </c>
      <c r="D2346" t="s">
        <v>844</v>
      </c>
      <c r="E2346" s="5">
        <v>21.06</v>
      </c>
      <c r="F2346" t="s">
        <v>35</v>
      </c>
    </row>
    <row r="2347" spans="1:6">
      <c r="A2347" s="1">
        <v>45594</v>
      </c>
      <c r="B2347" s="2">
        <v>45594.594257384262</v>
      </c>
      <c r="C2347" t="s">
        <v>3</v>
      </c>
      <c r="D2347" t="s">
        <v>845</v>
      </c>
      <c r="E2347" s="5">
        <v>25.96</v>
      </c>
      <c r="F2347" t="s">
        <v>28</v>
      </c>
    </row>
    <row r="2348" spans="1:6">
      <c r="A2348" s="1">
        <v>45594</v>
      </c>
      <c r="B2348" s="2">
        <v>45594.595146956017</v>
      </c>
      <c r="C2348" t="s">
        <v>3</v>
      </c>
      <c r="D2348" t="s">
        <v>845</v>
      </c>
      <c r="E2348" s="5">
        <v>25.96</v>
      </c>
      <c r="F2348" t="s">
        <v>28</v>
      </c>
    </row>
    <row r="2349" spans="1:6">
      <c r="A2349" s="1">
        <v>45594</v>
      </c>
      <c r="B2349" s="2">
        <v>45594.609443993053</v>
      </c>
      <c r="C2349" t="s">
        <v>3</v>
      </c>
      <c r="D2349" t="s">
        <v>846</v>
      </c>
      <c r="E2349" s="5">
        <v>35.76</v>
      </c>
      <c r="F2349" t="s">
        <v>43</v>
      </c>
    </row>
    <row r="2350" spans="1:6">
      <c r="A2350" s="1">
        <v>45594</v>
      </c>
      <c r="B2350" s="2">
        <v>45594.673307199075</v>
      </c>
      <c r="C2350" t="s">
        <v>3</v>
      </c>
      <c r="D2350" t="s">
        <v>847</v>
      </c>
      <c r="E2350" s="5">
        <v>35.76</v>
      </c>
      <c r="F2350" t="s">
        <v>9</v>
      </c>
    </row>
    <row r="2351" spans="1:6">
      <c r="A2351" s="1">
        <v>45594</v>
      </c>
      <c r="B2351" s="2">
        <v>45594.674268692128</v>
      </c>
      <c r="C2351" t="s">
        <v>3</v>
      </c>
      <c r="D2351" t="s">
        <v>848</v>
      </c>
      <c r="E2351" s="5">
        <v>35.76</v>
      </c>
      <c r="F2351" t="s">
        <v>18</v>
      </c>
    </row>
    <row r="2352" spans="1:6">
      <c r="A2352" s="1">
        <v>45594</v>
      </c>
      <c r="B2352" s="2">
        <v>45594.751439444444</v>
      </c>
      <c r="C2352" t="s">
        <v>3</v>
      </c>
      <c r="D2352" t="s">
        <v>849</v>
      </c>
      <c r="E2352" s="5">
        <v>30.86</v>
      </c>
      <c r="F2352" t="s">
        <v>14</v>
      </c>
    </row>
    <row r="2353" spans="1:6">
      <c r="A2353" s="1">
        <v>45594</v>
      </c>
      <c r="B2353" s="2">
        <v>45594.752053611111</v>
      </c>
      <c r="C2353" t="s">
        <v>3</v>
      </c>
      <c r="D2353" t="s">
        <v>849</v>
      </c>
      <c r="E2353" s="5">
        <v>30.86</v>
      </c>
      <c r="F2353" t="s">
        <v>14</v>
      </c>
    </row>
    <row r="2354" spans="1:6">
      <c r="A2354" s="1">
        <v>45594</v>
      </c>
      <c r="B2354" s="2">
        <v>45594.793117615744</v>
      </c>
      <c r="C2354" t="s">
        <v>3</v>
      </c>
      <c r="D2354" t="s">
        <v>850</v>
      </c>
      <c r="E2354" s="5">
        <v>30.86</v>
      </c>
      <c r="F2354" t="s">
        <v>14</v>
      </c>
    </row>
    <row r="2355" spans="1:6">
      <c r="A2355" s="1">
        <v>45595</v>
      </c>
      <c r="B2355" s="2">
        <v>45595.382978692127</v>
      </c>
      <c r="C2355" t="s">
        <v>3</v>
      </c>
      <c r="D2355" t="s">
        <v>851</v>
      </c>
      <c r="E2355" s="5">
        <v>35.76</v>
      </c>
      <c r="F2355" t="s">
        <v>7</v>
      </c>
    </row>
    <row r="2356" spans="1:6">
      <c r="A2356" s="1">
        <v>45595</v>
      </c>
      <c r="B2356" s="2">
        <v>45595.438809618056</v>
      </c>
      <c r="C2356" t="s">
        <v>3</v>
      </c>
      <c r="D2356" t="s">
        <v>852</v>
      </c>
      <c r="E2356" s="5">
        <v>35.76</v>
      </c>
      <c r="F2356" t="s">
        <v>7</v>
      </c>
    </row>
    <row r="2357" spans="1:6">
      <c r="A2357" s="1">
        <v>45595</v>
      </c>
      <c r="B2357" s="2">
        <v>45595.439672442131</v>
      </c>
      <c r="C2357" t="s">
        <v>3</v>
      </c>
      <c r="D2357" t="s">
        <v>852</v>
      </c>
      <c r="E2357" s="5">
        <v>35.76</v>
      </c>
      <c r="F2357" t="s">
        <v>7</v>
      </c>
    </row>
    <row r="2358" spans="1:6">
      <c r="A2358" s="1">
        <v>45595</v>
      </c>
      <c r="B2358" s="2">
        <v>45595.525703298612</v>
      </c>
      <c r="C2358" t="s">
        <v>3</v>
      </c>
      <c r="D2358" t="s">
        <v>853</v>
      </c>
      <c r="E2358" s="5">
        <v>25.96</v>
      </c>
      <c r="F2358" t="s">
        <v>11</v>
      </c>
    </row>
    <row r="2359" spans="1:6">
      <c r="A2359" s="1">
        <v>45595</v>
      </c>
      <c r="B2359" s="2">
        <v>45595.670004340274</v>
      </c>
      <c r="C2359" t="s">
        <v>3</v>
      </c>
      <c r="D2359" t="s">
        <v>854</v>
      </c>
      <c r="E2359" s="5">
        <v>30.86</v>
      </c>
      <c r="F2359" t="s">
        <v>14</v>
      </c>
    </row>
    <row r="2360" spans="1:6">
      <c r="A2360" s="1">
        <v>45595</v>
      </c>
      <c r="B2360" s="2">
        <v>45595.755700150461</v>
      </c>
      <c r="C2360" t="s">
        <v>3</v>
      </c>
      <c r="D2360" t="s">
        <v>855</v>
      </c>
      <c r="E2360" s="5">
        <v>35.76</v>
      </c>
      <c r="F2360" t="s">
        <v>9</v>
      </c>
    </row>
    <row r="2361" spans="1:6">
      <c r="A2361" s="1">
        <v>45595</v>
      </c>
      <c r="B2361" s="2">
        <v>45595.82177303241</v>
      </c>
      <c r="C2361" t="s">
        <v>3</v>
      </c>
      <c r="D2361" t="s">
        <v>856</v>
      </c>
      <c r="E2361" s="5">
        <v>30.86</v>
      </c>
      <c r="F2361" t="s">
        <v>14</v>
      </c>
    </row>
    <row r="2362" spans="1:6">
      <c r="A2362" s="1">
        <v>45597</v>
      </c>
      <c r="B2362" s="2">
        <v>45597.350039363424</v>
      </c>
      <c r="C2362" t="s">
        <v>3</v>
      </c>
      <c r="D2362" t="s">
        <v>856</v>
      </c>
      <c r="E2362" s="5">
        <v>35.76</v>
      </c>
      <c r="F2362" t="s">
        <v>18</v>
      </c>
    </row>
    <row r="2363" spans="1:6">
      <c r="A2363" s="1">
        <v>45647</v>
      </c>
      <c r="B2363" s="2">
        <v>45647.649645520833</v>
      </c>
      <c r="C2363" t="s">
        <v>3</v>
      </c>
      <c r="D2363" t="s">
        <v>856</v>
      </c>
      <c r="E2363" s="5">
        <v>30.86</v>
      </c>
      <c r="F2363" t="s">
        <v>14</v>
      </c>
    </row>
    <row r="2364" spans="1:6">
      <c r="A2364" s="1">
        <v>45668</v>
      </c>
      <c r="B2364" s="2">
        <v>45668.322574652775</v>
      </c>
      <c r="C2364" t="s">
        <v>3</v>
      </c>
      <c r="D2364" t="s">
        <v>856</v>
      </c>
      <c r="E2364" s="5">
        <v>30.86</v>
      </c>
      <c r="F2364" t="s">
        <v>14</v>
      </c>
    </row>
    <row r="2365" spans="1:6">
      <c r="A2365" s="1">
        <v>45669</v>
      </c>
      <c r="B2365" s="2">
        <v>45669.489958715276</v>
      </c>
      <c r="C2365" t="s">
        <v>3</v>
      </c>
      <c r="D2365" t="s">
        <v>856</v>
      </c>
      <c r="E2365" s="5">
        <v>30.86</v>
      </c>
      <c r="F2365" t="s">
        <v>14</v>
      </c>
    </row>
    <row r="2366" spans="1:6">
      <c r="A2366" s="1">
        <v>45669</v>
      </c>
      <c r="B2366" s="2">
        <v>45669.491883437498</v>
      </c>
      <c r="C2366" t="s">
        <v>3</v>
      </c>
      <c r="D2366" t="s">
        <v>856</v>
      </c>
      <c r="E2366" s="5">
        <v>25.96</v>
      </c>
      <c r="F2366" t="s">
        <v>11</v>
      </c>
    </row>
    <row r="2367" spans="1:6">
      <c r="A2367" s="1">
        <v>45596</v>
      </c>
      <c r="B2367" s="2">
        <v>45596.666281111109</v>
      </c>
      <c r="C2367" t="s">
        <v>3</v>
      </c>
      <c r="D2367" t="s">
        <v>857</v>
      </c>
      <c r="E2367" s="5">
        <v>35.76</v>
      </c>
      <c r="F2367" t="s">
        <v>7</v>
      </c>
    </row>
    <row r="2368" spans="1:6">
      <c r="A2368" s="1">
        <v>45596</v>
      </c>
      <c r="B2368" s="2">
        <v>45596.667025266201</v>
      </c>
      <c r="C2368" t="s">
        <v>3</v>
      </c>
      <c r="D2368" t="s">
        <v>858</v>
      </c>
      <c r="E2368" s="5">
        <v>30.86</v>
      </c>
      <c r="F2368" t="s">
        <v>14</v>
      </c>
    </row>
    <row r="2369" spans="1:6">
      <c r="A2369" s="1">
        <v>45597</v>
      </c>
      <c r="B2369" s="2">
        <v>45597.663685462961</v>
      </c>
      <c r="C2369" t="s">
        <v>3</v>
      </c>
      <c r="D2369" t="s">
        <v>859</v>
      </c>
      <c r="E2369" s="5">
        <v>25.96</v>
      </c>
      <c r="F2369" t="s">
        <v>28</v>
      </c>
    </row>
    <row r="2370" spans="1:6">
      <c r="A2370" s="1">
        <v>45598</v>
      </c>
      <c r="B2370" s="2">
        <v>45598.621002870372</v>
      </c>
      <c r="C2370" t="s">
        <v>3</v>
      </c>
      <c r="D2370" t="s">
        <v>860</v>
      </c>
      <c r="E2370" s="5">
        <v>30.86</v>
      </c>
      <c r="F2370" t="s">
        <v>14</v>
      </c>
    </row>
    <row r="2371" spans="1:6">
      <c r="A2371" s="1">
        <v>45598</v>
      </c>
      <c r="B2371" s="2">
        <v>45598.692419039355</v>
      </c>
      <c r="C2371" t="s">
        <v>3</v>
      </c>
      <c r="D2371" t="s">
        <v>861</v>
      </c>
      <c r="E2371" s="5">
        <v>35.76</v>
      </c>
      <c r="F2371" t="s">
        <v>7</v>
      </c>
    </row>
    <row r="2372" spans="1:6">
      <c r="A2372" s="1">
        <v>45598</v>
      </c>
      <c r="B2372" s="2">
        <v>45598.79055002315</v>
      </c>
      <c r="C2372" t="s">
        <v>3</v>
      </c>
      <c r="D2372" t="s">
        <v>862</v>
      </c>
      <c r="E2372" s="5">
        <v>25.96</v>
      </c>
      <c r="F2372" t="s">
        <v>11</v>
      </c>
    </row>
    <row r="2373" spans="1:6">
      <c r="A2373" s="1">
        <v>45599</v>
      </c>
      <c r="B2373" s="2">
        <v>45599.55128939815</v>
      </c>
      <c r="C2373" t="s">
        <v>3</v>
      </c>
      <c r="D2373" t="s">
        <v>863</v>
      </c>
      <c r="E2373" s="5">
        <v>35.76</v>
      </c>
      <c r="F2373" t="s">
        <v>7</v>
      </c>
    </row>
    <row r="2374" spans="1:6">
      <c r="A2374" s="1">
        <v>45599</v>
      </c>
      <c r="B2374" s="2">
        <v>45599.552044826392</v>
      </c>
      <c r="C2374" t="s">
        <v>3</v>
      </c>
      <c r="D2374" t="s">
        <v>863</v>
      </c>
      <c r="E2374" s="5">
        <v>30.86</v>
      </c>
      <c r="F2374" t="s">
        <v>14</v>
      </c>
    </row>
    <row r="2375" spans="1:6">
      <c r="A2375" s="1">
        <v>45599</v>
      </c>
      <c r="B2375" s="2">
        <v>45599.572436527778</v>
      </c>
      <c r="C2375" t="s">
        <v>3</v>
      </c>
      <c r="D2375" t="s">
        <v>864</v>
      </c>
      <c r="E2375" s="5">
        <v>25.96</v>
      </c>
      <c r="F2375" t="s">
        <v>11</v>
      </c>
    </row>
    <row r="2376" spans="1:6">
      <c r="A2376" s="1">
        <v>45599</v>
      </c>
      <c r="B2376" s="2">
        <v>45599.582651354169</v>
      </c>
      <c r="C2376" t="s">
        <v>3</v>
      </c>
      <c r="D2376" t="s">
        <v>865</v>
      </c>
      <c r="E2376" s="5">
        <v>30.86</v>
      </c>
      <c r="F2376" t="s">
        <v>14</v>
      </c>
    </row>
    <row r="2377" spans="1:6">
      <c r="A2377" s="1">
        <v>45611</v>
      </c>
      <c r="B2377" s="2">
        <v>45611.733114039351</v>
      </c>
      <c r="C2377" t="s">
        <v>3</v>
      </c>
      <c r="D2377" t="s">
        <v>865</v>
      </c>
      <c r="E2377" s="5">
        <v>30.86</v>
      </c>
      <c r="F2377" t="s">
        <v>14</v>
      </c>
    </row>
    <row r="2378" spans="1:6">
      <c r="A2378" s="1">
        <v>45599</v>
      </c>
      <c r="B2378" s="2">
        <v>45599.68098513889</v>
      </c>
      <c r="C2378" t="s">
        <v>3</v>
      </c>
      <c r="D2378" t="s">
        <v>866</v>
      </c>
      <c r="E2378" s="5">
        <v>25.96</v>
      </c>
      <c r="F2378" t="s">
        <v>11</v>
      </c>
    </row>
    <row r="2379" spans="1:6">
      <c r="A2379" s="1">
        <v>45599</v>
      </c>
      <c r="B2379" s="2">
        <v>45599.681783043983</v>
      </c>
      <c r="C2379" t="s">
        <v>3</v>
      </c>
      <c r="D2379" t="s">
        <v>866</v>
      </c>
      <c r="E2379" s="5">
        <v>25.96</v>
      </c>
      <c r="F2379" t="s">
        <v>11</v>
      </c>
    </row>
    <row r="2380" spans="1:6">
      <c r="A2380" s="1">
        <v>45600</v>
      </c>
      <c r="B2380" s="2">
        <v>45600.523330856478</v>
      </c>
      <c r="C2380" t="s">
        <v>3</v>
      </c>
      <c r="D2380" t="s">
        <v>867</v>
      </c>
      <c r="E2380" s="5">
        <v>25.96</v>
      </c>
      <c r="F2380" t="s">
        <v>11</v>
      </c>
    </row>
    <row r="2381" spans="1:6">
      <c r="A2381" s="1">
        <v>45600</v>
      </c>
      <c r="B2381" s="2">
        <v>45600.524375706016</v>
      </c>
      <c r="C2381" t="s">
        <v>3</v>
      </c>
      <c r="D2381" t="s">
        <v>868</v>
      </c>
      <c r="E2381" s="5">
        <v>30.86</v>
      </c>
      <c r="F2381" t="s">
        <v>14</v>
      </c>
    </row>
    <row r="2382" spans="1:6">
      <c r="A2382" s="1">
        <v>45601</v>
      </c>
      <c r="B2382" s="2">
        <v>45601.491317812499</v>
      </c>
      <c r="C2382" t="s">
        <v>3</v>
      </c>
      <c r="D2382" t="s">
        <v>869</v>
      </c>
      <c r="E2382" s="5">
        <v>35.76</v>
      </c>
      <c r="F2382" t="s">
        <v>18</v>
      </c>
    </row>
    <row r="2383" spans="1:6">
      <c r="A2383" s="1">
        <v>45601</v>
      </c>
      <c r="B2383" s="2">
        <v>45601.491926898147</v>
      </c>
      <c r="C2383" t="s">
        <v>3</v>
      </c>
      <c r="D2383" t="s">
        <v>870</v>
      </c>
      <c r="E2383" s="5">
        <v>35.76</v>
      </c>
      <c r="F2383" t="s">
        <v>7</v>
      </c>
    </row>
    <row r="2384" spans="1:6">
      <c r="A2384" s="1">
        <v>45601</v>
      </c>
      <c r="B2384" s="2">
        <v>45601.608771481478</v>
      </c>
      <c r="C2384" t="s">
        <v>3</v>
      </c>
      <c r="D2384" t="s">
        <v>871</v>
      </c>
      <c r="E2384" s="5">
        <v>35.76</v>
      </c>
      <c r="F2384" t="s">
        <v>7</v>
      </c>
    </row>
    <row r="2385" spans="1:6">
      <c r="A2385" s="1">
        <v>45601</v>
      </c>
      <c r="B2385" s="2">
        <v>45601.612361666666</v>
      </c>
      <c r="C2385" t="s">
        <v>3</v>
      </c>
      <c r="D2385" t="s">
        <v>872</v>
      </c>
      <c r="E2385" s="5">
        <v>35.76</v>
      </c>
      <c r="F2385" t="s">
        <v>7</v>
      </c>
    </row>
    <row r="2386" spans="1:6">
      <c r="A2386" s="1">
        <v>45601</v>
      </c>
      <c r="B2386" s="2">
        <v>45601.903295671298</v>
      </c>
      <c r="C2386" t="s">
        <v>3</v>
      </c>
      <c r="D2386" t="s">
        <v>873</v>
      </c>
      <c r="E2386" s="5">
        <v>35.76</v>
      </c>
      <c r="F2386" t="s">
        <v>18</v>
      </c>
    </row>
    <row r="2387" spans="1:6">
      <c r="A2387" s="1">
        <v>45601</v>
      </c>
      <c r="B2387" s="2">
        <v>45601.904198506942</v>
      </c>
      <c r="C2387" t="s">
        <v>3</v>
      </c>
      <c r="D2387" t="s">
        <v>873</v>
      </c>
      <c r="E2387" s="5">
        <v>35.76</v>
      </c>
      <c r="F2387" t="s">
        <v>18</v>
      </c>
    </row>
    <row r="2388" spans="1:6">
      <c r="A2388" s="1">
        <v>45602</v>
      </c>
      <c r="B2388" s="2">
        <v>45602.489944131943</v>
      </c>
      <c r="C2388" t="s">
        <v>3</v>
      </c>
      <c r="D2388" t="s">
        <v>874</v>
      </c>
      <c r="E2388" s="5">
        <v>21.06</v>
      </c>
      <c r="F2388" t="s">
        <v>35</v>
      </c>
    </row>
    <row r="2389" spans="1:6">
      <c r="A2389" s="1">
        <v>45602</v>
      </c>
      <c r="B2389" s="2">
        <v>45602.667173761576</v>
      </c>
      <c r="C2389" t="s">
        <v>3</v>
      </c>
      <c r="D2389" t="s">
        <v>875</v>
      </c>
      <c r="E2389" s="5">
        <v>35.76</v>
      </c>
      <c r="F2389" t="s">
        <v>7</v>
      </c>
    </row>
    <row r="2390" spans="1:6">
      <c r="A2390" s="1">
        <v>45602</v>
      </c>
      <c r="B2390" s="2">
        <v>45602.668114733795</v>
      </c>
      <c r="C2390" t="s">
        <v>3</v>
      </c>
      <c r="D2390" t="s">
        <v>876</v>
      </c>
      <c r="E2390" s="5">
        <v>35.76</v>
      </c>
      <c r="F2390" t="s">
        <v>43</v>
      </c>
    </row>
    <row r="2391" spans="1:6">
      <c r="A2391" s="1">
        <v>45687</v>
      </c>
      <c r="B2391" s="2">
        <v>45687.476726562498</v>
      </c>
      <c r="C2391" t="s">
        <v>3</v>
      </c>
      <c r="D2391" t="s">
        <v>876</v>
      </c>
      <c r="E2391" s="5">
        <v>25.96</v>
      </c>
      <c r="F2391" t="s">
        <v>28</v>
      </c>
    </row>
    <row r="2392" spans="1:6">
      <c r="A2392" s="1">
        <v>45602</v>
      </c>
      <c r="B2392" s="2">
        <v>45602.778273784723</v>
      </c>
      <c r="C2392" t="s">
        <v>3</v>
      </c>
      <c r="D2392" t="s">
        <v>877</v>
      </c>
      <c r="E2392" s="5">
        <v>35.76</v>
      </c>
      <c r="F2392" t="s">
        <v>9</v>
      </c>
    </row>
    <row r="2393" spans="1:6">
      <c r="A2393" s="1">
        <v>45602</v>
      </c>
      <c r="B2393" s="2">
        <v>45602.778827002316</v>
      </c>
      <c r="C2393" t="s">
        <v>3</v>
      </c>
      <c r="D2393" t="s">
        <v>877</v>
      </c>
      <c r="E2393" s="5">
        <v>35.76</v>
      </c>
      <c r="F2393" t="s">
        <v>9</v>
      </c>
    </row>
    <row r="2394" spans="1:6">
      <c r="A2394" s="1">
        <v>45603</v>
      </c>
      <c r="B2394" s="2">
        <v>45603.511990659725</v>
      </c>
      <c r="C2394" t="s">
        <v>3</v>
      </c>
      <c r="D2394" t="s">
        <v>878</v>
      </c>
      <c r="E2394" s="5">
        <v>35.76</v>
      </c>
      <c r="F2394" t="s">
        <v>7</v>
      </c>
    </row>
    <row r="2395" spans="1:6">
      <c r="A2395" s="1">
        <v>45603</v>
      </c>
      <c r="B2395" s="2">
        <v>45603.659844421294</v>
      </c>
      <c r="C2395" t="s">
        <v>3</v>
      </c>
      <c r="D2395" t="s">
        <v>879</v>
      </c>
      <c r="E2395" s="5">
        <v>25.96</v>
      </c>
      <c r="F2395" t="s">
        <v>11</v>
      </c>
    </row>
    <row r="2396" spans="1:6">
      <c r="A2396" s="1">
        <v>45603</v>
      </c>
      <c r="B2396" s="2">
        <v>45603.694206099535</v>
      </c>
      <c r="C2396" t="s">
        <v>3</v>
      </c>
      <c r="D2396" t="s">
        <v>880</v>
      </c>
      <c r="E2396" s="5">
        <v>25.96</v>
      </c>
      <c r="F2396" t="s">
        <v>11</v>
      </c>
    </row>
    <row r="2397" spans="1:6">
      <c r="A2397" s="1">
        <v>45603</v>
      </c>
      <c r="B2397" s="2">
        <v>45603.805726296298</v>
      </c>
      <c r="C2397" t="s">
        <v>3</v>
      </c>
      <c r="D2397" t="s">
        <v>881</v>
      </c>
      <c r="E2397" s="5">
        <v>35.76</v>
      </c>
      <c r="F2397" t="s">
        <v>9</v>
      </c>
    </row>
    <row r="2398" spans="1:6">
      <c r="A2398" s="1">
        <v>45603</v>
      </c>
      <c r="B2398" s="2">
        <v>45603.806690081015</v>
      </c>
      <c r="C2398" t="s">
        <v>3</v>
      </c>
      <c r="D2398" t="s">
        <v>881</v>
      </c>
      <c r="E2398" s="5">
        <v>35.76</v>
      </c>
      <c r="F2398" t="s">
        <v>7</v>
      </c>
    </row>
    <row r="2399" spans="1:6">
      <c r="A2399" s="1">
        <v>45604</v>
      </c>
      <c r="B2399" s="2">
        <v>45604.559183414349</v>
      </c>
      <c r="C2399" t="s">
        <v>3</v>
      </c>
      <c r="D2399" t="s">
        <v>882</v>
      </c>
      <c r="E2399" s="5">
        <v>35.76</v>
      </c>
      <c r="F2399" t="s">
        <v>7</v>
      </c>
    </row>
    <row r="2400" spans="1:6">
      <c r="A2400" s="1">
        <v>45604</v>
      </c>
      <c r="B2400" s="2">
        <v>45604.559926064816</v>
      </c>
      <c r="C2400" t="s">
        <v>3</v>
      </c>
      <c r="D2400" t="s">
        <v>882</v>
      </c>
      <c r="E2400" s="5">
        <v>35.76</v>
      </c>
      <c r="F2400" t="s">
        <v>7</v>
      </c>
    </row>
    <row r="2401" spans="1:6">
      <c r="A2401" s="1">
        <v>45604</v>
      </c>
      <c r="B2401" s="2">
        <v>45604.68961671296</v>
      </c>
      <c r="C2401" t="s">
        <v>3</v>
      </c>
      <c r="D2401" t="s">
        <v>883</v>
      </c>
      <c r="E2401" s="5">
        <v>30.86</v>
      </c>
      <c r="F2401" t="s">
        <v>14</v>
      </c>
    </row>
    <row r="2402" spans="1:6">
      <c r="A2402" s="1">
        <v>45604</v>
      </c>
      <c r="B2402" s="2">
        <v>45604.705185682869</v>
      </c>
      <c r="C2402" t="s">
        <v>3</v>
      </c>
      <c r="D2402" t="s">
        <v>884</v>
      </c>
      <c r="E2402" s="5">
        <v>30.86</v>
      </c>
      <c r="F2402" t="s">
        <v>14</v>
      </c>
    </row>
    <row r="2403" spans="1:6">
      <c r="A2403" s="1">
        <v>45604</v>
      </c>
      <c r="B2403" s="2">
        <v>45604.842733414349</v>
      </c>
      <c r="C2403" t="s">
        <v>3</v>
      </c>
      <c r="D2403" t="s">
        <v>885</v>
      </c>
      <c r="E2403" s="5">
        <v>35.76</v>
      </c>
      <c r="F2403" t="s">
        <v>9</v>
      </c>
    </row>
    <row r="2404" spans="1:6">
      <c r="A2404" s="1">
        <v>45605</v>
      </c>
      <c r="B2404" s="2">
        <v>45605.57655878472</v>
      </c>
      <c r="C2404" t="s">
        <v>3</v>
      </c>
      <c r="D2404" t="s">
        <v>885</v>
      </c>
      <c r="E2404" s="5">
        <v>35.76</v>
      </c>
      <c r="F2404" t="s">
        <v>9</v>
      </c>
    </row>
    <row r="2405" spans="1:6">
      <c r="A2405" s="1">
        <v>45605</v>
      </c>
      <c r="B2405" s="2">
        <v>45605.577027245374</v>
      </c>
      <c r="C2405" t="s">
        <v>3</v>
      </c>
      <c r="D2405" t="s">
        <v>885</v>
      </c>
      <c r="E2405" s="5">
        <v>35.76</v>
      </c>
      <c r="F2405" t="s">
        <v>9</v>
      </c>
    </row>
    <row r="2406" spans="1:6">
      <c r="A2406" s="1">
        <v>45621</v>
      </c>
      <c r="B2406" s="2">
        <v>45621.688153587966</v>
      </c>
      <c r="C2406" t="s">
        <v>3</v>
      </c>
      <c r="D2406" t="s">
        <v>885</v>
      </c>
      <c r="E2406" s="5">
        <v>35.76</v>
      </c>
      <c r="F2406" t="s">
        <v>9</v>
      </c>
    </row>
    <row r="2407" spans="1:6">
      <c r="A2407" s="1">
        <v>45604</v>
      </c>
      <c r="B2407" s="2">
        <v>45604.843336689817</v>
      </c>
      <c r="C2407" t="s">
        <v>3</v>
      </c>
      <c r="D2407" t="s">
        <v>886</v>
      </c>
      <c r="E2407" s="5">
        <v>35.76</v>
      </c>
      <c r="F2407" t="s">
        <v>9</v>
      </c>
    </row>
    <row r="2408" spans="1:6">
      <c r="A2408" s="1">
        <v>45604</v>
      </c>
      <c r="B2408" s="2">
        <v>45604.843981481485</v>
      </c>
      <c r="C2408" t="s">
        <v>3</v>
      </c>
      <c r="D2408" t="s">
        <v>886</v>
      </c>
      <c r="E2408" s="5">
        <v>35.76</v>
      </c>
      <c r="F2408" t="s">
        <v>9</v>
      </c>
    </row>
    <row r="2409" spans="1:6">
      <c r="A2409" s="1">
        <v>45605</v>
      </c>
      <c r="B2409" s="2">
        <v>45605.464400682868</v>
      </c>
      <c r="C2409" t="s">
        <v>3</v>
      </c>
      <c r="D2409" t="s">
        <v>887</v>
      </c>
      <c r="E2409" s="5">
        <v>35.76</v>
      </c>
      <c r="F2409" t="s">
        <v>7</v>
      </c>
    </row>
    <row r="2410" spans="1:6">
      <c r="A2410" s="1">
        <v>45605</v>
      </c>
      <c r="B2410" s="2">
        <v>45605.598513935183</v>
      </c>
      <c r="C2410" t="s">
        <v>3</v>
      </c>
      <c r="D2410" t="s">
        <v>888</v>
      </c>
      <c r="E2410" s="5">
        <v>35.76</v>
      </c>
      <c r="F2410" t="s">
        <v>9</v>
      </c>
    </row>
    <row r="2411" spans="1:6">
      <c r="A2411" s="1">
        <v>45605</v>
      </c>
      <c r="B2411" s="2">
        <v>45605.599194907409</v>
      </c>
      <c r="C2411" t="s">
        <v>3</v>
      </c>
      <c r="D2411" t="s">
        <v>888</v>
      </c>
      <c r="E2411" s="5">
        <v>35.76</v>
      </c>
      <c r="F2411" t="s">
        <v>9</v>
      </c>
    </row>
    <row r="2412" spans="1:6">
      <c r="A2412" s="1">
        <v>45605</v>
      </c>
      <c r="B2412" s="2">
        <v>45605.609411469908</v>
      </c>
      <c r="C2412" t="s">
        <v>3</v>
      </c>
      <c r="D2412" t="s">
        <v>889</v>
      </c>
      <c r="E2412" s="5">
        <v>25.96</v>
      </c>
      <c r="F2412" t="s">
        <v>11</v>
      </c>
    </row>
    <row r="2413" spans="1:6">
      <c r="A2413" s="1">
        <v>45605</v>
      </c>
      <c r="B2413" s="2">
        <v>45605.862552349536</v>
      </c>
      <c r="C2413" t="s">
        <v>3</v>
      </c>
      <c r="D2413" t="s">
        <v>890</v>
      </c>
      <c r="E2413" s="5">
        <v>25.96</v>
      </c>
      <c r="F2413" t="s">
        <v>11</v>
      </c>
    </row>
    <row r="2414" spans="1:6">
      <c r="A2414" s="1">
        <v>45605</v>
      </c>
      <c r="B2414" s="2">
        <v>45605.863513159726</v>
      </c>
      <c r="C2414" t="s">
        <v>3</v>
      </c>
      <c r="D2414" t="s">
        <v>890</v>
      </c>
      <c r="E2414" s="5">
        <v>35.76</v>
      </c>
      <c r="F2414" t="s">
        <v>7</v>
      </c>
    </row>
    <row r="2415" spans="1:6">
      <c r="A2415" s="1">
        <v>45639</v>
      </c>
      <c r="B2415" s="2">
        <v>45639.804905219906</v>
      </c>
      <c r="C2415" t="s">
        <v>3</v>
      </c>
      <c r="D2415" t="s">
        <v>890</v>
      </c>
      <c r="E2415" s="5">
        <v>35.76</v>
      </c>
      <c r="F2415" t="s">
        <v>43</v>
      </c>
    </row>
    <row r="2416" spans="1:6">
      <c r="A2416" s="1">
        <v>45639</v>
      </c>
      <c r="B2416" s="2">
        <v>45639.80567267361</v>
      </c>
      <c r="C2416" t="s">
        <v>3</v>
      </c>
      <c r="D2416" t="s">
        <v>890</v>
      </c>
      <c r="E2416" s="5">
        <v>35.76</v>
      </c>
      <c r="F2416" t="s">
        <v>43</v>
      </c>
    </row>
    <row r="2417" spans="1:6">
      <c r="A2417" s="1">
        <v>45605</v>
      </c>
      <c r="B2417" s="2">
        <v>45605.926014502315</v>
      </c>
      <c r="C2417" t="s">
        <v>3</v>
      </c>
      <c r="D2417" t="s">
        <v>891</v>
      </c>
      <c r="E2417" s="5">
        <v>35.76</v>
      </c>
      <c r="F2417" t="s">
        <v>18</v>
      </c>
    </row>
    <row r="2418" spans="1:6">
      <c r="A2418" s="1">
        <v>45610</v>
      </c>
      <c r="B2418" s="2">
        <v>45610.855208645837</v>
      </c>
      <c r="C2418" t="s">
        <v>3</v>
      </c>
      <c r="D2418" t="s">
        <v>891</v>
      </c>
      <c r="E2418" s="5">
        <v>35.76</v>
      </c>
      <c r="F2418" t="s">
        <v>18</v>
      </c>
    </row>
    <row r="2419" spans="1:6">
      <c r="A2419" s="1">
        <v>45610</v>
      </c>
      <c r="B2419" s="2">
        <v>45610.855909143516</v>
      </c>
      <c r="C2419" t="s">
        <v>3</v>
      </c>
      <c r="D2419" t="s">
        <v>891</v>
      </c>
      <c r="E2419" s="5">
        <v>35.76</v>
      </c>
      <c r="F2419" t="s">
        <v>9</v>
      </c>
    </row>
    <row r="2420" spans="1:6">
      <c r="A2420" s="1">
        <v>45659</v>
      </c>
      <c r="B2420" s="2">
        <v>45659.690966087961</v>
      </c>
      <c r="C2420" t="s">
        <v>3</v>
      </c>
      <c r="D2420" t="s">
        <v>891</v>
      </c>
      <c r="E2420" s="5">
        <v>35.76</v>
      </c>
      <c r="F2420" t="s">
        <v>9</v>
      </c>
    </row>
    <row r="2421" spans="1:6">
      <c r="A2421" s="1">
        <v>45659</v>
      </c>
      <c r="B2421" s="2">
        <v>45659.691484780094</v>
      </c>
      <c r="C2421" t="s">
        <v>3</v>
      </c>
      <c r="D2421" t="s">
        <v>891</v>
      </c>
      <c r="E2421" s="5">
        <v>30.86</v>
      </c>
      <c r="F2421" t="s">
        <v>14</v>
      </c>
    </row>
    <row r="2422" spans="1:6">
      <c r="A2422" s="1">
        <v>45661</v>
      </c>
      <c r="B2422" s="2">
        <v>45661.666356793983</v>
      </c>
      <c r="C2422" t="s">
        <v>3</v>
      </c>
      <c r="D2422" t="s">
        <v>891</v>
      </c>
      <c r="E2422" s="5">
        <v>35.76</v>
      </c>
      <c r="F2422" t="s">
        <v>18</v>
      </c>
    </row>
    <row r="2423" spans="1:6">
      <c r="A2423" s="1">
        <v>45674</v>
      </c>
      <c r="B2423" s="2">
        <v>45674.890497210647</v>
      </c>
      <c r="C2423" t="s">
        <v>3</v>
      </c>
      <c r="D2423" t="s">
        <v>891</v>
      </c>
      <c r="E2423" s="5">
        <v>35.76</v>
      </c>
      <c r="F2423" t="s">
        <v>9</v>
      </c>
    </row>
    <row r="2424" spans="1:6">
      <c r="A2424" s="1">
        <v>45605</v>
      </c>
      <c r="B2424" s="2">
        <v>45605.953450104163</v>
      </c>
      <c r="C2424" t="s">
        <v>3</v>
      </c>
      <c r="D2424" t="s">
        <v>892</v>
      </c>
      <c r="E2424" s="5">
        <v>25.96</v>
      </c>
      <c r="F2424" t="s">
        <v>11</v>
      </c>
    </row>
    <row r="2425" spans="1:6">
      <c r="A2425" s="1">
        <v>45698</v>
      </c>
      <c r="B2425" s="2">
        <v>45698.716693935188</v>
      </c>
      <c r="C2425" t="s">
        <v>3</v>
      </c>
      <c r="D2425" t="s">
        <v>892</v>
      </c>
      <c r="E2425" s="5">
        <v>25.96</v>
      </c>
      <c r="F2425" t="s">
        <v>11</v>
      </c>
    </row>
    <row r="2426" spans="1:6">
      <c r="A2426" s="1">
        <v>45703</v>
      </c>
      <c r="B2426" s="2">
        <v>45703.543285497683</v>
      </c>
      <c r="C2426" t="s">
        <v>3</v>
      </c>
      <c r="D2426" t="s">
        <v>892</v>
      </c>
      <c r="E2426" s="5">
        <v>30.86</v>
      </c>
      <c r="F2426" t="s">
        <v>14</v>
      </c>
    </row>
    <row r="2427" spans="1:6">
      <c r="A2427" s="1">
        <v>45712</v>
      </c>
      <c r="B2427" s="2">
        <v>45712.794843020834</v>
      </c>
      <c r="C2427" t="s">
        <v>3</v>
      </c>
      <c r="D2427" t="s">
        <v>892</v>
      </c>
      <c r="E2427" s="5">
        <v>30.86</v>
      </c>
      <c r="F2427" t="s">
        <v>14</v>
      </c>
    </row>
    <row r="2428" spans="1:6">
      <c r="A2428" s="1">
        <v>45605</v>
      </c>
      <c r="B2428" s="2">
        <v>45605.954387812497</v>
      </c>
      <c r="C2428" t="s">
        <v>3</v>
      </c>
      <c r="D2428" t="s">
        <v>893</v>
      </c>
      <c r="E2428" s="5">
        <v>25.96</v>
      </c>
      <c r="F2428" t="s">
        <v>11</v>
      </c>
    </row>
    <row r="2429" spans="1:6">
      <c r="A2429" s="1">
        <v>45606</v>
      </c>
      <c r="B2429" s="2">
        <v>45606.407196759261</v>
      </c>
      <c r="C2429" t="s">
        <v>3</v>
      </c>
      <c r="D2429" t="s">
        <v>894</v>
      </c>
      <c r="E2429" s="5">
        <v>25.96</v>
      </c>
      <c r="F2429" t="s">
        <v>11</v>
      </c>
    </row>
    <row r="2430" spans="1:6">
      <c r="A2430" s="1">
        <v>45606</v>
      </c>
      <c r="B2430" s="2">
        <v>45606.744998692127</v>
      </c>
      <c r="C2430" t="s">
        <v>3</v>
      </c>
      <c r="D2430" t="s">
        <v>895</v>
      </c>
      <c r="E2430" s="5">
        <v>35.76</v>
      </c>
      <c r="F2430" t="s">
        <v>18</v>
      </c>
    </row>
    <row r="2431" spans="1:6">
      <c r="A2431" s="1">
        <v>45606</v>
      </c>
      <c r="B2431" s="2">
        <v>45606.758950914351</v>
      </c>
      <c r="C2431" t="s">
        <v>3</v>
      </c>
      <c r="D2431" t="s">
        <v>896</v>
      </c>
      <c r="E2431" s="5">
        <v>35.76</v>
      </c>
      <c r="F2431" t="s">
        <v>9</v>
      </c>
    </row>
    <row r="2432" spans="1:6">
      <c r="A2432" s="1">
        <v>45606</v>
      </c>
      <c r="B2432" s="2">
        <v>45606.75976439815</v>
      </c>
      <c r="C2432" t="s">
        <v>3</v>
      </c>
      <c r="D2432" t="s">
        <v>897</v>
      </c>
      <c r="E2432" s="5">
        <v>35.76</v>
      </c>
      <c r="F2432" t="s">
        <v>9</v>
      </c>
    </row>
    <row r="2433" spans="1:6">
      <c r="A2433" s="1">
        <v>45606</v>
      </c>
      <c r="B2433" s="2">
        <v>45606.859816284719</v>
      </c>
      <c r="C2433" t="s">
        <v>3</v>
      </c>
      <c r="D2433" t="s">
        <v>898</v>
      </c>
      <c r="E2433" s="5">
        <v>35.76</v>
      </c>
      <c r="F2433" t="s">
        <v>43</v>
      </c>
    </row>
    <row r="2434" spans="1:6">
      <c r="A2434" s="1">
        <v>45606</v>
      </c>
      <c r="B2434" s="2">
        <v>45606.86049590278</v>
      </c>
      <c r="C2434" t="s">
        <v>3</v>
      </c>
      <c r="D2434" t="s">
        <v>898</v>
      </c>
      <c r="E2434" s="5">
        <v>35.76</v>
      </c>
      <c r="F2434" t="s">
        <v>43</v>
      </c>
    </row>
    <row r="2435" spans="1:6">
      <c r="A2435" s="1">
        <v>45607</v>
      </c>
      <c r="B2435" s="2">
        <v>45607.731620983795</v>
      </c>
      <c r="C2435" t="s">
        <v>3</v>
      </c>
      <c r="D2435" t="s">
        <v>899</v>
      </c>
      <c r="E2435" s="5">
        <v>35.76</v>
      </c>
      <c r="F2435" t="s">
        <v>43</v>
      </c>
    </row>
    <row r="2436" spans="1:6">
      <c r="A2436" s="1">
        <v>45607</v>
      </c>
      <c r="B2436" s="2">
        <v>45607.792209606479</v>
      </c>
      <c r="C2436" t="s">
        <v>3</v>
      </c>
      <c r="D2436" t="s">
        <v>900</v>
      </c>
      <c r="E2436" s="5">
        <v>35.76</v>
      </c>
      <c r="F2436" t="s">
        <v>7</v>
      </c>
    </row>
    <row r="2437" spans="1:6">
      <c r="A2437" s="1">
        <v>45642</v>
      </c>
      <c r="B2437" s="2">
        <v>45642.547830752315</v>
      </c>
      <c r="C2437" t="s">
        <v>3</v>
      </c>
      <c r="D2437" t="s">
        <v>900</v>
      </c>
      <c r="E2437" s="5">
        <v>35.76</v>
      </c>
      <c r="F2437" t="s">
        <v>7</v>
      </c>
    </row>
    <row r="2438" spans="1:6">
      <c r="A2438" s="1">
        <v>45656</v>
      </c>
      <c r="B2438" s="2">
        <v>45656.692193877316</v>
      </c>
      <c r="C2438" t="s">
        <v>3</v>
      </c>
      <c r="D2438" t="s">
        <v>900</v>
      </c>
      <c r="E2438" s="5">
        <v>35.76</v>
      </c>
      <c r="F2438" t="s">
        <v>43</v>
      </c>
    </row>
    <row r="2439" spans="1:6">
      <c r="A2439" s="1">
        <v>45672</v>
      </c>
      <c r="B2439" s="2">
        <v>45672.551557569444</v>
      </c>
      <c r="C2439" t="s">
        <v>3</v>
      </c>
      <c r="D2439" t="s">
        <v>900</v>
      </c>
      <c r="E2439" s="5">
        <v>35.76</v>
      </c>
      <c r="F2439" t="s">
        <v>43</v>
      </c>
    </row>
    <row r="2440" spans="1:6">
      <c r="A2440" s="1">
        <v>45673</v>
      </c>
      <c r="B2440" s="2">
        <v>45673.397889861109</v>
      </c>
      <c r="C2440" t="s">
        <v>3</v>
      </c>
      <c r="D2440" t="s">
        <v>900</v>
      </c>
      <c r="E2440" s="5">
        <v>35.76</v>
      </c>
      <c r="F2440" t="s">
        <v>7</v>
      </c>
    </row>
    <row r="2441" spans="1:6">
      <c r="A2441" s="1">
        <v>45607</v>
      </c>
      <c r="B2441" s="2">
        <v>45607.794624166665</v>
      </c>
      <c r="C2441" t="s">
        <v>3</v>
      </c>
      <c r="D2441" t="s">
        <v>901</v>
      </c>
      <c r="E2441" s="5">
        <v>35.76</v>
      </c>
      <c r="F2441" t="s">
        <v>9</v>
      </c>
    </row>
    <row r="2442" spans="1:6">
      <c r="A2442" s="1">
        <v>45607</v>
      </c>
      <c r="B2442" s="2">
        <v>45607.880922233795</v>
      </c>
      <c r="C2442" t="s">
        <v>3</v>
      </c>
      <c r="D2442" t="s">
        <v>902</v>
      </c>
      <c r="E2442" s="5">
        <v>35.76</v>
      </c>
      <c r="F2442" t="s">
        <v>7</v>
      </c>
    </row>
    <row r="2443" spans="1:6">
      <c r="A2443" s="1">
        <v>45607</v>
      </c>
      <c r="B2443" s="2">
        <v>45607.881793437497</v>
      </c>
      <c r="C2443" t="s">
        <v>3</v>
      </c>
      <c r="D2443" t="s">
        <v>902</v>
      </c>
      <c r="E2443" s="5">
        <v>35.76</v>
      </c>
      <c r="F2443" t="s">
        <v>7</v>
      </c>
    </row>
    <row r="2444" spans="1:6">
      <c r="A2444" s="1">
        <v>45608</v>
      </c>
      <c r="B2444" s="2">
        <v>45608.418849212962</v>
      </c>
      <c r="C2444" t="s">
        <v>3</v>
      </c>
      <c r="D2444" t="s">
        <v>903</v>
      </c>
      <c r="E2444" s="5">
        <v>35.76</v>
      </c>
      <c r="F2444" t="s">
        <v>7</v>
      </c>
    </row>
    <row r="2445" spans="1:6">
      <c r="A2445" s="1">
        <v>45608</v>
      </c>
      <c r="B2445" s="2">
        <v>45608.552608726852</v>
      </c>
      <c r="C2445" t="s">
        <v>3</v>
      </c>
      <c r="D2445" t="s">
        <v>904</v>
      </c>
      <c r="E2445" s="5">
        <v>35.76</v>
      </c>
      <c r="F2445" t="s">
        <v>7</v>
      </c>
    </row>
    <row r="2446" spans="1:6">
      <c r="A2446" s="1">
        <v>45608</v>
      </c>
      <c r="B2446" s="2">
        <v>45608.699471805558</v>
      </c>
      <c r="C2446" t="s">
        <v>3</v>
      </c>
      <c r="D2446" t="s">
        <v>905</v>
      </c>
      <c r="E2446" s="5">
        <v>35.76</v>
      </c>
      <c r="F2446" t="s">
        <v>9</v>
      </c>
    </row>
    <row r="2447" spans="1:6">
      <c r="A2447" s="1">
        <v>45608</v>
      </c>
      <c r="B2447" s="2">
        <v>45608.700056689813</v>
      </c>
      <c r="C2447" t="s">
        <v>3</v>
      </c>
      <c r="D2447" t="s">
        <v>905</v>
      </c>
      <c r="E2447" s="5">
        <v>35.76</v>
      </c>
      <c r="F2447" t="s">
        <v>9</v>
      </c>
    </row>
    <row r="2448" spans="1:6">
      <c r="A2448" s="1">
        <v>45608</v>
      </c>
      <c r="B2448" s="2">
        <v>45608.700739861109</v>
      </c>
      <c r="C2448" t="s">
        <v>3</v>
      </c>
      <c r="D2448" t="s">
        <v>905</v>
      </c>
      <c r="E2448" s="5">
        <v>35.76</v>
      </c>
      <c r="F2448" t="s">
        <v>18</v>
      </c>
    </row>
    <row r="2449" spans="1:6">
      <c r="A2449" s="1">
        <v>45608</v>
      </c>
      <c r="B2449" s="2">
        <v>45608.838863611112</v>
      </c>
      <c r="C2449" t="s">
        <v>3</v>
      </c>
      <c r="D2449" t="s">
        <v>906</v>
      </c>
      <c r="E2449" s="5">
        <v>35.76</v>
      </c>
      <c r="F2449" t="s">
        <v>7</v>
      </c>
    </row>
    <row r="2450" spans="1:6">
      <c r="A2450" s="1">
        <v>45609</v>
      </c>
      <c r="B2450" s="2">
        <v>45609.44286171296</v>
      </c>
      <c r="C2450" t="s">
        <v>3</v>
      </c>
      <c r="D2450" t="s">
        <v>906</v>
      </c>
      <c r="E2450" s="5">
        <v>35.76</v>
      </c>
      <c r="F2450" t="s">
        <v>7</v>
      </c>
    </row>
    <row r="2451" spans="1:6">
      <c r="A2451" s="1">
        <v>45609</v>
      </c>
      <c r="B2451" s="2">
        <v>45609.615953483793</v>
      </c>
      <c r="C2451" t="s">
        <v>3</v>
      </c>
      <c r="D2451" t="s">
        <v>906</v>
      </c>
      <c r="E2451" s="5">
        <v>35.76</v>
      </c>
      <c r="F2451" t="s">
        <v>7</v>
      </c>
    </row>
    <row r="2452" spans="1:6">
      <c r="A2452" s="1">
        <v>45610</v>
      </c>
      <c r="B2452" s="2">
        <v>45610.400321504632</v>
      </c>
      <c r="C2452" t="s">
        <v>3</v>
      </c>
      <c r="D2452" t="s">
        <v>906</v>
      </c>
      <c r="E2452" s="5">
        <v>35.76</v>
      </c>
      <c r="F2452" t="s">
        <v>7</v>
      </c>
    </row>
    <row r="2453" spans="1:6">
      <c r="A2453" s="1">
        <v>45608</v>
      </c>
      <c r="B2453" s="2">
        <v>45608.839835682869</v>
      </c>
      <c r="C2453" t="s">
        <v>3</v>
      </c>
      <c r="D2453" t="s">
        <v>907</v>
      </c>
      <c r="E2453" s="5">
        <v>35.76</v>
      </c>
      <c r="F2453" t="s">
        <v>18</v>
      </c>
    </row>
    <row r="2454" spans="1:6">
      <c r="A2454" s="1">
        <v>45609</v>
      </c>
      <c r="B2454" s="2">
        <v>45609.339708935186</v>
      </c>
      <c r="C2454" t="s">
        <v>3</v>
      </c>
      <c r="D2454" t="s">
        <v>908</v>
      </c>
      <c r="E2454" s="5">
        <v>30.86</v>
      </c>
      <c r="F2454" t="s">
        <v>14</v>
      </c>
    </row>
    <row r="2455" spans="1:6">
      <c r="A2455" s="1">
        <v>45609</v>
      </c>
      <c r="B2455" s="2">
        <v>45609.555492708336</v>
      </c>
      <c r="C2455" t="s">
        <v>3</v>
      </c>
      <c r="D2455" t="s">
        <v>909</v>
      </c>
      <c r="E2455" s="5">
        <v>30.86</v>
      </c>
      <c r="F2455" t="s">
        <v>14</v>
      </c>
    </row>
    <row r="2456" spans="1:6">
      <c r="A2456" s="1">
        <v>45609</v>
      </c>
      <c r="B2456" s="2">
        <v>45609.556232372684</v>
      </c>
      <c r="C2456" t="s">
        <v>3</v>
      </c>
      <c r="D2456" t="s">
        <v>909</v>
      </c>
      <c r="E2456" s="5">
        <v>30.86</v>
      </c>
      <c r="F2456" t="s">
        <v>14</v>
      </c>
    </row>
    <row r="2457" spans="1:6">
      <c r="A2457" s="1">
        <v>45609</v>
      </c>
      <c r="B2457" s="2">
        <v>45609.595488888888</v>
      </c>
      <c r="C2457" t="s">
        <v>3</v>
      </c>
      <c r="D2457" t="s">
        <v>910</v>
      </c>
      <c r="E2457" s="5">
        <v>30.86</v>
      </c>
      <c r="F2457" t="s">
        <v>14</v>
      </c>
    </row>
    <row r="2458" spans="1:6">
      <c r="A2458" s="1">
        <v>45642</v>
      </c>
      <c r="B2458" s="2">
        <v>45642.592571168978</v>
      </c>
      <c r="C2458" t="s">
        <v>3</v>
      </c>
      <c r="D2458" t="s">
        <v>910</v>
      </c>
      <c r="E2458" s="5">
        <v>35.76</v>
      </c>
      <c r="F2458" t="s">
        <v>9</v>
      </c>
    </row>
    <row r="2459" spans="1:6">
      <c r="A2459" s="1">
        <v>45610</v>
      </c>
      <c r="B2459" s="2">
        <v>45610.421327314813</v>
      </c>
      <c r="C2459" t="s">
        <v>3</v>
      </c>
      <c r="D2459" t="s">
        <v>911</v>
      </c>
      <c r="E2459" s="5">
        <v>25.96</v>
      </c>
      <c r="F2459" t="s">
        <v>11</v>
      </c>
    </row>
    <row r="2460" spans="1:6">
      <c r="A2460" s="1">
        <v>45610</v>
      </c>
      <c r="B2460" s="2">
        <v>45610.533917581015</v>
      </c>
      <c r="C2460" t="s">
        <v>3</v>
      </c>
      <c r="D2460" t="s">
        <v>912</v>
      </c>
      <c r="E2460" s="5">
        <v>21.06</v>
      </c>
      <c r="F2460" t="s">
        <v>35</v>
      </c>
    </row>
    <row r="2461" spans="1:6">
      <c r="A2461" s="1">
        <v>45610</v>
      </c>
      <c r="B2461" s="2">
        <v>45610.627608946757</v>
      </c>
      <c r="C2461" t="s">
        <v>3</v>
      </c>
      <c r="D2461" t="s">
        <v>913</v>
      </c>
      <c r="E2461" s="5">
        <v>35.76</v>
      </c>
      <c r="F2461" t="s">
        <v>43</v>
      </c>
    </row>
    <row r="2462" spans="1:6">
      <c r="A2462" s="1">
        <v>45610</v>
      </c>
      <c r="B2462" s="2">
        <v>45610.62843459491</v>
      </c>
      <c r="C2462" t="s">
        <v>3</v>
      </c>
      <c r="D2462" t="s">
        <v>914</v>
      </c>
      <c r="E2462" s="5">
        <v>35.76</v>
      </c>
      <c r="F2462" t="s">
        <v>7</v>
      </c>
    </row>
    <row r="2463" spans="1:6">
      <c r="A2463" s="1">
        <v>45610</v>
      </c>
      <c r="B2463" s="2">
        <v>45610.629048530092</v>
      </c>
      <c r="C2463" t="s">
        <v>3</v>
      </c>
      <c r="D2463" t="s">
        <v>914</v>
      </c>
      <c r="E2463" s="5">
        <v>35.76</v>
      </c>
      <c r="F2463" t="s">
        <v>43</v>
      </c>
    </row>
    <row r="2464" spans="1:6">
      <c r="A2464" s="1">
        <v>45610</v>
      </c>
      <c r="B2464" s="2">
        <v>45610.944934571758</v>
      </c>
      <c r="C2464" t="s">
        <v>3</v>
      </c>
      <c r="D2464" t="s">
        <v>915</v>
      </c>
      <c r="E2464" s="5">
        <v>35.76</v>
      </c>
      <c r="F2464" t="s">
        <v>7</v>
      </c>
    </row>
    <row r="2465" spans="1:6">
      <c r="A2465" s="1">
        <v>45611</v>
      </c>
      <c r="B2465" s="2">
        <v>45611.365175219908</v>
      </c>
      <c r="C2465" t="s">
        <v>3</v>
      </c>
      <c r="D2465" t="s">
        <v>916</v>
      </c>
      <c r="E2465" s="5">
        <v>30.86</v>
      </c>
      <c r="F2465" t="s">
        <v>14</v>
      </c>
    </row>
    <row r="2466" spans="1:6">
      <c r="A2466" s="1">
        <v>45611</v>
      </c>
      <c r="B2466" s="2">
        <v>45611.506255324071</v>
      </c>
      <c r="C2466" t="s">
        <v>3</v>
      </c>
      <c r="D2466" t="s">
        <v>917</v>
      </c>
      <c r="E2466" s="5">
        <v>35.76</v>
      </c>
      <c r="F2466" t="s">
        <v>18</v>
      </c>
    </row>
    <row r="2467" spans="1:6">
      <c r="A2467" s="1">
        <v>45617</v>
      </c>
      <c r="B2467" s="2">
        <v>45617.541497013888</v>
      </c>
      <c r="C2467" t="s">
        <v>3</v>
      </c>
      <c r="D2467" t="s">
        <v>917</v>
      </c>
      <c r="E2467" s="5">
        <v>35.76</v>
      </c>
      <c r="F2467" t="s">
        <v>18</v>
      </c>
    </row>
    <row r="2468" spans="1:6">
      <c r="A2468" s="1">
        <v>45622</v>
      </c>
      <c r="B2468" s="2">
        <v>45622.460373483795</v>
      </c>
      <c r="C2468" t="s">
        <v>3</v>
      </c>
      <c r="D2468" t="s">
        <v>917</v>
      </c>
      <c r="E2468" s="5">
        <v>35.76</v>
      </c>
      <c r="F2468" t="s">
        <v>18</v>
      </c>
    </row>
    <row r="2469" spans="1:6">
      <c r="A2469" s="1">
        <v>45611</v>
      </c>
      <c r="B2469" s="2">
        <v>45611.509936932867</v>
      </c>
      <c r="C2469" t="s">
        <v>3</v>
      </c>
      <c r="D2469" t="s">
        <v>918</v>
      </c>
      <c r="E2469" s="5">
        <v>35.76</v>
      </c>
      <c r="F2469" t="s">
        <v>18</v>
      </c>
    </row>
    <row r="2470" spans="1:6">
      <c r="A2470" s="1">
        <v>45611</v>
      </c>
      <c r="B2470" s="2">
        <v>45611.638780462963</v>
      </c>
      <c r="C2470" t="s">
        <v>3</v>
      </c>
      <c r="D2470" t="s">
        <v>919</v>
      </c>
      <c r="E2470" s="5">
        <v>25.96</v>
      </c>
      <c r="F2470" t="s">
        <v>11</v>
      </c>
    </row>
    <row r="2471" spans="1:6">
      <c r="A2471" s="1">
        <v>45611</v>
      </c>
      <c r="B2471" s="2">
        <v>45611.746544988426</v>
      </c>
      <c r="C2471" t="s">
        <v>3</v>
      </c>
      <c r="D2471" t="s">
        <v>920</v>
      </c>
      <c r="E2471" s="5">
        <v>35.76</v>
      </c>
      <c r="F2471" t="s">
        <v>7</v>
      </c>
    </row>
    <row r="2472" spans="1:6">
      <c r="A2472" s="1">
        <v>45614</v>
      </c>
      <c r="B2472" s="2">
        <v>45614.699223310185</v>
      </c>
      <c r="C2472" t="s">
        <v>3</v>
      </c>
      <c r="D2472" t="s">
        <v>920</v>
      </c>
      <c r="E2472" s="5">
        <v>35.76</v>
      </c>
      <c r="F2472" t="s">
        <v>7</v>
      </c>
    </row>
    <row r="2473" spans="1:6">
      <c r="A2473" s="1">
        <v>45616</v>
      </c>
      <c r="B2473" s="2">
        <v>45616.690858182868</v>
      </c>
      <c r="C2473" t="s">
        <v>3</v>
      </c>
      <c r="D2473" t="s">
        <v>920</v>
      </c>
      <c r="E2473" s="5">
        <v>35.76</v>
      </c>
      <c r="F2473" t="s">
        <v>7</v>
      </c>
    </row>
    <row r="2474" spans="1:6">
      <c r="A2474" s="1">
        <v>45617</v>
      </c>
      <c r="B2474" s="2">
        <v>45617.523334282407</v>
      </c>
      <c r="C2474" t="s">
        <v>3</v>
      </c>
      <c r="D2474" t="s">
        <v>920</v>
      </c>
      <c r="E2474" s="5">
        <v>35.76</v>
      </c>
      <c r="F2474" t="s">
        <v>7</v>
      </c>
    </row>
    <row r="2475" spans="1:6">
      <c r="A2475" s="1">
        <v>45617</v>
      </c>
      <c r="B2475" s="2">
        <v>45617.67654591435</v>
      </c>
      <c r="C2475" t="s">
        <v>3</v>
      </c>
      <c r="D2475" t="s">
        <v>920</v>
      </c>
      <c r="E2475" s="5">
        <v>35.76</v>
      </c>
      <c r="F2475" t="s">
        <v>7</v>
      </c>
    </row>
    <row r="2476" spans="1:6">
      <c r="A2476" s="1">
        <v>45618</v>
      </c>
      <c r="B2476" s="2">
        <v>45618.326809282407</v>
      </c>
      <c r="C2476" t="s">
        <v>3</v>
      </c>
      <c r="D2476" t="s">
        <v>920</v>
      </c>
      <c r="E2476" s="5">
        <v>35.76</v>
      </c>
      <c r="F2476" t="s">
        <v>7</v>
      </c>
    </row>
    <row r="2477" spans="1:6">
      <c r="A2477" s="1">
        <v>45631</v>
      </c>
      <c r="B2477" s="2">
        <v>45631.63980863426</v>
      </c>
      <c r="C2477" t="s">
        <v>3</v>
      </c>
      <c r="D2477" t="s">
        <v>920</v>
      </c>
      <c r="E2477" s="5">
        <v>35.76</v>
      </c>
      <c r="F2477" t="s">
        <v>7</v>
      </c>
    </row>
    <row r="2478" spans="1:6">
      <c r="A2478" s="1">
        <v>45632</v>
      </c>
      <c r="B2478" s="2">
        <v>45632.487714097224</v>
      </c>
      <c r="C2478" t="s">
        <v>3</v>
      </c>
      <c r="D2478" t="s">
        <v>920</v>
      </c>
      <c r="E2478" s="5">
        <v>35.76</v>
      </c>
      <c r="F2478" t="s">
        <v>7</v>
      </c>
    </row>
    <row r="2479" spans="1:6">
      <c r="A2479" s="1">
        <v>45649</v>
      </c>
      <c r="B2479" s="2">
        <v>45649.676972719906</v>
      </c>
      <c r="C2479" t="s">
        <v>3</v>
      </c>
      <c r="D2479" t="s">
        <v>920</v>
      </c>
      <c r="E2479" s="5">
        <v>35.76</v>
      </c>
      <c r="F2479" t="s">
        <v>7</v>
      </c>
    </row>
    <row r="2480" spans="1:6">
      <c r="A2480" s="1">
        <v>45670</v>
      </c>
      <c r="B2480" s="2">
        <v>45670.576928796298</v>
      </c>
      <c r="C2480" t="s">
        <v>3</v>
      </c>
      <c r="D2480" t="s">
        <v>920</v>
      </c>
      <c r="E2480" s="5">
        <v>35.76</v>
      </c>
      <c r="F2480" t="s">
        <v>7</v>
      </c>
    </row>
    <row r="2481" spans="1:6">
      <c r="A2481" s="1">
        <v>45674</v>
      </c>
      <c r="B2481" s="2">
        <v>45674.735539467591</v>
      </c>
      <c r="C2481" t="s">
        <v>3</v>
      </c>
      <c r="D2481" t="s">
        <v>920</v>
      </c>
      <c r="E2481" s="5">
        <v>35.76</v>
      </c>
      <c r="F2481" t="s">
        <v>9</v>
      </c>
    </row>
    <row r="2482" spans="1:6">
      <c r="A2482" s="1">
        <v>45611</v>
      </c>
      <c r="B2482" s="2">
        <v>45611.758853368054</v>
      </c>
      <c r="C2482" t="s">
        <v>3</v>
      </c>
      <c r="D2482" t="s">
        <v>921</v>
      </c>
      <c r="E2482" s="5">
        <v>35.76</v>
      </c>
      <c r="F2482" t="s">
        <v>9</v>
      </c>
    </row>
    <row r="2483" spans="1:6">
      <c r="A2483" s="1">
        <v>45643</v>
      </c>
      <c r="B2483" s="2">
        <v>45643.788163217592</v>
      </c>
      <c r="C2483" t="s">
        <v>3</v>
      </c>
      <c r="D2483" t="s">
        <v>921</v>
      </c>
      <c r="E2483" s="5">
        <v>35.76</v>
      </c>
      <c r="F2483" t="s">
        <v>18</v>
      </c>
    </row>
    <row r="2484" spans="1:6">
      <c r="A2484" s="1">
        <v>45612</v>
      </c>
      <c r="B2484" s="2">
        <v>45612.448511342591</v>
      </c>
      <c r="C2484" t="s">
        <v>3</v>
      </c>
      <c r="D2484" t="s">
        <v>922</v>
      </c>
      <c r="E2484" s="5">
        <v>25.96</v>
      </c>
      <c r="F2484" t="s">
        <v>28</v>
      </c>
    </row>
    <row r="2485" spans="1:6">
      <c r="A2485" s="1">
        <v>45612</v>
      </c>
      <c r="B2485" s="2">
        <v>45612.459730856484</v>
      </c>
      <c r="C2485" t="s">
        <v>3</v>
      </c>
      <c r="D2485" t="s">
        <v>923</v>
      </c>
      <c r="E2485" s="5">
        <v>35.76</v>
      </c>
      <c r="F2485" t="s">
        <v>9</v>
      </c>
    </row>
    <row r="2486" spans="1:6">
      <c r="A2486" s="1">
        <v>45612</v>
      </c>
      <c r="B2486" s="2">
        <v>45612.4604927662</v>
      </c>
      <c r="C2486" t="s">
        <v>3</v>
      </c>
      <c r="D2486" t="s">
        <v>924</v>
      </c>
      <c r="E2486" s="5">
        <v>35.76</v>
      </c>
      <c r="F2486" t="s">
        <v>7</v>
      </c>
    </row>
    <row r="2487" spans="1:6">
      <c r="A2487" s="1">
        <v>45612</v>
      </c>
      <c r="B2487" s="2">
        <v>45612.521006759256</v>
      </c>
      <c r="C2487" t="s">
        <v>3</v>
      </c>
      <c r="D2487" t="s">
        <v>925</v>
      </c>
      <c r="E2487" s="5">
        <v>35.76</v>
      </c>
      <c r="F2487" t="s">
        <v>43</v>
      </c>
    </row>
    <row r="2488" spans="1:6">
      <c r="A2488" s="1">
        <v>45612</v>
      </c>
      <c r="B2488" s="2">
        <v>45612.522112916668</v>
      </c>
      <c r="C2488" t="s">
        <v>3</v>
      </c>
      <c r="D2488" t="s">
        <v>926</v>
      </c>
      <c r="E2488" s="5">
        <v>30.86</v>
      </c>
      <c r="F2488" t="s">
        <v>14</v>
      </c>
    </row>
    <row r="2489" spans="1:6">
      <c r="A2489" s="1">
        <v>45612</v>
      </c>
      <c r="B2489" s="2">
        <v>45612.533748217589</v>
      </c>
      <c r="C2489" t="s">
        <v>3</v>
      </c>
      <c r="D2489" t="s">
        <v>927</v>
      </c>
      <c r="E2489" s="5">
        <v>35.76</v>
      </c>
      <c r="F2489" t="s">
        <v>7</v>
      </c>
    </row>
    <row r="2490" spans="1:6">
      <c r="A2490" s="1">
        <v>45612</v>
      </c>
      <c r="B2490" s="2">
        <v>45612.534434340276</v>
      </c>
      <c r="C2490" t="s">
        <v>3</v>
      </c>
      <c r="D2490" t="s">
        <v>927</v>
      </c>
      <c r="E2490" s="5">
        <v>35.76</v>
      </c>
      <c r="F2490" t="s">
        <v>7</v>
      </c>
    </row>
    <row r="2491" spans="1:6">
      <c r="A2491" s="1">
        <v>45612</v>
      </c>
      <c r="B2491" s="2">
        <v>45612.554172175929</v>
      </c>
      <c r="C2491" t="s">
        <v>3</v>
      </c>
      <c r="D2491" t="s">
        <v>928</v>
      </c>
      <c r="E2491" s="5">
        <v>35.76</v>
      </c>
      <c r="F2491" t="s">
        <v>7</v>
      </c>
    </row>
    <row r="2492" spans="1:6">
      <c r="A2492" s="1">
        <v>45612</v>
      </c>
      <c r="B2492" s="2">
        <v>45612.554965601848</v>
      </c>
      <c r="C2492" t="s">
        <v>3</v>
      </c>
      <c r="D2492" t="s">
        <v>928</v>
      </c>
      <c r="E2492" s="5">
        <v>35.76</v>
      </c>
      <c r="F2492" t="s">
        <v>7</v>
      </c>
    </row>
    <row r="2493" spans="1:6">
      <c r="A2493" s="1">
        <v>45612</v>
      </c>
      <c r="B2493" s="2">
        <v>45612.601242916666</v>
      </c>
      <c r="C2493" t="s">
        <v>3</v>
      </c>
      <c r="D2493" t="s">
        <v>929</v>
      </c>
      <c r="E2493" s="5">
        <v>30.86</v>
      </c>
      <c r="F2493" t="s">
        <v>14</v>
      </c>
    </row>
    <row r="2494" spans="1:6">
      <c r="A2494" s="1">
        <v>45613</v>
      </c>
      <c r="B2494" s="2">
        <v>45613.437233599536</v>
      </c>
      <c r="C2494" t="s">
        <v>3</v>
      </c>
      <c r="D2494" t="s">
        <v>930</v>
      </c>
      <c r="E2494" s="5">
        <v>30.86</v>
      </c>
      <c r="F2494" t="s">
        <v>14</v>
      </c>
    </row>
    <row r="2495" spans="1:6">
      <c r="A2495" s="1">
        <v>45613</v>
      </c>
      <c r="B2495" s="2">
        <v>45613.566200173613</v>
      </c>
      <c r="C2495" t="s">
        <v>3</v>
      </c>
      <c r="D2495" t="s">
        <v>931</v>
      </c>
      <c r="E2495" s="5">
        <v>30.86</v>
      </c>
      <c r="F2495" t="s">
        <v>14</v>
      </c>
    </row>
    <row r="2496" spans="1:6">
      <c r="A2496" s="1">
        <v>45613</v>
      </c>
      <c r="B2496" s="2">
        <v>45613.596317094911</v>
      </c>
      <c r="C2496" t="s">
        <v>3</v>
      </c>
      <c r="D2496" t="s">
        <v>932</v>
      </c>
      <c r="E2496" s="5">
        <v>25.96</v>
      </c>
      <c r="F2496" t="s">
        <v>11</v>
      </c>
    </row>
    <row r="2497" spans="1:6">
      <c r="A2497" s="1">
        <v>45613</v>
      </c>
      <c r="B2497" s="2">
        <v>45613.606715821756</v>
      </c>
      <c r="C2497" t="s">
        <v>3</v>
      </c>
      <c r="D2497" t="s">
        <v>933</v>
      </c>
      <c r="E2497" s="5">
        <v>30.86</v>
      </c>
      <c r="F2497" t="s">
        <v>14</v>
      </c>
    </row>
    <row r="2498" spans="1:6">
      <c r="A2498" s="1">
        <v>45613</v>
      </c>
      <c r="B2498" s="2">
        <v>45613.68571972222</v>
      </c>
      <c r="C2498" t="s">
        <v>3</v>
      </c>
      <c r="D2498" t="s">
        <v>934</v>
      </c>
      <c r="E2498" s="5">
        <v>35.76</v>
      </c>
      <c r="F2498" t="s">
        <v>7</v>
      </c>
    </row>
    <row r="2499" spans="1:6">
      <c r="A2499" s="1">
        <v>45613</v>
      </c>
      <c r="B2499" s="2">
        <v>45613.686525219906</v>
      </c>
      <c r="C2499" t="s">
        <v>3</v>
      </c>
      <c r="D2499" t="s">
        <v>934</v>
      </c>
      <c r="E2499" s="5">
        <v>35.76</v>
      </c>
      <c r="F2499" t="s">
        <v>7</v>
      </c>
    </row>
    <row r="2500" spans="1:6">
      <c r="A2500" s="1">
        <v>45656</v>
      </c>
      <c r="B2500" s="2">
        <v>45656.633854664353</v>
      </c>
      <c r="C2500" t="s">
        <v>3</v>
      </c>
      <c r="D2500" t="s">
        <v>934</v>
      </c>
      <c r="E2500" s="5">
        <v>35.76</v>
      </c>
      <c r="F2500" t="s">
        <v>7</v>
      </c>
    </row>
    <row r="2501" spans="1:6">
      <c r="A2501" s="1">
        <v>45656</v>
      </c>
      <c r="B2501" s="2">
        <v>45656.634475590276</v>
      </c>
      <c r="C2501" t="s">
        <v>3</v>
      </c>
      <c r="D2501" t="s">
        <v>934</v>
      </c>
      <c r="E2501" s="5">
        <v>30.86</v>
      </c>
      <c r="F2501" t="s">
        <v>14</v>
      </c>
    </row>
    <row r="2502" spans="1:6">
      <c r="A2502" s="1">
        <v>45613</v>
      </c>
      <c r="B2502" s="2">
        <v>45613.757021307872</v>
      </c>
      <c r="C2502" t="s">
        <v>3</v>
      </c>
      <c r="D2502" t="s">
        <v>935</v>
      </c>
      <c r="E2502" s="5">
        <v>35.76</v>
      </c>
      <c r="F2502" t="s">
        <v>9</v>
      </c>
    </row>
    <row r="2503" spans="1:6">
      <c r="A2503" s="1">
        <v>45613</v>
      </c>
      <c r="B2503" s="2">
        <v>45613.803869085648</v>
      </c>
      <c r="C2503" t="s">
        <v>3</v>
      </c>
      <c r="D2503" t="s">
        <v>936</v>
      </c>
      <c r="E2503" s="5">
        <v>35.76</v>
      </c>
      <c r="F2503" t="s">
        <v>9</v>
      </c>
    </row>
    <row r="2504" spans="1:6">
      <c r="A2504" s="1">
        <v>45613</v>
      </c>
      <c r="B2504" s="2">
        <v>45613.804485185188</v>
      </c>
      <c r="C2504" t="s">
        <v>3</v>
      </c>
      <c r="D2504" t="s">
        <v>936</v>
      </c>
      <c r="E2504" s="5">
        <v>35.76</v>
      </c>
      <c r="F2504" t="s">
        <v>9</v>
      </c>
    </row>
    <row r="2505" spans="1:6">
      <c r="A2505" s="1">
        <v>45638</v>
      </c>
      <c r="B2505" s="2">
        <v>45638.826399699072</v>
      </c>
      <c r="C2505" t="s">
        <v>3</v>
      </c>
      <c r="D2505" t="s">
        <v>936</v>
      </c>
      <c r="E2505" s="5">
        <v>35.76</v>
      </c>
      <c r="F2505" t="s">
        <v>18</v>
      </c>
    </row>
    <row r="2506" spans="1:6">
      <c r="A2506" s="1">
        <v>45638</v>
      </c>
      <c r="B2506" s="2">
        <v>45638.827057106479</v>
      </c>
      <c r="C2506" t="s">
        <v>3</v>
      </c>
      <c r="D2506" t="s">
        <v>936</v>
      </c>
      <c r="E2506" s="5">
        <v>35.76</v>
      </c>
      <c r="F2506" t="s">
        <v>18</v>
      </c>
    </row>
    <row r="2507" spans="1:6">
      <c r="A2507" s="1">
        <v>45614</v>
      </c>
      <c r="B2507" s="2">
        <v>45614.32866146991</v>
      </c>
      <c r="C2507" t="s">
        <v>3</v>
      </c>
      <c r="D2507" t="s">
        <v>937</v>
      </c>
      <c r="E2507" s="5">
        <v>30.86</v>
      </c>
      <c r="F2507" t="s">
        <v>14</v>
      </c>
    </row>
    <row r="2508" spans="1:6">
      <c r="A2508" s="1">
        <v>45615</v>
      </c>
      <c r="B2508" s="2">
        <v>45615.327241643521</v>
      </c>
      <c r="C2508" t="s">
        <v>3</v>
      </c>
      <c r="D2508" t="s">
        <v>937</v>
      </c>
      <c r="E2508" s="5">
        <v>30.86</v>
      </c>
      <c r="F2508" t="s">
        <v>14</v>
      </c>
    </row>
    <row r="2509" spans="1:6">
      <c r="A2509" s="1">
        <v>45615</v>
      </c>
      <c r="B2509" s="2">
        <v>45615.327933032408</v>
      </c>
      <c r="C2509" t="s">
        <v>3</v>
      </c>
      <c r="D2509" t="s">
        <v>937</v>
      </c>
      <c r="E2509" s="5">
        <v>35.76</v>
      </c>
      <c r="F2509" t="s">
        <v>7</v>
      </c>
    </row>
    <row r="2510" spans="1:6">
      <c r="A2510" s="1">
        <v>45614</v>
      </c>
      <c r="B2510" s="2">
        <v>45614.697790208331</v>
      </c>
      <c r="C2510" t="s">
        <v>3</v>
      </c>
      <c r="D2510" t="s">
        <v>938</v>
      </c>
      <c r="E2510" s="5">
        <v>35.76</v>
      </c>
      <c r="F2510" t="s">
        <v>7</v>
      </c>
    </row>
    <row r="2511" spans="1:6">
      <c r="A2511" s="1">
        <v>45614</v>
      </c>
      <c r="B2511" s="2">
        <v>45614.785348807869</v>
      </c>
      <c r="C2511" t="s">
        <v>3</v>
      </c>
      <c r="D2511" t="s">
        <v>939</v>
      </c>
      <c r="E2511" s="5">
        <v>35.76</v>
      </c>
      <c r="F2511" t="s">
        <v>7</v>
      </c>
    </row>
    <row r="2512" spans="1:6">
      <c r="A2512" s="1">
        <v>45615</v>
      </c>
      <c r="B2512" s="2">
        <v>45615.328916585648</v>
      </c>
      <c r="C2512" t="s">
        <v>3</v>
      </c>
      <c r="D2512" t="s">
        <v>940</v>
      </c>
      <c r="E2512" s="5">
        <v>21.06</v>
      </c>
      <c r="F2512" t="s">
        <v>35</v>
      </c>
    </row>
    <row r="2513" spans="1:6">
      <c r="A2513" s="1">
        <v>45615</v>
      </c>
      <c r="B2513" s="2">
        <v>45615.329709409722</v>
      </c>
      <c r="C2513" t="s">
        <v>3</v>
      </c>
      <c r="D2513" t="s">
        <v>941</v>
      </c>
      <c r="E2513" s="5">
        <v>35.76</v>
      </c>
      <c r="F2513" t="s">
        <v>7</v>
      </c>
    </row>
    <row r="2514" spans="1:6">
      <c r="A2514" s="1">
        <v>45615</v>
      </c>
      <c r="B2514" s="2">
        <v>45615.463298807874</v>
      </c>
      <c r="C2514" t="s">
        <v>3</v>
      </c>
      <c r="D2514" t="s">
        <v>942</v>
      </c>
      <c r="E2514" s="5">
        <v>35.76</v>
      </c>
      <c r="F2514" t="s">
        <v>7</v>
      </c>
    </row>
    <row r="2515" spans="1:6">
      <c r="A2515" s="1">
        <v>45615</v>
      </c>
      <c r="B2515" s="2">
        <v>45615.699782800926</v>
      </c>
      <c r="C2515" t="s">
        <v>3</v>
      </c>
      <c r="D2515" t="s">
        <v>943</v>
      </c>
      <c r="E2515" s="5">
        <v>35.76</v>
      </c>
      <c r="F2515" t="s">
        <v>43</v>
      </c>
    </row>
    <row r="2516" spans="1:6">
      <c r="A2516" s="1">
        <v>45616</v>
      </c>
      <c r="B2516" s="2">
        <v>45616.562253900462</v>
      </c>
      <c r="C2516" t="s">
        <v>3</v>
      </c>
      <c r="D2516" t="s">
        <v>944</v>
      </c>
      <c r="E2516" s="5">
        <v>30.86</v>
      </c>
      <c r="F2516" t="s">
        <v>14</v>
      </c>
    </row>
    <row r="2517" spans="1:6">
      <c r="A2517" s="1">
        <v>45616</v>
      </c>
      <c r="B2517" s="2">
        <v>45616.742959733798</v>
      </c>
      <c r="C2517" t="s">
        <v>3</v>
      </c>
      <c r="D2517" t="s">
        <v>945</v>
      </c>
      <c r="E2517" s="5">
        <v>35.76</v>
      </c>
      <c r="F2517" t="s">
        <v>43</v>
      </c>
    </row>
    <row r="2518" spans="1:6">
      <c r="A2518" s="1">
        <v>45616</v>
      </c>
      <c r="B2518" s="2">
        <v>45616.743631481484</v>
      </c>
      <c r="C2518" t="s">
        <v>3</v>
      </c>
      <c r="D2518" t="s">
        <v>945</v>
      </c>
      <c r="E2518" s="5">
        <v>35.76</v>
      </c>
      <c r="F2518" t="s">
        <v>9</v>
      </c>
    </row>
    <row r="2519" spans="1:6">
      <c r="A2519" s="1">
        <v>45617</v>
      </c>
      <c r="B2519" s="2">
        <v>45617.542215162037</v>
      </c>
      <c r="C2519" t="s">
        <v>3</v>
      </c>
      <c r="D2519" t="s">
        <v>946</v>
      </c>
      <c r="E2519" s="5">
        <v>35.76</v>
      </c>
      <c r="F2519" t="s">
        <v>18</v>
      </c>
    </row>
    <row r="2520" spans="1:6">
      <c r="A2520" s="1">
        <v>45617</v>
      </c>
      <c r="B2520" s="2">
        <v>45617.732955451385</v>
      </c>
      <c r="C2520" t="s">
        <v>3</v>
      </c>
      <c r="D2520" t="s">
        <v>947</v>
      </c>
      <c r="E2520" s="5">
        <v>30.86</v>
      </c>
      <c r="F2520" t="s">
        <v>14</v>
      </c>
    </row>
    <row r="2521" spans="1:6">
      <c r="A2521" s="1">
        <v>45617</v>
      </c>
      <c r="B2521" s="2">
        <v>45617.735682546299</v>
      </c>
      <c r="C2521" t="s">
        <v>3</v>
      </c>
      <c r="D2521" t="s">
        <v>948</v>
      </c>
      <c r="E2521" s="5">
        <v>25.96</v>
      </c>
      <c r="F2521" t="s">
        <v>28</v>
      </c>
    </row>
    <row r="2522" spans="1:6">
      <c r="A2522" s="1">
        <v>45617</v>
      </c>
      <c r="B2522" s="2">
        <v>45617.792395219905</v>
      </c>
      <c r="C2522" t="s">
        <v>3</v>
      </c>
      <c r="D2522" t="s">
        <v>949</v>
      </c>
      <c r="E2522" s="5">
        <v>35.76</v>
      </c>
      <c r="F2522" t="s">
        <v>9</v>
      </c>
    </row>
    <row r="2523" spans="1:6">
      <c r="A2523" s="1">
        <v>45618</v>
      </c>
      <c r="B2523" s="2">
        <v>45618.460097233794</v>
      </c>
      <c r="C2523" t="s">
        <v>3</v>
      </c>
      <c r="D2523" t="s">
        <v>950</v>
      </c>
      <c r="E2523" s="5">
        <v>35.76</v>
      </c>
      <c r="F2523" t="s">
        <v>7</v>
      </c>
    </row>
    <row r="2524" spans="1:6">
      <c r="A2524" s="1">
        <v>45618</v>
      </c>
      <c r="B2524" s="2">
        <v>45618.475305914355</v>
      </c>
      <c r="C2524" t="s">
        <v>3</v>
      </c>
      <c r="D2524" t="s">
        <v>951</v>
      </c>
      <c r="E2524" s="5">
        <v>35.76</v>
      </c>
      <c r="F2524" t="s">
        <v>18</v>
      </c>
    </row>
    <row r="2525" spans="1:6">
      <c r="A2525" s="1">
        <v>45618</v>
      </c>
      <c r="B2525" s="2">
        <v>45618.689644953702</v>
      </c>
      <c r="C2525" t="s">
        <v>3</v>
      </c>
      <c r="D2525" t="s">
        <v>952</v>
      </c>
      <c r="E2525" s="5">
        <v>35.76</v>
      </c>
      <c r="F2525" t="s">
        <v>9</v>
      </c>
    </row>
    <row r="2526" spans="1:6">
      <c r="A2526" s="1">
        <v>45618</v>
      </c>
      <c r="B2526" s="2">
        <v>45618.69016085648</v>
      </c>
      <c r="C2526" t="s">
        <v>3</v>
      </c>
      <c r="D2526" t="s">
        <v>952</v>
      </c>
      <c r="E2526" s="5">
        <v>35.76</v>
      </c>
      <c r="F2526" t="s">
        <v>7</v>
      </c>
    </row>
    <row r="2527" spans="1:6">
      <c r="A2527" s="1">
        <v>45632</v>
      </c>
      <c r="B2527" s="2">
        <v>45632.68886603009</v>
      </c>
      <c r="C2527" t="s">
        <v>3</v>
      </c>
      <c r="D2527" t="s">
        <v>952</v>
      </c>
      <c r="E2527" s="5">
        <v>35.76</v>
      </c>
      <c r="F2527" t="s">
        <v>9</v>
      </c>
    </row>
    <row r="2528" spans="1:6">
      <c r="A2528" s="1">
        <v>45636</v>
      </c>
      <c r="B2528" s="2">
        <v>45636.765252789352</v>
      </c>
      <c r="C2528" t="s">
        <v>3</v>
      </c>
      <c r="D2528" t="s">
        <v>952</v>
      </c>
      <c r="E2528" s="5">
        <v>35.76</v>
      </c>
      <c r="F2528" t="s">
        <v>9</v>
      </c>
    </row>
    <row r="2529" spans="1:6">
      <c r="A2529" s="1">
        <v>45619</v>
      </c>
      <c r="B2529" s="2">
        <v>45619.464907685186</v>
      </c>
      <c r="C2529" t="s">
        <v>3</v>
      </c>
      <c r="D2529" t="s">
        <v>953</v>
      </c>
      <c r="E2529" s="5">
        <v>25.96</v>
      </c>
      <c r="F2529" t="s">
        <v>11</v>
      </c>
    </row>
    <row r="2530" spans="1:6">
      <c r="A2530" s="1">
        <v>45619</v>
      </c>
      <c r="B2530" s="2">
        <v>45619.465576921299</v>
      </c>
      <c r="C2530" t="s">
        <v>3</v>
      </c>
      <c r="D2530" t="s">
        <v>953</v>
      </c>
      <c r="E2530" s="5">
        <v>25.96</v>
      </c>
      <c r="F2530" t="s">
        <v>11</v>
      </c>
    </row>
    <row r="2531" spans="1:6">
      <c r="A2531" s="1">
        <v>45619</v>
      </c>
      <c r="B2531" s="2">
        <v>45619.942409513889</v>
      </c>
      <c r="C2531" t="s">
        <v>3</v>
      </c>
      <c r="D2531" t="s">
        <v>954</v>
      </c>
      <c r="E2531" s="5">
        <v>35.76</v>
      </c>
      <c r="F2531" t="s">
        <v>7</v>
      </c>
    </row>
    <row r="2532" spans="1:6">
      <c r="A2532" s="1">
        <v>45621</v>
      </c>
      <c r="B2532" s="2">
        <v>45621.329438703702</v>
      </c>
      <c r="C2532" t="s">
        <v>3</v>
      </c>
      <c r="D2532" t="s">
        <v>955</v>
      </c>
      <c r="E2532" s="5">
        <v>35.76</v>
      </c>
      <c r="F2532" t="s">
        <v>7</v>
      </c>
    </row>
    <row r="2533" spans="1:6">
      <c r="A2533" s="1">
        <v>45621</v>
      </c>
      <c r="B2533" s="2">
        <v>45621.53539582176</v>
      </c>
      <c r="C2533" t="s">
        <v>3</v>
      </c>
      <c r="D2533" t="s">
        <v>956</v>
      </c>
      <c r="E2533" s="5">
        <v>35.76</v>
      </c>
      <c r="F2533" t="s">
        <v>7</v>
      </c>
    </row>
    <row r="2534" spans="1:6">
      <c r="A2534" s="1">
        <v>45621</v>
      </c>
      <c r="B2534" s="2">
        <v>45621.536586261573</v>
      </c>
      <c r="C2534" t="s">
        <v>3</v>
      </c>
      <c r="D2534" t="s">
        <v>957</v>
      </c>
      <c r="E2534" s="5">
        <v>35.76</v>
      </c>
      <c r="F2534" t="s">
        <v>7</v>
      </c>
    </row>
    <row r="2535" spans="1:6">
      <c r="A2535" s="1">
        <v>45621</v>
      </c>
      <c r="B2535" s="2">
        <v>45621.793045104168</v>
      </c>
      <c r="C2535" t="s">
        <v>3</v>
      </c>
      <c r="D2535" t="s">
        <v>958</v>
      </c>
      <c r="E2535" s="5">
        <v>30.86</v>
      </c>
      <c r="F2535" t="s">
        <v>14</v>
      </c>
    </row>
    <row r="2536" spans="1:6">
      <c r="A2536" s="1">
        <v>45621</v>
      </c>
      <c r="B2536" s="2">
        <v>45621.818038067133</v>
      </c>
      <c r="C2536" t="s">
        <v>3</v>
      </c>
      <c r="D2536" t="s">
        <v>959</v>
      </c>
      <c r="E2536" s="5">
        <v>35.76</v>
      </c>
      <c r="F2536" t="s">
        <v>9</v>
      </c>
    </row>
    <row r="2537" spans="1:6">
      <c r="A2537" s="1">
        <v>45622</v>
      </c>
      <c r="B2537" s="2">
        <v>45622.460963831021</v>
      </c>
      <c r="C2537" t="s">
        <v>3</v>
      </c>
      <c r="D2537" t="s">
        <v>960</v>
      </c>
      <c r="E2537" s="5">
        <v>25.96</v>
      </c>
      <c r="F2537" t="s">
        <v>11</v>
      </c>
    </row>
    <row r="2538" spans="1:6">
      <c r="A2538" s="1">
        <v>45622</v>
      </c>
      <c r="B2538" s="2">
        <v>45622.462605185188</v>
      </c>
      <c r="C2538" t="s">
        <v>3</v>
      </c>
      <c r="D2538" t="s">
        <v>961</v>
      </c>
      <c r="E2538" s="5">
        <v>35.76</v>
      </c>
      <c r="F2538" t="s">
        <v>18</v>
      </c>
    </row>
    <row r="2539" spans="1:6">
      <c r="A2539" s="1">
        <v>45622</v>
      </c>
      <c r="B2539" s="2">
        <v>45622.463309791667</v>
      </c>
      <c r="C2539" t="s">
        <v>3</v>
      </c>
      <c r="D2539" t="s">
        <v>961</v>
      </c>
      <c r="E2539" s="5">
        <v>35.76</v>
      </c>
      <c r="F2539" t="s">
        <v>18</v>
      </c>
    </row>
    <row r="2540" spans="1:6">
      <c r="A2540" s="1">
        <v>45622</v>
      </c>
      <c r="B2540" s="2">
        <v>45622.66937851852</v>
      </c>
      <c r="C2540" t="s">
        <v>3</v>
      </c>
      <c r="D2540" t="s">
        <v>962</v>
      </c>
      <c r="E2540" s="5">
        <v>35.76</v>
      </c>
      <c r="F2540" t="s">
        <v>7</v>
      </c>
    </row>
    <row r="2541" spans="1:6">
      <c r="A2541" s="1">
        <v>45622</v>
      </c>
      <c r="B2541" s="2">
        <v>45622.670145312499</v>
      </c>
      <c r="C2541" t="s">
        <v>3</v>
      </c>
      <c r="D2541" t="s">
        <v>963</v>
      </c>
      <c r="E2541" s="5">
        <v>35.76</v>
      </c>
      <c r="F2541" t="s">
        <v>7</v>
      </c>
    </row>
    <row r="2542" spans="1:6">
      <c r="A2542" s="1">
        <v>45622</v>
      </c>
      <c r="B2542" s="2">
        <v>45622.716408865737</v>
      </c>
      <c r="C2542" t="s">
        <v>3</v>
      </c>
      <c r="D2542" t="s">
        <v>964</v>
      </c>
      <c r="E2542" s="5">
        <v>25.96</v>
      </c>
      <c r="F2542" t="s">
        <v>11</v>
      </c>
    </row>
    <row r="2543" spans="1:6">
      <c r="A2543" s="1">
        <v>45622</v>
      </c>
      <c r="B2543" s="2">
        <v>45622.717065243058</v>
      </c>
      <c r="C2543" t="s">
        <v>3</v>
      </c>
      <c r="D2543" t="s">
        <v>964</v>
      </c>
      <c r="E2543" s="5">
        <v>30.86</v>
      </c>
      <c r="F2543" t="s">
        <v>14</v>
      </c>
    </row>
    <row r="2544" spans="1:6">
      <c r="A2544" s="1">
        <v>45622</v>
      </c>
      <c r="B2544" s="2">
        <v>45622.82459103009</v>
      </c>
      <c r="C2544" t="s">
        <v>3</v>
      </c>
      <c r="D2544" t="s">
        <v>965</v>
      </c>
      <c r="E2544" s="5">
        <v>35.76</v>
      </c>
      <c r="F2544" t="s">
        <v>18</v>
      </c>
    </row>
    <row r="2545" spans="1:6">
      <c r="A2545" s="1">
        <v>45624</v>
      </c>
      <c r="B2545" s="2">
        <v>45624.36200144676</v>
      </c>
      <c r="C2545" t="s">
        <v>3</v>
      </c>
      <c r="D2545" t="s">
        <v>966</v>
      </c>
      <c r="E2545" s="5">
        <v>35.76</v>
      </c>
      <c r="F2545" t="s">
        <v>43</v>
      </c>
    </row>
    <row r="2546" spans="1:6">
      <c r="A2546" s="1">
        <v>45625</v>
      </c>
      <c r="B2546" s="2">
        <v>45625.63757939815</v>
      </c>
      <c r="C2546" t="s">
        <v>3</v>
      </c>
      <c r="D2546" t="s">
        <v>967</v>
      </c>
      <c r="E2546" s="5">
        <v>30.86</v>
      </c>
      <c r="F2546" t="s">
        <v>14</v>
      </c>
    </row>
    <row r="2547" spans="1:6">
      <c r="A2547" s="1">
        <v>45625</v>
      </c>
      <c r="B2547" s="2">
        <v>45625.638429953702</v>
      </c>
      <c r="C2547" t="s">
        <v>3</v>
      </c>
      <c r="D2547" t="s">
        <v>968</v>
      </c>
      <c r="E2547" s="5">
        <v>35.76</v>
      </c>
      <c r="F2547" t="s">
        <v>7</v>
      </c>
    </row>
    <row r="2548" spans="1:6">
      <c r="A2548" s="1">
        <v>45625</v>
      </c>
      <c r="B2548" s="2">
        <v>45625.873549386575</v>
      </c>
      <c r="C2548" t="s">
        <v>3</v>
      </c>
      <c r="D2548" t="s">
        <v>969</v>
      </c>
      <c r="E2548" s="5">
        <v>35.76</v>
      </c>
      <c r="F2548" t="s">
        <v>18</v>
      </c>
    </row>
    <row r="2549" spans="1:6">
      <c r="A2549" s="1">
        <v>45626</v>
      </c>
      <c r="B2549" s="2">
        <v>45626.586757106481</v>
      </c>
      <c r="C2549" t="s">
        <v>3</v>
      </c>
      <c r="D2549" t="s">
        <v>970</v>
      </c>
      <c r="E2549" s="5">
        <v>25.96</v>
      </c>
      <c r="F2549" t="s">
        <v>11</v>
      </c>
    </row>
    <row r="2550" spans="1:6">
      <c r="A2550" s="1">
        <v>45626</v>
      </c>
      <c r="B2550" s="2">
        <v>45626.587477754627</v>
      </c>
      <c r="C2550" t="s">
        <v>3</v>
      </c>
      <c r="D2550" t="s">
        <v>970</v>
      </c>
      <c r="E2550" s="5">
        <v>35.76</v>
      </c>
      <c r="F2550" t="s">
        <v>9</v>
      </c>
    </row>
    <row r="2551" spans="1:6">
      <c r="A2551" s="1">
        <v>45626</v>
      </c>
      <c r="B2551" s="2">
        <v>45626.919311157406</v>
      </c>
      <c r="C2551" t="s">
        <v>3</v>
      </c>
      <c r="D2551" t="s">
        <v>971</v>
      </c>
      <c r="E2551" s="5">
        <v>30.86</v>
      </c>
      <c r="F2551" t="s">
        <v>14</v>
      </c>
    </row>
    <row r="2552" spans="1:6">
      <c r="A2552" s="1">
        <v>45627</v>
      </c>
      <c r="B2552" s="2">
        <v>45627.60720914352</v>
      </c>
      <c r="C2552" t="s">
        <v>3</v>
      </c>
      <c r="D2552" t="s">
        <v>972</v>
      </c>
      <c r="E2552" s="5">
        <v>30.86</v>
      </c>
      <c r="F2552" t="s">
        <v>14</v>
      </c>
    </row>
    <row r="2553" spans="1:6">
      <c r="A2553" s="1">
        <v>45627</v>
      </c>
      <c r="B2553" s="2">
        <v>45627.631396446763</v>
      </c>
      <c r="C2553" t="s">
        <v>3</v>
      </c>
      <c r="D2553" t="s">
        <v>973</v>
      </c>
      <c r="E2553" s="5">
        <v>35.76</v>
      </c>
      <c r="F2553" t="s">
        <v>18</v>
      </c>
    </row>
    <row r="2554" spans="1:6">
      <c r="A2554" s="1">
        <v>45627</v>
      </c>
      <c r="B2554" s="2">
        <v>45627.631909270836</v>
      </c>
      <c r="C2554" t="s">
        <v>3</v>
      </c>
      <c r="D2554" t="s">
        <v>973</v>
      </c>
      <c r="E2554" s="5">
        <v>35.76</v>
      </c>
      <c r="F2554" t="s">
        <v>18</v>
      </c>
    </row>
    <row r="2555" spans="1:6">
      <c r="A2555" s="1">
        <v>45627</v>
      </c>
      <c r="B2555" s="2">
        <v>45627.65488765046</v>
      </c>
      <c r="C2555" t="s">
        <v>3</v>
      </c>
      <c r="D2555" t="s">
        <v>974</v>
      </c>
      <c r="E2555" s="5">
        <v>35.76</v>
      </c>
      <c r="F2555" t="s">
        <v>43</v>
      </c>
    </row>
    <row r="2556" spans="1:6">
      <c r="A2556" s="1">
        <v>45627</v>
      </c>
      <c r="B2556" s="2">
        <v>45627.664250173613</v>
      </c>
      <c r="C2556" t="s">
        <v>3</v>
      </c>
      <c r="D2556" t="s">
        <v>975</v>
      </c>
      <c r="E2556" s="5">
        <v>35.76</v>
      </c>
      <c r="F2556" t="s">
        <v>7</v>
      </c>
    </row>
    <row r="2557" spans="1:6">
      <c r="A2557" s="1">
        <v>45627</v>
      </c>
      <c r="B2557" s="2">
        <v>45627.665154699076</v>
      </c>
      <c r="C2557" t="s">
        <v>3</v>
      </c>
      <c r="D2557" t="s">
        <v>976</v>
      </c>
      <c r="E2557" s="5">
        <v>35.76</v>
      </c>
      <c r="F2557" t="s">
        <v>7</v>
      </c>
    </row>
    <row r="2558" spans="1:6">
      <c r="A2558" s="1">
        <v>45627</v>
      </c>
      <c r="B2558" s="2">
        <v>45627.68957732639</v>
      </c>
      <c r="C2558" t="s">
        <v>3</v>
      </c>
      <c r="D2558" t="s">
        <v>977</v>
      </c>
      <c r="E2558" s="5">
        <v>35.76</v>
      </c>
      <c r="F2558" t="s">
        <v>7</v>
      </c>
    </row>
    <row r="2559" spans="1:6">
      <c r="A2559" s="1">
        <v>45627</v>
      </c>
      <c r="B2559" s="2">
        <v>45627.690625543983</v>
      </c>
      <c r="C2559" t="s">
        <v>3</v>
      </c>
      <c r="D2559" t="s">
        <v>978</v>
      </c>
      <c r="E2559" s="5">
        <v>35.76</v>
      </c>
      <c r="F2559" t="s">
        <v>7</v>
      </c>
    </row>
    <row r="2560" spans="1:6">
      <c r="A2560" s="1">
        <v>45627</v>
      </c>
      <c r="B2560" s="2">
        <v>45627.71555064815</v>
      </c>
      <c r="C2560" t="s">
        <v>3</v>
      </c>
      <c r="D2560" t="s">
        <v>979</v>
      </c>
      <c r="E2560" s="5">
        <v>30.86</v>
      </c>
      <c r="F2560" t="s">
        <v>14</v>
      </c>
    </row>
    <row r="2561" spans="1:6">
      <c r="A2561" s="1">
        <v>45627</v>
      </c>
      <c r="B2561" s="2">
        <v>45627.716342812499</v>
      </c>
      <c r="C2561" t="s">
        <v>3</v>
      </c>
      <c r="D2561" t="s">
        <v>979</v>
      </c>
      <c r="E2561" s="5">
        <v>30.86</v>
      </c>
      <c r="F2561" t="s">
        <v>14</v>
      </c>
    </row>
    <row r="2562" spans="1:6">
      <c r="A2562" s="1">
        <v>45627</v>
      </c>
      <c r="B2562" s="2">
        <v>45627.776720891205</v>
      </c>
      <c r="C2562" t="s">
        <v>3</v>
      </c>
      <c r="D2562" t="s">
        <v>980</v>
      </c>
      <c r="E2562" s="5">
        <v>30.86</v>
      </c>
      <c r="F2562" t="s">
        <v>14</v>
      </c>
    </row>
    <row r="2563" spans="1:6">
      <c r="A2563" s="1">
        <v>45628</v>
      </c>
      <c r="B2563" s="2">
        <v>45628.327770520831</v>
      </c>
      <c r="C2563" t="s">
        <v>3</v>
      </c>
      <c r="D2563" t="s">
        <v>981</v>
      </c>
      <c r="E2563" s="5">
        <v>25.96</v>
      </c>
      <c r="F2563" t="s">
        <v>11</v>
      </c>
    </row>
    <row r="2564" spans="1:6">
      <c r="A2564" s="1">
        <v>45628</v>
      </c>
      <c r="B2564" s="2">
        <v>45628.370306180557</v>
      </c>
      <c r="C2564" t="s">
        <v>3</v>
      </c>
      <c r="D2564" t="s">
        <v>982</v>
      </c>
      <c r="E2564" s="5">
        <v>35.76</v>
      </c>
      <c r="F2564" t="s">
        <v>18</v>
      </c>
    </row>
    <row r="2565" spans="1:6">
      <c r="A2565" s="1">
        <v>45628</v>
      </c>
      <c r="B2565" s="2">
        <v>45628.644721597222</v>
      </c>
      <c r="C2565" t="s">
        <v>3</v>
      </c>
      <c r="D2565" t="s">
        <v>983</v>
      </c>
      <c r="E2565" s="5">
        <v>21.06</v>
      </c>
      <c r="F2565" t="s">
        <v>35</v>
      </c>
    </row>
    <row r="2566" spans="1:6">
      <c r="A2566" s="1">
        <v>45628</v>
      </c>
      <c r="B2566" s="2">
        <v>45628.675276851849</v>
      </c>
      <c r="C2566" t="s">
        <v>3</v>
      </c>
      <c r="D2566" t="s">
        <v>984</v>
      </c>
      <c r="E2566" s="5">
        <v>35.76</v>
      </c>
      <c r="F2566" t="s">
        <v>43</v>
      </c>
    </row>
    <row r="2567" spans="1:6">
      <c r="A2567" s="1">
        <v>45628</v>
      </c>
      <c r="B2567" s="2">
        <v>45628.732195543984</v>
      </c>
      <c r="C2567" t="s">
        <v>3</v>
      </c>
      <c r="D2567" t="s">
        <v>985</v>
      </c>
      <c r="E2567" s="5">
        <v>25.96</v>
      </c>
      <c r="F2567" t="s">
        <v>11</v>
      </c>
    </row>
    <row r="2568" spans="1:6">
      <c r="A2568" s="1">
        <v>45628</v>
      </c>
      <c r="B2568" s="2">
        <v>45628.750373842595</v>
      </c>
      <c r="C2568" t="s">
        <v>3</v>
      </c>
      <c r="D2568" t="s">
        <v>986</v>
      </c>
      <c r="E2568" s="5">
        <v>35.76</v>
      </c>
      <c r="F2568" t="s">
        <v>43</v>
      </c>
    </row>
    <row r="2569" spans="1:6">
      <c r="A2569" s="1">
        <v>45629</v>
      </c>
      <c r="B2569" s="2">
        <v>45629.470815000001</v>
      </c>
      <c r="C2569" t="s">
        <v>3</v>
      </c>
      <c r="D2569" t="s">
        <v>987</v>
      </c>
      <c r="E2569" s="5">
        <v>25.96</v>
      </c>
      <c r="F2569" t="s">
        <v>11</v>
      </c>
    </row>
    <row r="2570" spans="1:6">
      <c r="A2570" s="1">
        <v>45629</v>
      </c>
      <c r="B2570" s="2">
        <v>45629.487587731484</v>
      </c>
      <c r="C2570" t="s">
        <v>3</v>
      </c>
      <c r="D2570" t="s">
        <v>988</v>
      </c>
      <c r="E2570" s="5">
        <v>30.86</v>
      </c>
      <c r="F2570" t="s">
        <v>14</v>
      </c>
    </row>
    <row r="2571" spans="1:6">
      <c r="A2571" s="1">
        <v>45629</v>
      </c>
      <c r="B2571" s="2">
        <v>45629.868700833336</v>
      </c>
      <c r="C2571" t="s">
        <v>3</v>
      </c>
      <c r="D2571" t="s">
        <v>989</v>
      </c>
      <c r="E2571" s="5">
        <v>35.76</v>
      </c>
      <c r="F2571" t="s">
        <v>18</v>
      </c>
    </row>
    <row r="2572" spans="1:6">
      <c r="A2572" s="1">
        <v>45629</v>
      </c>
      <c r="B2572" s="2">
        <v>45629.930020520835</v>
      </c>
      <c r="C2572" t="s">
        <v>3</v>
      </c>
      <c r="D2572" t="s">
        <v>990</v>
      </c>
      <c r="E2572" s="5">
        <v>30.86</v>
      </c>
      <c r="F2572" t="s">
        <v>14</v>
      </c>
    </row>
    <row r="2573" spans="1:6">
      <c r="A2573" s="1">
        <v>45634</v>
      </c>
      <c r="B2573" s="2">
        <v>45634.903744479168</v>
      </c>
      <c r="C2573" t="s">
        <v>3</v>
      </c>
      <c r="D2573" t="s">
        <v>990</v>
      </c>
      <c r="E2573" s="5">
        <v>30.86</v>
      </c>
      <c r="F2573" t="s">
        <v>14</v>
      </c>
    </row>
    <row r="2574" spans="1:6">
      <c r="A2574" s="1">
        <v>45630</v>
      </c>
      <c r="B2574" s="2">
        <v>45630.368405833331</v>
      </c>
      <c r="C2574" t="s">
        <v>3</v>
      </c>
      <c r="D2574" t="s">
        <v>991</v>
      </c>
      <c r="E2574" s="5">
        <v>35.76</v>
      </c>
      <c r="F2574" t="s">
        <v>7</v>
      </c>
    </row>
    <row r="2575" spans="1:6">
      <c r="A2575" s="1">
        <v>45630</v>
      </c>
      <c r="B2575" s="2">
        <v>45630.36961814815</v>
      </c>
      <c r="C2575" t="s">
        <v>3</v>
      </c>
      <c r="D2575" t="s">
        <v>992</v>
      </c>
      <c r="E2575" s="5">
        <v>35.76</v>
      </c>
      <c r="F2575" t="s">
        <v>7</v>
      </c>
    </row>
    <row r="2576" spans="1:6">
      <c r="A2576" s="1">
        <v>45630</v>
      </c>
      <c r="B2576" s="2">
        <v>45630.377941493054</v>
      </c>
      <c r="C2576" t="s">
        <v>3</v>
      </c>
      <c r="D2576" t="s">
        <v>993</v>
      </c>
      <c r="E2576" s="5">
        <v>25.96</v>
      </c>
      <c r="F2576" t="s">
        <v>11</v>
      </c>
    </row>
    <row r="2577" spans="1:6">
      <c r="A2577" s="1">
        <v>45630</v>
      </c>
      <c r="B2577" s="2">
        <v>45630.435390636572</v>
      </c>
      <c r="C2577" t="s">
        <v>3</v>
      </c>
      <c r="D2577" t="s">
        <v>994</v>
      </c>
      <c r="E2577" s="5">
        <v>30.86</v>
      </c>
      <c r="F2577" t="s">
        <v>14</v>
      </c>
    </row>
    <row r="2578" spans="1:6">
      <c r="A2578" s="1">
        <v>45630</v>
      </c>
      <c r="B2578" s="2">
        <v>45630.490251423609</v>
      </c>
      <c r="C2578" t="s">
        <v>3</v>
      </c>
      <c r="D2578" t="s">
        <v>995</v>
      </c>
      <c r="E2578" s="5">
        <v>30.86</v>
      </c>
      <c r="F2578" t="s">
        <v>14</v>
      </c>
    </row>
    <row r="2579" spans="1:6">
      <c r="A2579" s="1">
        <v>45630</v>
      </c>
      <c r="B2579" s="2">
        <v>45630.606883182867</v>
      </c>
      <c r="C2579" t="s">
        <v>3</v>
      </c>
      <c r="D2579" t="s">
        <v>996</v>
      </c>
      <c r="E2579" s="5">
        <v>35.76</v>
      </c>
      <c r="F2579" t="s">
        <v>9</v>
      </c>
    </row>
    <row r="2580" spans="1:6">
      <c r="A2580" s="1">
        <v>45631</v>
      </c>
      <c r="B2580" s="2">
        <v>45631.3706977662</v>
      </c>
      <c r="C2580" t="s">
        <v>3</v>
      </c>
      <c r="D2580" t="s">
        <v>997</v>
      </c>
      <c r="E2580" s="5">
        <v>25.96</v>
      </c>
      <c r="F2580" t="s">
        <v>11</v>
      </c>
    </row>
    <row r="2581" spans="1:6">
      <c r="A2581" s="1">
        <v>45631</v>
      </c>
      <c r="B2581" s="2">
        <v>45631.493571261577</v>
      </c>
      <c r="C2581" t="s">
        <v>3</v>
      </c>
      <c r="D2581" t="s">
        <v>998</v>
      </c>
      <c r="E2581" s="5">
        <v>25.96</v>
      </c>
      <c r="F2581" t="s">
        <v>11</v>
      </c>
    </row>
    <row r="2582" spans="1:6">
      <c r="A2582" s="1">
        <v>45631</v>
      </c>
      <c r="B2582" s="2">
        <v>45631.604841921297</v>
      </c>
      <c r="C2582" t="s">
        <v>3</v>
      </c>
      <c r="D2582" t="s">
        <v>999</v>
      </c>
      <c r="E2582" s="5">
        <v>35.76</v>
      </c>
      <c r="F2582" t="s">
        <v>43</v>
      </c>
    </row>
    <row r="2583" spans="1:6">
      <c r="A2583" s="1">
        <v>45633</v>
      </c>
      <c r="B2583" s="2">
        <v>45633.470256284723</v>
      </c>
      <c r="C2583" t="s">
        <v>3</v>
      </c>
      <c r="D2583" t="s">
        <v>1000</v>
      </c>
      <c r="E2583" s="5">
        <v>30.86</v>
      </c>
      <c r="F2583" t="s">
        <v>14</v>
      </c>
    </row>
    <row r="2584" spans="1:6">
      <c r="A2584" s="1">
        <v>45633</v>
      </c>
      <c r="B2584" s="2">
        <v>45633.594940891206</v>
      </c>
      <c r="C2584" t="s">
        <v>3</v>
      </c>
      <c r="D2584" t="s">
        <v>1001</v>
      </c>
      <c r="E2584" s="5">
        <v>25.96</v>
      </c>
      <c r="F2584" t="s">
        <v>11</v>
      </c>
    </row>
    <row r="2585" spans="1:6">
      <c r="A2585" s="1">
        <v>45633</v>
      </c>
      <c r="B2585" s="2">
        <v>45633.916782337961</v>
      </c>
      <c r="C2585" t="s">
        <v>3</v>
      </c>
      <c r="D2585" t="s">
        <v>1002</v>
      </c>
      <c r="E2585" s="5">
        <v>30.86</v>
      </c>
      <c r="F2585" t="s">
        <v>14</v>
      </c>
    </row>
    <row r="2586" spans="1:6">
      <c r="A2586" s="1">
        <v>45633</v>
      </c>
      <c r="B2586" s="2">
        <v>45633.936308888886</v>
      </c>
      <c r="C2586" t="s">
        <v>3</v>
      </c>
      <c r="D2586" t="s">
        <v>1003</v>
      </c>
      <c r="E2586" s="5">
        <v>25.96</v>
      </c>
      <c r="F2586" t="s">
        <v>11</v>
      </c>
    </row>
    <row r="2587" spans="1:6">
      <c r="A2587" s="1">
        <v>45634</v>
      </c>
      <c r="B2587" s="2">
        <v>45634.535889756946</v>
      </c>
      <c r="C2587" t="s">
        <v>3</v>
      </c>
      <c r="D2587" t="s">
        <v>1004</v>
      </c>
      <c r="E2587" s="5">
        <v>25.96</v>
      </c>
      <c r="F2587" t="s">
        <v>28</v>
      </c>
    </row>
    <row r="2588" spans="1:6">
      <c r="A2588" s="1">
        <v>45634</v>
      </c>
      <c r="B2588" s="2">
        <v>45634.543474560189</v>
      </c>
      <c r="C2588" t="s">
        <v>3</v>
      </c>
      <c r="D2588" t="s">
        <v>1005</v>
      </c>
      <c r="E2588" s="5">
        <v>30.86</v>
      </c>
      <c r="F2588" t="s">
        <v>14</v>
      </c>
    </row>
    <row r="2589" spans="1:6">
      <c r="A2589" s="1">
        <v>45634</v>
      </c>
      <c r="B2589" s="2">
        <v>45634.544198148149</v>
      </c>
      <c r="C2589" t="s">
        <v>3</v>
      </c>
      <c r="D2589" t="s">
        <v>1005</v>
      </c>
      <c r="E2589" s="5">
        <v>30.86</v>
      </c>
      <c r="F2589" t="s">
        <v>14</v>
      </c>
    </row>
    <row r="2590" spans="1:6">
      <c r="A2590" s="1">
        <v>45634</v>
      </c>
      <c r="B2590" s="2">
        <v>45634.779036493055</v>
      </c>
      <c r="C2590" t="s">
        <v>3</v>
      </c>
      <c r="D2590" t="s">
        <v>1006</v>
      </c>
      <c r="E2590" s="5">
        <v>21.06</v>
      </c>
      <c r="F2590" t="s">
        <v>35</v>
      </c>
    </row>
    <row r="2591" spans="1:6">
      <c r="A2591" s="1">
        <v>45634</v>
      </c>
      <c r="B2591" s="2">
        <v>45634.894792581021</v>
      </c>
      <c r="C2591" t="s">
        <v>3</v>
      </c>
      <c r="D2591" t="s">
        <v>1007</v>
      </c>
      <c r="E2591" s="5">
        <v>30.86</v>
      </c>
      <c r="F2591" t="s">
        <v>14</v>
      </c>
    </row>
    <row r="2592" spans="1:6">
      <c r="A2592" s="1">
        <v>45635</v>
      </c>
      <c r="B2592" s="2">
        <v>45635.356027893518</v>
      </c>
      <c r="C2592" t="s">
        <v>3</v>
      </c>
      <c r="D2592" t="s">
        <v>1008</v>
      </c>
      <c r="E2592" s="5">
        <v>35.76</v>
      </c>
      <c r="F2592" t="s">
        <v>43</v>
      </c>
    </row>
    <row r="2593" spans="1:6">
      <c r="A2593" s="1">
        <v>45635</v>
      </c>
      <c r="B2593" s="2">
        <v>45635.383624675924</v>
      </c>
      <c r="C2593" t="s">
        <v>3</v>
      </c>
      <c r="D2593" t="s">
        <v>1009</v>
      </c>
      <c r="E2593" s="5">
        <v>25.96</v>
      </c>
      <c r="F2593" t="s">
        <v>11</v>
      </c>
    </row>
    <row r="2594" spans="1:6">
      <c r="A2594" s="1">
        <v>45635</v>
      </c>
      <c r="B2594" s="2">
        <v>45635.890176724541</v>
      </c>
      <c r="C2594" t="s">
        <v>3</v>
      </c>
      <c r="D2594" t="s">
        <v>1010</v>
      </c>
      <c r="E2594" s="5">
        <v>35.76</v>
      </c>
      <c r="F2594" t="s">
        <v>18</v>
      </c>
    </row>
    <row r="2595" spans="1:6">
      <c r="A2595" s="1">
        <v>45637</v>
      </c>
      <c r="B2595" s="2">
        <v>45637.509100381947</v>
      </c>
      <c r="C2595" t="s">
        <v>3</v>
      </c>
      <c r="D2595" t="s">
        <v>1011</v>
      </c>
      <c r="E2595" s="5">
        <v>35.76</v>
      </c>
      <c r="F2595" t="s">
        <v>9</v>
      </c>
    </row>
    <row r="2596" spans="1:6">
      <c r="A2596" s="1">
        <v>45637</v>
      </c>
      <c r="B2596" s="2">
        <v>45637.539441724541</v>
      </c>
      <c r="C2596" t="s">
        <v>3</v>
      </c>
      <c r="D2596" t="s">
        <v>1012</v>
      </c>
      <c r="E2596" s="5">
        <v>21.06</v>
      </c>
      <c r="F2596" t="s">
        <v>35</v>
      </c>
    </row>
    <row r="2597" spans="1:6">
      <c r="A2597" s="1">
        <v>45637</v>
      </c>
      <c r="B2597" s="2">
        <v>45637.749600173614</v>
      </c>
      <c r="C2597" t="s">
        <v>3</v>
      </c>
      <c r="D2597" t="s">
        <v>1013</v>
      </c>
      <c r="E2597" s="5">
        <v>35.76</v>
      </c>
      <c r="F2597" t="s">
        <v>18</v>
      </c>
    </row>
    <row r="2598" spans="1:6">
      <c r="A2598" s="1">
        <v>45637</v>
      </c>
      <c r="B2598" s="2">
        <v>45637.887698981482</v>
      </c>
      <c r="C2598" t="s">
        <v>3</v>
      </c>
      <c r="D2598" t="s">
        <v>1014</v>
      </c>
      <c r="E2598" s="5">
        <v>35.76</v>
      </c>
      <c r="F2598" t="s">
        <v>7</v>
      </c>
    </row>
    <row r="2599" spans="1:6">
      <c r="A2599" s="1">
        <v>45661</v>
      </c>
      <c r="B2599" s="2">
        <v>45661.932994444447</v>
      </c>
      <c r="C2599" t="s">
        <v>3</v>
      </c>
      <c r="D2599" t="s">
        <v>1014</v>
      </c>
      <c r="E2599" s="5">
        <v>35.76</v>
      </c>
      <c r="F2599" t="s">
        <v>7</v>
      </c>
    </row>
    <row r="2600" spans="1:6">
      <c r="A2600" s="1">
        <v>45638</v>
      </c>
      <c r="B2600" s="2">
        <v>45638.332305393516</v>
      </c>
      <c r="C2600" t="s">
        <v>3</v>
      </c>
      <c r="D2600" t="s">
        <v>1015</v>
      </c>
      <c r="E2600" s="5">
        <v>30.86</v>
      </c>
      <c r="F2600" t="s">
        <v>14</v>
      </c>
    </row>
    <row r="2601" spans="1:6">
      <c r="A2601" s="1">
        <v>45638</v>
      </c>
      <c r="B2601" s="2">
        <v>45638.53430175926</v>
      </c>
      <c r="C2601" t="s">
        <v>3</v>
      </c>
      <c r="D2601" t="s">
        <v>1016</v>
      </c>
      <c r="E2601" s="5">
        <v>25.96</v>
      </c>
      <c r="F2601" t="s">
        <v>11</v>
      </c>
    </row>
    <row r="2602" spans="1:6">
      <c r="A2602" s="1">
        <v>45638</v>
      </c>
      <c r="B2602" s="2">
        <v>45638.704885509258</v>
      </c>
      <c r="C2602" t="s">
        <v>3</v>
      </c>
      <c r="D2602" t="s">
        <v>1017</v>
      </c>
      <c r="E2602" s="5">
        <v>21.06</v>
      </c>
      <c r="F2602" t="s">
        <v>35</v>
      </c>
    </row>
    <row r="2603" spans="1:6">
      <c r="A2603" s="1">
        <v>45638</v>
      </c>
      <c r="B2603" s="2">
        <v>45638.705429733796</v>
      </c>
      <c r="C2603" t="s">
        <v>3</v>
      </c>
      <c r="D2603" t="s">
        <v>1017</v>
      </c>
      <c r="E2603" s="5">
        <v>21.06</v>
      </c>
      <c r="F2603" t="s">
        <v>35</v>
      </c>
    </row>
    <row r="2604" spans="1:6">
      <c r="A2604" s="1">
        <v>45638</v>
      </c>
      <c r="B2604" s="2">
        <v>45638.706262916668</v>
      </c>
      <c r="C2604" t="s">
        <v>3</v>
      </c>
      <c r="D2604" t="s">
        <v>1017</v>
      </c>
      <c r="E2604" s="5">
        <v>25.96</v>
      </c>
      <c r="F2604" t="s">
        <v>11</v>
      </c>
    </row>
    <row r="2605" spans="1:6">
      <c r="A2605" s="1">
        <v>45639</v>
      </c>
      <c r="B2605" s="2">
        <v>45639.536870046293</v>
      </c>
      <c r="C2605" t="s">
        <v>3</v>
      </c>
      <c r="D2605" t="s">
        <v>1017</v>
      </c>
      <c r="E2605" s="5">
        <v>25.96</v>
      </c>
      <c r="F2605" t="s">
        <v>11</v>
      </c>
    </row>
    <row r="2606" spans="1:6">
      <c r="A2606" s="1">
        <v>45639</v>
      </c>
      <c r="B2606" s="2">
        <v>45639.537964884257</v>
      </c>
      <c r="C2606" t="s">
        <v>3</v>
      </c>
      <c r="D2606" t="s">
        <v>1017</v>
      </c>
      <c r="E2606" s="5">
        <v>35.76</v>
      </c>
      <c r="F2606" t="s">
        <v>9</v>
      </c>
    </row>
    <row r="2607" spans="1:6">
      <c r="A2607" s="1">
        <v>45640</v>
      </c>
      <c r="B2607" s="2">
        <v>45640.708517349536</v>
      </c>
      <c r="C2607" t="s">
        <v>3</v>
      </c>
      <c r="D2607" t="s">
        <v>1017</v>
      </c>
      <c r="E2607" s="5">
        <v>25.96</v>
      </c>
      <c r="F2607" t="s">
        <v>11</v>
      </c>
    </row>
    <row r="2608" spans="1:6">
      <c r="A2608" s="1">
        <v>45640</v>
      </c>
      <c r="B2608" s="2">
        <v>45640.709365567127</v>
      </c>
      <c r="C2608" t="s">
        <v>3</v>
      </c>
      <c r="D2608" t="s">
        <v>1017</v>
      </c>
      <c r="E2608" s="5">
        <v>25.96</v>
      </c>
      <c r="F2608" t="s">
        <v>11</v>
      </c>
    </row>
    <row r="2609" spans="1:6">
      <c r="A2609" s="1">
        <v>45656</v>
      </c>
      <c r="B2609" s="2">
        <v>45656.687429201389</v>
      </c>
      <c r="C2609" t="s">
        <v>3</v>
      </c>
      <c r="D2609" t="s">
        <v>1017</v>
      </c>
      <c r="E2609" s="5">
        <v>30.86</v>
      </c>
      <c r="F2609" t="s">
        <v>14</v>
      </c>
    </row>
    <row r="2610" spans="1:6">
      <c r="A2610" s="1">
        <v>45639</v>
      </c>
      <c r="B2610" s="2">
        <v>45639.519044594905</v>
      </c>
      <c r="C2610" t="s">
        <v>3</v>
      </c>
      <c r="D2610" t="s">
        <v>1018</v>
      </c>
      <c r="E2610" s="5">
        <v>25.96</v>
      </c>
      <c r="F2610" t="s">
        <v>11</v>
      </c>
    </row>
    <row r="2611" spans="1:6">
      <c r="A2611" s="1">
        <v>45639</v>
      </c>
      <c r="B2611" s="2">
        <v>45639.584699803243</v>
      </c>
      <c r="C2611" t="s">
        <v>3</v>
      </c>
      <c r="D2611" t="s">
        <v>1019</v>
      </c>
      <c r="E2611" s="5">
        <v>35.76</v>
      </c>
      <c r="F2611" t="s">
        <v>9</v>
      </c>
    </row>
    <row r="2612" spans="1:6">
      <c r="A2612" s="1">
        <v>45640</v>
      </c>
      <c r="B2612" s="2">
        <v>45640.352454328706</v>
      </c>
      <c r="C2612" t="s">
        <v>3</v>
      </c>
      <c r="D2612" t="s">
        <v>1020</v>
      </c>
      <c r="E2612" s="5">
        <v>30.86</v>
      </c>
      <c r="F2612" t="s">
        <v>14</v>
      </c>
    </row>
    <row r="2613" spans="1:6">
      <c r="A2613" s="1">
        <v>45640</v>
      </c>
      <c r="B2613" s="2">
        <v>45640.377147824074</v>
      </c>
      <c r="C2613" t="s">
        <v>3</v>
      </c>
      <c r="D2613" t="s">
        <v>1021</v>
      </c>
      <c r="E2613" s="5">
        <v>35.76</v>
      </c>
      <c r="F2613" t="s">
        <v>18</v>
      </c>
    </row>
    <row r="2614" spans="1:6">
      <c r="A2614" s="1">
        <v>45640</v>
      </c>
      <c r="B2614" s="2">
        <v>45640.554942511575</v>
      </c>
      <c r="C2614" t="s">
        <v>3</v>
      </c>
      <c r="D2614" t="s">
        <v>1022</v>
      </c>
      <c r="E2614" s="5">
        <v>25.96</v>
      </c>
      <c r="F2614" t="s">
        <v>11</v>
      </c>
    </row>
    <row r="2615" spans="1:6">
      <c r="A2615" s="1">
        <v>45640</v>
      </c>
      <c r="B2615" s="2">
        <v>45640.555655127311</v>
      </c>
      <c r="C2615" t="s">
        <v>3</v>
      </c>
      <c r="D2615" t="s">
        <v>1022</v>
      </c>
      <c r="E2615" s="5">
        <v>35.76</v>
      </c>
      <c r="F2615" t="s">
        <v>7</v>
      </c>
    </row>
    <row r="2616" spans="1:6">
      <c r="A2616" s="1">
        <v>45640</v>
      </c>
      <c r="B2616" s="2">
        <v>45640.766483287036</v>
      </c>
      <c r="C2616" t="s">
        <v>3</v>
      </c>
      <c r="D2616" t="s">
        <v>1023</v>
      </c>
      <c r="E2616" s="5">
        <v>30.86</v>
      </c>
      <c r="F2616" t="s">
        <v>14</v>
      </c>
    </row>
    <row r="2617" spans="1:6">
      <c r="A2617" s="1">
        <v>45642</v>
      </c>
      <c r="B2617" s="2">
        <v>45642.335776608794</v>
      </c>
      <c r="C2617" t="s">
        <v>3</v>
      </c>
      <c r="D2617" t="s">
        <v>1024</v>
      </c>
      <c r="E2617" s="5">
        <v>35.76</v>
      </c>
      <c r="F2617" t="s">
        <v>9</v>
      </c>
    </row>
    <row r="2618" spans="1:6">
      <c r="A2618" s="1">
        <v>45678</v>
      </c>
      <c r="B2618" s="2">
        <v>45678.336854965281</v>
      </c>
      <c r="C2618" t="s">
        <v>3</v>
      </c>
      <c r="D2618" t="s">
        <v>1024</v>
      </c>
      <c r="E2618" s="5">
        <v>35.76</v>
      </c>
      <c r="F2618" t="s">
        <v>18</v>
      </c>
    </row>
    <row r="2619" spans="1:6">
      <c r="A2619" s="1">
        <v>45642</v>
      </c>
      <c r="B2619" s="2">
        <v>45642.513288553244</v>
      </c>
      <c r="C2619" t="s">
        <v>3</v>
      </c>
      <c r="D2619" t="s">
        <v>1025</v>
      </c>
      <c r="E2619" s="5">
        <v>30.86</v>
      </c>
      <c r="F2619" t="s">
        <v>14</v>
      </c>
    </row>
    <row r="2620" spans="1:6">
      <c r="A2620" s="1">
        <v>45643</v>
      </c>
      <c r="B2620" s="2">
        <v>45643.366876828703</v>
      </c>
      <c r="C2620" t="s">
        <v>3</v>
      </c>
      <c r="D2620" t="s">
        <v>1026</v>
      </c>
      <c r="E2620" s="5">
        <v>25.96</v>
      </c>
      <c r="F2620" t="s">
        <v>28</v>
      </c>
    </row>
    <row r="2621" spans="1:6">
      <c r="A2621" s="1">
        <v>45643</v>
      </c>
      <c r="B2621" s="2">
        <v>45643.369822118053</v>
      </c>
      <c r="C2621" t="s">
        <v>3</v>
      </c>
      <c r="D2621" t="s">
        <v>1027</v>
      </c>
      <c r="E2621" s="5">
        <v>35.76</v>
      </c>
      <c r="F2621" t="s">
        <v>43</v>
      </c>
    </row>
    <row r="2622" spans="1:6">
      <c r="A2622" s="1">
        <v>45643</v>
      </c>
      <c r="B2622" s="2">
        <v>45643.682350219904</v>
      </c>
      <c r="C2622" t="s">
        <v>3</v>
      </c>
      <c r="D2622" t="s">
        <v>1028</v>
      </c>
      <c r="E2622" s="5">
        <v>25.96</v>
      </c>
      <c r="F2622" t="s">
        <v>11</v>
      </c>
    </row>
    <row r="2623" spans="1:6">
      <c r="A2623" s="1">
        <v>45643</v>
      </c>
      <c r="B2623" s="2">
        <v>45643.683062557873</v>
      </c>
      <c r="C2623" t="s">
        <v>3</v>
      </c>
      <c r="D2623" t="s">
        <v>1028</v>
      </c>
      <c r="E2623" s="5">
        <v>35.76</v>
      </c>
      <c r="F2623" t="s">
        <v>18</v>
      </c>
    </row>
    <row r="2624" spans="1:6">
      <c r="A2624" s="1">
        <v>45644</v>
      </c>
      <c r="B2624" s="2">
        <v>45644.396160706019</v>
      </c>
      <c r="C2624" t="s">
        <v>3</v>
      </c>
      <c r="D2624" t="s">
        <v>1029</v>
      </c>
      <c r="E2624" s="5">
        <v>35.76</v>
      </c>
      <c r="F2624" t="s">
        <v>7</v>
      </c>
    </row>
    <row r="2625" spans="1:6">
      <c r="A2625" s="1">
        <v>45644</v>
      </c>
      <c r="B2625" s="2">
        <v>45644.417609849537</v>
      </c>
      <c r="C2625" t="s">
        <v>3</v>
      </c>
      <c r="D2625" t="s">
        <v>1030</v>
      </c>
      <c r="E2625" s="5">
        <v>30.86</v>
      </c>
      <c r="F2625" t="s">
        <v>14</v>
      </c>
    </row>
    <row r="2626" spans="1:6">
      <c r="A2626" s="1">
        <v>45644</v>
      </c>
      <c r="B2626" s="2">
        <v>45644.418773935184</v>
      </c>
      <c r="C2626" t="s">
        <v>3</v>
      </c>
      <c r="D2626" t="s">
        <v>1030</v>
      </c>
      <c r="E2626" s="5">
        <v>35.76</v>
      </c>
      <c r="F2626" t="s">
        <v>7</v>
      </c>
    </row>
    <row r="2627" spans="1:6">
      <c r="A2627" s="1">
        <v>45644</v>
      </c>
      <c r="B2627" s="2">
        <v>45644.419483564816</v>
      </c>
      <c r="C2627" t="s">
        <v>3</v>
      </c>
      <c r="D2627" t="s">
        <v>1030</v>
      </c>
      <c r="E2627" s="5">
        <v>35.76</v>
      </c>
      <c r="F2627" t="s">
        <v>43</v>
      </c>
    </row>
    <row r="2628" spans="1:6">
      <c r="A2628" s="1">
        <v>45645</v>
      </c>
      <c r="B2628" s="2">
        <v>45645.425129456016</v>
      </c>
      <c r="C2628" t="s">
        <v>3</v>
      </c>
      <c r="D2628" t="s">
        <v>1031</v>
      </c>
      <c r="E2628" s="5">
        <v>35.76</v>
      </c>
      <c r="F2628" t="s">
        <v>9</v>
      </c>
    </row>
    <row r="2629" spans="1:6">
      <c r="A2629" s="1">
        <v>45645</v>
      </c>
      <c r="B2629" s="2">
        <v>45645.507550104165</v>
      </c>
      <c r="C2629" t="s">
        <v>3</v>
      </c>
      <c r="D2629" t="s">
        <v>1032</v>
      </c>
      <c r="E2629" s="5">
        <v>21.06</v>
      </c>
      <c r="F2629" t="s">
        <v>35</v>
      </c>
    </row>
    <row r="2630" spans="1:6">
      <c r="A2630" s="1">
        <v>45645</v>
      </c>
      <c r="B2630" s="2">
        <v>45645.568712812499</v>
      </c>
      <c r="C2630" t="s">
        <v>3</v>
      </c>
      <c r="D2630" t="s">
        <v>1033</v>
      </c>
      <c r="E2630" s="5">
        <v>35.76</v>
      </c>
      <c r="F2630" t="s">
        <v>9</v>
      </c>
    </row>
    <row r="2631" spans="1:6">
      <c r="A2631" s="1">
        <v>45645</v>
      </c>
      <c r="B2631" s="2">
        <v>45645.825208587965</v>
      </c>
      <c r="C2631" t="s">
        <v>3</v>
      </c>
      <c r="D2631" t="s">
        <v>1034</v>
      </c>
      <c r="E2631" s="5">
        <v>30.86</v>
      </c>
      <c r="F2631" t="s">
        <v>14</v>
      </c>
    </row>
    <row r="2632" spans="1:6">
      <c r="A2632" s="1">
        <v>45645</v>
      </c>
      <c r="B2632" s="2">
        <v>45645.826187199076</v>
      </c>
      <c r="C2632" t="s">
        <v>3</v>
      </c>
      <c r="D2632" t="s">
        <v>1034</v>
      </c>
      <c r="E2632" s="5">
        <v>35.76</v>
      </c>
      <c r="F2632" t="s">
        <v>9</v>
      </c>
    </row>
    <row r="2633" spans="1:6">
      <c r="A2633" s="1">
        <v>45647</v>
      </c>
      <c r="B2633" s="2">
        <v>45647.741294583335</v>
      </c>
      <c r="C2633" t="s">
        <v>3</v>
      </c>
      <c r="D2633" t="s">
        <v>1034</v>
      </c>
      <c r="E2633" s="5">
        <v>35.76</v>
      </c>
      <c r="F2633" t="s">
        <v>18</v>
      </c>
    </row>
    <row r="2634" spans="1:6">
      <c r="A2634" s="1">
        <v>45645</v>
      </c>
      <c r="B2634" s="2">
        <v>45645.880692256942</v>
      </c>
      <c r="C2634" t="s">
        <v>3</v>
      </c>
      <c r="D2634" t="s">
        <v>1035</v>
      </c>
      <c r="E2634" s="5">
        <v>35.76</v>
      </c>
      <c r="F2634" t="s">
        <v>7</v>
      </c>
    </row>
    <row r="2635" spans="1:6">
      <c r="A2635" s="1">
        <v>45645</v>
      </c>
      <c r="B2635" s="2">
        <v>45645.881431932874</v>
      </c>
      <c r="C2635" t="s">
        <v>3</v>
      </c>
      <c r="D2635" t="s">
        <v>1035</v>
      </c>
      <c r="E2635" s="5">
        <v>35.76</v>
      </c>
      <c r="F2635" t="s">
        <v>43</v>
      </c>
    </row>
    <row r="2636" spans="1:6">
      <c r="A2636" s="1">
        <v>45646</v>
      </c>
      <c r="B2636" s="2">
        <v>45646.425495729163</v>
      </c>
      <c r="C2636" t="s">
        <v>3</v>
      </c>
      <c r="D2636" t="s">
        <v>1036</v>
      </c>
      <c r="E2636" s="5">
        <v>35.76</v>
      </c>
      <c r="F2636" t="s">
        <v>43</v>
      </c>
    </row>
    <row r="2637" spans="1:6">
      <c r="A2637" s="1">
        <v>45646</v>
      </c>
      <c r="B2637" s="2">
        <v>45646.623846631941</v>
      </c>
      <c r="C2637" t="s">
        <v>3</v>
      </c>
      <c r="D2637" t="s">
        <v>1037</v>
      </c>
      <c r="E2637" s="5">
        <v>25.96</v>
      </c>
      <c r="F2637" t="s">
        <v>28</v>
      </c>
    </row>
    <row r="2638" spans="1:6">
      <c r="A2638" s="1">
        <v>45646</v>
      </c>
      <c r="B2638" s="2">
        <v>45646.769700821758</v>
      </c>
      <c r="C2638" t="s">
        <v>3</v>
      </c>
      <c r="D2638" t="s">
        <v>1038</v>
      </c>
      <c r="E2638" s="5">
        <v>35.76</v>
      </c>
      <c r="F2638" t="s">
        <v>43</v>
      </c>
    </row>
    <row r="2639" spans="1:6">
      <c r="A2639" s="1">
        <v>45647</v>
      </c>
      <c r="B2639" s="2">
        <v>45647.430137442127</v>
      </c>
      <c r="C2639" t="s">
        <v>3</v>
      </c>
      <c r="D2639" t="s">
        <v>1039</v>
      </c>
      <c r="E2639" s="5">
        <v>35.76</v>
      </c>
      <c r="F2639" t="s">
        <v>43</v>
      </c>
    </row>
    <row r="2640" spans="1:6">
      <c r="A2640" s="1">
        <v>45647</v>
      </c>
      <c r="B2640" s="2">
        <v>45647.431031319444</v>
      </c>
      <c r="C2640" t="s">
        <v>3</v>
      </c>
      <c r="D2640" t="s">
        <v>1039</v>
      </c>
      <c r="E2640" s="5">
        <v>35.76</v>
      </c>
      <c r="F2640" t="s">
        <v>7</v>
      </c>
    </row>
    <row r="2641" spans="1:6">
      <c r="A2641" s="1">
        <v>45647</v>
      </c>
      <c r="B2641" s="2">
        <v>45647.438921250003</v>
      </c>
      <c r="C2641" t="s">
        <v>3</v>
      </c>
      <c r="D2641" t="s">
        <v>1040</v>
      </c>
      <c r="E2641" s="5">
        <v>25.96</v>
      </c>
      <c r="F2641" t="s">
        <v>11</v>
      </c>
    </row>
    <row r="2642" spans="1:6">
      <c r="A2642" s="1">
        <v>45647</v>
      </c>
      <c r="B2642" s="2">
        <v>45647.665359050923</v>
      </c>
      <c r="C2642" t="s">
        <v>3</v>
      </c>
      <c r="D2642" t="s">
        <v>1041</v>
      </c>
      <c r="E2642" s="5">
        <v>35.76</v>
      </c>
      <c r="F2642" t="s">
        <v>7</v>
      </c>
    </row>
    <row r="2643" spans="1:6">
      <c r="A2643" s="1">
        <v>45647</v>
      </c>
      <c r="B2643" s="2">
        <v>45647.751815613425</v>
      </c>
      <c r="C2643" t="s">
        <v>3</v>
      </c>
      <c r="D2643" t="s">
        <v>1042</v>
      </c>
      <c r="E2643" s="5">
        <v>35.76</v>
      </c>
      <c r="F2643" t="s">
        <v>9</v>
      </c>
    </row>
    <row r="2644" spans="1:6">
      <c r="A2644" s="1">
        <v>45647</v>
      </c>
      <c r="B2644" s="2">
        <v>45647.755754270831</v>
      </c>
      <c r="C2644" t="s">
        <v>3</v>
      </c>
      <c r="D2644" t="s">
        <v>1043</v>
      </c>
      <c r="E2644" s="5">
        <v>25.96</v>
      </c>
      <c r="F2644" t="s">
        <v>28</v>
      </c>
    </row>
    <row r="2645" spans="1:6">
      <c r="A2645" s="1">
        <v>45647</v>
      </c>
      <c r="B2645" s="2">
        <v>45647.909575381942</v>
      </c>
      <c r="C2645" t="s">
        <v>3</v>
      </c>
      <c r="D2645" t="s">
        <v>1043</v>
      </c>
      <c r="E2645" s="5">
        <v>25.96</v>
      </c>
      <c r="F2645" t="s">
        <v>28</v>
      </c>
    </row>
    <row r="2646" spans="1:6">
      <c r="A2646" s="1">
        <v>45647</v>
      </c>
      <c r="B2646" s="2">
        <v>45647.927941423608</v>
      </c>
      <c r="C2646" t="s">
        <v>3</v>
      </c>
      <c r="D2646" t="s">
        <v>1043</v>
      </c>
      <c r="E2646" s="5">
        <v>25.96</v>
      </c>
      <c r="F2646" t="s">
        <v>28</v>
      </c>
    </row>
    <row r="2647" spans="1:6">
      <c r="A2647" s="1">
        <v>45649</v>
      </c>
      <c r="B2647" s="2">
        <v>45649.377326678237</v>
      </c>
      <c r="C2647" t="s">
        <v>3</v>
      </c>
      <c r="D2647" t="s">
        <v>1043</v>
      </c>
      <c r="E2647" s="5">
        <v>25.96</v>
      </c>
      <c r="F2647" t="s">
        <v>28</v>
      </c>
    </row>
    <row r="2648" spans="1:6">
      <c r="A2648" s="1">
        <v>45649</v>
      </c>
      <c r="B2648" s="2">
        <v>45649.865361412034</v>
      </c>
      <c r="C2648" t="s">
        <v>3</v>
      </c>
      <c r="D2648" t="s">
        <v>1043</v>
      </c>
      <c r="E2648" s="5">
        <v>25.96</v>
      </c>
      <c r="F2648" t="s">
        <v>28</v>
      </c>
    </row>
    <row r="2649" spans="1:6">
      <c r="A2649" s="1">
        <v>45650</v>
      </c>
      <c r="B2649" s="2">
        <v>45650.746858321756</v>
      </c>
      <c r="C2649" t="s">
        <v>3</v>
      </c>
      <c r="D2649" t="s">
        <v>1043</v>
      </c>
      <c r="E2649" s="5">
        <v>25.96</v>
      </c>
      <c r="F2649" t="s">
        <v>28</v>
      </c>
    </row>
    <row r="2650" spans="1:6">
      <c r="A2650" s="1">
        <v>45653</v>
      </c>
      <c r="B2650" s="2">
        <v>45653.373367037035</v>
      </c>
      <c r="C2650" t="s">
        <v>3</v>
      </c>
      <c r="D2650" t="s">
        <v>1043</v>
      </c>
      <c r="E2650" s="5">
        <v>25.96</v>
      </c>
      <c r="F2650" t="s">
        <v>28</v>
      </c>
    </row>
    <row r="2651" spans="1:6">
      <c r="A2651" s="1">
        <v>45654</v>
      </c>
      <c r="B2651" s="2">
        <v>45654.375271585646</v>
      </c>
      <c r="C2651" t="s">
        <v>3</v>
      </c>
      <c r="D2651" t="s">
        <v>1043</v>
      </c>
      <c r="E2651" s="5">
        <v>25.96</v>
      </c>
      <c r="F2651" t="s">
        <v>28</v>
      </c>
    </row>
    <row r="2652" spans="1:6">
      <c r="A2652" s="1">
        <v>45655</v>
      </c>
      <c r="B2652" s="2">
        <v>45655.573801354163</v>
      </c>
      <c r="C2652" t="s">
        <v>3</v>
      </c>
      <c r="D2652" t="s">
        <v>1043</v>
      </c>
      <c r="E2652" s="5">
        <v>25.96</v>
      </c>
      <c r="F2652" t="s">
        <v>28</v>
      </c>
    </row>
    <row r="2653" spans="1:6">
      <c r="A2653" s="1">
        <v>45655</v>
      </c>
      <c r="B2653" s="2">
        <v>45655.824811851853</v>
      </c>
      <c r="C2653" t="s">
        <v>3</v>
      </c>
      <c r="D2653" t="s">
        <v>1043</v>
      </c>
      <c r="E2653" s="5">
        <v>25.96</v>
      </c>
      <c r="F2653" t="s">
        <v>28</v>
      </c>
    </row>
    <row r="2654" spans="1:6">
      <c r="A2654" s="1">
        <v>45656</v>
      </c>
      <c r="B2654" s="2">
        <v>45656.376901412033</v>
      </c>
      <c r="C2654" t="s">
        <v>3</v>
      </c>
      <c r="D2654" t="s">
        <v>1043</v>
      </c>
      <c r="E2654" s="5">
        <v>25.96</v>
      </c>
      <c r="F2654" t="s">
        <v>28</v>
      </c>
    </row>
    <row r="2655" spans="1:6">
      <c r="A2655" s="1">
        <v>45657</v>
      </c>
      <c r="B2655" s="2">
        <v>45657.369776400461</v>
      </c>
      <c r="C2655" t="s">
        <v>3</v>
      </c>
      <c r="D2655" t="s">
        <v>1043</v>
      </c>
      <c r="E2655" s="5">
        <v>25.96</v>
      </c>
      <c r="F2655" t="s">
        <v>28</v>
      </c>
    </row>
    <row r="2656" spans="1:6">
      <c r="A2656" s="1">
        <v>45660</v>
      </c>
      <c r="B2656" s="2">
        <v>45660.377345694447</v>
      </c>
      <c r="C2656" t="s">
        <v>3</v>
      </c>
      <c r="D2656" t="s">
        <v>1043</v>
      </c>
      <c r="E2656" s="5">
        <v>25.96</v>
      </c>
      <c r="F2656" t="s">
        <v>28</v>
      </c>
    </row>
    <row r="2657" spans="1:6">
      <c r="A2657" s="1">
        <v>45661</v>
      </c>
      <c r="B2657" s="2">
        <v>45661.373917847224</v>
      </c>
      <c r="C2657" t="s">
        <v>3</v>
      </c>
      <c r="D2657" t="s">
        <v>1043</v>
      </c>
      <c r="E2657" s="5">
        <v>25.96</v>
      </c>
      <c r="F2657" t="s">
        <v>28</v>
      </c>
    </row>
    <row r="2658" spans="1:6">
      <c r="A2658" s="1">
        <v>45671</v>
      </c>
      <c r="B2658" s="2">
        <v>45671.412301064818</v>
      </c>
      <c r="C2658" t="s">
        <v>3</v>
      </c>
      <c r="D2658" t="s">
        <v>1043</v>
      </c>
      <c r="E2658" s="5">
        <v>25.96</v>
      </c>
      <c r="F2658" t="s">
        <v>28</v>
      </c>
    </row>
    <row r="2659" spans="1:6">
      <c r="A2659" s="1">
        <v>45647</v>
      </c>
      <c r="B2659" s="2">
        <v>45647.82515571759</v>
      </c>
      <c r="C2659" t="s">
        <v>3</v>
      </c>
      <c r="D2659" t="s">
        <v>1044</v>
      </c>
      <c r="E2659" s="5">
        <v>30.86</v>
      </c>
      <c r="F2659" t="s">
        <v>14</v>
      </c>
    </row>
    <row r="2660" spans="1:6">
      <c r="A2660" s="1">
        <v>45647</v>
      </c>
      <c r="B2660" s="2">
        <v>45647.826224178243</v>
      </c>
      <c r="C2660" t="s">
        <v>3</v>
      </c>
      <c r="D2660" t="s">
        <v>1044</v>
      </c>
      <c r="E2660" s="5">
        <v>25.96</v>
      </c>
      <c r="F2660" t="s">
        <v>28</v>
      </c>
    </row>
    <row r="2661" spans="1:6">
      <c r="A2661" s="1">
        <v>45647</v>
      </c>
      <c r="B2661" s="2">
        <v>45647.915842060182</v>
      </c>
      <c r="C2661" t="s">
        <v>3</v>
      </c>
      <c r="D2661" t="s">
        <v>1045</v>
      </c>
      <c r="E2661" s="5">
        <v>35.76</v>
      </c>
      <c r="F2661" t="s">
        <v>7</v>
      </c>
    </row>
    <row r="2662" spans="1:6">
      <c r="A2662" s="1">
        <v>45648</v>
      </c>
      <c r="B2662" s="2">
        <v>45648.816502870373</v>
      </c>
      <c r="C2662" t="s">
        <v>3</v>
      </c>
      <c r="D2662" t="s">
        <v>1046</v>
      </c>
      <c r="E2662" s="5">
        <v>35.76</v>
      </c>
      <c r="F2662" t="s">
        <v>9</v>
      </c>
    </row>
    <row r="2663" spans="1:6">
      <c r="A2663" s="1">
        <v>45648</v>
      </c>
      <c r="B2663" s="2">
        <v>45648.81701230324</v>
      </c>
      <c r="C2663" t="s">
        <v>3</v>
      </c>
      <c r="D2663" t="s">
        <v>1046</v>
      </c>
      <c r="E2663" s="5">
        <v>35.76</v>
      </c>
      <c r="F2663" t="s">
        <v>9</v>
      </c>
    </row>
    <row r="2664" spans="1:6">
      <c r="A2664" s="1">
        <v>45648</v>
      </c>
      <c r="B2664" s="2">
        <v>45648.913411504633</v>
      </c>
      <c r="C2664" t="s">
        <v>3</v>
      </c>
      <c r="D2664" t="s">
        <v>1047</v>
      </c>
      <c r="E2664" s="5">
        <v>35.76</v>
      </c>
      <c r="F2664" t="s">
        <v>18</v>
      </c>
    </row>
    <row r="2665" spans="1:6">
      <c r="A2665" s="1">
        <v>45648</v>
      </c>
      <c r="B2665" s="2">
        <v>45648.91454046296</v>
      </c>
      <c r="C2665" t="s">
        <v>3</v>
      </c>
      <c r="D2665" t="s">
        <v>1048</v>
      </c>
      <c r="E2665" s="5">
        <v>25.96</v>
      </c>
      <c r="F2665" t="s">
        <v>28</v>
      </c>
    </row>
    <row r="2666" spans="1:6">
      <c r="A2666" s="1">
        <v>45657</v>
      </c>
      <c r="B2666" s="2">
        <v>45657.400578831017</v>
      </c>
      <c r="C2666" t="s">
        <v>3</v>
      </c>
      <c r="D2666" t="s">
        <v>1048</v>
      </c>
      <c r="E2666" s="5">
        <v>35.76</v>
      </c>
      <c r="F2666" t="s">
        <v>43</v>
      </c>
    </row>
    <row r="2667" spans="1:6">
      <c r="A2667" s="1">
        <v>45657</v>
      </c>
      <c r="B2667" s="2">
        <v>45657.402563333337</v>
      </c>
      <c r="C2667" t="s">
        <v>3</v>
      </c>
      <c r="D2667" t="s">
        <v>1048</v>
      </c>
      <c r="E2667" s="5">
        <v>25.96</v>
      </c>
      <c r="F2667" t="s">
        <v>28</v>
      </c>
    </row>
    <row r="2668" spans="1:6">
      <c r="A2668" s="1">
        <v>45661</v>
      </c>
      <c r="B2668" s="2">
        <v>45661.67563888889</v>
      </c>
      <c r="C2668" t="s">
        <v>3</v>
      </c>
      <c r="D2668" t="s">
        <v>1048</v>
      </c>
      <c r="E2668" s="5">
        <v>30.86</v>
      </c>
      <c r="F2668" t="s">
        <v>14</v>
      </c>
    </row>
    <row r="2669" spans="1:6">
      <c r="A2669" s="1">
        <v>45661</v>
      </c>
      <c r="B2669" s="2">
        <v>45661.6765069213</v>
      </c>
      <c r="C2669" t="s">
        <v>3</v>
      </c>
      <c r="D2669" t="s">
        <v>1048</v>
      </c>
      <c r="E2669" s="5">
        <v>35.76</v>
      </c>
      <c r="F2669" t="s">
        <v>43</v>
      </c>
    </row>
    <row r="2670" spans="1:6">
      <c r="A2670" s="1">
        <v>45661</v>
      </c>
      <c r="B2670" s="2">
        <v>45661.677907696758</v>
      </c>
      <c r="C2670" t="s">
        <v>3</v>
      </c>
      <c r="D2670" t="s">
        <v>1048</v>
      </c>
      <c r="E2670" s="5">
        <v>35.76</v>
      </c>
      <c r="F2670" t="s">
        <v>43</v>
      </c>
    </row>
    <row r="2671" spans="1:6">
      <c r="A2671" s="1">
        <v>45661</v>
      </c>
      <c r="B2671" s="2">
        <v>45661.679213877316</v>
      </c>
      <c r="C2671" t="s">
        <v>3</v>
      </c>
      <c r="D2671" t="s">
        <v>1048</v>
      </c>
      <c r="E2671" s="5">
        <v>25.96</v>
      </c>
      <c r="F2671" t="s">
        <v>28</v>
      </c>
    </row>
    <row r="2672" spans="1:6">
      <c r="A2672" s="1">
        <v>45665</v>
      </c>
      <c r="B2672" s="2">
        <v>45665.437832557873</v>
      </c>
      <c r="C2672" t="s">
        <v>3</v>
      </c>
      <c r="D2672" t="s">
        <v>1048</v>
      </c>
      <c r="E2672" s="5">
        <v>25.96</v>
      </c>
      <c r="F2672" t="s">
        <v>28</v>
      </c>
    </row>
    <row r="2673" spans="1:6">
      <c r="A2673" s="1">
        <v>45670</v>
      </c>
      <c r="B2673" s="2">
        <v>45670.543711168983</v>
      </c>
      <c r="C2673" t="s">
        <v>3</v>
      </c>
      <c r="D2673" t="s">
        <v>1048</v>
      </c>
      <c r="E2673" s="5">
        <v>25.96</v>
      </c>
      <c r="F2673" t="s">
        <v>28</v>
      </c>
    </row>
    <row r="2674" spans="1:6">
      <c r="A2674" s="1">
        <v>45681</v>
      </c>
      <c r="B2674" s="2">
        <v>45681.571030046296</v>
      </c>
      <c r="C2674" t="s">
        <v>3</v>
      </c>
      <c r="D2674" t="s">
        <v>1048</v>
      </c>
      <c r="E2674" s="5">
        <v>35.76</v>
      </c>
      <c r="F2674" t="s">
        <v>43</v>
      </c>
    </row>
    <row r="2675" spans="1:6">
      <c r="A2675" s="1">
        <v>45681</v>
      </c>
      <c r="B2675" s="2">
        <v>45681.571962789349</v>
      </c>
      <c r="C2675" t="s">
        <v>3</v>
      </c>
      <c r="D2675" t="s">
        <v>1048</v>
      </c>
      <c r="E2675" s="5">
        <v>25.96</v>
      </c>
      <c r="F2675" t="s">
        <v>28</v>
      </c>
    </row>
    <row r="2676" spans="1:6">
      <c r="A2676" s="1">
        <v>45649</v>
      </c>
      <c r="B2676" s="2">
        <v>45649.587172858795</v>
      </c>
      <c r="C2676" t="s">
        <v>3</v>
      </c>
      <c r="D2676" t="s">
        <v>1049</v>
      </c>
      <c r="E2676" s="5">
        <v>35.76</v>
      </c>
      <c r="F2676" t="s">
        <v>7</v>
      </c>
    </row>
    <row r="2677" spans="1:6">
      <c r="A2677" s="1">
        <v>45649</v>
      </c>
      <c r="B2677" s="2">
        <v>45649.625274062499</v>
      </c>
      <c r="C2677" t="s">
        <v>3</v>
      </c>
      <c r="D2677" t="s">
        <v>1050</v>
      </c>
      <c r="E2677" s="5">
        <v>30.86</v>
      </c>
      <c r="F2677" t="s">
        <v>14</v>
      </c>
    </row>
    <row r="2678" spans="1:6">
      <c r="A2678" s="1">
        <v>45649</v>
      </c>
      <c r="B2678" s="2">
        <v>45649.723153877312</v>
      </c>
      <c r="C2678" t="s">
        <v>3</v>
      </c>
      <c r="D2678" t="s">
        <v>1051</v>
      </c>
      <c r="E2678" s="5">
        <v>25.96</v>
      </c>
      <c r="F2678" t="s">
        <v>28</v>
      </c>
    </row>
    <row r="2679" spans="1:6">
      <c r="A2679" s="1">
        <v>45649</v>
      </c>
      <c r="B2679" s="2">
        <v>45649.724077511572</v>
      </c>
      <c r="C2679" t="s">
        <v>3</v>
      </c>
      <c r="D2679" t="s">
        <v>1051</v>
      </c>
      <c r="E2679" s="5">
        <v>35.76</v>
      </c>
      <c r="F2679" t="s">
        <v>7</v>
      </c>
    </row>
    <row r="2680" spans="1:6">
      <c r="A2680" s="1">
        <v>45650</v>
      </c>
      <c r="B2680" s="2">
        <v>45650.632447002317</v>
      </c>
      <c r="C2680" t="s">
        <v>3</v>
      </c>
      <c r="D2680" t="s">
        <v>1052</v>
      </c>
      <c r="E2680" s="5">
        <v>30.86</v>
      </c>
      <c r="F2680" t="s">
        <v>14</v>
      </c>
    </row>
    <row r="2681" spans="1:6">
      <c r="A2681" s="1">
        <v>45650</v>
      </c>
      <c r="B2681" s="2">
        <v>45650.672663541663</v>
      </c>
      <c r="C2681" t="s">
        <v>3</v>
      </c>
      <c r="D2681" t="s">
        <v>1053</v>
      </c>
      <c r="E2681" s="5">
        <v>35.76</v>
      </c>
      <c r="F2681" t="s">
        <v>9</v>
      </c>
    </row>
    <row r="2682" spans="1:6">
      <c r="A2682" s="1">
        <v>45650</v>
      </c>
      <c r="B2682" s="2">
        <v>45650.799030925926</v>
      </c>
      <c r="C2682" t="s">
        <v>3</v>
      </c>
      <c r="D2682" t="s">
        <v>1053</v>
      </c>
      <c r="E2682" s="5">
        <v>35.76</v>
      </c>
      <c r="F2682" t="s">
        <v>9</v>
      </c>
    </row>
    <row r="2683" spans="1:6">
      <c r="A2683" s="1">
        <v>45650</v>
      </c>
      <c r="B2683" s="2">
        <v>45650.800404884256</v>
      </c>
      <c r="C2683" t="s">
        <v>3</v>
      </c>
      <c r="D2683" t="s">
        <v>1053</v>
      </c>
      <c r="E2683" s="5">
        <v>21.06</v>
      </c>
      <c r="F2683" t="s">
        <v>35</v>
      </c>
    </row>
    <row r="2684" spans="1:6">
      <c r="A2684" s="1">
        <v>45650</v>
      </c>
      <c r="B2684" s="2">
        <v>45650.799732222222</v>
      </c>
      <c r="C2684" t="s">
        <v>3</v>
      </c>
      <c r="D2684" t="s">
        <v>1054</v>
      </c>
      <c r="E2684" s="5">
        <v>35.76</v>
      </c>
      <c r="F2684" t="s">
        <v>7</v>
      </c>
    </row>
    <row r="2685" spans="1:6">
      <c r="A2685" s="1">
        <v>45651</v>
      </c>
      <c r="B2685" s="2">
        <v>45651.447185405093</v>
      </c>
      <c r="C2685" t="s">
        <v>3</v>
      </c>
      <c r="D2685" t="s">
        <v>1055</v>
      </c>
      <c r="E2685" s="5">
        <v>35.76</v>
      </c>
      <c r="F2685" t="s">
        <v>7</v>
      </c>
    </row>
    <row r="2686" spans="1:6">
      <c r="A2686" s="1">
        <v>45651</v>
      </c>
      <c r="B2686" s="2">
        <v>45651.44794421296</v>
      </c>
      <c r="C2686" t="s">
        <v>3</v>
      </c>
      <c r="D2686" t="s">
        <v>1055</v>
      </c>
      <c r="E2686" s="5">
        <v>35.76</v>
      </c>
      <c r="F2686" t="s">
        <v>7</v>
      </c>
    </row>
    <row r="2687" spans="1:6">
      <c r="A2687" s="1">
        <v>45651</v>
      </c>
      <c r="B2687" s="2">
        <v>45651.524343576391</v>
      </c>
      <c r="C2687" t="s">
        <v>3</v>
      </c>
      <c r="D2687" t="s">
        <v>1056</v>
      </c>
      <c r="E2687" s="5">
        <v>30.86</v>
      </c>
      <c r="F2687" t="s">
        <v>14</v>
      </c>
    </row>
    <row r="2688" spans="1:6">
      <c r="A2688" s="1">
        <v>45651</v>
      </c>
      <c r="B2688" s="2">
        <v>45651.525000914349</v>
      </c>
      <c r="C2688" t="s">
        <v>3</v>
      </c>
      <c r="D2688" t="s">
        <v>1056</v>
      </c>
      <c r="E2688" s="5">
        <v>25.96</v>
      </c>
      <c r="F2688" t="s">
        <v>11</v>
      </c>
    </row>
    <row r="2689" spans="1:6">
      <c r="A2689" s="1">
        <v>45651</v>
      </c>
      <c r="B2689" s="2">
        <v>45651.553604155095</v>
      </c>
      <c r="C2689" t="s">
        <v>3</v>
      </c>
      <c r="D2689" t="s">
        <v>1057</v>
      </c>
      <c r="E2689" s="5">
        <v>30.86</v>
      </c>
      <c r="F2689" t="s">
        <v>14</v>
      </c>
    </row>
    <row r="2690" spans="1:6">
      <c r="A2690" s="1">
        <v>45651</v>
      </c>
      <c r="B2690" s="2">
        <v>45651.564439178241</v>
      </c>
      <c r="C2690" t="s">
        <v>3</v>
      </c>
      <c r="D2690" t="s">
        <v>1058</v>
      </c>
      <c r="E2690" s="5">
        <v>25.96</v>
      </c>
      <c r="F2690" t="s">
        <v>11</v>
      </c>
    </row>
    <row r="2691" spans="1:6">
      <c r="A2691" s="1">
        <v>45651</v>
      </c>
      <c r="B2691" s="2">
        <v>45651.888076898147</v>
      </c>
      <c r="C2691" t="s">
        <v>3</v>
      </c>
      <c r="D2691" t="s">
        <v>1059</v>
      </c>
      <c r="E2691" s="5">
        <v>35.76</v>
      </c>
      <c r="F2691" t="s">
        <v>18</v>
      </c>
    </row>
    <row r="2692" spans="1:6">
      <c r="A2692" s="1">
        <v>45651</v>
      </c>
      <c r="B2692" s="2">
        <v>45651.888681631943</v>
      </c>
      <c r="C2692" t="s">
        <v>3</v>
      </c>
      <c r="D2692" t="s">
        <v>1059</v>
      </c>
      <c r="E2692" s="5">
        <v>35.76</v>
      </c>
      <c r="F2692" t="s">
        <v>18</v>
      </c>
    </row>
    <row r="2693" spans="1:6">
      <c r="A2693" s="1">
        <v>45667</v>
      </c>
      <c r="B2693" s="2">
        <v>45667.747145335648</v>
      </c>
      <c r="C2693" t="s">
        <v>3</v>
      </c>
      <c r="D2693" t="s">
        <v>1059</v>
      </c>
      <c r="E2693" s="5">
        <v>35.76</v>
      </c>
      <c r="F2693" t="s">
        <v>9</v>
      </c>
    </row>
    <row r="2694" spans="1:6">
      <c r="A2694" s="1">
        <v>45673</v>
      </c>
      <c r="B2694" s="2">
        <v>45673.88610787037</v>
      </c>
      <c r="C2694" t="s">
        <v>3</v>
      </c>
      <c r="D2694" t="s">
        <v>1059</v>
      </c>
      <c r="E2694" s="5">
        <v>35.76</v>
      </c>
      <c r="F2694" t="s">
        <v>9</v>
      </c>
    </row>
    <row r="2695" spans="1:6">
      <c r="A2695" s="1">
        <v>45673</v>
      </c>
      <c r="B2695" s="2">
        <v>45673.886796030092</v>
      </c>
      <c r="C2695" t="s">
        <v>3</v>
      </c>
      <c r="D2695" t="s">
        <v>1059</v>
      </c>
      <c r="E2695" s="5">
        <v>35.76</v>
      </c>
      <c r="F2695" t="s">
        <v>9</v>
      </c>
    </row>
    <row r="2696" spans="1:6">
      <c r="A2696" s="1">
        <v>45681</v>
      </c>
      <c r="B2696" s="2">
        <v>45681.886417187503</v>
      </c>
      <c r="C2696" t="s">
        <v>3</v>
      </c>
      <c r="D2696" t="s">
        <v>1059</v>
      </c>
      <c r="E2696" s="5">
        <v>35.76</v>
      </c>
      <c r="F2696" t="s">
        <v>18</v>
      </c>
    </row>
    <row r="2697" spans="1:6">
      <c r="A2697" s="1">
        <v>45651</v>
      </c>
      <c r="B2697" s="2">
        <v>45651.914933680557</v>
      </c>
      <c r="C2697" t="s">
        <v>3</v>
      </c>
      <c r="D2697" t="s">
        <v>1060</v>
      </c>
      <c r="E2697" s="5">
        <v>35.76</v>
      </c>
      <c r="F2697" t="s">
        <v>7</v>
      </c>
    </row>
    <row r="2698" spans="1:6">
      <c r="A2698" s="1">
        <v>45652</v>
      </c>
      <c r="B2698" s="2">
        <v>45652.550439120372</v>
      </c>
      <c r="C2698" t="s">
        <v>3</v>
      </c>
      <c r="D2698" t="s">
        <v>1061</v>
      </c>
      <c r="E2698" s="5">
        <v>35.76</v>
      </c>
      <c r="F2698" t="s">
        <v>43</v>
      </c>
    </row>
    <row r="2699" spans="1:6">
      <c r="A2699" s="1">
        <v>45652</v>
      </c>
      <c r="B2699" s="2">
        <v>45652.628176747683</v>
      </c>
      <c r="C2699" t="s">
        <v>3</v>
      </c>
      <c r="D2699" t="s">
        <v>1062</v>
      </c>
      <c r="E2699" s="5">
        <v>21.06</v>
      </c>
      <c r="F2699" t="s">
        <v>35</v>
      </c>
    </row>
    <row r="2700" spans="1:6">
      <c r="A2700" s="1">
        <v>45653</v>
      </c>
      <c r="B2700" s="2">
        <v>45653.326628599534</v>
      </c>
      <c r="C2700" t="s">
        <v>3</v>
      </c>
      <c r="D2700" t="s">
        <v>1063</v>
      </c>
      <c r="E2700" s="5">
        <v>25.96</v>
      </c>
      <c r="F2700" t="s">
        <v>11</v>
      </c>
    </row>
    <row r="2701" spans="1:6">
      <c r="A2701" s="1">
        <v>45653</v>
      </c>
      <c r="B2701" s="2">
        <v>45653.716720381941</v>
      </c>
      <c r="C2701" t="s">
        <v>3</v>
      </c>
      <c r="D2701" t="s">
        <v>1064</v>
      </c>
      <c r="E2701" s="5">
        <v>35.76</v>
      </c>
      <c r="F2701" t="s">
        <v>7</v>
      </c>
    </row>
    <row r="2702" spans="1:6">
      <c r="A2702" s="1">
        <v>45653</v>
      </c>
      <c r="B2702" s="2">
        <v>45653.824627951391</v>
      </c>
      <c r="C2702" t="s">
        <v>3</v>
      </c>
      <c r="D2702" t="s">
        <v>1065</v>
      </c>
      <c r="E2702" s="5">
        <v>25.96</v>
      </c>
      <c r="F2702" t="s">
        <v>11</v>
      </c>
    </row>
    <row r="2703" spans="1:6">
      <c r="A2703" s="1">
        <v>45653</v>
      </c>
      <c r="B2703" s="2">
        <v>45653.825250497684</v>
      </c>
      <c r="C2703" t="s">
        <v>3</v>
      </c>
      <c r="D2703" t="s">
        <v>1065</v>
      </c>
      <c r="E2703" s="5">
        <v>30.86</v>
      </c>
      <c r="F2703" t="s">
        <v>14</v>
      </c>
    </row>
    <row r="2704" spans="1:6">
      <c r="A2704" s="1">
        <v>45679</v>
      </c>
      <c r="B2704" s="2">
        <v>45679.798912488426</v>
      </c>
      <c r="C2704" t="s">
        <v>3</v>
      </c>
      <c r="D2704" t="s">
        <v>1065</v>
      </c>
      <c r="E2704" s="5">
        <v>30.86</v>
      </c>
      <c r="F2704" t="s">
        <v>14</v>
      </c>
    </row>
    <row r="2705" spans="1:6">
      <c r="A2705" s="1">
        <v>45679</v>
      </c>
      <c r="B2705" s="2">
        <v>45679.799573194447</v>
      </c>
      <c r="C2705" t="s">
        <v>3</v>
      </c>
      <c r="D2705" t="s">
        <v>1065</v>
      </c>
      <c r="E2705" s="5">
        <v>35.76</v>
      </c>
      <c r="F2705" t="s">
        <v>43</v>
      </c>
    </row>
    <row r="2706" spans="1:6">
      <c r="A2706" s="1">
        <v>45654</v>
      </c>
      <c r="B2706" s="2">
        <v>45654.59029266204</v>
      </c>
      <c r="C2706" t="s">
        <v>3</v>
      </c>
      <c r="D2706" t="s">
        <v>1066</v>
      </c>
      <c r="E2706" s="5">
        <v>35.76</v>
      </c>
      <c r="F2706" t="s">
        <v>43</v>
      </c>
    </row>
    <row r="2707" spans="1:6">
      <c r="A2707" s="1">
        <v>45654</v>
      </c>
      <c r="B2707" s="2">
        <v>45654.592562025464</v>
      </c>
      <c r="C2707" t="s">
        <v>3</v>
      </c>
      <c r="D2707" t="s">
        <v>1067</v>
      </c>
      <c r="E2707" s="5">
        <v>35.76</v>
      </c>
      <c r="F2707" t="s">
        <v>9</v>
      </c>
    </row>
    <row r="2708" spans="1:6">
      <c r="A2708" s="1">
        <v>45654</v>
      </c>
      <c r="B2708" s="2">
        <v>45654.924326631946</v>
      </c>
      <c r="C2708" t="s">
        <v>3</v>
      </c>
      <c r="D2708" t="s">
        <v>1068</v>
      </c>
      <c r="E2708" s="5">
        <v>35.76</v>
      </c>
      <c r="F2708" t="s">
        <v>43</v>
      </c>
    </row>
    <row r="2709" spans="1:6">
      <c r="A2709" s="1">
        <v>45655</v>
      </c>
      <c r="B2709" s="2">
        <v>45655.628086018522</v>
      </c>
      <c r="C2709" t="s">
        <v>3</v>
      </c>
      <c r="D2709" t="s">
        <v>1069</v>
      </c>
      <c r="E2709" s="5">
        <v>21.06</v>
      </c>
      <c r="F2709" t="s">
        <v>35</v>
      </c>
    </row>
    <row r="2710" spans="1:6">
      <c r="A2710" s="1">
        <v>45655</v>
      </c>
      <c r="B2710" s="2">
        <v>45655.628661145834</v>
      </c>
      <c r="C2710" t="s">
        <v>3</v>
      </c>
      <c r="D2710" t="s">
        <v>1069</v>
      </c>
      <c r="E2710" s="5">
        <v>25.96</v>
      </c>
      <c r="F2710" t="s">
        <v>11</v>
      </c>
    </row>
    <row r="2711" spans="1:6">
      <c r="A2711" s="1">
        <v>45655</v>
      </c>
      <c r="B2711" s="2">
        <v>45655.729218900466</v>
      </c>
      <c r="C2711" t="s">
        <v>3</v>
      </c>
      <c r="D2711" t="s">
        <v>1070</v>
      </c>
      <c r="E2711" s="5">
        <v>25.96</v>
      </c>
      <c r="F2711" t="s">
        <v>28</v>
      </c>
    </row>
    <row r="2712" spans="1:6">
      <c r="A2712" s="1">
        <v>45655</v>
      </c>
      <c r="B2712" s="2">
        <v>45655.730401643516</v>
      </c>
      <c r="C2712" t="s">
        <v>3</v>
      </c>
      <c r="D2712" t="s">
        <v>1071</v>
      </c>
      <c r="E2712" s="5">
        <v>21.06</v>
      </c>
      <c r="F2712" t="s">
        <v>35</v>
      </c>
    </row>
    <row r="2713" spans="1:6">
      <c r="A2713" s="1">
        <v>45655</v>
      </c>
      <c r="B2713" s="2">
        <v>45655.851322118055</v>
      </c>
      <c r="C2713" t="s">
        <v>3</v>
      </c>
      <c r="D2713" t="s">
        <v>1072</v>
      </c>
      <c r="E2713" s="5">
        <v>35.76</v>
      </c>
      <c r="F2713" t="s">
        <v>9</v>
      </c>
    </row>
    <row r="2714" spans="1:6">
      <c r="A2714" s="1">
        <v>45656</v>
      </c>
      <c r="B2714" s="2">
        <v>45656.578140694444</v>
      </c>
      <c r="C2714" t="s">
        <v>3</v>
      </c>
      <c r="D2714" t="s">
        <v>1073</v>
      </c>
      <c r="E2714" s="5">
        <v>35.76</v>
      </c>
      <c r="F2714" t="s">
        <v>7</v>
      </c>
    </row>
    <row r="2715" spans="1:6">
      <c r="A2715" s="1">
        <v>45656</v>
      </c>
      <c r="B2715" s="2">
        <v>45656.578926539354</v>
      </c>
      <c r="C2715" t="s">
        <v>3</v>
      </c>
      <c r="D2715" t="s">
        <v>1073</v>
      </c>
      <c r="E2715" s="5">
        <v>35.76</v>
      </c>
      <c r="F2715" t="s">
        <v>9</v>
      </c>
    </row>
    <row r="2716" spans="1:6">
      <c r="A2716" s="1">
        <v>45656</v>
      </c>
      <c r="B2716" s="2">
        <v>45656.68852693287</v>
      </c>
      <c r="C2716" t="s">
        <v>3</v>
      </c>
      <c r="D2716" t="s">
        <v>1074</v>
      </c>
      <c r="E2716" s="5">
        <v>25.96</v>
      </c>
      <c r="F2716" t="s">
        <v>11</v>
      </c>
    </row>
    <row r="2717" spans="1:6">
      <c r="A2717" s="1">
        <v>45657</v>
      </c>
      <c r="B2717" s="2">
        <v>45657.406580150462</v>
      </c>
      <c r="C2717" t="s">
        <v>3</v>
      </c>
      <c r="D2717" t="s">
        <v>1075</v>
      </c>
      <c r="E2717" s="5">
        <v>35.76</v>
      </c>
      <c r="F2717" t="s">
        <v>18</v>
      </c>
    </row>
    <row r="2718" spans="1:6">
      <c r="A2718" s="1">
        <v>45657</v>
      </c>
      <c r="B2718" s="2">
        <v>45657.435335324073</v>
      </c>
      <c r="C2718" t="s">
        <v>3</v>
      </c>
      <c r="D2718" t="s">
        <v>1076</v>
      </c>
      <c r="E2718" s="5">
        <v>30.86</v>
      </c>
      <c r="F2718" t="s">
        <v>14</v>
      </c>
    </row>
    <row r="2719" spans="1:6">
      <c r="A2719" s="1">
        <v>45657</v>
      </c>
      <c r="B2719" s="2">
        <v>45657.437132071762</v>
      </c>
      <c r="C2719" t="s">
        <v>3</v>
      </c>
      <c r="D2719" t="s">
        <v>1076</v>
      </c>
      <c r="E2719" s="5">
        <v>30.86</v>
      </c>
      <c r="F2719" t="s">
        <v>14</v>
      </c>
    </row>
    <row r="2720" spans="1:6">
      <c r="A2720" s="1">
        <v>45657</v>
      </c>
      <c r="B2720" s="2">
        <v>45657.67174633102</v>
      </c>
      <c r="C2720" t="s">
        <v>3</v>
      </c>
      <c r="D2720" t="s">
        <v>1077</v>
      </c>
      <c r="E2720" s="5">
        <v>35.76</v>
      </c>
      <c r="F2720" t="s">
        <v>43</v>
      </c>
    </row>
    <row r="2721" spans="1:6">
      <c r="A2721" s="1">
        <v>45657</v>
      </c>
      <c r="B2721" s="2">
        <v>45657.729777604167</v>
      </c>
      <c r="C2721" t="s">
        <v>3</v>
      </c>
      <c r="D2721" t="s">
        <v>1078</v>
      </c>
      <c r="E2721" s="5">
        <v>30.86</v>
      </c>
      <c r="F2721" t="s">
        <v>14</v>
      </c>
    </row>
    <row r="2722" spans="1:6">
      <c r="A2722" s="1">
        <v>45657</v>
      </c>
      <c r="B2722" s="2">
        <v>45657.73042295139</v>
      </c>
      <c r="C2722" t="s">
        <v>3</v>
      </c>
      <c r="D2722" t="s">
        <v>1079</v>
      </c>
      <c r="E2722" s="5">
        <v>35.76</v>
      </c>
      <c r="F2722" t="s">
        <v>43</v>
      </c>
    </row>
    <row r="2723" spans="1:6">
      <c r="A2723" s="1">
        <v>45657</v>
      </c>
      <c r="B2723" s="2">
        <v>45657.796821909724</v>
      </c>
      <c r="C2723" t="s">
        <v>3</v>
      </c>
      <c r="D2723" t="s">
        <v>1080</v>
      </c>
      <c r="E2723" s="5">
        <v>35.76</v>
      </c>
      <c r="F2723" t="s">
        <v>7</v>
      </c>
    </row>
    <row r="2724" spans="1:6">
      <c r="A2724" s="1">
        <v>45657</v>
      </c>
      <c r="B2724" s="2">
        <v>45657.797672442131</v>
      </c>
      <c r="C2724" t="s">
        <v>3</v>
      </c>
      <c r="D2724" t="s">
        <v>1080</v>
      </c>
      <c r="E2724" s="5">
        <v>35.76</v>
      </c>
      <c r="F2724" t="s">
        <v>9</v>
      </c>
    </row>
    <row r="2725" spans="1:6">
      <c r="A2725" s="1">
        <v>45659</v>
      </c>
      <c r="B2725" s="2">
        <v>45659.562270000002</v>
      </c>
      <c r="C2725" t="s">
        <v>3</v>
      </c>
      <c r="D2725" t="s">
        <v>1081</v>
      </c>
      <c r="E2725" s="5">
        <v>35.76</v>
      </c>
      <c r="F2725" t="s">
        <v>18</v>
      </c>
    </row>
    <row r="2726" spans="1:6">
      <c r="A2726" s="1">
        <v>45659</v>
      </c>
      <c r="B2726" s="2">
        <v>45659.562948148145</v>
      </c>
      <c r="C2726" t="s">
        <v>3</v>
      </c>
      <c r="D2726" t="s">
        <v>1081</v>
      </c>
      <c r="E2726" s="5">
        <v>35.76</v>
      </c>
      <c r="F2726" t="s">
        <v>18</v>
      </c>
    </row>
    <row r="2727" spans="1:6">
      <c r="A2727" s="1">
        <v>45659</v>
      </c>
      <c r="B2727" s="2">
        <v>45659.611928171296</v>
      </c>
      <c r="C2727" t="s">
        <v>3</v>
      </c>
      <c r="D2727" t="s">
        <v>1082</v>
      </c>
      <c r="E2727" s="5">
        <v>25.96</v>
      </c>
      <c r="F2727" t="s">
        <v>28</v>
      </c>
    </row>
    <row r="2728" spans="1:6">
      <c r="A2728" s="1">
        <v>45659</v>
      </c>
      <c r="B2728" s="2">
        <v>45659.613030636574</v>
      </c>
      <c r="C2728" t="s">
        <v>3</v>
      </c>
      <c r="D2728" t="s">
        <v>1082</v>
      </c>
      <c r="E2728" s="5">
        <v>25.96</v>
      </c>
      <c r="F2728" t="s">
        <v>28</v>
      </c>
    </row>
    <row r="2729" spans="1:6">
      <c r="A2729" s="1">
        <v>45659</v>
      </c>
      <c r="B2729" s="2">
        <v>45659.682319293985</v>
      </c>
      <c r="C2729" t="s">
        <v>3</v>
      </c>
      <c r="D2729" t="s">
        <v>1083</v>
      </c>
      <c r="E2729" s="5">
        <v>25.96</v>
      </c>
      <c r="F2729" t="s">
        <v>11</v>
      </c>
    </row>
    <row r="2730" spans="1:6">
      <c r="A2730" s="1">
        <v>45686</v>
      </c>
      <c r="B2730" s="2">
        <v>45686.401934745372</v>
      </c>
      <c r="C2730" t="s">
        <v>3</v>
      </c>
      <c r="D2730" t="s">
        <v>1083</v>
      </c>
      <c r="E2730" s="5">
        <v>25.96</v>
      </c>
      <c r="F2730" t="s">
        <v>11</v>
      </c>
    </row>
    <row r="2731" spans="1:6">
      <c r="A2731" s="1">
        <v>45687</v>
      </c>
      <c r="B2731" s="2">
        <v>45687.766743657405</v>
      </c>
      <c r="C2731" t="s">
        <v>3</v>
      </c>
      <c r="D2731" t="s">
        <v>1083</v>
      </c>
      <c r="E2731" s="5">
        <v>30.86</v>
      </c>
      <c r="F2731" t="s">
        <v>14</v>
      </c>
    </row>
    <row r="2732" spans="1:6">
      <c r="A2732" s="1">
        <v>45689</v>
      </c>
      <c r="B2732" s="2">
        <v>45689.659710081018</v>
      </c>
      <c r="C2732" t="s">
        <v>3</v>
      </c>
      <c r="D2732" t="s">
        <v>1083</v>
      </c>
      <c r="E2732" s="5">
        <v>35.76</v>
      </c>
      <c r="F2732" t="s">
        <v>7</v>
      </c>
    </row>
    <row r="2733" spans="1:6">
      <c r="A2733" s="1">
        <v>45660</v>
      </c>
      <c r="B2733" s="2">
        <v>45660.707053472222</v>
      </c>
      <c r="C2733" t="s">
        <v>3</v>
      </c>
      <c r="D2733" t="s">
        <v>1084</v>
      </c>
      <c r="E2733" s="5">
        <v>30.86</v>
      </c>
      <c r="F2733" t="s">
        <v>14</v>
      </c>
    </row>
    <row r="2734" spans="1:6">
      <c r="A2734" s="1">
        <v>45660</v>
      </c>
      <c r="B2734" s="2">
        <v>45660.929402303242</v>
      </c>
      <c r="C2734" t="s">
        <v>3</v>
      </c>
      <c r="D2734" t="s">
        <v>1085</v>
      </c>
      <c r="E2734" s="5">
        <v>25.96</v>
      </c>
      <c r="F2734" t="s">
        <v>11</v>
      </c>
    </row>
    <row r="2735" spans="1:6">
      <c r="A2735" s="1">
        <v>45660</v>
      </c>
      <c r="B2735" s="2">
        <v>45660.930027245369</v>
      </c>
      <c r="C2735" t="s">
        <v>3</v>
      </c>
      <c r="D2735" t="s">
        <v>1086</v>
      </c>
      <c r="E2735" s="5">
        <v>25.96</v>
      </c>
      <c r="F2735" t="s">
        <v>11</v>
      </c>
    </row>
    <row r="2736" spans="1:6">
      <c r="A2736" s="1">
        <v>45661</v>
      </c>
      <c r="B2736" s="2">
        <v>45661.416293796297</v>
      </c>
      <c r="C2736" t="s">
        <v>3</v>
      </c>
      <c r="D2736" t="s">
        <v>1087</v>
      </c>
      <c r="E2736" s="5">
        <v>25.96</v>
      </c>
      <c r="F2736" t="s">
        <v>11</v>
      </c>
    </row>
    <row r="2737" spans="1:6">
      <c r="A2737" s="1">
        <v>45661</v>
      </c>
      <c r="B2737" s="2">
        <v>45661.569447754628</v>
      </c>
      <c r="C2737" t="s">
        <v>3</v>
      </c>
      <c r="D2737" t="s">
        <v>1088</v>
      </c>
      <c r="E2737" s="5">
        <v>35.76</v>
      </c>
      <c r="F2737" t="s">
        <v>43</v>
      </c>
    </row>
    <row r="2738" spans="1:6">
      <c r="A2738" s="1">
        <v>45661</v>
      </c>
      <c r="B2738" s="2">
        <v>45661.758093263888</v>
      </c>
      <c r="C2738" t="s">
        <v>3</v>
      </c>
      <c r="D2738" t="s">
        <v>1089</v>
      </c>
      <c r="E2738" s="5">
        <v>25.96</v>
      </c>
      <c r="F2738" t="s">
        <v>11</v>
      </c>
    </row>
    <row r="2739" spans="1:6">
      <c r="A2739" s="1">
        <v>45662</v>
      </c>
      <c r="B2739" s="2">
        <v>45662.406918726854</v>
      </c>
      <c r="C2739" t="s">
        <v>3</v>
      </c>
      <c r="D2739" t="s">
        <v>1090</v>
      </c>
      <c r="E2739" s="5">
        <v>30.86</v>
      </c>
      <c r="F2739" t="s">
        <v>14</v>
      </c>
    </row>
    <row r="2740" spans="1:6">
      <c r="A2740" s="1">
        <v>45662</v>
      </c>
      <c r="B2740" s="2">
        <v>45662.45348196759</v>
      </c>
      <c r="C2740" t="s">
        <v>3</v>
      </c>
      <c r="D2740" t="s">
        <v>1091</v>
      </c>
      <c r="E2740" s="5">
        <v>35.76</v>
      </c>
      <c r="F2740" t="s">
        <v>7</v>
      </c>
    </row>
    <row r="2741" spans="1:6">
      <c r="A2741" s="1">
        <v>45662</v>
      </c>
      <c r="B2741" s="2">
        <v>45662.921718460646</v>
      </c>
      <c r="C2741" t="s">
        <v>3</v>
      </c>
      <c r="D2741" t="s">
        <v>1092</v>
      </c>
      <c r="E2741" s="5">
        <v>30.86</v>
      </c>
      <c r="F2741" t="s">
        <v>14</v>
      </c>
    </row>
    <row r="2742" spans="1:6">
      <c r="A2742" s="1">
        <v>45663</v>
      </c>
      <c r="B2742" s="2">
        <v>45663.832531111111</v>
      </c>
      <c r="C2742" t="s">
        <v>3</v>
      </c>
      <c r="D2742" t="s">
        <v>1093</v>
      </c>
      <c r="E2742" s="5">
        <v>25.96</v>
      </c>
      <c r="F2742" t="s">
        <v>11</v>
      </c>
    </row>
    <row r="2743" spans="1:6">
      <c r="A2743" s="1">
        <v>45664</v>
      </c>
      <c r="B2743" s="2">
        <v>45664.561837835645</v>
      </c>
      <c r="C2743" t="s">
        <v>3</v>
      </c>
      <c r="D2743" t="s">
        <v>1094</v>
      </c>
      <c r="E2743" s="5">
        <v>35.76</v>
      </c>
      <c r="F2743" t="s">
        <v>43</v>
      </c>
    </row>
    <row r="2744" spans="1:6">
      <c r="A2744" s="1">
        <v>45664</v>
      </c>
      <c r="B2744" s="2">
        <v>45664.939410706022</v>
      </c>
      <c r="C2744" t="s">
        <v>3</v>
      </c>
      <c r="D2744" t="s">
        <v>1095</v>
      </c>
      <c r="E2744" s="5">
        <v>35.76</v>
      </c>
      <c r="F2744" t="s">
        <v>18</v>
      </c>
    </row>
    <row r="2745" spans="1:6">
      <c r="A2745" s="1">
        <v>45664</v>
      </c>
      <c r="B2745" s="2">
        <v>45664.940264884259</v>
      </c>
      <c r="C2745" t="s">
        <v>3</v>
      </c>
      <c r="D2745" t="s">
        <v>1095</v>
      </c>
      <c r="E2745" s="5">
        <v>35.76</v>
      </c>
      <c r="F2745" t="s">
        <v>18</v>
      </c>
    </row>
    <row r="2746" spans="1:6">
      <c r="A2746" s="1">
        <v>45665</v>
      </c>
      <c r="B2746" s="2">
        <v>45665.312523368055</v>
      </c>
      <c r="C2746" t="s">
        <v>3</v>
      </c>
      <c r="D2746" t="s">
        <v>1096</v>
      </c>
      <c r="E2746" s="5">
        <v>30.86</v>
      </c>
      <c r="F2746" t="s">
        <v>14</v>
      </c>
    </row>
    <row r="2747" spans="1:6">
      <c r="A2747" s="1">
        <v>45675</v>
      </c>
      <c r="B2747" s="2">
        <v>45675.425442395834</v>
      </c>
      <c r="C2747" t="s">
        <v>3</v>
      </c>
      <c r="D2747" t="s">
        <v>1096</v>
      </c>
      <c r="E2747" s="5">
        <v>30.86</v>
      </c>
      <c r="F2747" t="s">
        <v>14</v>
      </c>
    </row>
    <row r="2748" spans="1:6">
      <c r="A2748" s="1">
        <v>45678</v>
      </c>
      <c r="B2748" s="2">
        <v>45678.346855046293</v>
      </c>
      <c r="C2748" t="s">
        <v>3</v>
      </c>
      <c r="D2748" t="s">
        <v>1096</v>
      </c>
      <c r="E2748" s="5">
        <v>30.86</v>
      </c>
      <c r="F2748" t="s">
        <v>14</v>
      </c>
    </row>
    <row r="2749" spans="1:6">
      <c r="A2749" s="1">
        <v>45665</v>
      </c>
      <c r="B2749" s="2">
        <v>45665.382814143515</v>
      </c>
      <c r="C2749" t="s">
        <v>3</v>
      </c>
      <c r="D2749" t="s">
        <v>1097</v>
      </c>
      <c r="E2749" s="5">
        <v>35.76</v>
      </c>
      <c r="F2749" t="s">
        <v>7</v>
      </c>
    </row>
    <row r="2750" spans="1:6">
      <c r="A2750" s="1">
        <v>45666</v>
      </c>
      <c r="B2750" s="2">
        <v>45666.338282222219</v>
      </c>
      <c r="C2750" t="s">
        <v>3</v>
      </c>
      <c r="D2750" t="s">
        <v>1098</v>
      </c>
      <c r="E2750" s="5">
        <v>25.96</v>
      </c>
      <c r="F2750" t="s">
        <v>11</v>
      </c>
    </row>
    <row r="2751" spans="1:6">
      <c r="A2751" s="1">
        <v>45666</v>
      </c>
      <c r="B2751" s="2">
        <v>45666.650679155093</v>
      </c>
      <c r="C2751" t="s">
        <v>3</v>
      </c>
      <c r="D2751" t="s">
        <v>1099</v>
      </c>
      <c r="E2751" s="5">
        <v>35.76</v>
      </c>
      <c r="F2751" t="s">
        <v>7</v>
      </c>
    </row>
    <row r="2752" spans="1:6">
      <c r="A2752" s="1">
        <v>45667</v>
      </c>
      <c r="B2752" s="2">
        <v>45667.743967256945</v>
      </c>
      <c r="C2752" t="s">
        <v>3</v>
      </c>
      <c r="D2752" t="s">
        <v>1100</v>
      </c>
      <c r="E2752" s="5">
        <v>35.76</v>
      </c>
      <c r="F2752" t="s">
        <v>43</v>
      </c>
    </row>
    <row r="2753" spans="1:6">
      <c r="A2753" s="1">
        <v>45668</v>
      </c>
      <c r="B2753" s="2">
        <v>45668.451172349538</v>
      </c>
      <c r="C2753" t="s">
        <v>3</v>
      </c>
      <c r="D2753" t="s">
        <v>1101</v>
      </c>
      <c r="E2753" s="5">
        <v>35.76</v>
      </c>
      <c r="F2753" t="s">
        <v>9</v>
      </c>
    </row>
    <row r="2754" spans="1:6">
      <c r="A2754" s="1">
        <v>45668</v>
      </c>
      <c r="B2754" s="2">
        <v>45668.467984560186</v>
      </c>
      <c r="C2754" t="s">
        <v>3</v>
      </c>
      <c r="D2754" t="s">
        <v>1102</v>
      </c>
      <c r="E2754" s="5">
        <v>25.96</v>
      </c>
      <c r="F2754" t="s">
        <v>11</v>
      </c>
    </row>
    <row r="2755" spans="1:6">
      <c r="A2755" s="1">
        <v>45668</v>
      </c>
      <c r="B2755" s="2">
        <v>45668.472426064814</v>
      </c>
      <c r="C2755" t="s">
        <v>3</v>
      </c>
      <c r="D2755" t="s">
        <v>1103</v>
      </c>
      <c r="E2755" s="5">
        <v>35.76</v>
      </c>
      <c r="F2755" t="s">
        <v>7</v>
      </c>
    </row>
    <row r="2756" spans="1:6">
      <c r="A2756" s="1">
        <v>45668</v>
      </c>
      <c r="B2756" s="2">
        <v>45668.473212569443</v>
      </c>
      <c r="C2756" t="s">
        <v>3</v>
      </c>
      <c r="D2756" t="s">
        <v>1103</v>
      </c>
      <c r="E2756" s="5">
        <v>35.76</v>
      </c>
      <c r="F2756" t="s">
        <v>7</v>
      </c>
    </row>
    <row r="2757" spans="1:6">
      <c r="A2757" s="1">
        <v>45668</v>
      </c>
      <c r="B2757" s="2">
        <v>45668.507624293983</v>
      </c>
      <c r="C2757" t="s">
        <v>3</v>
      </c>
      <c r="D2757" t="s">
        <v>1103</v>
      </c>
      <c r="E2757" s="5">
        <v>35.76</v>
      </c>
      <c r="F2757" t="s">
        <v>7</v>
      </c>
    </row>
    <row r="2758" spans="1:6">
      <c r="A2758" s="1">
        <v>45668</v>
      </c>
      <c r="B2758" s="2">
        <v>45668.509314629628</v>
      </c>
      <c r="C2758" t="s">
        <v>3</v>
      </c>
      <c r="D2758" t="s">
        <v>1103</v>
      </c>
      <c r="E2758" s="5">
        <v>35.76</v>
      </c>
      <c r="F2758" t="s">
        <v>7</v>
      </c>
    </row>
    <row r="2759" spans="1:6">
      <c r="A2759" s="1">
        <v>45668</v>
      </c>
      <c r="B2759" s="2">
        <v>45668.592301435187</v>
      </c>
      <c r="C2759" t="s">
        <v>3</v>
      </c>
      <c r="D2759" t="s">
        <v>1104</v>
      </c>
      <c r="E2759" s="5">
        <v>30.86</v>
      </c>
      <c r="F2759" t="s">
        <v>14</v>
      </c>
    </row>
    <row r="2760" spans="1:6">
      <c r="A2760" s="1">
        <v>45668</v>
      </c>
      <c r="B2760" s="2">
        <v>45668.59419142361</v>
      </c>
      <c r="C2760" t="s">
        <v>3</v>
      </c>
      <c r="D2760" t="s">
        <v>1105</v>
      </c>
      <c r="E2760" s="5">
        <v>30.86</v>
      </c>
      <c r="F2760" t="s">
        <v>14</v>
      </c>
    </row>
    <row r="2761" spans="1:6">
      <c r="A2761" s="1">
        <v>45668</v>
      </c>
      <c r="B2761" s="2">
        <v>45668.594953020831</v>
      </c>
      <c r="C2761" t="s">
        <v>3</v>
      </c>
      <c r="D2761" t="s">
        <v>1105</v>
      </c>
      <c r="E2761" s="5">
        <v>35.76</v>
      </c>
      <c r="F2761" t="s">
        <v>43</v>
      </c>
    </row>
    <row r="2762" spans="1:6">
      <c r="A2762" s="1">
        <v>45668</v>
      </c>
      <c r="B2762" s="2">
        <v>45668.616006620374</v>
      </c>
      <c r="C2762" t="s">
        <v>3</v>
      </c>
      <c r="D2762" t="s">
        <v>1106</v>
      </c>
      <c r="E2762" s="5">
        <v>35.76</v>
      </c>
      <c r="F2762" t="s">
        <v>7</v>
      </c>
    </row>
    <row r="2763" spans="1:6">
      <c r="A2763" s="1">
        <v>45668</v>
      </c>
      <c r="B2763" s="2">
        <v>45668.721920925927</v>
      </c>
      <c r="C2763" t="s">
        <v>3</v>
      </c>
      <c r="D2763" t="s">
        <v>1107</v>
      </c>
      <c r="E2763" s="5">
        <v>25.96</v>
      </c>
      <c r="F2763" t="s">
        <v>28</v>
      </c>
    </row>
    <row r="2764" spans="1:6">
      <c r="A2764" s="1">
        <v>45668</v>
      </c>
      <c r="B2764" s="2">
        <v>45668.723670196756</v>
      </c>
      <c r="C2764" t="s">
        <v>3</v>
      </c>
      <c r="D2764" t="s">
        <v>1107</v>
      </c>
      <c r="E2764" s="5">
        <v>25.96</v>
      </c>
      <c r="F2764" t="s">
        <v>28</v>
      </c>
    </row>
    <row r="2765" spans="1:6">
      <c r="A2765" s="1">
        <v>45668</v>
      </c>
      <c r="B2765" s="2">
        <v>45668.722879398149</v>
      </c>
      <c r="C2765" t="s">
        <v>3</v>
      </c>
      <c r="D2765" t="s">
        <v>1108</v>
      </c>
      <c r="E2765" s="5">
        <v>35.76</v>
      </c>
      <c r="F2765" t="s">
        <v>7</v>
      </c>
    </row>
    <row r="2766" spans="1:6">
      <c r="A2766" s="1">
        <v>45668</v>
      </c>
      <c r="B2766" s="2">
        <v>45668.751024062498</v>
      </c>
      <c r="C2766" t="s">
        <v>3</v>
      </c>
      <c r="D2766" t="s">
        <v>1109</v>
      </c>
      <c r="E2766" s="5">
        <v>30.86</v>
      </c>
      <c r="F2766" t="s">
        <v>14</v>
      </c>
    </row>
    <row r="2767" spans="1:6">
      <c r="A2767" s="1">
        <v>45669</v>
      </c>
      <c r="B2767" s="2">
        <v>45669.677764386572</v>
      </c>
      <c r="C2767" t="s">
        <v>3</v>
      </c>
      <c r="D2767" t="s">
        <v>1110</v>
      </c>
      <c r="E2767" s="5">
        <v>35.76</v>
      </c>
      <c r="F2767" t="s">
        <v>9</v>
      </c>
    </row>
    <row r="2768" spans="1:6">
      <c r="A2768" s="1">
        <v>45669</v>
      </c>
      <c r="B2768" s="2">
        <v>45669.87227226852</v>
      </c>
      <c r="C2768" t="s">
        <v>3</v>
      </c>
      <c r="D2768" t="s">
        <v>1111</v>
      </c>
      <c r="E2768" s="5">
        <v>30.86</v>
      </c>
      <c r="F2768" t="s">
        <v>14</v>
      </c>
    </row>
    <row r="2769" spans="1:6">
      <c r="A2769" s="1">
        <v>45671</v>
      </c>
      <c r="B2769" s="2">
        <v>45671.876800358797</v>
      </c>
      <c r="C2769" t="s">
        <v>3</v>
      </c>
      <c r="D2769" t="s">
        <v>1111</v>
      </c>
      <c r="E2769" s="5">
        <v>35.76</v>
      </c>
      <c r="F2769" t="s">
        <v>7</v>
      </c>
    </row>
    <row r="2770" spans="1:6">
      <c r="A2770" s="1">
        <v>45672</v>
      </c>
      <c r="B2770" s="2">
        <v>45672.82724658565</v>
      </c>
      <c r="C2770" t="s">
        <v>3</v>
      </c>
      <c r="D2770" t="s">
        <v>1111</v>
      </c>
      <c r="E2770" s="5">
        <v>35.76</v>
      </c>
      <c r="F2770" t="s">
        <v>7</v>
      </c>
    </row>
    <row r="2771" spans="1:6">
      <c r="A2771" s="1">
        <v>45673</v>
      </c>
      <c r="B2771" s="2">
        <v>45673.761081585646</v>
      </c>
      <c r="C2771" t="s">
        <v>3</v>
      </c>
      <c r="D2771" t="s">
        <v>1111</v>
      </c>
      <c r="E2771" s="5">
        <v>35.76</v>
      </c>
      <c r="F2771" t="s">
        <v>43</v>
      </c>
    </row>
    <row r="2772" spans="1:6">
      <c r="A2772" s="1">
        <v>45670</v>
      </c>
      <c r="B2772" s="2">
        <v>45670.59128857639</v>
      </c>
      <c r="C2772" t="s">
        <v>3</v>
      </c>
      <c r="D2772" t="s">
        <v>1112</v>
      </c>
      <c r="E2772" s="5">
        <v>35.76</v>
      </c>
      <c r="F2772" t="s">
        <v>7</v>
      </c>
    </row>
    <row r="2773" spans="1:6">
      <c r="A2773" s="1">
        <v>45670</v>
      </c>
      <c r="B2773" s="2">
        <v>45670.591994675924</v>
      </c>
      <c r="C2773" t="s">
        <v>3</v>
      </c>
      <c r="D2773" t="s">
        <v>1112</v>
      </c>
      <c r="E2773" s="5">
        <v>35.76</v>
      </c>
      <c r="F2773" t="s">
        <v>43</v>
      </c>
    </row>
    <row r="2774" spans="1:6">
      <c r="A2774" s="1">
        <v>45670</v>
      </c>
      <c r="B2774" s="2">
        <v>45670.684448414351</v>
      </c>
      <c r="C2774" t="s">
        <v>3</v>
      </c>
      <c r="D2774" t="s">
        <v>1113</v>
      </c>
      <c r="E2774" s="5">
        <v>35.76</v>
      </c>
      <c r="F2774" t="s">
        <v>7</v>
      </c>
    </row>
    <row r="2775" spans="1:6">
      <c r="A2775" s="1">
        <v>45671</v>
      </c>
      <c r="B2775" s="2">
        <v>45671.534193877313</v>
      </c>
      <c r="C2775" t="s">
        <v>3</v>
      </c>
      <c r="D2775" t="s">
        <v>1114</v>
      </c>
      <c r="E2775" s="5">
        <v>35.76</v>
      </c>
      <c r="F2775" t="s">
        <v>7</v>
      </c>
    </row>
    <row r="2776" spans="1:6">
      <c r="A2776" s="1">
        <v>45671</v>
      </c>
      <c r="B2776" s="2">
        <v>45671.679389907411</v>
      </c>
      <c r="C2776" t="s">
        <v>3</v>
      </c>
      <c r="D2776" t="s">
        <v>1115</v>
      </c>
      <c r="E2776" s="5">
        <v>30.86</v>
      </c>
      <c r="F2776" t="s">
        <v>14</v>
      </c>
    </row>
    <row r="2777" spans="1:6">
      <c r="A2777" s="1">
        <v>45671</v>
      </c>
      <c r="B2777" s="2">
        <v>45671.680168182873</v>
      </c>
      <c r="C2777" t="s">
        <v>3</v>
      </c>
      <c r="D2777" t="s">
        <v>1115</v>
      </c>
      <c r="E2777" s="5">
        <v>30.86</v>
      </c>
      <c r="F2777" t="s">
        <v>14</v>
      </c>
    </row>
    <row r="2778" spans="1:6">
      <c r="A2778" s="1">
        <v>45672</v>
      </c>
      <c r="B2778" s="2">
        <v>45672.465552141206</v>
      </c>
      <c r="C2778" t="s">
        <v>3</v>
      </c>
      <c r="D2778" t="s">
        <v>1116</v>
      </c>
      <c r="E2778" s="5">
        <v>25.96</v>
      </c>
      <c r="F2778" t="s">
        <v>11</v>
      </c>
    </row>
    <row r="2779" spans="1:6">
      <c r="A2779" s="1">
        <v>45672</v>
      </c>
      <c r="B2779" s="2">
        <v>45672.65055489583</v>
      </c>
      <c r="C2779" t="s">
        <v>3</v>
      </c>
      <c r="D2779" t="s">
        <v>1117</v>
      </c>
      <c r="E2779" s="5">
        <v>35.76</v>
      </c>
      <c r="F2779" t="s">
        <v>43</v>
      </c>
    </row>
    <row r="2780" spans="1:6">
      <c r="A2780" s="1">
        <v>45672</v>
      </c>
      <c r="B2780" s="2">
        <v>45672.705162326391</v>
      </c>
      <c r="C2780" t="s">
        <v>3</v>
      </c>
      <c r="D2780" t="s">
        <v>1118</v>
      </c>
      <c r="E2780" s="5">
        <v>35.76</v>
      </c>
      <c r="F2780" t="s">
        <v>7</v>
      </c>
    </row>
    <row r="2781" spans="1:6">
      <c r="A2781" s="1">
        <v>45672</v>
      </c>
      <c r="B2781" s="2">
        <v>45672.754310405093</v>
      </c>
      <c r="C2781" t="s">
        <v>3</v>
      </c>
      <c r="D2781" t="s">
        <v>1119</v>
      </c>
      <c r="E2781" s="5">
        <v>35.76</v>
      </c>
      <c r="F2781" t="s">
        <v>7</v>
      </c>
    </row>
    <row r="2782" spans="1:6">
      <c r="A2782" s="1">
        <v>45673</v>
      </c>
      <c r="B2782" s="2">
        <v>45673.63633321759</v>
      </c>
      <c r="C2782" t="s">
        <v>3</v>
      </c>
      <c r="D2782" t="s">
        <v>1120</v>
      </c>
      <c r="E2782" s="5">
        <v>35.76</v>
      </c>
      <c r="F2782" t="s">
        <v>7</v>
      </c>
    </row>
    <row r="2783" spans="1:6">
      <c r="A2783" s="1">
        <v>45673</v>
      </c>
      <c r="B2783" s="2">
        <v>45673.902922847221</v>
      </c>
      <c r="C2783" t="s">
        <v>3</v>
      </c>
      <c r="D2783" t="s">
        <v>1121</v>
      </c>
      <c r="E2783" s="5">
        <v>25.96</v>
      </c>
      <c r="F2783" t="s">
        <v>28</v>
      </c>
    </row>
    <row r="2784" spans="1:6">
      <c r="A2784" s="1">
        <v>45674</v>
      </c>
      <c r="B2784" s="2">
        <v>45674.318284328707</v>
      </c>
      <c r="C2784" t="s">
        <v>3</v>
      </c>
      <c r="D2784" t="s">
        <v>1122</v>
      </c>
      <c r="E2784" s="5">
        <v>35.76</v>
      </c>
      <c r="F2784" t="s">
        <v>18</v>
      </c>
    </row>
    <row r="2785" spans="1:6">
      <c r="A2785" s="1">
        <v>45674</v>
      </c>
      <c r="B2785" s="2">
        <v>45674.351629745368</v>
      </c>
      <c r="C2785" t="s">
        <v>3</v>
      </c>
      <c r="D2785" t="s">
        <v>1123</v>
      </c>
      <c r="E2785" s="5">
        <v>35.76</v>
      </c>
      <c r="F2785" t="s">
        <v>7</v>
      </c>
    </row>
    <row r="2786" spans="1:6">
      <c r="A2786" s="1">
        <v>45674</v>
      </c>
      <c r="B2786" s="2">
        <v>45674.352643194441</v>
      </c>
      <c r="C2786" t="s">
        <v>3</v>
      </c>
      <c r="D2786" t="s">
        <v>1123</v>
      </c>
      <c r="E2786" s="5">
        <v>35.76</v>
      </c>
      <c r="F2786" t="s">
        <v>43</v>
      </c>
    </row>
    <row r="2787" spans="1:6">
      <c r="A2787" s="1">
        <v>45674</v>
      </c>
      <c r="B2787" s="2">
        <v>45674.597846898148</v>
      </c>
      <c r="C2787" t="s">
        <v>3</v>
      </c>
      <c r="D2787" t="s">
        <v>1124</v>
      </c>
      <c r="E2787" s="5">
        <v>35.76</v>
      </c>
      <c r="F2787" t="s">
        <v>18</v>
      </c>
    </row>
    <row r="2788" spans="1:6">
      <c r="A2788" s="1">
        <v>45674</v>
      </c>
      <c r="B2788" s="2">
        <v>45674.598642013887</v>
      </c>
      <c r="C2788" t="s">
        <v>3</v>
      </c>
      <c r="D2788" t="s">
        <v>1124</v>
      </c>
      <c r="E2788" s="5">
        <v>35.76</v>
      </c>
      <c r="F2788" t="s">
        <v>18</v>
      </c>
    </row>
    <row r="2789" spans="1:6">
      <c r="A2789" s="1">
        <v>45678</v>
      </c>
      <c r="B2789" s="2">
        <v>45678.802327812497</v>
      </c>
      <c r="C2789" t="s">
        <v>3</v>
      </c>
      <c r="D2789" t="s">
        <v>1124</v>
      </c>
      <c r="E2789" s="5">
        <v>25.96</v>
      </c>
      <c r="F2789" t="s">
        <v>11</v>
      </c>
    </row>
    <row r="2790" spans="1:6">
      <c r="A2790" s="1">
        <v>45691</v>
      </c>
      <c r="B2790" s="2">
        <v>45691.653787094911</v>
      </c>
      <c r="C2790" t="s">
        <v>3</v>
      </c>
      <c r="D2790" t="s">
        <v>1124</v>
      </c>
      <c r="E2790" s="5">
        <v>25.96</v>
      </c>
      <c r="F2790" t="s">
        <v>11</v>
      </c>
    </row>
    <row r="2791" spans="1:6">
      <c r="A2791" s="1">
        <v>45692</v>
      </c>
      <c r="B2791" s="2">
        <v>45692.424668263891</v>
      </c>
      <c r="C2791" t="s">
        <v>3</v>
      </c>
      <c r="D2791" t="s">
        <v>1124</v>
      </c>
      <c r="E2791" s="5">
        <v>25.96</v>
      </c>
      <c r="F2791" t="s">
        <v>11</v>
      </c>
    </row>
    <row r="2792" spans="1:6">
      <c r="A2792" s="1">
        <v>45696</v>
      </c>
      <c r="B2792" s="2">
        <v>45696.629909305557</v>
      </c>
      <c r="C2792" t="s">
        <v>3</v>
      </c>
      <c r="D2792" t="s">
        <v>1124</v>
      </c>
      <c r="E2792" s="5">
        <v>25.96</v>
      </c>
      <c r="F2792" t="s">
        <v>11</v>
      </c>
    </row>
    <row r="2793" spans="1:6">
      <c r="A2793" s="1">
        <v>45696</v>
      </c>
      <c r="B2793" s="2">
        <v>45696.630662152776</v>
      </c>
      <c r="C2793" t="s">
        <v>3</v>
      </c>
      <c r="D2793" t="s">
        <v>1124</v>
      </c>
      <c r="E2793" s="5">
        <v>25.96</v>
      </c>
      <c r="F2793" t="s">
        <v>11</v>
      </c>
    </row>
    <row r="2794" spans="1:6">
      <c r="A2794" s="1">
        <v>45698</v>
      </c>
      <c r="B2794" s="2">
        <v>45698.344816261575</v>
      </c>
      <c r="C2794" t="s">
        <v>3</v>
      </c>
      <c r="D2794" t="s">
        <v>1124</v>
      </c>
      <c r="E2794" s="5">
        <v>25.96</v>
      </c>
      <c r="F2794" t="s">
        <v>11</v>
      </c>
    </row>
    <row r="2795" spans="1:6">
      <c r="A2795" s="1">
        <v>45699</v>
      </c>
      <c r="B2795" s="2">
        <v>45699.743523449077</v>
      </c>
      <c r="C2795" t="s">
        <v>3</v>
      </c>
      <c r="D2795" t="s">
        <v>1124</v>
      </c>
      <c r="E2795" s="5">
        <v>25.96</v>
      </c>
      <c r="F2795" t="s">
        <v>11</v>
      </c>
    </row>
    <row r="2796" spans="1:6">
      <c r="A2796" s="1">
        <v>45700</v>
      </c>
      <c r="B2796" s="2">
        <v>45700.738095879628</v>
      </c>
      <c r="C2796" t="s">
        <v>3</v>
      </c>
      <c r="D2796" t="s">
        <v>1124</v>
      </c>
      <c r="E2796" s="5">
        <v>25.96</v>
      </c>
      <c r="F2796" t="s">
        <v>11</v>
      </c>
    </row>
    <row r="2797" spans="1:6">
      <c r="A2797" s="1">
        <v>45706</v>
      </c>
      <c r="B2797" s="2">
        <v>45706.463603252312</v>
      </c>
      <c r="C2797" t="s">
        <v>3</v>
      </c>
      <c r="D2797" t="s">
        <v>1124</v>
      </c>
      <c r="E2797" s="5">
        <v>25.96</v>
      </c>
      <c r="F2797" t="s">
        <v>11</v>
      </c>
    </row>
    <row r="2798" spans="1:6">
      <c r="A2798" s="1">
        <v>45707</v>
      </c>
      <c r="B2798" s="2">
        <v>45707.711114097219</v>
      </c>
      <c r="C2798" t="s">
        <v>3</v>
      </c>
      <c r="D2798" t="s">
        <v>1124</v>
      </c>
      <c r="E2798" s="5">
        <v>25.96</v>
      </c>
      <c r="F2798" t="s">
        <v>11</v>
      </c>
    </row>
    <row r="2799" spans="1:6">
      <c r="A2799" s="1">
        <v>45709</v>
      </c>
      <c r="B2799" s="2">
        <v>45709.503347592596</v>
      </c>
      <c r="C2799" t="s">
        <v>3</v>
      </c>
      <c r="D2799" t="s">
        <v>1124</v>
      </c>
      <c r="E2799" s="5">
        <v>25.96</v>
      </c>
      <c r="F2799" t="s">
        <v>11</v>
      </c>
    </row>
    <row r="2800" spans="1:6">
      <c r="A2800" s="1">
        <v>45714</v>
      </c>
      <c r="B2800" s="2">
        <v>45714.626373101855</v>
      </c>
      <c r="C2800" t="s">
        <v>3</v>
      </c>
      <c r="D2800" t="s">
        <v>1124</v>
      </c>
      <c r="E2800" s="5">
        <v>25.96</v>
      </c>
      <c r="F2800" t="s">
        <v>11</v>
      </c>
    </row>
    <row r="2801" spans="1:6">
      <c r="A2801" s="1">
        <v>45716</v>
      </c>
      <c r="B2801" s="2">
        <v>45716.614214270834</v>
      </c>
      <c r="C2801" t="s">
        <v>3</v>
      </c>
      <c r="D2801" t="s">
        <v>1124</v>
      </c>
      <c r="E2801" s="5">
        <v>25.96</v>
      </c>
      <c r="F2801" t="s">
        <v>11</v>
      </c>
    </row>
    <row r="2802" spans="1:6">
      <c r="A2802" s="1">
        <v>45716</v>
      </c>
      <c r="B2802" s="2">
        <v>45716.614838240741</v>
      </c>
      <c r="C2802" t="s">
        <v>3</v>
      </c>
      <c r="D2802" t="s">
        <v>1124</v>
      </c>
      <c r="E2802" s="5">
        <v>25.96</v>
      </c>
      <c r="F2802" t="s">
        <v>11</v>
      </c>
    </row>
    <row r="2803" spans="1:6">
      <c r="A2803" s="1">
        <v>45716</v>
      </c>
      <c r="B2803" s="2">
        <v>45716.638410590276</v>
      </c>
      <c r="C2803" t="s">
        <v>3</v>
      </c>
      <c r="D2803" t="s">
        <v>1124</v>
      </c>
      <c r="E2803" s="5">
        <v>25.96</v>
      </c>
      <c r="F2803" t="s">
        <v>11</v>
      </c>
    </row>
    <row r="2804" spans="1:6">
      <c r="A2804" s="1">
        <v>45720</v>
      </c>
      <c r="B2804" s="2">
        <v>45720.494152719904</v>
      </c>
      <c r="C2804" t="s">
        <v>3</v>
      </c>
      <c r="D2804" t="s">
        <v>1124</v>
      </c>
      <c r="E2804" s="5">
        <v>25.96</v>
      </c>
      <c r="F2804" t="s">
        <v>11</v>
      </c>
    </row>
    <row r="2805" spans="1:6">
      <c r="A2805" s="1">
        <v>45721</v>
      </c>
      <c r="B2805" s="2">
        <v>45721.508984594904</v>
      </c>
      <c r="C2805" t="s">
        <v>3</v>
      </c>
      <c r="D2805" t="s">
        <v>1124</v>
      </c>
      <c r="E2805" s="5">
        <v>25.96</v>
      </c>
      <c r="F2805" t="s">
        <v>11</v>
      </c>
    </row>
    <row r="2806" spans="1:6">
      <c r="A2806" s="1">
        <v>45723</v>
      </c>
      <c r="B2806" s="2">
        <v>45723.364709340276</v>
      </c>
      <c r="C2806" t="s">
        <v>3</v>
      </c>
      <c r="D2806" t="s">
        <v>1124</v>
      </c>
      <c r="E2806" s="5">
        <v>25.96</v>
      </c>
      <c r="F2806" t="s">
        <v>11</v>
      </c>
    </row>
    <row r="2807" spans="1:6">
      <c r="A2807" s="1">
        <v>45723</v>
      </c>
      <c r="B2807" s="2">
        <v>45723.365322083337</v>
      </c>
      <c r="C2807" t="s">
        <v>3</v>
      </c>
      <c r="D2807" t="s">
        <v>1124</v>
      </c>
      <c r="E2807" s="5">
        <v>25.96</v>
      </c>
      <c r="F2807" t="s">
        <v>11</v>
      </c>
    </row>
    <row r="2808" spans="1:6">
      <c r="A2808" s="1">
        <v>45724</v>
      </c>
      <c r="B2808" s="2">
        <v>45724.531311770836</v>
      </c>
      <c r="C2808" t="s">
        <v>3</v>
      </c>
      <c r="D2808" t="s">
        <v>1124</v>
      </c>
      <c r="E2808" s="5">
        <v>25.96</v>
      </c>
      <c r="F2808" t="s">
        <v>11</v>
      </c>
    </row>
    <row r="2809" spans="1:6">
      <c r="A2809" s="1">
        <v>45725</v>
      </c>
      <c r="B2809" s="2">
        <v>45725.652165879626</v>
      </c>
      <c r="C2809" t="s">
        <v>3</v>
      </c>
      <c r="D2809" t="s">
        <v>1124</v>
      </c>
      <c r="E2809" s="5">
        <v>25.96</v>
      </c>
      <c r="F2809" t="s">
        <v>11</v>
      </c>
    </row>
    <row r="2810" spans="1:6">
      <c r="A2810" s="1">
        <v>45730</v>
      </c>
      <c r="B2810" s="2">
        <v>45730.431149826392</v>
      </c>
      <c r="C2810" t="s">
        <v>3</v>
      </c>
      <c r="D2810" t="s">
        <v>1124</v>
      </c>
      <c r="E2810" s="5">
        <v>25.96</v>
      </c>
      <c r="F2810" t="s">
        <v>11</v>
      </c>
    </row>
    <row r="2811" spans="1:6">
      <c r="A2811" s="1">
        <v>45733</v>
      </c>
      <c r="B2811" s="2">
        <v>45733.340162685185</v>
      </c>
      <c r="C2811" t="s">
        <v>3</v>
      </c>
      <c r="D2811" t="s">
        <v>1124</v>
      </c>
      <c r="E2811" s="5">
        <v>25.96</v>
      </c>
      <c r="F2811" t="s">
        <v>11</v>
      </c>
    </row>
    <row r="2812" spans="1:6">
      <c r="A2812" s="1">
        <v>45733</v>
      </c>
      <c r="B2812" s="2">
        <v>45733.345864097224</v>
      </c>
      <c r="C2812" t="s">
        <v>3</v>
      </c>
      <c r="D2812" t="s">
        <v>1124</v>
      </c>
      <c r="E2812" s="5">
        <v>25.96</v>
      </c>
      <c r="F2812" t="s">
        <v>11</v>
      </c>
    </row>
    <row r="2813" spans="1:6">
      <c r="A2813" s="1">
        <v>45734</v>
      </c>
      <c r="B2813" s="2">
        <v>45734.627701689817</v>
      </c>
      <c r="C2813" t="s">
        <v>3</v>
      </c>
      <c r="D2813" t="s">
        <v>1124</v>
      </c>
      <c r="E2813" s="5">
        <v>25.96</v>
      </c>
      <c r="F2813" t="s">
        <v>11</v>
      </c>
    </row>
    <row r="2814" spans="1:6">
      <c r="A2814" s="1">
        <v>45735</v>
      </c>
      <c r="B2814" s="2">
        <v>45735.496988715277</v>
      </c>
      <c r="C2814" t="s">
        <v>3</v>
      </c>
      <c r="D2814" t="s">
        <v>1124</v>
      </c>
      <c r="E2814" s="5">
        <v>25.96</v>
      </c>
      <c r="F2814" t="s">
        <v>11</v>
      </c>
    </row>
    <row r="2815" spans="1:6">
      <c r="A2815" s="1">
        <v>45735</v>
      </c>
      <c r="B2815" s="2">
        <v>45735.703120983795</v>
      </c>
      <c r="C2815" t="s">
        <v>3</v>
      </c>
      <c r="D2815" t="s">
        <v>1124</v>
      </c>
      <c r="E2815" s="5">
        <v>25.96</v>
      </c>
      <c r="F2815" t="s">
        <v>11</v>
      </c>
    </row>
    <row r="2816" spans="1:6">
      <c r="A2816" s="1">
        <v>45736</v>
      </c>
      <c r="B2816" s="2">
        <v>45736.455062986111</v>
      </c>
      <c r="C2816" t="s">
        <v>3</v>
      </c>
      <c r="D2816" t="s">
        <v>1124</v>
      </c>
      <c r="E2816" s="5">
        <v>25.96</v>
      </c>
      <c r="F2816" t="s">
        <v>11</v>
      </c>
    </row>
    <row r="2817" spans="1:6">
      <c r="A2817" s="1">
        <v>45737</v>
      </c>
      <c r="B2817" s="2">
        <v>45737.35320046296</v>
      </c>
      <c r="C2817" t="s">
        <v>3</v>
      </c>
      <c r="D2817" t="s">
        <v>1124</v>
      </c>
      <c r="E2817" s="5">
        <v>25.96</v>
      </c>
      <c r="F2817" t="s">
        <v>11</v>
      </c>
    </row>
    <row r="2818" spans="1:6">
      <c r="A2818" s="1">
        <v>45737</v>
      </c>
      <c r="B2818" s="2">
        <v>45737.353714097226</v>
      </c>
      <c r="C2818" t="s">
        <v>3</v>
      </c>
      <c r="D2818" t="s">
        <v>1124</v>
      </c>
      <c r="E2818" s="5">
        <v>25.96</v>
      </c>
      <c r="F2818" t="s">
        <v>11</v>
      </c>
    </row>
    <row r="2819" spans="1:6">
      <c r="A2819" s="1">
        <v>45737</v>
      </c>
      <c r="B2819" s="2">
        <v>45737.644670879628</v>
      </c>
      <c r="C2819" t="s">
        <v>3</v>
      </c>
      <c r="D2819" t="s">
        <v>1124</v>
      </c>
      <c r="E2819" s="5">
        <v>35.76</v>
      </c>
      <c r="F2819" t="s">
        <v>7</v>
      </c>
    </row>
    <row r="2820" spans="1:6">
      <c r="A2820" s="1">
        <v>45677</v>
      </c>
      <c r="B2820" s="2">
        <v>45677.503355092595</v>
      </c>
      <c r="C2820" t="s">
        <v>3</v>
      </c>
      <c r="D2820" t="s">
        <v>1125</v>
      </c>
      <c r="E2820" s="5">
        <v>25.96</v>
      </c>
      <c r="F2820" t="s">
        <v>11</v>
      </c>
    </row>
    <row r="2821" spans="1:6">
      <c r="A2821" s="1">
        <v>45677</v>
      </c>
      <c r="B2821" s="2">
        <v>45677.504174733796</v>
      </c>
      <c r="C2821" t="s">
        <v>3</v>
      </c>
      <c r="D2821" t="s">
        <v>1125</v>
      </c>
      <c r="E2821" s="5">
        <v>25.96</v>
      </c>
      <c r="F2821" t="s">
        <v>28</v>
      </c>
    </row>
    <row r="2822" spans="1:6">
      <c r="A2822" s="1">
        <v>45677</v>
      </c>
      <c r="B2822" s="2">
        <v>45677.573080023147</v>
      </c>
      <c r="C2822" t="s">
        <v>3</v>
      </c>
      <c r="D2822" t="s">
        <v>1126</v>
      </c>
      <c r="E2822" s="5">
        <v>30.86</v>
      </c>
      <c r="F2822" t="s">
        <v>14</v>
      </c>
    </row>
    <row r="2823" spans="1:6">
      <c r="A2823" s="1">
        <v>45677</v>
      </c>
      <c r="B2823" s="2">
        <v>45677.839021203705</v>
      </c>
      <c r="C2823" t="s">
        <v>3</v>
      </c>
      <c r="D2823" t="s">
        <v>1127</v>
      </c>
      <c r="E2823" s="5">
        <v>35.76</v>
      </c>
      <c r="F2823" t="s">
        <v>9</v>
      </c>
    </row>
    <row r="2824" spans="1:6">
      <c r="A2824" s="1">
        <v>45677</v>
      </c>
      <c r="B2824" s="2">
        <v>45677.851676863429</v>
      </c>
      <c r="C2824" t="s">
        <v>3</v>
      </c>
      <c r="D2824" t="s">
        <v>1128</v>
      </c>
      <c r="E2824" s="5">
        <v>35.76</v>
      </c>
      <c r="F2824" t="s">
        <v>43</v>
      </c>
    </row>
    <row r="2825" spans="1:6">
      <c r="A2825" s="1">
        <v>45677</v>
      </c>
      <c r="B2825" s="2">
        <v>45677.852418518516</v>
      </c>
      <c r="C2825" t="s">
        <v>3</v>
      </c>
      <c r="D2825" t="s">
        <v>1128</v>
      </c>
      <c r="E2825" s="5">
        <v>35.76</v>
      </c>
      <c r="F2825" t="s">
        <v>43</v>
      </c>
    </row>
    <row r="2826" spans="1:6">
      <c r="A2826" s="1">
        <v>45682</v>
      </c>
      <c r="B2826" s="2">
        <v>45682.556298460651</v>
      </c>
      <c r="C2826" t="s">
        <v>3</v>
      </c>
      <c r="D2826" t="s">
        <v>1128</v>
      </c>
      <c r="E2826" s="5">
        <v>35.76</v>
      </c>
      <c r="F2826" t="s">
        <v>43</v>
      </c>
    </row>
    <row r="2827" spans="1:6">
      <c r="A2827" s="1">
        <v>45689</v>
      </c>
      <c r="B2827" s="2">
        <v>45689.789749583331</v>
      </c>
      <c r="C2827" t="s">
        <v>3</v>
      </c>
      <c r="D2827" t="s">
        <v>1128</v>
      </c>
      <c r="E2827" s="5">
        <v>35.76</v>
      </c>
      <c r="F2827" t="s">
        <v>43</v>
      </c>
    </row>
    <row r="2828" spans="1:6">
      <c r="A2828" s="1">
        <v>45677</v>
      </c>
      <c r="B2828" s="2">
        <v>45677.884553703705</v>
      </c>
      <c r="C2828" t="s">
        <v>3</v>
      </c>
      <c r="D2828" t="s">
        <v>1129</v>
      </c>
      <c r="E2828" s="5">
        <v>35.76</v>
      </c>
      <c r="F2828" t="s">
        <v>7</v>
      </c>
    </row>
    <row r="2829" spans="1:6">
      <c r="A2829" s="1">
        <v>45678</v>
      </c>
      <c r="B2829" s="2">
        <v>45678.649496736114</v>
      </c>
      <c r="C2829" t="s">
        <v>3</v>
      </c>
      <c r="D2829" t="s">
        <v>1130</v>
      </c>
      <c r="E2829" s="5">
        <v>25.96</v>
      </c>
      <c r="F2829" t="s">
        <v>11</v>
      </c>
    </row>
    <row r="2830" spans="1:6">
      <c r="A2830" s="1">
        <v>45678</v>
      </c>
      <c r="B2830" s="2">
        <v>45678.772600682867</v>
      </c>
      <c r="C2830" t="s">
        <v>3</v>
      </c>
      <c r="D2830" t="s">
        <v>1131</v>
      </c>
      <c r="E2830" s="5">
        <v>35.76</v>
      </c>
      <c r="F2830" t="s">
        <v>9</v>
      </c>
    </row>
    <row r="2831" spans="1:6">
      <c r="A2831" s="1">
        <v>45679</v>
      </c>
      <c r="B2831" s="2">
        <v>45679.475530740739</v>
      </c>
      <c r="C2831" t="s">
        <v>3</v>
      </c>
      <c r="D2831" t="s">
        <v>1132</v>
      </c>
      <c r="E2831" s="5">
        <v>21.06</v>
      </c>
      <c r="F2831" t="s">
        <v>35</v>
      </c>
    </row>
    <row r="2832" spans="1:6">
      <c r="A2832" s="1">
        <v>45679</v>
      </c>
      <c r="B2832" s="2">
        <v>45679.78471497685</v>
      </c>
      <c r="C2832" t="s">
        <v>3</v>
      </c>
      <c r="D2832" t="s">
        <v>1133</v>
      </c>
      <c r="E2832" s="5">
        <v>35.76</v>
      </c>
      <c r="F2832" t="s">
        <v>18</v>
      </c>
    </row>
    <row r="2833" spans="1:6">
      <c r="A2833" s="1">
        <v>45679</v>
      </c>
      <c r="B2833" s="2">
        <v>45679.811987303241</v>
      </c>
      <c r="C2833" t="s">
        <v>3</v>
      </c>
      <c r="D2833" t="s">
        <v>1134</v>
      </c>
      <c r="E2833" s="5">
        <v>35.76</v>
      </c>
      <c r="F2833" t="s">
        <v>7</v>
      </c>
    </row>
    <row r="2834" spans="1:6">
      <c r="A2834" s="1">
        <v>45679</v>
      </c>
      <c r="B2834" s="2">
        <v>45679.843411203707</v>
      </c>
      <c r="C2834" t="s">
        <v>3</v>
      </c>
      <c r="D2834" t="s">
        <v>1135</v>
      </c>
      <c r="E2834" s="5">
        <v>30.86</v>
      </c>
      <c r="F2834" t="s">
        <v>14</v>
      </c>
    </row>
    <row r="2835" spans="1:6">
      <c r="A2835" s="1">
        <v>45681</v>
      </c>
      <c r="B2835" s="2">
        <v>45681.644893680554</v>
      </c>
      <c r="C2835" t="s">
        <v>3</v>
      </c>
      <c r="D2835" t="s">
        <v>1136</v>
      </c>
      <c r="E2835" s="5">
        <v>35.76</v>
      </c>
      <c r="F2835" t="s">
        <v>18</v>
      </c>
    </row>
    <row r="2836" spans="1:6">
      <c r="A2836" s="1">
        <v>45681</v>
      </c>
      <c r="B2836" s="2">
        <v>45681.737376226854</v>
      </c>
      <c r="C2836" t="s">
        <v>3</v>
      </c>
      <c r="D2836" t="s">
        <v>1137</v>
      </c>
      <c r="E2836" s="5">
        <v>25.96</v>
      </c>
      <c r="F2836" t="s">
        <v>11</v>
      </c>
    </row>
    <row r="2837" spans="1:6">
      <c r="A2837" s="1">
        <v>45681</v>
      </c>
      <c r="B2837" s="2">
        <v>45681.93883767361</v>
      </c>
      <c r="C2837" t="s">
        <v>3</v>
      </c>
      <c r="D2837" t="s">
        <v>1138</v>
      </c>
      <c r="E2837" s="5">
        <v>35.76</v>
      </c>
      <c r="F2837" t="s">
        <v>9</v>
      </c>
    </row>
    <row r="2838" spans="1:6">
      <c r="A2838" s="1">
        <v>45681</v>
      </c>
      <c r="B2838" s="2">
        <v>45681.939559155093</v>
      </c>
      <c r="C2838" t="s">
        <v>3</v>
      </c>
      <c r="D2838" t="s">
        <v>1138</v>
      </c>
      <c r="E2838" s="5">
        <v>35.76</v>
      </c>
      <c r="F2838" t="s">
        <v>7</v>
      </c>
    </row>
    <row r="2839" spans="1:6">
      <c r="A2839" s="1">
        <v>45682</v>
      </c>
      <c r="B2839" s="2">
        <v>45682.610006782408</v>
      </c>
      <c r="C2839" t="s">
        <v>3</v>
      </c>
      <c r="D2839" t="s">
        <v>1139</v>
      </c>
      <c r="E2839" s="5">
        <v>35.76</v>
      </c>
      <c r="F2839" t="s">
        <v>43</v>
      </c>
    </row>
    <row r="2840" spans="1:6">
      <c r="A2840" s="1">
        <v>45682</v>
      </c>
      <c r="B2840" s="2">
        <v>45682.610822731483</v>
      </c>
      <c r="C2840" t="s">
        <v>3</v>
      </c>
      <c r="D2840" t="s">
        <v>1140</v>
      </c>
      <c r="E2840" s="5">
        <v>25.96</v>
      </c>
      <c r="F2840" t="s">
        <v>11</v>
      </c>
    </row>
    <row r="2841" spans="1:6">
      <c r="A2841" s="1">
        <v>45683</v>
      </c>
      <c r="B2841" s="2">
        <v>45683.524571689813</v>
      </c>
      <c r="C2841" t="s">
        <v>3</v>
      </c>
      <c r="D2841" t="s">
        <v>1141</v>
      </c>
      <c r="E2841" s="5">
        <v>25.96</v>
      </c>
      <c r="F2841" t="s">
        <v>11</v>
      </c>
    </row>
    <row r="2842" spans="1:6">
      <c r="A2842" s="1">
        <v>45683</v>
      </c>
      <c r="B2842" s="2">
        <v>45683.525393993055</v>
      </c>
      <c r="C2842" t="s">
        <v>3</v>
      </c>
      <c r="D2842" t="s">
        <v>1141</v>
      </c>
      <c r="E2842" s="5">
        <v>21.06</v>
      </c>
      <c r="F2842" t="s">
        <v>35</v>
      </c>
    </row>
    <row r="2843" spans="1:6">
      <c r="A2843" s="1">
        <v>45684</v>
      </c>
      <c r="B2843" s="2">
        <v>45684.503499606479</v>
      </c>
      <c r="C2843" t="s">
        <v>3</v>
      </c>
      <c r="D2843" t="s">
        <v>1142</v>
      </c>
      <c r="E2843" s="5">
        <v>35.76</v>
      </c>
      <c r="F2843" t="s">
        <v>43</v>
      </c>
    </row>
    <row r="2844" spans="1:6">
      <c r="A2844" s="1">
        <v>45684</v>
      </c>
      <c r="B2844" s="2">
        <v>45684.788418275464</v>
      </c>
      <c r="C2844" t="s">
        <v>3</v>
      </c>
      <c r="D2844" t="s">
        <v>1143</v>
      </c>
      <c r="E2844" s="5">
        <v>35.76</v>
      </c>
      <c r="F2844" t="s">
        <v>7</v>
      </c>
    </row>
    <row r="2845" spans="1:6">
      <c r="A2845" s="1">
        <v>45684</v>
      </c>
      <c r="B2845" s="2">
        <v>45684.793522280095</v>
      </c>
      <c r="C2845" t="s">
        <v>3</v>
      </c>
      <c r="D2845" t="s">
        <v>1144</v>
      </c>
      <c r="E2845" s="5">
        <v>35.76</v>
      </c>
      <c r="F2845" t="s">
        <v>7</v>
      </c>
    </row>
    <row r="2846" spans="1:6">
      <c r="A2846" s="1">
        <v>45684</v>
      </c>
      <c r="B2846" s="2">
        <v>45684.794276122688</v>
      </c>
      <c r="C2846" t="s">
        <v>3</v>
      </c>
      <c r="D2846" t="s">
        <v>1145</v>
      </c>
      <c r="E2846" s="5">
        <v>35.76</v>
      </c>
      <c r="F2846" t="s">
        <v>7</v>
      </c>
    </row>
    <row r="2847" spans="1:6">
      <c r="A2847" s="1">
        <v>45685</v>
      </c>
      <c r="B2847" s="2">
        <v>45685.39811465278</v>
      </c>
      <c r="C2847" t="s">
        <v>3</v>
      </c>
      <c r="D2847" t="s">
        <v>1146</v>
      </c>
      <c r="E2847" s="5">
        <v>25.96</v>
      </c>
      <c r="F2847" t="s">
        <v>11</v>
      </c>
    </row>
    <row r="2848" spans="1:6">
      <c r="A2848" s="1">
        <v>45690</v>
      </c>
      <c r="B2848" s="2">
        <v>45690.455809490741</v>
      </c>
      <c r="C2848" t="s">
        <v>3</v>
      </c>
      <c r="D2848" t="s">
        <v>1146</v>
      </c>
      <c r="E2848" s="5">
        <v>35.76</v>
      </c>
      <c r="F2848" t="s">
        <v>43</v>
      </c>
    </row>
    <row r="2849" spans="1:6">
      <c r="A2849" s="1">
        <v>45690</v>
      </c>
      <c r="B2849" s="2">
        <v>45690.456687268517</v>
      </c>
      <c r="C2849" t="s">
        <v>3</v>
      </c>
      <c r="D2849" t="s">
        <v>1146</v>
      </c>
      <c r="E2849" s="5">
        <v>35.76</v>
      </c>
      <c r="F2849" t="s">
        <v>43</v>
      </c>
    </row>
    <row r="2850" spans="1:6">
      <c r="A2850" s="1">
        <v>45685</v>
      </c>
      <c r="B2850" s="2">
        <v>45685.515292048614</v>
      </c>
      <c r="C2850" t="s">
        <v>3</v>
      </c>
      <c r="D2850" t="s">
        <v>1147</v>
      </c>
      <c r="E2850" s="5">
        <v>25.96</v>
      </c>
      <c r="F2850" t="s">
        <v>11</v>
      </c>
    </row>
    <row r="2851" spans="1:6">
      <c r="A2851" s="1">
        <v>45688</v>
      </c>
      <c r="B2851" s="2">
        <v>45688.521542141207</v>
      </c>
      <c r="C2851" t="s">
        <v>3</v>
      </c>
      <c r="D2851" t="s">
        <v>1147</v>
      </c>
      <c r="E2851" s="5">
        <v>35.76</v>
      </c>
      <c r="F2851" t="s">
        <v>7</v>
      </c>
    </row>
    <row r="2852" spans="1:6">
      <c r="A2852" s="1">
        <v>45685</v>
      </c>
      <c r="B2852" s="2">
        <v>45685.679949131947</v>
      </c>
      <c r="C2852" t="s">
        <v>3</v>
      </c>
      <c r="D2852" t="s">
        <v>1148</v>
      </c>
      <c r="E2852" s="5">
        <v>35.76</v>
      </c>
      <c r="F2852" t="s">
        <v>18</v>
      </c>
    </row>
    <row r="2853" spans="1:6">
      <c r="A2853" s="1">
        <v>45685</v>
      </c>
      <c r="B2853" s="2">
        <v>45685.681072430554</v>
      </c>
      <c r="C2853" t="s">
        <v>3</v>
      </c>
      <c r="D2853" t="s">
        <v>1148</v>
      </c>
      <c r="E2853" s="5">
        <v>25.96</v>
      </c>
      <c r="F2853" t="s">
        <v>28</v>
      </c>
    </row>
    <row r="2854" spans="1:6">
      <c r="A2854" s="1">
        <v>45685</v>
      </c>
      <c r="B2854" s="2">
        <v>45685.736121898146</v>
      </c>
      <c r="C2854" t="s">
        <v>3</v>
      </c>
      <c r="D2854" t="s">
        <v>1149</v>
      </c>
      <c r="E2854" s="5">
        <v>25.96</v>
      </c>
      <c r="F2854" t="s">
        <v>11</v>
      </c>
    </row>
    <row r="2855" spans="1:6">
      <c r="A2855" s="1">
        <v>45685</v>
      </c>
      <c r="B2855" s="2">
        <v>45685.841560810186</v>
      </c>
      <c r="C2855" t="s">
        <v>3</v>
      </c>
      <c r="D2855" t="s">
        <v>1150</v>
      </c>
      <c r="E2855" s="5">
        <v>35.76</v>
      </c>
      <c r="F2855" t="s">
        <v>7</v>
      </c>
    </row>
    <row r="2856" spans="1:6">
      <c r="A2856" s="1">
        <v>45685</v>
      </c>
      <c r="B2856" s="2">
        <v>45685.842883819445</v>
      </c>
      <c r="C2856" t="s">
        <v>3</v>
      </c>
      <c r="D2856" t="s">
        <v>1151</v>
      </c>
      <c r="E2856" s="5">
        <v>35.76</v>
      </c>
      <c r="F2856" t="s">
        <v>43</v>
      </c>
    </row>
    <row r="2857" spans="1:6">
      <c r="A2857" s="1">
        <v>45686</v>
      </c>
      <c r="B2857" s="2">
        <v>45686.684453240741</v>
      </c>
      <c r="C2857" t="s">
        <v>3</v>
      </c>
      <c r="D2857" t="s">
        <v>1152</v>
      </c>
      <c r="E2857" s="5">
        <v>25.96</v>
      </c>
      <c r="F2857" t="s">
        <v>11</v>
      </c>
    </row>
    <row r="2858" spans="1:6">
      <c r="A2858" s="1">
        <v>45686</v>
      </c>
      <c r="B2858" s="2">
        <v>45686.804956689812</v>
      </c>
      <c r="C2858" t="s">
        <v>3</v>
      </c>
      <c r="D2858" t="s">
        <v>1153</v>
      </c>
      <c r="E2858" s="5">
        <v>30.86</v>
      </c>
      <c r="F2858" t="s">
        <v>14</v>
      </c>
    </row>
    <row r="2859" spans="1:6">
      <c r="A2859" s="1">
        <v>45686</v>
      </c>
      <c r="B2859" s="2">
        <v>45686.805957118057</v>
      </c>
      <c r="C2859" t="s">
        <v>3</v>
      </c>
      <c r="D2859" t="s">
        <v>1153</v>
      </c>
      <c r="E2859" s="5">
        <v>21.06</v>
      </c>
      <c r="F2859" t="s">
        <v>35</v>
      </c>
    </row>
    <row r="2860" spans="1:6">
      <c r="A2860" s="1">
        <v>45687</v>
      </c>
      <c r="B2860" s="2">
        <v>45687.529348518518</v>
      </c>
      <c r="C2860" t="s">
        <v>3</v>
      </c>
      <c r="D2860" t="s">
        <v>1154</v>
      </c>
      <c r="E2860" s="5">
        <v>35.76</v>
      </c>
      <c r="F2860" t="s">
        <v>9</v>
      </c>
    </row>
    <row r="2861" spans="1:6">
      <c r="A2861" s="1">
        <v>45687</v>
      </c>
      <c r="B2861" s="2">
        <v>45687.543064212965</v>
      </c>
      <c r="C2861" t="s">
        <v>3</v>
      </c>
      <c r="D2861" t="s">
        <v>1155</v>
      </c>
      <c r="E2861" s="5">
        <v>25.96</v>
      </c>
      <c r="F2861" t="s">
        <v>11</v>
      </c>
    </row>
    <row r="2862" spans="1:6">
      <c r="A2862" s="1">
        <v>45687</v>
      </c>
      <c r="B2862" s="2">
        <v>45687.612294872684</v>
      </c>
      <c r="C2862" t="s">
        <v>3</v>
      </c>
      <c r="D2862" t="s">
        <v>1156</v>
      </c>
      <c r="E2862" s="5">
        <v>30.86</v>
      </c>
      <c r="F2862" t="s">
        <v>14</v>
      </c>
    </row>
    <row r="2863" spans="1:6">
      <c r="A2863" s="1">
        <v>45687</v>
      </c>
      <c r="B2863" s="2">
        <v>45687.721393564818</v>
      </c>
      <c r="C2863" t="s">
        <v>3</v>
      </c>
      <c r="D2863" t="s">
        <v>1157</v>
      </c>
      <c r="E2863" s="5">
        <v>35.76</v>
      </c>
      <c r="F2863" t="s">
        <v>9</v>
      </c>
    </row>
    <row r="2864" spans="1:6">
      <c r="A2864" s="1">
        <v>45687</v>
      </c>
      <c r="B2864" s="2">
        <v>45687.779046967589</v>
      </c>
      <c r="C2864" t="s">
        <v>3</v>
      </c>
      <c r="D2864" t="s">
        <v>1158</v>
      </c>
      <c r="E2864" s="5">
        <v>25.96</v>
      </c>
      <c r="F2864" t="s">
        <v>28</v>
      </c>
    </row>
    <row r="2865" spans="1:6">
      <c r="A2865" s="1">
        <v>45688</v>
      </c>
      <c r="B2865" s="2">
        <v>45688.389015983797</v>
      </c>
      <c r="C2865" t="s">
        <v>3</v>
      </c>
      <c r="D2865" t="s">
        <v>1159</v>
      </c>
      <c r="E2865" s="5">
        <v>35.76</v>
      </c>
      <c r="F2865" t="s">
        <v>18</v>
      </c>
    </row>
    <row r="2866" spans="1:6">
      <c r="A2866" s="1">
        <v>45688</v>
      </c>
      <c r="B2866" s="2">
        <v>45688.585396655093</v>
      </c>
      <c r="C2866" t="s">
        <v>3</v>
      </c>
      <c r="D2866" t="s">
        <v>1160</v>
      </c>
      <c r="E2866" s="5">
        <v>35.76</v>
      </c>
      <c r="F2866" t="s">
        <v>43</v>
      </c>
    </row>
    <row r="2867" spans="1:6">
      <c r="A2867" s="1">
        <v>45688</v>
      </c>
      <c r="B2867" s="2">
        <v>45688.941653275462</v>
      </c>
      <c r="C2867" t="s">
        <v>3</v>
      </c>
      <c r="D2867" t="s">
        <v>1161</v>
      </c>
      <c r="E2867" s="5">
        <v>30.86</v>
      </c>
      <c r="F2867" t="s">
        <v>14</v>
      </c>
    </row>
    <row r="2868" spans="1:6">
      <c r="A2868" s="1">
        <v>45688</v>
      </c>
      <c r="B2868" s="2">
        <v>45688.942384618058</v>
      </c>
      <c r="C2868" t="s">
        <v>3</v>
      </c>
      <c r="D2868" t="s">
        <v>1162</v>
      </c>
      <c r="E2868" s="5">
        <v>25.96</v>
      </c>
      <c r="F2868" t="s">
        <v>11</v>
      </c>
    </row>
    <row r="2869" spans="1:6">
      <c r="A2869" s="1">
        <v>45689</v>
      </c>
      <c r="B2869" s="2">
        <v>45689.607857303243</v>
      </c>
      <c r="C2869" t="s">
        <v>3</v>
      </c>
      <c r="D2869" t="s">
        <v>1163</v>
      </c>
      <c r="E2869" s="5">
        <v>35.76</v>
      </c>
      <c r="F2869" t="s">
        <v>43</v>
      </c>
    </row>
    <row r="2870" spans="1:6">
      <c r="A2870" s="1">
        <v>45689</v>
      </c>
      <c r="B2870" s="2">
        <v>45689.608525578704</v>
      </c>
      <c r="C2870" t="s">
        <v>3</v>
      </c>
      <c r="D2870" t="s">
        <v>1163</v>
      </c>
      <c r="E2870" s="5">
        <v>35.76</v>
      </c>
      <c r="F2870" t="s">
        <v>43</v>
      </c>
    </row>
    <row r="2871" spans="1:6">
      <c r="A2871" s="1">
        <v>45690</v>
      </c>
      <c r="B2871" s="2">
        <v>45690.537872395835</v>
      </c>
      <c r="C2871" t="s">
        <v>3</v>
      </c>
      <c r="D2871" t="s">
        <v>1164</v>
      </c>
      <c r="E2871" s="5">
        <v>35.76</v>
      </c>
      <c r="F2871" t="s">
        <v>7</v>
      </c>
    </row>
    <row r="2872" spans="1:6">
      <c r="A2872" s="1">
        <v>45690</v>
      </c>
      <c r="B2872" s="2">
        <v>45690.538942743056</v>
      </c>
      <c r="C2872" t="s">
        <v>3</v>
      </c>
      <c r="D2872" t="s">
        <v>1165</v>
      </c>
      <c r="E2872" s="5">
        <v>35.76</v>
      </c>
      <c r="F2872" t="s">
        <v>7</v>
      </c>
    </row>
    <row r="2873" spans="1:6">
      <c r="A2873" s="1">
        <v>45690</v>
      </c>
      <c r="B2873" s="2">
        <v>45690.69927341435</v>
      </c>
      <c r="C2873" t="s">
        <v>3</v>
      </c>
      <c r="D2873" t="s">
        <v>1166</v>
      </c>
      <c r="E2873" s="5">
        <v>35.76</v>
      </c>
      <c r="F2873" t="s">
        <v>7</v>
      </c>
    </row>
    <row r="2874" spans="1:6">
      <c r="A2874" s="1">
        <v>45691</v>
      </c>
      <c r="B2874" s="2">
        <v>45691.294036921296</v>
      </c>
      <c r="C2874" t="s">
        <v>3</v>
      </c>
      <c r="D2874" t="s">
        <v>1166</v>
      </c>
      <c r="E2874" s="5">
        <v>35.76</v>
      </c>
      <c r="F2874" t="s">
        <v>43</v>
      </c>
    </row>
    <row r="2875" spans="1:6">
      <c r="A2875" s="1">
        <v>45691</v>
      </c>
      <c r="B2875" s="2">
        <v>45691.295099178242</v>
      </c>
      <c r="C2875" t="s">
        <v>3</v>
      </c>
      <c r="D2875" t="s">
        <v>1166</v>
      </c>
      <c r="E2875" s="5">
        <v>30.86</v>
      </c>
      <c r="F2875" t="s">
        <v>14</v>
      </c>
    </row>
    <row r="2876" spans="1:6">
      <c r="A2876" s="1">
        <v>45691</v>
      </c>
      <c r="B2876" s="2">
        <v>45691.336153090277</v>
      </c>
      <c r="C2876" t="s">
        <v>3</v>
      </c>
      <c r="D2876" t="s">
        <v>1166</v>
      </c>
      <c r="E2876" s="5">
        <v>21.06</v>
      </c>
      <c r="F2876" t="s">
        <v>35</v>
      </c>
    </row>
    <row r="2877" spans="1:6">
      <c r="A2877" s="1">
        <v>45693</v>
      </c>
      <c r="B2877" s="2">
        <v>45693.693770081016</v>
      </c>
      <c r="C2877" t="s">
        <v>3</v>
      </c>
      <c r="D2877" t="s">
        <v>1166</v>
      </c>
      <c r="E2877" s="5">
        <v>35.76</v>
      </c>
      <c r="F2877" t="s">
        <v>18</v>
      </c>
    </row>
    <row r="2878" spans="1:6">
      <c r="A2878" s="1">
        <v>45695</v>
      </c>
      <c r="B2878" s="2">
        <v>45695.364467222222</v>
      </c>
      <c r="C2878" t="s">
        <v>3</v>
      </c>
      <c r="D2878" t="s">
        <v>1166</v>
      </c>
      <c r="E2878" s="5">
        <v>30.86</v>
      </c>
      <c r="F2878" t="s">
        <v>14</v>
      </c>
    </row>
    <row r="2879" spans="1:6">
      <c r="A2879" s="1">
        <v>45698</v>
      </c>
      <c r="B2879" s="2">
        <v>45698.292900219909</v>
      </c>
      <c r="C2879" t="s">
        <v>3</v>
      </c>
      <c r="D2879" t="s">
        <v>1166</v>
      </c>
      <c r="E2879" s="5">
        <v>25.96</v>
      </c>
      <c r="F2879" t="s">
        <v>11</v>
      </c>
    </row>
    <row r="2880" spans="1:6">
      <c r="A2880" s="1">
        <v>45698</v>
      </c>
      <c r="B2880" s="2">
        <v>45698.350652650464</v>
      </c>
      <c r="C2880" t="s">
        <v>3</v>
      </c>
      <c r="D2880" t="s">
        <v>1166</v>
      </c>
      <c r="E2880" s="5">
        <v>25.96</v>
      </c>
      <c r="F2880" t="s">
        <v>11</v>
      </c>
    </row>
    <row r="2881" spans="1:6">
      <c r="A2881" s="1">
        <v>45701</v>
      </c>
      <c r="B2881" s="2">
        <v>45701.365243773151</v>
      </c>
      <c r="C2881" t="s">
        <v>3</v>
      </c>
      <c r="D2881" t="s">
        <v>1166</v>
      </c>
      <c r="E2881" s="5">
        <v>25.96</v>
      </c>
      <c r="F2881" t="s">
        <v>11</v>
      </c>
    </row>
    <row r="2882" spans="1:6">
      <c r="A2882" s="1">
        <v>45707</v>
      </c>
      <c r="B2882" s="2">
        <v>45707.340209270835</v>
      </c>
      <c r="C2882" t="s">
        <v>3</v>
      </c>
      <c r="D2882" t="s">
        <v>1166</v>
      </c>
      <c r="E2882" s="5">
        <v>25.96</v>
      </c>
      <c r="F2882" t="s">
        <v>11</v>
      </c>
    </row>
    <row r="2883" spans="1:6">
      <c r="A2883" s="1">
        <v>45713</v>
      </c>
      <c r="B2883" s="2">
        <v>45713.367604953703</v>
      </c>
      <c r="C2883" t="s">
        <v>3</v>
      </c>
      <c r="D2883" t="s">
        <v>1166</v>
      </c>
      <c r="E2883" s="5">
        <v>25.96</v>
      </c>
      <c r="F2883" t="s">
        <v>11</v>
      </c>
    </row>
    <row r="2884" spans="1:6">
      <c r="A2884" s="1">
        <v>45713</v>
      </c>
      <c r="B2884" s="2">
        <v>45713.368220590281</v>
      </c>
      <c r="C2884" t="s">
        <v>3</v>
      </c>
      <c r="D2884" t="s">
        <v>1166</v>
      </c>
      <c r="E2884" s="5">
        <v>30.86</v>
      </c>
      <c r="F2884" t="s">
        <v>14</v>
      </c>
    </row>
    <row r="2885" spans="1:6">
      <c r="A2885" s="1">
        <v>45713</v>
      </c>
      <c r="B2885" s="2">
        <v>45713.461422650464</v>
      </c>
      <c r="C2885" t="s">
        <v>3</v>
      </c>
      <c r="D2885" t="s">
        <v>1166</v>
      </c>
      <c r="E2885" s="5">
        <v>25.96</v>
      </c>
      <c r="F2885" t="s">
        <v>11</v>
      </c>
    </row>
    <row r="2886" spans="1:6">
      <c r="A2886" s="1">
        <v>45713</v>
      </c>
      <c r="B2886" s="2">
        <v>45713.814356875002</v>
      </c>
      <c r="C2886" t="s">
        <v>3</v>
      </c>
      <c r="D2886" t="s">
        <v>1166</v>
      </c>
      <c r="E2886" s="5">
        <v>35.76</v>
      </c>
      <c r="F2886" t="s">
        <v>43</v>
      </c>
    </row>
    <row r="2887" spans="1:6">
      <c r="A2887" s="1">
        <v>45717</v>
      </c>
      <c r="B2887" s="2">
        <v>45717.626753472221</v>
      </c>
      <c r="C2887" t="s">
        <v>3</v>
      </c>
      <c r="D2887" t="s">
        <v>1166</v>
      </c>
      <c r="E2887" s="5">
        <v>25.96</v>
      </c>
      <c r="F2887" t="s">
        <v>11</v>
      </c>
    </row>
    <row r="2888" spans="1:6">
      <c r="A2888" s="1">
        <v>45718</v>
      </c>
      <c r="B2888" s="2">
        <v>45718.640480046299</v>
      </c>
      <c r="C2888" t="s">
        <v>3</v>
      </c>
      <c r="D2888" t="s">
        <v>1166</v>
      </c>
      <c r="E2888" s="5">
        <v>30.86</v>
      </c>
      <c r="F2888" t="s">
        <v>14</v>
      </c>
    </row>
    <row r="2889" spans="1:6">
      <c r="A2889" s="1">
        <v>45718</v>
      </c>
      <c r="B2889" s="2">
        <v>45718.641154351855</v>
      </c>
      <c r="C2889" t="s">
        <v>3</v>
      </c>
      <c r="D2889" t="s">
        <v>1166</v>
      </c>
      <c r="E2889" s="5">
        <v>25.96</v>
      </c>
      <c r="F2889" t="s">
        <v>11</v>
      </c>
    </row>
    <row r="2890" spans="1:6">
      <c r="A2890" s="1">
        <v>45731</v>
      </c>
      <c r="B2890" s="2">
        <v>45731.716763414355</v>
      </c>
      <c r="C2890" t="s">
        <v>3</v>
      </c>
      <c r="D2890" t="s">
        <v>1166</v>
      </c>
      <c r="E2890" s="5">
        <v>30.86</v>
      </c>
      <c r="F2890" t="s">
        <v>14</v>
      </c>
    </row>
    <row r="2891" spans="1:6">
      <c r="A2891" s="1">
        <v>45735</v>
      </c>
      <c r="B2891" s="2">
        <v>45735.293831863426</v>
      </c>
      <c r="C2891" t="s">
        <v>3</v>
      </c>
      <c r="D2891" t="s">
        <v>1166</v>
      </c>
      <c r="E2891" s="5">
        <v>25.96</v>
      </c>
      <c r="F2891" t="s">
        <v>11</v>
      </c>
    </row>
    <row r="2892" spans="1:6">
      <c r="A2892" s="1">
        <v>45735</v>
      </c>
      <c r="B2892" s="2">
        <v>45735.702490208336</v>
      </c>
      <c r="C2892" t="s">
        <v>3</v>
      </c>
      <c r="D2892" t="s">
        <v>1166</v>
      </c>
      <c r="E2892" s="5">
        <v>25.96</v>
      </c>
      <c r="F2892" t="s">
        <v>11</v>
      </c>
    </row>
    <row r="2893" spans="1:6">
      <c r="A2893" s="1">
        <v>45736</v>
      </c>
      <c r="B2893" s="2">
        <v>45736.411166319442</v>
      </c>
      <c r="C2893" t="s">
        <v>3</v>
      </c>
      <c r="D2893" t="s">
        <v>1166</v>
      </c>
      <c r="E2893" s="5">
        <v>30.86</v>
      </c>
      <c r="F2893" t="s">
        <v>14</v>
      </c>
    </row>
    <row r="2894" spans="1:6">
      <c r="A2894" s="1">
        <v>45736</v>
      </c>
      <c r="B2894" s="2">
        <v>45736.586618877314</v>
      </c>
      <c r="C2894" t="s">
        <v>3</v>
      </c>
      <c r="D2894" t="s">
        <v>1166</v>
      </c>
      <c r="E2894" s="5">
        <v>25.96</v>
      </c>
      <c r="F2894" t="s">
        <v>11</v>
      </c>
    </row>
    <row r="2895" spans="1:6">
      <c r="A2895" s="1">
        <v>45738</v>
      </c>
      <c r="B2895" s="2">
        <v>45738.437608831016</v>
      </c>
      <c r="C2895" t="s">
        <v>3</v>
      </c>
      <c r="D2895" t="s">
        <v>1166</v>
      </c>
      <c r="E2895" s="5">
        <v>30.86</v>
      </c>
      <c r="F2895" t="s">
        <v>14</v>
      </c>
    </row>
    <row r="2896" spans="1:6">
      <c r="A2896" s="1">
        <v>45691</v>
      </c>
      <c r="B2896" s="2">
        <v>45691.339687118052</v>
      </c>
      <c r="C2896" t="s">
        <v>3</v>
      </c>
      <c r="D2896" t="s">
        <v>1167</v>
      </c>
      <c r="E2896" s="5">
        <v>30.86</v>
      </c>
      <c r="F2896" t="s">
        <v>14</v>
      </c>
    </row>
    <row r="2897" spans="1:6">
      <c r="A2897" s="1">
        <v>45696</v>
      </c>
      <c r="B2897" s="2">
        <v>45696.45575335648</v>
      </c>
      <c r="C2897" t="s">
        <v>3</v>
      </c>
      <c r="D2897" t="s">
        <v>1167</v>
      </c>
      <c r="E2897" s="5">
        <v>30.86</v>
      </c>
      <c r="F2897" t="s">
        <v>14</v>
      </c>
    </row>
    <row r="2898" spans="1:6">
      <c r="A2898" s="1">
        <v>45698</v>
      </c>
      <c r="B2898" s="2">
        <v>45698.46647013889</v>
      </c>
      <c r="C2898" t="s">
        <v>3</v>
      </c>
      <c r="D2898" t="s">
        <v>1167</v>
      </c>
      <c r="E2898" s="5">
        <v>30.86</v>
      </c>
      <c r="F2898" t="s">
        <v>14</v>
      </c>
    </row>
    <row r="2899" spans="1:6">
      <c r="A2899" s="1">
        <v>45700</v>
      </c>
      <c r="B2899" s="2">
        <v>45700.388725694444</v>
      </c>
      <c r="C2899" t="s">
        <v>3</v>
      </c>
      <c r="D2899" t="s">
        <v>1167</v>
      </c>
      <c r="E2899" s="5">
        <v>30.86</v>
      </c>
      <c r="F2899" t="s">
        <v>14</v>
      </c>
    </row>
    <row r="2900" spans="1:6">
      <c r="A2900" s="1">
        <v>45701</v>
      </c>
      <c r="B2900" s="2">
        <v>45701.318610034723</v>
      </c>
      <c r="C2900" t="s">
        <v>3</v>
      </c>
      <c r="D2900" t="s">
        <v>1167</v>
      </c>
      <c r="E2900" s="5">
        <v>30.86</v>
      </c>
      <c r="F2900" t="s">
        <v>14</v>
      </c>
    </row>
    <row r="2901" spans="1:6">
      <c r="A2901" s="1">
        <v>45713</v>
      </c>
      <c r="B2901" s="2">
        <v>45713.333787696756</v>
      </c>
      <c r="C2901" t="s">
        <v>3</v>
      </c>
      <c r="D2901" t="s">
        <v>1167</v>
      </c>
      <c r="E2901" s="5">
        <v>30.86</v>
      </c>
      <c r="F2901" t="s">
        <v>14</v>
      </c>
    </row>
    <row r="2902" spans="1:6">
      <c r="A2902" s="1">
        <v>45722</v>
      </c>
      <c r="B2902" s="2">
        <v>45722.807068506947</v>
      </c>
      <c r="C2902" t="s">
        <v>3</v>
      </c>
      <c r="D2902" t="s">
        <v>1167</v>
      </c>
      <c r="E2902" s="5">
        <v>30.86</v>
      </c>
      <c r="F2902" t="s">
        <v>14</v>
      </c>
    </row>
    <row r="2903" spans="1:6">
      <c r="A2903" s="1">
        <v>45725</v>
      </c>
      <c r="B2903" s="2">
        <v>45725.633812546293</v>
      </c>
      <c r="C2903" t="s">
        <v>3</v>
      </c>
      <c r="D2903" t="s">
        <v>1167</v>
      </c>
      <c r="E2903" s="5">
        <v>35.76</v>
      </c>
      <c r="F2903" t="s">
        <v>43</v>
      </c>
    </row>
    <row r="2904" spans="1:6">
      <c r="A2904" s="1">
        <v>45726</v>
      </c>
      <c r="B2904" s="2">
        <v>45726.379486261576</v>
      </c>
      <c r="C2904" t="s">
        <v>3</v>
      </c>
      <c r="D2904" t="s">
        <v>1167</v>
      </c>
      <c r="E2904" s="5">
        <v>30.86</v>
      </c>
      <c r="F2904" t="s">
        <v>14</v>
      </c>
    </row>
    <row r="2905" spans="1:6">
      <c r="A2905" s="1">
        <v>45729</v>
      </c>
      <c r="B2905" s="2">
        <v>45729.349507824074</v>
      </c>
      <c r="C2905" t="s">
        <v>3</v>
      </c>
      <c r="D2905" t="s">
        <v>1167</v>
      </c>
      <c r="E2905" s="5">
        <v>30.86</v>
      </c>
      <c r="F2905" t="s">
        <v>14</v>
      </c>
    </row>
    <row r="2906" spans="1:6">
      <c r="A2906" s="1">
        <v>45733</v>
      </c>
      <c r="B2906" s="2">
        <v>45733.377071226852</v>
      </c>
      <c r="C2906" t="s">
        <v>3</v>
      </c>
      <c r="D2906" t="s">
        <v>1167</v>
      </c>
      <c r="E2906" s="5">
        <v>30.86</v>
      </c>
      <c r="F2906" t="s">
        <v>14</v>
      </c>
    </row>
    <row r="2907" spans="1:6">
      <c r="A2907" s="1">
        <v>45691</v>
      </c>
      <c r="B2907" s="2">
        <v>45691.427529745371</v>
      </c>
      <c r="C2907" t="s">
        <v>3</v>
      </c>
      <c r="D2907" t="s">
        <v>1168</v>
      </c>
      <c r="E2907" s="5">
        <v>25.96</v>
      </c>
      <c r="F2907" t="s">
        <v>11</v>
      </c>
    </row>
    <row r="2908" spans="1:6">
      <c r="A2908" s="1">
        <v>45691</v>
      </c>
      <c r="B2908" s="2">
        <v>45691.432157592593</v>
      </c>
      <c r="C2908" t="s">
        <v>3</v>
      </c>
      <c r="D2908" t="s">
        <v>1169</v>
      </c>
      <c r="E2908" s="5">
        <v>35.76</v>
      </c>
      <c r="F2908" t="s">
        <v>43</v>
      </c>
    </row>
    <row r="2909" spans="1:6">
      <c r="A2909" s="1">
        <v>45714</v>
      </c>
      <c r="B2909" s="2">
        <v>45714.428438553237</v>
      </c>
      <c r="C2909" t="s">
        <v>3</v>
      </c>
      <c r="D2909" t="s">
        <v>1169</v>
      </c>
      <c r="E2909" s="5">
        <v>35.76</v>
      </c>
      <c r="F2909" t="s">
        <v>9</v>
      </c>
    </row>
    <row r="2910" spans="1:6">
      <c r="A2910" s="1">
        <v>45723</v>
      </c>
      <c r="B2910" s="2">
        <v>45723.423587164354</v>
      </c>
      <c r="C2910" t="s">
        <v>3</v>
      </c>
      <c r="D2910" t="s">
        <v>1169</v>
      </c>
      <c r="E2910" s="5">
        <v>35.76</v>
      </c>
      <c r="F2910" t="s">
        <v>9</v>
      </c>
    </row>
    <row r="2911" spans="1:6">
      <c r="A2911" s="1">
        <v>45691</v>
      </c>
      <c r="B2911" s="2">
        <v>45691.451373263888</v>
      </c>
      <c r="C2911" t="s">
        <v>3</v>
      </c>
      <c r="D2911" t="s">
        <v>1170</v>
      </c>
      <c r="E2911" s="5">
        <v>30.86</v>
      </c>
      <c r="F2911" t="s">
        <v>14</v>
      </c>
    </row>
    <row r="2912" spans="1:6">
      <c r="A2912" s="1">
        <v>45693</v>
      </c>
      <c r="B2912" s="2">
        <v>45693.362621666667</v>
      </c>
      <c r="C2912" t="s">
        <v>3</v>
      </c>
      <c r="D2912" t="s">
        <v>1170</v>
      </c>
      <c r="E2912" s="5">
        <v>30.86</v>
      </c>
      <c r="F2912" t="s">
        <v>14</v>
      </c>
    </row>
    <row r="2913" spans="1:6">
      <c r="A2913" s="1">
        <v>45699</v>
      </c>
      <c r="B2913" s="2">
        <v>45699.664466064816</v>
      </c>
      <c r="C2913" t="s">
        <v>3</v>
      </c>
      <c r="D2913" t="s">
        <v>1170</v>
      </c>
      <c r="E2913" s="5">
        <v>35.76</v>
      </c>
      <c r="F2913" t="s">
        <v>9</v>
      </c>
    </row>
    <row r="2914" spans="1:6">
      <c r="A2914" s="1">
        <v>45701</v>
      </c>
      <c r="B2914" s="2">
        <v>45701.437183506947</v>
      </c>
      <c r="C2914" t="s">
        <v>3</v>
      </c>
      <c r="D2914" t="s">
        <v>1170</v>
      </c>
      <c r="E2914" s="5">
        <v>30.86</v>
      </c>
      <c r="F2914" t="s">
        <v>14</v>
      </c>
    </row>
    <row r="2915" spans="1:6">
      <c r="A2915" s="1">
        <v>45704</v>
      </c>
      <c r="B2915" s="2">
        <v>45704.461665439812</v>
      </c>
      <c r="C2915" t="s">
        <v>3</v>
      </c>
      <c r="D2915" t="s">
        <v>1170</v>
      </c>
      <c r="E2915" s="5">
        <v>35.76</v>
      </c>
      <c r="F2915" t="s">
        <v>9</v>
      </c>
    </row>
    <row r="2916" spans="1:6">
      <c r="A2916" s="1">
        <v>45708</v>
      </c>
      <c r="B2916" s="2">
        <v>45708.670711967592</v>
      </c>
      <c r="C2916" t="s">
        <v>3</v>
      </c>
      <c r="D2916" t="s">
        <v>1170</v>
      </c>
      <c r="E2916" s="5">
        <v>35.76</v>
      </c>
      <c r="F2916" t="s">
        <v>43</v>
      </c>
    </row>
    <row r="2917" spans="1:6">
      <c r="A2917" s="1">
        <v>45711</v>
      </c>
      <c r="B2917" s="2">
        <v>45711.439716631947</v>
      </c>
      <c r="C2917" t="s">
        <v>3</v>
      </c>
      <c r="D2917" t="s">
        <v>1170</v>
      </c>
      <c r="E2917" s="5">
        <v>30.86</v>
      </c>
      <c r="F2917" t="s">
        <v>14</v>
      </c>
    </row>
    <row r="2918" spans="1:6">
      <c r="A2918" s="1">
        <v>45711</v>
      </c>
      <c r="B2918" s="2">
        <v>45711.584762048609</v>
      </c>
      <c r="C2918" t="s">
        <v>3</v>
      </c>
      <c r="D2918" t="s">
        <v>1170</v>
      </c>
      <c r="E2918" s="5">
        <v>35.76</v>
      </c>
      <c r="F2918" t="s">
        <v>18</v>
      </c>
    </row>
    <row r="2919" spans="1:6">
      <c r="A2919" s="1">
        <v>45712</v>
      </c>
      <c r="B2919" s="2">
        <v>45712.843649340277</v>
      </c>
      <c r="C2919" t="s">
        <v>3</v>
      </c>
      <c r="D2919" t="s">
        <v>1170</v>
      </c>
      <c r="E2919" s="5">
        <v>35.76</v>
      </c>
      <c r="F2919" t="s">
        <v>18</v>
      </c>
    </row>
    <row r="2920" spans="1:6">
      <c r="A2920" s="1">
        <v>45716</v>
      </c>
      <c r="B2920" s="2">
        <v>45716.68226134259</v>
      </c>
      <c r="C2920" t="s">
        <v>3</v>
      </c>
      <c r="D2920" t="s">
        <v>1170</v>
      </c>
      <c r="E2920" s="5">
        <v>35.76</v>
      </c>
      <c r="F2920" t="s">
        <v>18</v>
      </c>
    </row>
    <row r="2921" spans="1:6">
      <c r="A2921" s="1">
        <v>45691</v>
      </c>
      <c r="B2921" s="2">
        <v>45691.559051724536</v>
      </c>
      <c r="C2921" t="s">
        <v>3</v>
      </c>
      <c r="D2921" t="s">
        <v>1171</v>
      </c>
      <c r="E2921" s="5">
        <v>35.76</v>
      </c>
      <c r="F2921" t="s">
        <v>43</v>
      </c>
    </row>
    <row r="2922" spans="1:6">
      <c r="A2922" s="1">
        <v>45692</v>
      </c>
      <c r="B2922" s="2">
        <v>45692.759511481483</v>
      </c>
      <c r="C2922" t="s">
        <v>3</v>
      </c>
      <c r="D2922" t="s">
        <v>1171</v>
      </c>
      <c r="E2922" s="5">
        <v>30.86</v>
      </c>
      <c r="F2922" t="s">
        <v>14</v>
      </c>
    </row>
    <row r="2923" spans="1:6">
      <c r="A2923" s="1">
        <v>45693</v>
      </c>
      <c r="B2923" s="2">
        <v>45693.767700486111</v>
      </c>
      <c r="C2923" t="s">
        <v>3</v>
      </c>
      <c r="D2923" t="s">
        <v>1171</v>
      </c>
      <c r="E2923" s="5">
        <v>30.86</v>
      </c>
      <c r="F2923" t="s">
        <v>14</v>
      </c>
    </row>
    <row r="2924" spans="1:6">
      <c r="A2924" s="1">
        <v>45697</v>
      </c>
      <c r="B2924" s="2">
        <v>45697.438300752314</v>
      </c>
      <c r="C2924" t="s">
        <v>3</v>
      </c>
      <c r="D2924" t="s">
        <v>1171</v>
      </c>
      <c r="E2924" s="5">
        <v>30.86</v>
      </c>
      <c r="F2924" t="s">
        <v>14</v>
      </c>
    </row>
    <row r="2925" spans="1:6">
      <c r="A2925" s="1">
        <v>45698</v>
      </c>
      <c r="B2925" s="2">
        <v>45698.768918946756</v>
      </c>
      <c r="C2925" t="s">
        <v>3</v>
      </c>
      <c r="D2925" t="s">
        <v>1171</v>
      </c>
      <c r="E2925" s="5">
        <v>30.86</v>
      </c>
      <c r="F2925" t="s">
        <v>14</v>
      </c>
    </row>
    <row r="2926" spans="1:6">
      <c r="A2926" s="1">
        <v>45701</v>
      </c>
      <c r="B2926" s="2">
        <v>45701.457951944445</v>
      </c>
      <c r="C2926" t="s">
        <v>3</v>
      </c>
      <c r="D2926" t="s">
        <v>1171</v>
      </c>
      <c r="E2926" s="5">
        <v>30.86</v>
      </c>
      <c r="F2926" t="s">
        <v>14</v>
      </c>
    </row>
    <row r="2927" spans="1:6">
      <c r="A2927" s="1">
        <v>45717</v>
      </c>
      <c r="B2927" s="2">
        <v>45717.630789618059</v>
      </c>
      <c r="C2927" t="s">
        <v>3</v>
      </c>
      <c r="D2927" t="s">
        <v>1171</v>
      </c>
      <c r="E2927" s="5">
        <v>30.86</v>
      </c>
      <c r="F2927" t="s">
        <v>14</v>
      </c>
    </row>
    <row r="2928" spans="1:6">
      <c r="A2928" s="1">
        <v>45723</v>
      </c>
      <c r="B2928" s="2">
        <v>45723.502618599538</v>
      </c>
      <c r="C2928" t="s">
        <v>3</v>
      </c>
      <c r="D2928" t="s">
        <v>1171</v>
      </c>
      <c r="E2928" s="5">
        <v>30.86</v>
      </c>
      <c r="F2928" t="s">
        <v>14</v>
      </c>
    </row>
    <row r="2929" spans="1:6">
      <c r="A2929" s="1">
        <v>45726</v>
      </c>
      <c r="B2929" s="2">
        <v>45726.810218460647</v>
      </c>
      <c r="C2929" t="s">
        <v>3</v>
      </c>
      <c r="D2929" t="s">
        <v>1171</v>
      </c>
      <c r="E2929" s="5">
        <v>30.86</v>
      </c>
      <c r="F2929" t="s">
        <v>14</v>
      </c>
    </row>
    <row r="2930" spans="1:6">
      <c r="A2930" s="1">
        <v>45727</v>
      </c>
      <c r="B2930" s="2">
        <v>45727.789492037038</v>
      </c>
      <c r="C2930" t="s">
        <v>3</v>
      </c>
      <c r="D2930" t="s">
        <v>1171</v>
      </c>
      <c r="E2930" s="5">
        <v>30.86</v>
      </c>
      <c r="F2930" t="s">
        <v>14</v>
      </c>
    </row>
    <row r="2931" spans="1:6">
      <c r="A2931" s="1">
        <v>45691</v>
      </c>
      <c r="B2931" s="2">
        <v>45691.56451009259</v>
      </c>
      <c r="C2931" t="s">
        <v>3</v>
      </c>
      <c r="D2931" t="s">
        <v>1172</v>
      </c>
      <c r="E2931" s="5">
        <v>35.76</v>
      </c>
      <c r="F2931" t="s">
        <v>43</v>
      </c>
    </row>
    <row r="2932" spans="1:6">
      <c r="A2932" s="1">
        <v>45694</v>
      </c>
      <c r="B2932" s="2">
        <v>45694.624565069447</v>
      </c>
      <c r="C2932" t="s">
        <v>3</v>
      </c>
      <c r="D2932" t="s">
        <v>1172</v>
      </c>
      <c r="E2932" s="5">
        <v>35.76</v>
      </c>
      <c r="F2932" t="s">
        <v>43</v>
      </c>
    </row>
    <row r="2933" spans="1:6">
      <c r="A2933" s="1">
        <v>45694</v>
      </c>
      <c r="B2933" s="2">
        <v>45694.828618912034</v>
      </c>
      <c r="C2933" t="s">
        <v>3</v>
      </c>
      <c r="D2933" t="s">
        <v>1172</v>
      </c>
      <c r="E2933" s="5">
        <v>35.76</v>
      </c>
      <c r="F2933" t="s">
        <v>43</v>
      </c>
    </row>
    <row r="2934" spans="1:6">
      <c r="A2934" s="1">
        <v>45700</v>
      </c>
      <c r="B2934" s="2">
        <v>45700.886854999997</v>
      </c>
      <c r="C2934" t="s">
        <v>3</v>
      </c>
      <c r="D2934" t="s">
        <v>1172</v>
      </c>
      <c r="E2934" s="5">
        <v>35.76</v>
      </c>
      <c r="F2934" t="s">
        <v>43</v>
      </c>
    </row>
    <row r="2935" spans="1:6">
      <c r="A2935" s="1">
        <v>45707</v>
      </c>
      <c r="B2935" s="2">
        <v>45707.660217766206</v>
      </c>
      <c r="C2935" t="s">
        <v>3</v>
      </c>
      <c r="D2935" t="s">
        <v>1172</v>
      </c>
      <c r="E2935" s="5">
        <v>35.76</v>
      </c>
      <c r="F2935" t="s">
        <v>43</v>
      </c>
    </row>
    <row r="2936" spans="1:6">
      <c r="A2936" s="1">
        <v>45707</v>
      </c>
      <c r="B2936" s="2">
        <v>45707.732512685187</v>
      </c>
      <c r="C2936" t="s">
        <v>3</v>
      </c>
      <c r="D2936" t="s">
        <v>1172</v>
      </c>
      <c r="E2936" s="5">
        <v>35.76</v>
      </c>
      <c r="F2936" t="s">
        <v>43</v>
      </c>
    </row>
    <row r="2937" spans="1:6">
      <c r="A2937" s="1">
        <v>45719</v>
      </c>
      <c r="B2937" s="2">
        <v>45719.694783611114</v>
      </c>
      <c r="C2937" t="s">
        <v>3</v>
      </c>
      <c r="D2937" t="s">
        <v>1172</v>
      </c>
      <c r="E2937" s="5">
        <v>35.76</v>
      </c>
      <c r="F2937" t="s">
        <v>43</v>
      </c>
    </row>
    <row r="2938" spans="1:6">
      <c r="A2938" s="1">
        <v>45719</v>
      </c>
      <c r="B2938" s="2">
        <v>45719.69609503472</v>
      </c>
      <c r="C2938" t="s">
        <v>3</v>
      </c>
      <c r="D2938" t="s">
        <v>1172</v>
      </c>
      <c r="E2938" s="5">
        <v>35.76</v>
      </c>
      <c r="F2938" t="s">
        <v>43</v>
      </c>
    </row>
    <row r="2939" spans="1:6">
      <c r="A2939" s="1">
        <v>45721</v>
      </c>
      <c r="B2939" s="2">
        <v>45721.759339918979</v>
      </c>
      <c r="C2939" t="s">
        <v>3</v>
      </c>
      <c r="D2939" t="s">
        <v>1172</v>
      </c>
      <c r="E2939" s="5">
        <v>35.76</v>
      </c>
      <c r="F2939" t="s">
        <v>43</v>
      </c>
    </row>
    <row r="2940" spans="1:6">
      <c r="A2940" s="1">
        <v>45722</v>
      </c>
      <c r="B2940" s="2">
        <v>45722.768885694444</v>
      </c>
      <c r="C2940" t="s">
        <v>3</v>
      </c>
      <c r="D2940" t="s">
        <v>1172</v>
      </c>
      <c r="E2940" s="5">
        <v>35.76</v>
      </c>
      <c r="F2940" t="s">
        <v>43</v>
      </c>
    </row>
    <row r="2941" spans="1:6">
      <c r="A2941" s="1">
        <v>45728</v>
      </c>
      <c r="B2941" s="2">
        <v>45728.777044537041</v>
      </c>
      <c r="C2941" t="s">
        <v>3</v>
      </c>
      <c r="D2941" t="s">
        <v>1172</v>
      </c>
      <c r="E2941" s="5">
        <v>35.76</v>
      </c>
      <c r="F2941" t="s">
        <v>43</v>
      </c>
    </row>
    <row r="2942" spans="1:6">
      <c r="A2942" s="1">
        <v>45729</v>
      </c>
      <c r="B2942" s="2">
        <v>45729.783144039349</v>
      </c>
      <c r="C2942" t="s">
        <v>3</v>
      </c>
      <c r="D2942" t="s">
        <v>1172</v>
      </c>
      <c r="E2942" s="5">
        <v>35.76</v>
      </c>
      <c r="F2942" t="s">
        <v>43</v>
      </c>
    </row>
    <row r="2943" spans="1:6">
      <c r="A2943" s="1">
        <v>45731</v>
      </c>
      <c r="B2943" s="2">
        <v>45731.419010902777</v>
      </c>
      <c r="C2943" t="s">
        <v>3</v>
      </c>
      <c r="D2943" t="s">
        <v>1172</v>
      </c>
      <c r="E2943" s="5">
        <v>35.76</v>
      </c>
      <c r="F2943" t="s">
        <v>43</v>
      </c>
    </row>
    <row r="2944" spans="1:6">
      <c r="A2944" s="1">
        <v>45733</v>
      </c>
      <c r="B2944" s="2">
        <v>45733.632838981481</v>
      </c>
      <c r="C2944" t="s">
        <v>3</v>
      </c>
      <c r="D2944" t="s">
        <v>1172</v>
      </c>
      <c r="E2944" s="5">
        <v>35.76</v>
      </c>
      <c r="F2944" t="s">
        <v>43</v>
      </c>
    </row>
    <row r="2945" spans="1:6">
      <c r="A2945" s="1">
        <v>45735</v>
      </c>
      <c r="B2945" s="2">
        <v>45735.694835254631</v>
      </c>
      <c r="C2945" t="s">
        <v>3</v>
      </c>
      <c r="D2945" t="s">
        <v>1172</v>
      </c>
      <c r="E2945" s="5">
        <v>35.76</v>
      </c>
      <c r="F2945" t="s">
        <v>43</v>
      </c>
    </row>
    <row r="2946" spans="1:6">
      <c r="A2946" s="1">
        <v>45735</v>
      </c>
      <c r="B2946" s="2">
        <v>45735.696018923612</v>
      </c>
      <c r="C2946" t="s">
        <v>3</v>
      </c>
      <c r="D2946" t="s">
        <v>1172</v>
      </c>
      <c r="E2946" s="5">
        <v>35.76</v>
      </c>
      <c r="F2946" t="s">
        <v>43</v>
      </c>
    </row>
    <row r="2947" spans="1:6">
      <c r="A2947" s="1">
        <v>45736</v>
      </c>
      <c r="B2947" s="2">
        <v>45736.698437175924</v>
      </c>
      <c r="C2947" t="s">
        <v>3</v>
      </c>
      <c r="D2947" t="s">
        <v>1172</v>
      </c>
      <c r="E2947" s="5">
        <v>35.76</v>
      </c>
      <c r="F2947" t="s">
        <v>43</v>
      </c>
    </row>
    <row r="2948" spans="1:6">
      <c r="A2948" s="1">
        <v>45736</v>
      </c>
      <c r="B2948" s="2">
        <v>45736.831811099539</v>
      </c>
      <c r="C2948" t="s">
        <v>3</v>
      </c>
      <c r="D2948" t="s">
        <v>1172</v>
      </c>
      <c r="E2948" s="5">
        <v>35.76</v>
      </c>
      <c r="F2948" t="s">
        <v>43</v>
      </c>
    </row>
    <row r="2949" spans="1:6">
      <c r="A2949" s="1">
        <v>45737</v>
      </c>
      <c r="B2949" s="2">
        <v>45737.591482118056</v>
      </c>
      <c r="C2949" t="s">
        <v>3</v>
      </c>
      <c r="D2949" t="s">
        <v>1172</v>
      </c>
      <c r="E2949" s="5">
        <v>35.76</v>
      </c>
      <c r="F2949" t="s">
        <v>43</v>
      </c>
    </row>
    <row r="2950" spans="1:6">
      <c r="A2950" s="1">
        <v>45739</v>
      </c>
      <c r="B2950" s="2">
        <v>45739.440913124999</v>
      </c>
      <c r="C2950" t="s">
        <v>3</v>
      </c>
      <c r="D2950" t="s">
        <v>1172</v>
      </c>
      <c r="E2950" s="5">
        <v>35.76</v>
      </c>
      <c r="F2950" t="s">
        <v>43</v>
      </c>
    </row>
    <row r="2951" spans="1:6">
      <c r="A2951" s="1">
        <v>45691</v>
      </c>
      <c r="B2951" s="2">
        <v>45691.57712130787</v>
      </c>
      <c r="C2951" t="s">
        <v>3</v>
      </c>
      <c r="D2951" t="s">
        <v>1173</v>
      </c>
      <c r="E2951" s="5">
        <v>25.96</v>
      </c>
      <c r="F2951" t="s">
        <v>11</v>
      </c>
    </row>
    <row r="2952" spans="1:6">
      <c r="A2952" s="1">
        <v>45691</v>
      </c>
      <c r="B2952" s="2">
        <v>45691.587922673614</v>
      </c>
      <c r="C2952" t="s">
        <v>3</v>
      </c>
      <c r="D2952" t="s">
        <v>1174</v>
      </c>
      <c r="E2952" s="5">
        <v>25.96</v>
      </c>
      <c r="F2952" t="s">
        <v>11</v>
      </c>
    </row>
    <row r="2953" spans="1:6">
      <c r="A2953" s="1">
        <v>45691</v>
      </c>
      <c r="B2953" s="2">
        <v>45691.70933878472</v>
      </c>
      <c r="C2953" t="s">
        <v>3</v>
      </c>
      <c r="D2953" t="s">
        <v>1174</v>
      </c>
      <c r="E2953" s="5">
        <v>35.76</v>
      </c>
      <c r="F2953" t="s">
        <v>18</v>
      </c>
    </row>
    <row r="2954" spans="1:6">
      <c r="A2954" s="1">
        <v>45692</v>
      </c>
      <c r="B2954" s="2">
        <v>45692.546979375002</v>
      </c>
      <c r="C2954" t="s">
        <v>3</v>
      </c>
      <c r="D2954" t="s">
        <v>1174</v>
      </c>
      <c r="E2954" s="5">
        <v>25.96</v>
      </c>
      <c r="F2954" t="s">
        <v>28</v>
      </c>
    </row>
    <row r="2955" spans="1:6">
      <c r="A2955" s="1">
        <v>45700</v>
      </c>
      <c r="B2955" s="2">
        <v>45700.570598645834</v>
      </c>
      <c r="C2955" t="s">
        <v>3</v>
      </c>
      <c r="D2955" t="s">
        <v>1174</v>
      </c>
      <c r="E2955" s="5">
        <v>35.76</v>
      </c>
      <c r="F2955" t="s">
        <v>9</v>
      </c>
    </row>
    <row r="2956" spans="1:6">
      <c r="A2956" s="1">
        <v>45700</v>
      </c>
      <c r="B2956" s="2">
        <v>45700.675675648148</v>
      </c>
      <c r="C2956" t="s">
        <v>3</v>
      </c>
      <c r="D2956" t="s">
        <v>1174</v>
      </c>
      <c r="E2956" s="5">
        <v>25.96</v>
      </c>
      <c r="F2956" t="s">
        <v>11</v>
      </c>
    </row>
    <row r="2957" spans="1:6">
      <c r="A2957" s="1">
        <v>45700</v>
      </c>
      <c r="B2957" s="2">
        <v>45700.684820983799</v>
      </c>
      <c r="C2957" t="s">
        <v>3</v>
      </c>
      <c r="D2957" t="s">
        <v>1174</v>
      </c>
      <c r="E2957" s="5">
        <v>25.96</v>
      </c>
      <c r="F2957" t="s">
        <v>11</v>
      </c>
    </row>
    <row r="2958" spans="1:6">
      <c r="A2958" s="1">
        <v>45702</v>
      </c>
      <c r="B2958" s="2">
        <v>45702.710602638886</v>
      </c>
      <c r="C2958" t="s">
        <v>3</v>
      </c>
      <c r="D2958" t="s">
        <v>1174</v>
      </c>
      <c r="E2958" s="5">
        <v>25.96</v>
      </c>
      <c r="F2958" t="s">
        <v>11</v>
      </c>
    </row>
    <row r="2959" spans="1:6">
      <c r="A2959" s="1">
        <v>45702</v>
      </c>
      <c r="B2959" s="2">
        <v>45702.711452650467</v>
      </c>
      <c r="C2959" t="s">
        <v>3</v>
      </c>
      <c r="D2959" t="s">
        <v>1174</v>
      </c>
      <c r="E2959" s="5">
        <v>35.76</v>
      </c>
      <c r="F2959" t="s">
        <v>18</v>
      </c>
    </row>
    <row r="2960" spans="1:6">
      <c r="A2960" s="1">
        <v>45704</v>
      </c>
      <c r="B2960" s="2">
        <v>45704.480891840278</v>
      </c>
      <c r="C2960" t="s">
        <v>3</v>
      </c>
      <c r="D2960" t="s">
        <v>1174</v>
      </c>
      <c r="E2960" s="5">
        <v>25.96</v>
      </c>
      <c r="F2960" t="s">
        <v>11</v>
      </c>
    </row>
    <row r="2961" spans="1:6">
      <c r="A2961" s="1">
        <v>45705</v>
      </c>
      <c r="B2961" s="2">
        <v>45705.375638275465</v>
      </c>
      <c r="C2961" t="s">
        <v>3</v>
      </c>
      <c r="D2961" t="s">
        <v>1174</v>
      </c>
      <c r="E2961" s="5">
        <v>25.96</v>
      </c>
      <c r="F2961" t="s">
        <v>11</v>
      </c>
    </row>
    <row r="2962" spans="1:6">
      <c r="A2962" s="1">
        <v>45705</v>
      </c>
      <c r="B2962" s="2">
        <v>45705.447777835645</v>
      </c>
      <c r="C2962" t="s">
        <v>3</v>
      </c>
      <c r="D2962" t="s">
        <v>1174</v>
      </c>
      <c r="E2962" s="5">
        <v>25.96</v>
      </c>
      <c r="F2962" t="s">
        <v>11</v>
      </c>
    </row>
    <row r="2963" spans="1:6">
      <c r="A2963" s="1">
        <v>45691</v>
      </c>
      <c r="B2963" s="2">
        <v>45691.626210798611</v>
      </c>
      <c r="C2963" t="s">
        <v>3</v>
      </c>
      <c r="D2963" t="s">
        <v>1175</v>
      </c>
      <c r="E2963" s="5">
        <v>35.76</v>
      </c>
      <c r="F2963" t="s">
        <v>7</v>
      </c>
    </row>
    <row r="2964" spans="1:6">
      <c r="A2964" s="1">
        <v>45693</v>
      </c>
      <c r="B2964" s="2">
        <v>45693.623526678239</v>
      </c>
      <c r="C2964" t="s">
        <v>3</v>
      </c>
      <c r="D2964" t="s">
        <v>1175</v>
      </c>
      <c r="E2964" s="5">
        <v>35.76</v>
      </c>
      <c r="F2964" t="s">
        <v>43</v>
      </c>
    </row>
    <row r="2965" spans="1:6">
      <c r="A2965" s="1">
        <v>45695</v>
      </c>
      <c r="B2965" s="2">
        <v>45695.854825671297</v>
      </c>
      <c r="C2965" t="s">
        <v>3</v>
      </c>
      <c r="D2965" t="s">
        <v>1175</v>
      </c>
      <c r="E2965" s="5">
        <v>25.96</v>
      </c>
      <c r="F2965" t="s">
        <v>28</v>
      </c>
    </row>
    <row r="2966" spans="1:6">
      <c r="A2966" s="1">
        <v>45697</v>
      </c>
      <c r="B2966" s="2">
        <v>45697.367640173608</v>
      </c>
      <c r="C2966" t="s">
        <v>3</v>
      </c>
      <c r="D2966" t="s">
        <v>1175</v>
      </c>
      <c r="E2966" s="5">
        <v>35.76</v>
      </c>
      <c r="F2966" t="s">
        <v>18</v>
      </c>
    </row>
    <row r="2967" spans="1:6">
      <c r="A2967" s="1">
        <v>45697</v>
      </c>
      <c r="B2967" s="2">
        <v>45697.680773437503</v>
      </c>
      <c r="C2967" t="s">
        <v>3</v>
      </c>
      <c r="D2967" t="s">
        <v>1175</v>
      </c>
      <c r="E2967" s="5">
        <v>25.96</v>
      </c>
      <c r="F2967" t="s">
        <v>28</v>
      </c>
    </row>
    <row r="2968" spans="1:6">
      <c r="A2968" s="1">
        <v>45707</v>
      </c>
      <c r="B2968" s="2">
        <v>45707.339501747687</v>
      </c>
      <c r="C2968" t="s">
        <v>3</v>
      </c>
      <c r="D2968" t="s">
        <v>1175</v>
      </c>
      <c r="E2968" s="5">
        <v>35.76</v>
      </c>
      <c r="F2968" t="s">
        <v>43</v>
      </c>
    </row>
    <row r="2969" spans="1:6">
      <c r="A2969" s="1">
        <v>45708</v>
      </c>
      <c r="B2969" s="2">
        <v>45708.330839988426</v>
      </c>
      <c r="C2969" t="s">
        <v>3</v>
      </c>
      <c r="D2969" t="s">
        <v>1175</v>
      </c>
      <c r="E2969" s="5">
        <v>35.76</v>
      </c>
      <c r="F2969" t="s">
        <v>43</v>
      </c>
    </row>
    <row r="2970" spans="1:6">
      <c r="A2970" s="1">
        <v>45709</v>
      </c>
      <c r="B2970" s="2">
        <v>45709.637861886571</v>
      </c>
      <c r="C2970" t="s">
        <v>3</v>
      </c>
      <c r="D2970" t="s">
        <v>1175</v>
      </c>
      <c r="E2970" s="5">
        <v>35.76</v>
      </c>
      <c r="F2970" t="s">
        <v>43</v>
      </c>
    </row>
    <row r="2971" spans="1:6">
      <c r="A2971" s="1">
        <v>45713</v>
      </c>
      <c r="B2971" s="2">
        <v>45713.593270150464</v>
      </c>
      <c r="C2971" t="s">
        <v>3</v>
      </c>
      <c r="D2971" t="s">
        <v>1175</v>
      </c>
      <c r="E2971" s="5">
        <v>35.76</v>
      </c>
      <c r="F2971" t="s">
        <v>43</v>
      </c>
    </row>
    <row r="2972" spans="1:6">
      <c r="A2972" s="1">
        <v>45715</v>
      </c>
      <c r="B2972" s="2">
        <v>45715.306256747688</v>
      </c>
      <c r="C2972" t="s">
        <v>3</v>
      </c>
      <c r="D2972" t="s">
        <v>1175</v>
      </c>
      <c r="E2972" s="5">
        <v>35.76</v>
      </c>
      <c r="F2972" t="s">
        <v>43</v>
      </c>
    </row>
    <row r="2973" spans="1:6">
      <c r="A2973" s="1">
        <v>45716</v>
      </c>
      <c r="B2973" s="2">
        <v>45716.304593981484</v>
      </c>
      <c r="C2973" t="s">
        <v>3</v>
      </c>
      <c r="D2973" t="s">
        <v>1175</v>
      </c>
      <c r="E2973" s="5">
        <v>35.76</v>
      </c>
      <c r="F2973" t="s">
        <v>43</v>
      </c>
    </row>
    <row r="2974" spans="1:6">
      <c r="A2974" s="1">
        <v>45719</v>
      </c>
      <c r="B2974" s="2">
        <v>45719.35002247685</v>
      </c>
      <c r="C2974" t="s">
        <v>3</v>
      </c>
      <c r="D2974" t="s">
        <v>1175</v>
      </c>
      <c r="E2974" s="5">
        <v>35.76</v>
      </c>
      <c r="F2974" t="s">
        <v>43</v>
      </c>
    </row>
    <row r="2975" spans="1:6">
      <c r="A2975" s="1">
        <v>45720</v>
      </c>
      <c r="B2975" s="2">
        <v>45720.305115034724</v>
      </c>
      <c r="C2975" t="s">
        <v>3</v>
      </c>
      <c r="D2975" t="s">
        <v>1175</v>
      </c>
      <c r="E2975" s="5">
        <v>35.76</v>
      </c>
      <c r="F2975" t="s">
        <v>43</v>
      </c>
    </row>
    <row r="2976" spans="1:6">
      <c r="A2976" s="1">
        <v>45723</v>
      </c>
      <c r="B2976" s="2">
        <v>45723.295628715277</v>
      </c>
      <c r="C2976" t="s">
        <v>3</v>
      </c>
      <c r="D2976" t="s">
        <v>1175</v>
      </c>
      <c r="E2976" s="5">
        <v>35.76</v>
      </c>
      <c r="F2976" t="s">
        <v>43</v>
      </c>
    </row>
    <row r="2977" spans="1:6">
      <c r="A2977" s="1">
        <v>45728</v>
      </c>
      <c r="B2977" s="2">
        <v>45728.49136871528</v>
      </c>
      <c r="C2977" t="s">
        <v>3</v>
      </c>
      <c r="D2977" t="s">
        <v>1175</v>
      </c>
      <c r="E2977" s="5">
        <v>30.86</v>
      </c>
      <c r="F2977" t="s">
        <v>14</v>
      </c>
    </row>
    <row r="2978" spans="1:6">
      <c r="A2978" s="1">
        <v>45728</v>
      </c>
      <c r="B2978" s="2">
        <v>45728.49323378472</v>
      </c>
      <c r="C2978" t="s">
        <v>3</v>
      </c>
      <c r="D2978" t="s">
        <v>1175</v>
      </c>
      <c r="E2978" s="5">
        <v>35.76</v>
      </c>
      <c r="F2978" t="s">
        <v>43</v>
      </c>
    </row>
    <row r="2979" spans="1:6">
      <c r="A2979" s="1">
        <v>45729</v>
      </c>
      <c r="B2979" s="2">
        <v>45729.292782500001</v>
      </c>
      <c r="C2979" t="s">
        <v>3</v>
      </c>
      <c r="D2979" t="s">
        <v>1175</v>
      </c>
      <c r="E2979" s="5">
        <v>35.76</v>
      </c>
      <c r="F2979" t="s">
        <v>43</v>
      </c>
    </row>
    <row r="2980" spans="1:6">
      <c r="A2980" s="1">
        <v>45732</v>
      </c>
      <c r="B2980" s="2">
        <v>45732.397422534719</v>
      </c>
      <c r="C2980" t="s">
        <v>3</v>
      </c>
      <c r="D2980" t="s">
        <v>1175</v>
      </c>
      <c r="E2980" s="5">
        <v>35.76</v>
      </c>
      <c r="F2980" t="s">
        <v>43</v>
      </c>
    </row>
    <row r="2981" spans="1:6">
      <c r="A2981" s="1">
        <v>45735</v>
      </c>
      <c r="B2981" s="2">
        <v>45735.296237418981</v>
      </c>
      <c r="C2981" t="s">
        <v>3</v>
      </c>
      <c r="D2981" t="s">
        <v>1175</v>
      </c>
      <c r="E2981" s="5">
        <v>35.76</v>
      </c>
      <c r="F2981" t="s">
        <v>43</v>
      </c>
    </row>
    <row r="2982" spans="1:6">
      <c r="A2982" s="1">
        <v>45736</v>
      </c>
      <c r="B2982" s="2">
        <v>45736.624854756941</v>
      </c>
      <c r="C2982" t="s">
        <v>3</v>
      </c>
      <c r="D2982" t="s">
        <v>1175</v>
      </c>
      <c r="E2982" s="5">
        <v>35.76</v>
      </c>
      <c r="F2982" t="s">
        <v>43</v>
      </c>
    </row>
    <row r="2983" spans="1:6">
      <c r="A2983" s="1">
        <v>45691</v>
      </c>
      <c r="B2983" s="2">
        <v>45691.715221469909</v>
      </c>
      <c r="C2983" t="s">
        <v>3</v>
      </c>
      <c r="D2983" t="s">
        <v>1176</v>
      </c>
      <c r="E2983" s="5">
        <v>30.86</v>
      </c>
      <c r="F2983" t="s">
        <v>14</v>
      </c>
    </row>
    <row r="2984" spans="1:6">
      <c r="A2984" s="1">
        <v>45694</v>
      </c>
      <c r="B2984" s="2">
        <v>45694.621893101852</v>
      </c>
      <c r="C2984" t="s">
        <v>3</v>
      </c>
      <c r="D2984" t="s">
        <v>1176</v>
      </c>
      <c r="E2984" s="5">
        <v>30.86</v>
      </c>
      <c r="F2984" t="s">
        <v>14</v>
      </c>
    </row>
    <row r="2985" spans="1:6">
      <c r="A2985" s="1">
        <v>45710</v>
      </c>
      <c r="B2985" s="2">
        <v>45710.627121180558</v>
      </c>
      <c r="C2985" t="s">
        <v>3</v>
      </c>
      <c r="D2985" t="s">
        <v>1176</v>
      </c>
      <c r="E2985" s="5">
        <v>30.86</v>
      </c>
      <c r="F2985" t="s">
        <v>14</v>
      </c>
    </row>
    <row r="2986" spans="1:6">
      <c r="A2986" s="1">
        <v>45712</v>
      </c>
      <c r="B2986" s="2">
        <v>45712.754880775465</v>
      </c>
      <c r="C2986" t="s">
        <v>3</v>
      </c>
      <c r="D2986" t="s">
        <v>1176</v>
      </c>
      <c r="E2986" s="5">
        <v>30.86</v>
      </c>
      <c r="F2986" t="s">
        <v>14</v>
      </c>
    </row>
    <row r="2987" spans="1:6">
      <c r="A2987" s="1">
        <v>45716</v>
      </c>
      <c r="B2987" s="2">
        <v>45716.376829409724</v>
      </c>
      <c r="C2987" t="s">
        <v>3</v>
      </c>
      <c r="D2987" t="s">
        <v>1176</v>
      </c>
      <c r="E2987" s="5">
        <v>30.86</v>
      </c>
      <c r="F2987" t="s">
        <v>14</v>
      </c>
    </row>
    <row r="2988" spans="1:6">
      <c r="A2988" s="1">
        <v>45719</v>
      </c>
      <c r="B2988" s="2">
        <v>45719.752141296296</v>
      </c>
      <c r="C2988" t="s">
        <v>3</v>
      </c>
      <c r="D2988" t="s">
        <v>1176</v>
      </c>
      <c r="E2988" s="5">
        <v>30.86</v>
      </c>
      <c r="F2988" t="s">
        <v>14</v>
      </c>
    </row>
    <row r="2989" spans="1:6">
      <c r="A2989" s="1">
        <v>45724</v>
      </c>
      <c r="B2989" s="2">
        <v>45724.404084490743</v>
      </c>
      <c r="C2989" t="s">
        <v>3</v>
      </c>
      <c r="D2989" t="s">
        <v>1176</v>
      </c>
      <c r="E2989" s="5">
        <v>30.86</v>
      </c>
      <c r="F2989" t="s">
        <v>14</v>
      </c>
    </row>
    <row r="2990" spans="1:6">
      <c r="A2990" s="1">
        <v>45724</v>
      </c>
      <c r="B2990" s="2">
        <v>45724.569514513889</v>
      </c>
      <c r="C2990" t="s">
        <v>3</v>
      </c>
      <c r="D2990" t="s">
        <v>1176</v>
      </c>
      <c r="E2990" s="5">
        <v>35.76</v>
      </c>
      <c r="F2990" t="s">
        <v>43</v>
      </c>
    </row>
    <row r="2991" spans="1:6">
      <c r="A2991" s="1">
        <v>45691</v>
      </c>
      <c r="B2991" s="2">
        <v>45691.716055428238</v>
      </c>
      <c r="C2991" t="s">
        <v>3</v>
      </c>
      <c r="D2991" t="s">
        <v>1177</v>
      </c>
      <c r="E2991" s="5">
        <v>30.86</v>
      </c>
      <c r="F2991" t="s">
        <v>14</v>
      </c>
    </row>
    <row r="2992" spans="1:6">
      <c r="A2992" s="1">
        <v>45691</v>
      </c>
      <c r="B2992" s="2">
        <v>45691.716727025465</v>
      </c>
      <c r="C2992" t="s">
        <v>3</v>
      </c>
      <c r="D2992" t="s">
        <v>1177</v>
      </c>
      <c r="E2992" s="5">
        <v>30.86</v>
      </c>
      <c r="F2992" t="s">
        <v>14</v>
      </c>
    </row>
    <row r="2993" spans="1:6">
      <c r="A2993" s="1">
        <v>45692</v>
      </c>
      <c r="B2993" s="2">
        <v>45692.420101956021</v>
      </c>
      <c r="C2993" t="s">
        <v>3</v>
      </c>
      <c r="D2993" t="s">
        <v>1177</v>
      </c>
      <c r="E2993" s="5">
        <v>30.86</v>
      </c>
      <c r="F2993" t="s">
        <v>14</v>
      </c>
    </row>
    <row r="2994" spans="1:6">
      <c r="A2994" s="1">
        <v>45692</v>
      </c>
      <c r="B2994" s="2">
        <v>45692.595561180555</v>
      </c>
      <c r="C2994" t="s">
        <v>3</v>
      </c>
      <c r="D2994" t="s">
        <v>1177</v>
      </c>
      <c r="E2994" s="5">
        <v>30.86</v>
      </c>
      <c r="F2994" t="s">
        <v>14</v>
      </c>
    </row>
    <row r="2995" spans="1:6">
      <c r="A2995" s="1">
        <v>45693</v>
      </c>
      <c r="B2995" s="2">
        <v>45693.382450497687</v>
      </c>
      <c r="C2995" t="s">
        <v>3</v>
      </c>
      <c r="D2995" t="s">
        <v>1177</v>
      </c>
      <c r="E2995" s="5">
        <v>30.86</v>
      </c>
      <c r="F2995" t="s">
        <v>14</v>
      </c>
    </row>
    <row r="2996" spans="1:6">
      <c r="A2996" s="1">
        <v>45693</v>
      </c>
      <c r="B2996" s="2">
        <v>45693.492775324077</v>
      </c>
      <c r="C2996" t="s">
        <v>3</v>
      </c>
      <c r="D2996" t="s">
        <v>1177</v>
      </c>
      <c r="E2996" s="5">
        <v>25.96</v>
      </c>
      <c r="F2996" t="s">
        <v>11</v>
      </c>
    </row>
    <row r="2997" spans="1:6">
      <c r="A2997" s="1">
        <v>45693</v>
      </c>
      <c r="B2997" s="2">
        <v>45693.493536863425</v>
      </c>
      <c r="C2997" t="s">
        <v>3</v>
      </c>
      <c r="D2997" t="s">
        <v>1177</v>
      </c>
      <c r="E2997" s="5">
        <v>25.96</v>
      </c>
      <c r="F2997" t="s">
        <v>11</v>
      </c>
    </row>
    <row r="2998" spans="1:6">
      <c r="A2998" s="1">
        <v>45693</v>
      </c>
      <c r="B2998" s="2">
        <v>45693.494275289355</v>
      </c>
      <c r="C2998" t="s">
        <v>3</v>
      </c>
      <c r="D2998" t="s">
        <v>1177</v>
      </c>
      <c r="E2998" s="5">
        <v>25.96</v>
      </c>
      <c r="F2998" t="s">
        <v>11</v>
      </c>
    </row>
    <row r="2999" spans="1:6">
      <c r="A2999" s="1">
        <v>45693</v>
      </c>
      <c r="B2999" s="2">
        <v>45693.499032893516</v>
      </c>
      <c r="C2999" t="s">
        <v>3</v>
      </c>
      <c r="D2999" t="s">
        <v>1177</v>
      </c>
      <c r="E2999" s="5">
        <v>30.86</v>
      </c>
      <c r="F2999" t="s">
        <v>14</v>
      </c>
    </row>
    <row r="3000" spans="1:6">
      <c r="A3000" s="1">
        <v>45694</v>
      </c>
      <c r="B3000" s="2">
        <v>45694.303340798608</v>
      </c>
      <c r="C3000" t="s">
        <v>3</v>
      </c>
      <c r="D3000" t="s">
        <v>1177</v>
      </c>
      <c r="E3000" s="5">
        <v>30.86</v>
      </c>
      <c r="F3000" t="s">
        <v>14</v>
      </c>
    </row>
    <row r="3001" spans="1:6">
      <c r="A3001" s="1">
        <v>45694</v>
      </c>
      <c r="B3001" s="2">
        <v>45694.676965289349</v>
      </c>
      <c r="C3001" t="s">
        <v>3</v>
      </c>
      <c r="D3001" t="s">
        <v>1177</v>
      </c>
      <c r="E3001" s="5">
        <v>35.76</v>
      </c>
      <c r="F3001" t="s">
        <v>18</v>
      </c>
    </row>
    <row r="3002" spans="1:6">
      <c r="A3002" s="1">
        <v>45694</v>
      </c>
      <c r="B3002" s="2">
        <v>45694.849462233797</v>
      </c>
      <c r="C3002" t="s">
        <v>3</v>
      </c>
      <c r="D3002" t="s">
        <v>1177</v>
      </c>
      <c r="E3002" s="5">
        <v>35.76</v>
      </c>
      <c r="F3002" t="s">
        <v>7</v>
      </c>
    </row>
    <row r="3003" spans="1:6">
      <c r="A3003" s="1">
        <v>45695</v>
      </c>
      <c r="B3003" s="2">
        <v>45695.535675543979</v>
      </c>
      <c r="C3003" t="s">
        <v>3</v>
      </c>
      <c r="D3003" t="s">
        <v>1177</v>
      </c>
      <c r="E3003" s="5">
        <v>30.86</v>
      </c>
      <c r="F3003" t="s">
        <v>14</v>
      </c>
    </row>
    <row r="3004" spans="1:6">
      <c r="A3004" s="1">
        <v>45696</v>
      </c>
      <c r="B3004" s="2">
        <v>45696.376191354168</v>
      </c>
      <c r="C3004" t="s">
        <v>3</v>
      </c>
      <c r="D3004" t="s">
        <v>1177</v>
      </c>
      <c r="E3004" s="5">
        <v>25.96</v>
      </c>
      <c r="F3004" t="s">
        <v>11</v>
      </c>
    </row>
    <row r="3005" spans="1:6">
      <c r="A3005" s="1">
        <v>45697</v>
      </c>
      <c r="B3005" s="2">
        <v>45697.452407627316</v>
      </c>
      <c r="C3005" t="s">
        <v>3</v>
      </c>
      <c r="D3005" t="s">
        <v>1177</v>
      </c>
      <c r="E3005" s="5">
        <v>25.96</v>
      </c>
      <c r="F3005" t="s">
        <v>11</v>
      </c>
    </row>
    <row r="3006" spans="1:6">
      <c r="A3006" s="1">
        <v>45698</v>
      </c>
      <c r="B3006" s="2">
        <v>45698.588673124999</v>
      </c>
      <c r="C3006" t="s">
        <v>3</v>
      </c>
      <c r="D3006" t="s">
        <v>1177</v>
      </c>
      <c r="E3006" s="5">
        <v>25.96</v>
      </c>
      <c r="F3006" t="s">
        <v>11</v>
      </c>
    </row>
    <row r="3007" spans="1:6">
      <c r="A3007" s="1">
        <v>45698</v>
      </c>
      <c r="B3007" s="2">
        <v>45698.59151002315</v>
      </c>
      <c r="C3007" t="s">
        <v>3</v>
      </c>
      <c r="D3007" t="s">
        <v>1177</v>
      </c>
      <c r="E3007" s="5">
        <v>35.76</v>
      </c>
      <c r="F3007" t="s">
        <v>18</v>
      </c>
    </row>
    <row r="3008" spans="1:6">
      <c r="A3008" s="1">
        <v>45698</v>
      </c>
      <c r="B3008" s="2">
        <v>45698.594265995373</v>
      </c>
      <c r="C3008" t="s">
        <v>3</v>
      </c>
      <c r="D3008" t="s">
        <v>1177</v>
      </c>
      <c r="E3008" s="5">
        <v>35.76</v>
      </c>
      <c r="F3008" t="s">
        <v>18</v>
      </c>
    </row>
    <row r="3009" spans="1:6">
      <c r="A3009" s="1">
        <v>45699</v>
      </c>
      <c r="B3009" s="2">
        <v>45699.443356886572</v>
      </c>
      <c r="C3009" t="s">
        <v>3</v>
      </c>
      <c r="D3009" t="s">
        <v>1177</v>
      </c>
      <c r="E3009" s="5">
        <v>25.96</v>
      </c>
      <c r="F3009" t="s">
        <v>11</v>
      </c>
    </row>
    <row r="3010" spans="1:6">
      <c r="A3010" s="1">
        <v>45699</v>
      </c>
      <c r="B3010" s="2">
        <v>45699.733043055552</v>
      </c>
      <c r="C3010" t="s">
        <v>3</v>
      </c>
      <c r="D3010" t="s">
        <v>1177</v>
      </c>
      <c r="E3010" s="5">
        <v>35.76</v>
      </c>
      <c r="F3010" t="s">
        <v>7</v>
      </c>
    </row>
    <row r="3011" spans="1:6">
      <c r="A3011" s="1">
        <v>45699</v>
      </c>
      <c r="B3011" s="2">
        <v>45699.73382212963</v>
      </c>
      <c r="C3011" t="s">
        <v>3</v>
      </c>
      <c r="D3011" t="s">
        <v>1177</v>
      </c>
      <c r="E3011" s="5">
        <v>30.86</v>
      </c>
      <c r="F3011" t="s">
        <v>14</v>
      </c>
    </row>
    <row r="3012" spans="1:6">
      <c r="A3012" s="1">
        <v>45700</v>
      </c>
      <c r="B3012" s="2">
        <v>45700.316406840277</v>
      </c>
      <c r="C3012" t="s">
        <v>3</v>
      </c>
      <c r="D3012" t="s">
        <v>1177</v>
      </c>
      <c r="E3012" s="5">
        <v>25.96</v>
      </c>
      <c r="F3012" t="s">
        <v>11</v>
      </c>
    </row>
    <row r="3013" spans="1:6">
      <c r="A3013" s="1">
        <v>45700</v>
      </c>
      <c r="B3013" s="2">
        <v>45700.371247199073</v>
      </c>
      <c r="C3013" t="s">
        <v>3</v>
      </c>
      <c r="D3013" t="s">
        <v>1177</v>
      </c>
      <c r="E3013" s="5">
        <v>35.76</v>
      </c>
      <c r="F3013" t="s">
        <v>18</v>
      </c>
    </row>
    <row r="3014" spans="1:6">
      <c r="A3014" s="1">
        <v>45701</v>
      </c>
      <c r="B3014" s="2">
        <v>45701.687954247682</v>
      </c>
      <c r="C3014" t="s">
        <v>3</v>
      </c>
      <c r="D3014" t="s">
        <v>1177</v>
      </c>
      <c r="E3014" s="5">
        <v>25.96</v>
      </c>
      <c r="F3014" t="s">
        <v>11</v>
      </c>
    </row>
    <row r="3015" spans="1:6">
      <c r="A3015" s="1">
        <v>45701</v>
      </c>
      <c r="B3015" s="2">
        <v>45701.688584745367</v>
      </c>
      <c r="C3015" t="s">
        <v>3</v>
      </c>
      <c r="D3015" t="s">
        <v>1177</v>
      </c>
      <c r="E3015" s="5">
        <v>25.96</v>
      </c>
      <c r="F3015" t="s">
        <v>11</v>
      </c>
    </row>
    <row r="3016" spans="1:6">
      <c r="A3016" s="1">
        <v>45702</v>
      </c>
      <c r="B3016" s="2">
        <v>45702.485366956018</v>
      </c>
      <c r="C3016" t="s">
        <v>3</v>
      </c>
      <c r="D3016" t="s">
        <v>1177</v>
      </c>
      <c r="E3016" s="5">
        <v>25.96</v>
      </c>
      <c r="F3016" t="s">
        <v>11</v>
      </c>
    </row>
    <row r="3017" spans="1:6">
      <c r="A3017" s="1">
        <v>45703</v>
      </c>
      <c r="B3017" s="2">
        <v>45703.529095254627</v>
      </c>
      <c r="C3017" t="s">
        <v>3</v>
      </c>
      <c r="D3017" t="s">
        <v>1177</v>
      </c>
      <c r="E3017" s="5">
        <v>35.76</v>
      </c>
      <c r="F3017" t="s">
        <v>43</v>
      </c>
    </row>
    <row r="3018" spans="1:6">
      <c r="A3018" s="1">
        <v>45703</v>
      </c>
      <c r="B3018" s="2">
        <v>45703.53086309028</v>
      </c>
      <c r="C3018" t="s">
        <v>3</v>
      </c>
      <c r="D3018" t="s">
        <v>1177</v>
      </c>
      <c r="E3018" s="5">
        <v>25.96</v>
      </c>
      <c r="F3018" t="s">
        <v>11</v>
      </c>
    </row>
    <row r="3019" spans="1:6">
      <c r="A3019" s="1">
        <v>45704</v>
      </c>
      <c r="B3019" s="2">
        <v>45704.716983819446</v>
      </c>
      <c r="C3019" t="s">
        <v>3</v>
      </c>
      <c r="D3019" t="s">
        <v>1177</v>
      </c>
      <c r="E3019" s="5">
        <v>35.76</v>
      </c>
      <c r="F3019" t="s">
        <v>9</v>
      </c>
    </row>
    <row r="3020" spans="1:6">
      <c r="A3020" s="1">
        <v>45704</v>
      </c>
      <c r="B3020" s="2">
        <v>45704.717742743058</v>
      </c>
      <c r="C3020" t="s">
        <v>3</v>
      </c>
      <c r="D3020" t="s">
        <v>1177</v>
      </c>
      <c r="E3020" s="5">
        <v>30.86</v>
      </c>
      <c r="F3020" t="s">
        <v>14</v>
      </c>
    </row>
    <row r="3021" spans="1:6">
      <c r="A3021" s="1">
        <v>45705</v>
      </c>
      <c r="B3021" s="2">
        <v>45705.370298703703</v>
      </c>
      <c r="C3021" t="s">
        <v>3</v>
      </c>
      <c r="D3021" t="s">
        <v>1177</v>
      </c>
      <c r="E3021" s="5">
        <v>25.96</v>
      </c>
      <c r="F3021" t="s">
        <v>11</v>
      </c>
    </row>
    <row r="3022" spans="1:6">
      <c r="A3022" s="1">
        <v>45706</v>
      </c>
      <c r="B3022" s="2">
        <v>45706.370240081022</v>
      </c>
      <c r="C3022" t="s">
        <v>3</v>
      </c>
      <c r="D3022" t="s">
        <v>1177</v>
      </c>
      <c r="E3022" s="5">
        <v>25.96</v>
      </c>
      <c r="F3022" t="s">
        <v>11</v>
      </c>
    </row>
    <row r="3023" spans="1:6">
      <c r="A3023" s="1">
        <v>45706</v>
      </c>
      <c r="B3023" s="2">
        <v>45706.37100107639</v>
      </c>
      <c r="C3023" t="s">
        <v>3</v>
      </c>
      <c r="D3023" t="s">
        <v>1177</v>
      </c>
      <c r="E3023" s="5">
        <v>25.96</v>
      </c>
      <c r="F3023" t="s">
        <v>11</v>
      </c>
    </row>
    <row r="3024" spans="1:6">
      <c r="A3024" s="1">
        <v>45708</v>
      </c>
      <c r="B3024" s="2">
        <v>45708.428245648145</v>
      </c>
      <c r="C3024" t="s">
        <v>3</v>
      </c>
      <c r="D3024" t="s">
        <v>1177</v>
      </c>
      <c r="E3024" s="5">
        <v>35.76</v>
      </c>
      <c r="F3024" t="s">
        <v>43</v>
      </c>
    </row>
    <row r="3025" spans="1:6">
      <c r="A3025" s="1">
        <v>45708</v>
      </c>
      <c r="B3025" s="2">
        <v>45708.428919803242</v>
      </c>
      <c r="C3025" t="s">
        <v>3</v>
      </c>
      <c r="D3025" t="s">
        <v>1177</v>
      </c>
      <c r="E3025" s="5">
        <v>25.96</v>
      </c>
      <c r="F3025" t="s">
        <v>11</v>
      </c>
    </row>
    <row r="3026" spans="1:6">
      <c r="A3026" s="1">
        <v>45708</v>
      </c>
      <c r="B3026" s="2">
        <v>45708.609719687498</v>
      </c>
      <c r="C3026" t="s">
        <v>3</v>
      </c>
      <c r="D3026" t="s">
        <v>1177</v>
      </c>
      <c r="E3026" s="5">
        <v>25.96</v>
      </c>
      <c r="F3026" t="s">
        <v>11</v>
      </c>
    </row>
    <row r="3027" spans="1:6">
      <c r="A3027" s="1">
        <v>45708</v>
      </c>
      <c r="B3027" s="2">
        <v>45708.610293043981</v>
      </c>
      <c r="C3027" t="s">
        <v>3</v>
      </c>
      <c r="D3027" t="s">
        <v>1177</v>
      </c>
      <c r="E3027" s="5">
        <v>25.96</v>
      </c>
      <c r="F3027" t="s">
        <v>11</v>
      </c>
    </row>
    <row r="3028" spans="1:6">
      <c r="A3028" s="1">
        <v>45708</v>
      </c>
      <c r="B3028" s="2">
        <v>45708.713518356482</v>
      </c>
      <c r="C3028" t="s">
        <v>3</v>
      </c>
      <c r="D3028" t="s">
        <v>1177</v>
      </c>
      <c r="E3028" s="5">
        <v>25.96</v>
      </c>
      <c r="F3028" t="s">
        <v>11</v>
      </c>
    </row>
    <row r="3029" spans="1:6">
      <c r="A3029" s="1">
        <v>45709</v>
      </c>
      <c r="B3029" s="2">
        <v>45709.291069537037</v>
      </c>
      <c r="C3029" t="s">
        <v>3</v>
      </c>
      <c r="D3029" t="s">
        <v>1177</v>
      </c>
      <c r="E3029" s="5">
        <v>25.96</v>
      </c>
      <c r="F3029" t="s">
        <v>11</v>
      </c>
    </row>
    <row r="3030" spans="1:6">
      <c r="A3030" s="1">
        <v>45709</v>
      </c>
      <c r="B3030" s="2">
        <v>45709.465364918979</v>
      </c>
      <c r="C3030" t="s">
        <v>3</v>
      </c>
      <c r="D3030" t="s">
        <v>1177</v>
      </c>
      <c r="E3030" s="5">
        <v>30.86</v>
      </c>
      <c r="F3030" t="s">
        <v>14</v>
      </c>
    </row>
    <row r="3031" spans="1:6">
      <c r="A3031" s="1">
        <v>45709</v>
      </c>
      <c r="B3031" s="2">
        <v>45709.656877719906</v>
      </c>
      <c r="C3031" t="s">
        <v>3</v>
      </c>
      <c r="D3031" t="s">
        <v>1177</v>
      </c>
      <c r="E3031" s="5">
        <v>25.96</v>
      </c>
      <c r="F3031" t="s">
        <v>11</v>
      </c>
    </row>
    <row r="3032" spans="1:6">
      <c r="A3032" s="1">
        <v>45709</v>
      </c>
      <c r="B3032" s="2">
        <v>45709.657503877315</v>
      </c>
      <c r="C3032" t="s">
        <v>3</v>
      </c>
      <c r="D3032" t="s">
        <v>1177</v>
      </c>
      <c r="E3032" s="5">
        <v>25.96</v>
      </c>
      <c r="F3032" t="s">
        <v>11</v>
      </c>
    </row>
    <row r="3033" spans="1:6">
      <c r="A3033" s="1">
        <v>45711</v>
      </c>
      <c r="B3033" s="2">
        <v>45711.536416724535</v>
      </c>
      <c r="C3033" t="s">
        <v>3</v>
      </c>
      <c r="D3033" t="s">
        <v>1177</v>
      </c>
      <c r="E3033" s="5">
        <v>30.86</v>
      </c>
      <c r="F3033" t="s">
        <v>14</v>
      </c>
    </row>
    <row r="3034" spans="1:6">
      <c r="A3034" s="1">
        <v>45711</v>
      </c>
      <c r="B3034" s="2">
        <v>45711.537571412038</v>
      </c>
      <c r="C3034" t="s">
        <v>3</v>
      </c>
      <c r="D3034" t="s">
        <v>1177</v>
      </c>
      <c r="E3034" s="5">
        <v>30.86</v>
      </c>
      <c r="F3034" t="s">
        <v>14</v>
      </c>
    </row>
    <row r="3035" spans="1:6">
      <c r="A3035" s="1">
        <v>45712</v>
      </c>
      <c r="B3035" s="2">
        <v>45712.418616909723</v>
      </c>
      <c r="C3035" t="s">
        <v>3</v>
      </c>
      <c r="D3035" t="s">
        <v>1177</v>
      </c>
      <c r="E3035" s="5">
        <v>25.96</v>
      </c>
      <c r="F3035" t="s">
        <v>11</v>
      </c>
    </row>
    <row r="3036" spans="1:6">
      <c r="A3036" s="1">
        <v>45712</v>
      </c>
      <c r="B3036" s="2">
        <v>45712.652798842595</v>
      </c>
      <c r="C3036" t="s">
        <v>3</v>
      </c>
      <c r="D3036" t="s">
        <v>1177</v>
      </c>
      <c r="E3036" s="5">
        <v>30.86</v>
      </c>
      <c r="F3036" t="s">
        <v>14</v>
      </c>
    </row>
    <row r="3037" spans="1:6">
      <c r="A3037" s="1">
        <v>45714</v>
      </c>
      <c r="B3037" s="2">
        <v>45714.75791828704</v>
      </c>
      <c r="C3037" t="s">
        <v>3</v>
      </c>
      <c r="D3037" t="s">
        <v>1177</v>
      </c>
      <c r="E3037" s="5">
        <v>35.76</v>
      </c>
      <c r="F3037" t="s">
        <v>7</v>
      </c>
    </row>
    <row r="3038" spans="1:6">
      <c r="A3038" s="1">
        <v>45714</v>
      </c>
      <c r="B3038" s="2">
        <v>45714.759611331021</v>
      </c>
      <c r="C3038" t="s">
        <v>3</v>
      </c>
      <c r="D3038" t="s">
        <v>1177</v>
      </c>
      <c r="E3038" s="5">
        <v>35.76</v>
      </c>
      <c r="F3038" t="s">
        <v>43</v>
      </c>
    </row>
    <row r="3039" spans="1:6">
      <c r="A3039" s="1">
        <v>45715</v>
      </c>
      <c r="B3039" s="2">
        <v>45715.304864837963</v>
      </c>
      <c r="C3039" t="s">
        <v>3</v>
      </c>
      <c r="D3039" t="s">
        <v>1177</v>
      </c>
      <c r="E3039" s="5">
        <v>35.76</v>
      </c>
      <c r="F3039" t="s">
        <v>43</v>
      </c>
    </row>
    <row r="3040" spans="1:6">
      <c r="A3040" s="1">
        <v>45715</v>
      </c>
      <c r="B3040" s="2">
        <v>45715.599496516203</v>
      </c>
      <c r="C3040" t="s">
        <v>3</v>
      </c>
      <c r="D3040" t="s">
        <v>1177</v>
      </c>
      <c r="E3040" s="5">
        <v>25.96</v>
      </c>
      <c r="F3040" t="s">
        <v>11</v>
      </c>
    </row>
    <row r="3041" spans="1:6">
      <c r="A3041" s="1">
        <v>45716</v>
      </c>
      <c r="B3041" s="2">
        <v>45716.286638784724</v>
      </c>
      <c r="C3041" t="s">
        <v>3</v>
      </c>
      <c r="D3041" t="s">
        <v>1177</v>
      </c>
      <c r="E3041" s="5">
        <v>30.86</v>
      </c>
      <c r="F3041" t="s">
        <v>14</v>
      </c>
    </row>
    <row r="3042" spans="1:6">
      <c r="A3042" s="1">
        <v>45716</v>
      </c>
      <c r="B3042" s="2">
        <v>45716.288194131943</v>
      </c>
      <c r="C3042" t="s">
        <v>3</v>
      </c>
      <c r="D3042" t="s">
        <v>1177</v>
      </c>
      <c r="E3042" s="5">
        <v>30.86</v>
      </c>
      <c r="F3042" t="s">
        <v>14</v>
      </c>
    </row>
    <row r="3043" spans="1:6">
      <c r="A3043" s="1">
        <v>45716</v>
      </c>
      <c r="B3043" s="2">
        <v>45716.616578032408</v>
      </c>
      <c r="C3043" t="s">
        <v>3</v>
      </c>
      <c r="D3043" t="s">
        <v>1177</v>
      </c>
      <c r="E3043" s="5">
        <v>25.96</v>
      </c>
      <c r="F3043" t="s">
        <v>11</v>
      </c>
    </row>
    <row r="3044" spans="1:6">
      <c r="A3044" s="1">
        <v>45718</v>
      </c>
      <c r="B3044" s="2">
        <v>45718.415454803238</v>
      </c>
      <c r="C3044" t="s">
        <v>3</v>
      </c>
      <c r="D3044" t="s">
        <v>1177</v>
      </c>
      <c r="E3044" s="5">
        <v>35.76</v>
      </c>
      <c r="F3044" t="s">
        <v>18</v>
      </c>
    </row>
    <row r="3045" spans="1:6">
      <c r="A3045" s="1">
        <v>45720</v>
      </c>
      <c r="B3045" s="2">
        <v>45720.313835752313</v>
      </c>
      <c r="C3045" t="s">
        <v>3</v>
      </c>
      <c r="D3045" t="s">
        <v>1177</v>
      </c>
      <c r="E3045" s="5">
        <v>25.96</v>
      </c>
      <c r="F3045" t="s">
        <v>11</v>
      </c>
    </row>
    <row r="3046" spans="1:6">
      <c r="A3046" s="1">
        <v>45720</v>
      </c>
      <c r="B3046" s="2">
        <v>45720.381619548614</v>
      </c>
      <c r="C3046" t="s">
        <v>3</v>
      </c>
      <c r="D3046" t="s">
        <v>1177</v>
      </c>
      <c r="E3046" s="5">
        <v>25.96</v>
      </c>
      <c r="F3046" t="s">
        <v>11</v>
      </c>
    </row>
    <row r="3047" spans="1:6">
      <c r="A3047" s="1">
        <v>45720</v>
      </c>
      <c r="B3047" s="2">
        <v>45720.382201400462</v>
      </c>
      <c r="C3047" t="s">
        <v>3</v>
      </c>
      <c r="D3047" t="s">
        <v>1177</v>
      </c>
      <c r="E3047" s="5">
        <v>25.96</v>
      </c>
      <c r="F3047" t="s">
        <v>11</v>
      </c>
    </row>
    <row r="3048" spans="1:6">
      <c r="A3048" s="1">
        <v>45721</v>
      </c>
      <c r="B3048" s="2">
        <v>45721.361014097223</v>
      </c>
      <c r="C3048" t="s">
        <v>3</v>
      </c>
      <c r="D3048" t="s">
        <v>1177</v>
      </c>
      <c r="E3048" s="5">
        <v>30.86</v>
      </c>
      <c r="F3048" t="s">
        <v>14</v>
      </c>
    </row>
    <row r="3049" spans="1:6">
      <c r="A3049" s="1">
        <v>45722</v>
      </c>
      <c r="B3049" s="2">
        <v>45722.456103761571</v>
      </c>
      <c r="C3049" t="s">
        <v>3</v>
      </c>
      <c r="D3049" t="s">
        <v>1177</v>
      </c>
      <c r="E3049" s="5">
        <v>25.96</v>
      </c>
      <c r="F3049" t="s">
        <v>11</v>
      </c>
    </row>
    <row r="3050" spans="1:6">
      <c r="A3050" s="1">
        <v>45722</v>
      </c>
      <c r="B3050" s="2">
        <v>45722.456655451388</v>
      </c>
      <c r="C3050" t="s">
        <v>3</v>
      </c>
      <c r="D3050" t="s">
        <v>1177</v>
      </c>
      <c r="E3050" s="5">
        <v>25.96</v>
      </c>
      <c r="F3050" t="s">
        <v>11</v>
      </c>
    </row>
    <row r="3051" spans="1:6">
      <c r="A3051" s="1">
        <v>45722</v>
      </c>
      <c r="B3051" s="2">
        <v>45722.742490833334</v>
      </c>
      <c r="C3051" t="s">
        <v>3</v>
      </c>
      <c r="D3051" t="s">
        <v>1177</v>
      </c>
      <c r="E3051" s="5">
        <v>35.76</v>
      </c>
      <c r="F3051" t="s">
        <v>18</v>
      </c>
    </row>
    <row r="3052" spans="1:6">
      <c r="A3052" s="1">
        <v>45723</v>
      </c>
      <c r="B3052" s="2">
        <v>45723.376861018522</v>
      </c>
      <c r="C3052" t="s">
        <v>3</v>
      </c>
      <c r="D3052" t="s">
        <v>1177</v>
      </c>
      <c r="E3052" s="5">
        <v>25.96</v>
      </c>
      <c r="F3052" t="s">
        <v>11</v>
      </c>
    </row>
    <row r="3053" spans="1:6">
      <c r="A3053" s="1">
        <v>45724</v>
      </c>
      <c r="B3053" s="2">
        <v>45724.454324467595</v>
      </c>
      <c r="C3053" t="s">
        <v>3</v>
      </c>
      <c r="D3053" t="s">
        <v>1177</v>
      </c>
      <c r="E3053" s="5">
        <v>25.96</v>
      </c>
      <c r="F3053" t="s">
        <v>11</v>
      </c>
    </row>
    <row r="3054" spans="1:6">
      <c r="A3054" s="1">
        <v>45725</v>
      </c>
      <c r="B3054" s="2">
        <v>45725.596181273148</v>
      </c>
      <c r="C3054" t="s">
        <v>3</v>
      </c>
      <c r="D3054" t="s">
        <v>1177</v>
      </c>
      <c r="E3054" s="5">
        <v>25.96</v>
      </c>
      <c r="F3054" t="s">
        <v>11</v>
      </c>
    </row>
    <row r="3055" spans="1:6">
      <c r="A3055" s="1">
        <v>45727</v>
      </c>
      <c r="B3055" s="2">
        <v>45727.383653819445</v>
      </c>
      <c r="C3055" t="s">
        <v>3</v>
      </c>
      <c r="D3055" t="s">
        <v>1177</v>
      </c>
      <c r="E3055" s="5">
        <v>35.76</v>
      </c>
      <c r="F3055" t="s">
        <v>43</v>
      </c>
    </row>
    <row r="3056" spans="1:6">
      <c r="A3056" s="1">
        <v>45728</v>
      </c>
      <c r="B3056" s="2">
        <v>45728.497174293982</v>
      </c>
      <c r="C3056" t="s">
        <v>3</v>
      </c>
      <c r="D3056" t="s">
        <v>1177</v>
      </c>
      <c r="E3056" s="5">
        <v>25.96</v>
      </c>
      <c r="F3056" t="s">
        <v>11</v>
      </c>
    </row>
    <row r="3057" spans="1:6">
      <c r="A3057" s="1">
        <v>45728</v>
      </c>
      <c r="B3057" s="2">
        <v>45728.497788182867</v>
      </c>
      <c r="C3057" t="s">
        <v>3</v>
      </c>
      <c r="D3057" t="s">
        <v>1177</v>
      </c>
      <c r="E3057" s="5">
        <v>25.96</v>
      </c>
      <c r="F3057" t="s">
        <v>11</v>
      </c>
    </row>
    <row r="3058" spans="1:6">
      <c r="A3058" s="1">
        <v>45729</v>
      </c>
      <c r="B3058" s="2">
        <v>45729.378325046295</v>
      </c>
      <c r="C3058" t="s">
        <v>3</v>
      </c>
      <c r="D3058" t="s">
        <v>1177</v>
      </c>
      <c r="E3058" s="5">
        <v>30.86</v>
      </c>
      <c r="F3058" t="s">
        <v>14</v>
      </c>
    </row>
    <row r="3059" spans="1:6">
      <c r="A3059" s="1">
        <v>45731</v>
      </c>
      <c r="B3059" s="2">
        <v>45731.412063379626</v>
      </c>
      <c r="C3059" t="s">
        <v>3</v>
      </c>
      <c r="D3059" t="s">
        <v>1177</v>
      </c>
      <c r="E3059" s="5">
        <v>30.86</v>
      </c>
      <c r="F3059" t="s">
        <v>14</v>
      </c>
    </row>
    <row r="3060" spans="1:6">
      <c r="A3060" s="1">
        <v>45733</v>
      </c>
      <c r="B3060" s="2">
        <v>45733.287970289355</v>
      </c>
      <c r="C3060" t="s">
        <v>3</v>
      </c>
      <c r="D3060" t="s">
        <v>1177</v>
      </c>
      <c r="E3060" s="5">
        <v>25.96</v>
      </c>
      <c r="F3060" t="s">
        <v>11</v>
      </c>
    </row>
    <row r="3061" spans="1:6">
      <c r="A3061" s="1">
        <v>45733</v>
      </c>
      <c r="B3061" s="2">
        <v>45733.439346493054</v>
      </c>
      <c r="C3061" t="s">
        <v>3</v>
      </c>
      <c r="D3061" t="s">
        <v>1177</v>
      </c>
      <c r="E3061" s="5">
        <v>25.96</v>
      </c>
      <c r="F3061" t="s">
        <v>11</v>
      </c>
    </row>
    <row r="3062" spans="1:6">
      <c r="A3062" s="1">
        <v>45734</v>
      </c>
      <c r="B3062" s="2">
        <v>45734.779520902775</v>
      </c>
      <c r="C3062" t="s">
        <v>3</v>
      </c>
      <c r="D3062" t="s">
        <v>1177</v>
      </c>
      <c r="E3062" s="5">
        <v>35.76</v>
      </c>
      <c r="F3062" t="s">
        <v>18</v>
      </c>
    </row>
    <row r="3063" spans="1:6">
      <c r="A3063" s="1">
        <v>45734</v>
      </c>
      <c r="B3063" s="2">
        <v>45734.780063587961</v>
      </c>
      <c r="C3063" t="s">
        <v>3</v>
      </c>
      <c r="D3063" t="s">
        <v>1177</v>
      </c>
      <c r="E3063" s="5">
        <v>35.76</v>
      </c>
      <c r="F3063" t="s">
        <v>18</v>
      </c>
    </row>
    <row r="3064" spans="1:6">
      <c r="A3064" s="1">
        <v>45737</v>
      </c>
      <c r="B3064" s="2">
        <v>45737.295971979169</v>
      </c>
      <c r="C3064" t="s">
        <v>3</v>
      </c>
      <c r="D3064" t="s">
        <v>1177</v>
      </c>
      <c r="E3064" s="5">
        <v>30.86</v>
      </c>
      <c r="F3064" t="s">
        <v>14</v>
      </c>
    </row>
    <row r="3065" spans="1:6">
      <c r="A3065" s="1">
        <v>45737</v>
      </c>
      <c r="B3065" s="2">
        <v>45737.298010486113</v>
      </c>
      <c r="C3065" t="s">
        <v>3</v>
      </c>
      <c r="D3065" t="s">
        <v>1177</v>
      </c>
      <c r="E3065" s="5">
        <v>30.86</v>
      </c>
      <c r="F3065" t="s">
        <v>14</v>
      </c>
    </row>
    <row r="3066" spans="1:6">
      <c r="A3066" s="1">
        <v>45737</v>
      </c>
      <c r="B3066" s="2">
        <v>45737.49316322917</v>
      </c>
      <c r="C3066" t="s">
        <v>3</v>
      </c>
      <c r="D3066" t="s">
        <v>1177</v>
      </c>
      <c r="E3066" s="5">
        <v>25.96</v>
      </c>
      <c r="F3066" t="s">
        <v>11</v>
      </c>
    </row>
    <row r="3067" spans="1:6">
      <c r="A3067" s="1">
        <v>45737</v>
      </c>
      <c r="B3067" s="2">
        <v>45737.645513078707</v>
      </c>
      <c r="C3067" t="s">
        <v>3</v>
      </c>
      <c r="D3067" t="s">
        <v>1177</v>
      </c>
      <c r="E3067" s="5">
        <v>35.76</v>
      </c>
      <c r="F3067" t="s">
        <v>43</v>
      </c>
    </row>
    <row r="3068" spans="1:6">
      <c r="A3068" s="1">
        <v>45691</v>
      </c>
      <c r="B3068" s="2">
        <v>45691.717610173611</v>
      </c>
      <c r="C3068" t="s">
        <v>3</v>
      </c>
      <c r="D3068" t="s">
        <v>1178</v>
      </c>
      <c r="E3068" s="5">
        <v>35.76</v>
      </c>
      <c r="F3068" t="s">
        <v>9</v>
      </c>
    </row>
    <row r="3069" spans="1:6">
      <c r="A3069" s="1">
        <v>45691</v>
      </c>
      <c r="B3069" s="2">
        <v>45691.718268217592</v>
      </c>
      <c r="C3069" t="s">
        <v>3</v>
      </c>
      <c r="D3069" t="s">
        <v>1178</v>
      </c>
      <c r="E3069" s="5">
        <v>35.76</v>
      </c>
      <c r="F3069" t="s">
        <v>7</v>
      </c>
    </row>
    <row r="3070" spans="1:6">
      <c r="A3070" s="1">
        <v>45693</v>
      </c>
      <c r="B3070" s="2">
        <v>45693.691354247683</v>
      </c>
      <c r="C3070" t="s">
        <v>3</v>
      </c>
      <c r="D3070" t="s">
        <v>1178</v>
      </c>
      <c r="E3070" s="5">
        <v>35.76</v>
      </c>
      <c r="F3070" t="s">
        <v>7</v>
      </c>
    </row>
    <row r="3071" spans="1:6">
      <c r="A3071" s="1">
        <v>45693</v>
      </c>
      <c r="B3071" s="2">
        <v>45693.692062395836</v>
      </c>
      <c r="C3071" t="s">
        <v>3</v>
      </c>
      <c r="D3071" t="s">
        <v>1178</v>
      </c>
      <c r="E3071" s="5">
        <v>35.76</v>
      </c>
      <c r="F3071" t="s">
        <v>7</v>
      </c>
    </row>
    <row r="3072" spans="1:6">
      <c r="A3072" s="1">
        <v>45700</v>
      </c>
      <c r="B3072" s="2">
        <v>45700.653758993052</v>
      </c>
      <c r="C3072" t="s">
        <v>3</v>
      </c>
      <c r="D3072" t="s">
        <v>1178</v>
      </c>
      <c r="E3072" s="5">
        <v>35.76</v>
      </c>
      <c r="F3072" t="s">
        <v>9</v>
      </c>
    </row>
    <row r="3073" spans="1:6">
      <c r="A3073" s="1">
        <v>45714</v>
      </c>
      <c r="B3073" s="2">
        <v>45714.681097129629</v>
      </c>
      <c r="C3073" t="s">
        <v>3</v>
      </c>
      <c r="D3073" t="s">
        <v>1178</v>
      </c>
      <c r="E3073" s="5">
        <v>35.76</v>
      </c>
      <c r="F3073" t="s">
        <v>7</v>
      </c>
    </row>
    <row r="3074" spans="1:6">
      <c r="A3074" s="1">
        <v>45719</v>
      </c>
      <c r="B3074" s="2">
        <v>45719.679480196763</v>
      </c>
      <c r="C3074" t="s">
        <v>3</v>
      </c>
      <c r="D3074" t="s">
        <v>1178</v>
      </c>
      <c r="E3074" s="5">
        <v>35.76</v>
      </c>
      <c r="F3074" t="s">
        <v>7</v>
      </c>
    </row>
    <row r="3075" spans="1:6">
      <c r="A3075" s="1">
        <v>45721</v>
      </c>
      <c r="B3075" s="2">
        <v>45721.639998055558</v>
      </c>
      <c r="C3075" t="s">
        <v>3</v>
      </c>
      <c r="D3075" t="s">
        <v>1178</v>
      </c>
      <c r="E3075" s="5">
        <v>35.76</v>
      </c>
      <c r="F3075" t="s">
        <v>7</v>
      </c>
    </row>
    <row r="3076" spans="1:6">
      <c r="A3076" s="1">
        <v>45723</v>
      </c>
      <c r="B3076" s="2">
        <v>45723.661724409722</v>
      </c>
      <c r="C3076" t="s">
        <v>3</v>
      </c>
      <c r="D3076" t="s">
        <v>1178</v>
      </c>
      <c r="E3076" s="5">
        <v>35.76</v>
      </c>
      <c r="F3076" t="s">
        <v>7</v>
      </c>
    </row>
    <row r="3077" spans="1:6">
      <c r="A3077" s="1">
        <v>45691</v>
      </c>
      <c r="B3077" s="2">
        <v>45691.719223391206</v>
      </c>
      <c r="C3077" t="s">
        <v>3</v>
      </c>
      <c r="D3077" t="s">
        <v>1179</v>
      </c>
      <c r="E3077" s="5">
        <v>35.76</v>
      </c>
      <c r="F3077" t="s">
        <v>9</v>
      </c>
    </row>
    <row r="3078" spans="1:6">
      <c r="A3078" s="1">
        <v>45693</v>
      </c>
      <c r="B3078" s="2">
        <v>45693.69051385417</v>
      </c>
      <c r="C3078" t="s">
        <v>3</v>
      </c>
      <c r="D3078" t="s">
        <v>1179</v>
      </c>
      <c r="E3078" s="5">
        <v>35.76</v>
      </c>
      <c r="F3078" t="s">
        <v>9</v>
      </c>
    </row>
    <row r="3079" spans="1:6">
      <c r="A3079" s="1">
        <v>45693</v>
      </c>
      <c r="B3079" s="2">
        <v>45693.695254560182</v>
      </c>
      <c r="C3079" t="s">
        <v>3</v>
      </c>
      <c r="D3079" t="s">
        <v>1179</v>
      </c>
      <c r="E3079" s="5">
        <v>35.76</v>
      </c>
      <c r="F3079" t="s">
        <v>9</v>
      </c>
    </row>
    <row r="3080" spans="1:6">
      <c r="A3080" s="1">
        <v>45695</v>
      </c>
      <c r="B3080" s="2">
        <v>45695.682801805553</v>
      </c>
      <c r="C3080" t="s">
        <v>3</v>
      </c>
      <c r="D3080" t="s">
        <v>1179</v>
      </c>
      <c r="E3080" s="5">
        <v>35.76</v>
      </c>
      <c r="F3080" t="s">
        <v>9</v>
      </c>
    </row>
    <row r="3081" spans="1:6">
      <c r="A3081" s="1">
        <v>45695</v>
      </c>
      <c r="B3081" s="2">
        <v>45695.683740671295</v>
      </c>
      <c r="C3081" t="s">
        <v>3</v>
      </c>
      <c r="D3081" t="s">
        <v>1179</v>
      </c>
      <c r="E3081" s="5">
        <v>35.76</v>
      </c>
      <c r="F3081" t="s">
        <v>7</v>
      </c>
    </row>
    <row r="3082" spans="1:6">
      <c r="A3082" s="1">
        <v>45698</v>
      </c>
      <c r="B3082" s="2">
        <v>45698.658149166666</v>
      </c>
      <c r="C3082" t="s">
        <v>3</v>
      </c>
      <c r="D3082" t="s">
        <v>1179</v>
      </c>
      <c r="E3082" s="5">
        <v>35.76</v>
      </c>
      <c r="F3082" t="s">
        <v>9</v>
      </c>
    </row>
    <row r="3083" spans="1:6">
      <c r="A3083" s="1">
        <v>45700</v>
      </c>
      <c r="B3083" s="2">
        <v>45700.655260671294</v>
      </c>
      <c r="C3083" t="s">
        <v>3</v>
      </c>
      <c r="D3083" t="s">
        <v>1179</v>
      </c>
      <c r="E3083" s="5">
        <v>35.76</v>
      </c>
      <c r="F3083" t="s">
        <v>9</v>
      </c>
    </row>
    <row r="3084" spans="1:6">
      <c r="A3084" s="1">
        <v>45709</v>
      </c>
      <c r="B3084" s="2">
        <v>45709.700677256944</v>
      </c>
      <c r="C3084" t="s">
        <v>3</v>
      </c>
      <c r="D3084" t="s">
        <v>1179</v>
      </c>
      <c r="E3084" s="5">
        <v>35.76</v>
      </c>
      <c r="F3084" t="s">
        <v>9</v>
      </c>
    </row>
    <row r="3085" spans="1:6">
      <c r="A3085" s="1">
        <v>45709</v>
      </c>
      <c r="B3085" s="2">
        <v>45709.701544178242</v>
      </c>
      <c r="C3085" t="s">
        <v>3</v>
      </c>
      <c r="D3085" t="s">
        <v>1179</v>
      </c>
      <c r="E3085" s="5">
        <v>35.76</v>
      </c>
      <c r="F3085" t="s">
        <v>7</v>
      </c>
    </row>
    <row r="3086" spans="1:6">
      <c r="A3086" s="1">
        <v>45714</v>
      </c>
      <c r="B3086" s="2">
        <v>45714.705018680557</v>
      </c>
      <c r="C3086" t="s">
        <v>3</v>
      </c>
      <c r="D3086" t="s">
        <v>1179</v>
      </c>
      <c r="E3086" s="5">
        <v>35.76</v>
      </c>
      <c r="F3086" t="s">
        <v>9</v>
      </c>
    </row>
    <row r="3087" spans="1:6">
      <c r="A3087" s="1">
        <v>45721</v>
      </c>
      <c r="B3087" s="2">
        <v>45721.64249322917</v>
      </c>
      <c r="C3087" t="s">
        <v>3</v>
      </c>
      <c r="D3087" t="s">
        <v>1179</v>
      </c>
      <c r="E3087" s="5">
        <v>35.76</v>
      </c>
      <c r="F3087" t="s">
        <v>9</v>
      </c>
    </row>
    <row r="3088" spans="1:6">
      <c r="A3088" s="1">
        <v>45723</v>
      </c>
      <c r="B3088" s="2">
        <v>45723.716939907405</v>
      </c>
      <c r="C3088" t="s">
        <v>3</v>
      </c>
      <c r="D3088" t="s">
        <v>1179</v>
      </c>
      <c r="E3088" s="5">
        <v>35.76</v>
      </c>
      <c r="F3088" t="s">
        <v>9</v>
      </c>
    </row>
    <row r="3089" spans="1:6">
      <c r="A3089" s="1">
        <v>45726</v>
      </c>
      <c r="B3089" s="2">
        <v>45726.679794270836</v>
      </c>
      <c r="C3089" t="s">
        <v>3</v>
      </c>
      <c r="D3089" t="s">
        <v>1179</v>
      </c>
      <c r="E3089" s="5">
        <v>35.76</v>
      </c>
      <c r="F3089" t="s">
        <v>7</v>
      </c>
    </row>
    <row r="3090" spans="1:6">
      <c r="A3090" s="1">
        <v>45728</v>
      </c>
      <c r="B3090" s="2">
        <v>45728.691674259258</v>
      </c>
      <c r="C3090" t="s">
        <v>3</v>
      </c>
      <c r="D3090" t="s">
        <v>1179</v>
      </c>
      <c r="E3090" s="5">
        <v>35.76</v>
      </c>
      <c r="F3090" t="s">
        <v>7</v>
      </c>
    </row>
    <row r="3091" spans="1:6">
      <c r="A3091" s="1">
        <v>45730</v>
      </c>
      <c r="B3091" s="2">
        <v>45730.608585821756</v>
      </c>
      <c r="C3091" t="s">
        <v>3</v>
      </c>
      <c r="D3091" t="s">
        <v>1179</v>
      </c>
      <c r="E3091" s="5">
        <v>35.76</v>
      </c>
      <c r="F3091" t="s">
        <v>7</v>
      </c>
    </row>
    <row r="3092" spans="1:6">
      <c r="A3092" s="1">
        <v>45730</v>
      </c>
      <c r="B3092" s="2">
        <v>45730.663667222223</v>
      </c>
      <c r="C3092" t="s">
        <v>3</v>
      </c>
      <c r="D3092" t="s">
        <v>1179</v>
      </c>
      <c r="E3092" s="5">
        <v>35.76</v>
      </c>
      <c r="F3092" t="s">
        <v>7</v>
      </c>
    </row>
    <row r="3093" spans="1:6">
      <c r="A3093" s="1">
        <v>45730</v>
      </c>
      <c r="B3093" s="2">
        <v>45730.728221435187</v>
      </c>
      <c r="C3093" t="s">
        <v>3</v>
      </c>
      <c r="D3093" t="s">
        <v>1179</v>
      </c>
      <c r="E3093" s="5">
        <v>35.76</v>
      </c>
      <c r="F3093" t="s">
        <v>7</v>
      </c>
    </row>
    <row r="3094" spans="1:6">
      <c r="A3094" s="1">
        <v>45733</v>
      </c>
      <c r="B3094" s="2">
        <v>45733.657823067129</v>
      </c>
      <c r="C3094" t="s">
        <v>3</v>
      </c>
      <c r="D3094" t="s">
        <v>1179</v>
      </c>
      <c r="E3094" s="5">
        <v>35.76</v>
      </c>
      <c r="F3094" t="s">
        <v>7</v>
      </c>
    </row>
    <row r="3095" spans="1:6">
      <c r="A3095" s="1">
        <v>45734</v>
      </c>
      <c r="B3095" s="2">
        <v>45734.67482803241</v>
      </c>
      <c r="C3095" t="s">
        <v>3</v>
      </c>
      <c r="D3095" t="s">
        <v>1179</v>
      </c>
      <c r="E3095" s="5">
        <v>35.76</v>
      </c>
      <c r="F3095" t="s">
        <v>7</v>
      </c>
    </row>
    <row r="3096" spans="1:6">
      <c r="A3096" s="1">
        <v>45737</v>
      </c>
      <c r="B3096" s="2">
        <v>45737.723112615742</v>
      </c>
      <c r="C3096" t="s">
        <v>3</v>
      </c>
      <c r="D3096" t="s">
        <v>1179</v>
      </c>
      <c r="E3096" s="5">
        <v>35.76</v>
      </c>
      <c r="F3096" t="s">
        <v>7</v>
      </c>
    </row>
    <row r="3097" spans="1:6">
      <c r="A3097" s="1">
        <v>45691</v>
      </c>
      <c r="B3097" s="2">
        <v>45691.739093692129</v>
      </c>
      <c r="C3097" t="s">
        <v>3</v>
      </c>
      <c r="D3097" t="s">
        <v>1180</v>
      </c>
      <c r="E3097" s="5">
        <v>30.86</v>
      </c>
      <c r="F3097" t="s">
        <v>14</v>
      </c>
    </row>
    <row r="3098" spans="1:6">
      <c r="A3098" s="1">
        <v>45698</v>
      </c>
      <c r="B3098" s="2">
        <v>45698.634735821761</v>
      </c>
      <c r="C3098" t="s">
        <v>3</v>
      </c>
      <c r="D3098" t="s">
        <v>1180</v>
      </c>
      <c r="E3098" s="5">
        <v>30.86</v>
      </c>
      <c r="F3098" t="s">
        <v>14</v>
      </c>
    </row>
    <row r="3099" spans="1:6">
      <c r="A3099" s="1">
        <v>45699</v>
      </c>
      <c r="B3099" s="2">
        <v>45699.472362870372</v>
      </c>
      <c r="C3099" t="s">
        <v>3</v>
      </c>
      <c r="D3099" t="s">
        <v>1180</v>
      </c>
      <c r="E3099" s="5">
        <v>30.86</v>
      </c>
      <c r="F3099" t="s">
        <v>14</v>
      </c>
    </row>
    <row r="3100" spans="1:6">
      <c r="A3100" s="1">
        <v>45714</v>
      </c>
      <c r="B3100" s="2">
        <v>45714.724127002315</v>
      </c>
      <c r="C3100" t="s">
        <v>3</v>
      </c>
      <c r="D3100" t="s">
        <v>1180</v>
      </c>
      <c r="E3100" s="5">
        <v>30.86</v>
      </c>
      <c r="F3100" t="s">
        <v>14</v>
      </c>
    </row>
    <row r="3101" spans="1:6">
      <c r="A3101" s="1">
        <v>45734</v>
      </c>
      <c r="B3101" s="2">
        <v>45734.632724467592</v>
      </c>
      <c r="C3101" t="s">
        <v>3</v>
      </c>
      <c r="D3101" t="s">
        <v>1180</v>
      </c>
      <c r="E3101" s="5">
        <v>30.86</v>
      </c>
      <c r="F3101" t="s">
        <v>14</v>
      </c>
    </row>
    <row r="3102" spans="1:6">
      <c r="A3102" s="1">
        <v>45691</v>
      </c>
      <c r="B3102" s="2">
        <v>45691.756255624998</v>
      </c>
      <c r="C3102" t="s">
        <v>3</v>
      </c>
      <c r="D3102" t="s">
        <v>1181</v>
      </c>
      <c r="E3102" s="5">
        <v>25.96</v>
      </c>
      <c r="F3102" t="s">
        <v>11</v>
      </c>
    </row>
    <row r="3103" spans="1:6">
      <c r="A3103" s="1">
        <v>45696</v>
      </c>
      <c r="B3103" s="2">
        <v>45696.532093055554</v>
      </c>
      <c r="C3103" t="s">
        <v>3</v>
      </c>
      <c r="D3103" t="s">
        <v>1181</v>
      </c>
      <c r="E3103" s="5">
        <v>25.96</v>
      </c>
      <c r="F3103" t="s">
        <v>11</v>
      </c>
    </row>
    <row r="3104" spans="1:6">
      <c r="A3104" s="1">
        <v>45698</v>
      </c>
      <c r="B3104" s="2">
        <v>45698.547802800924</v>
      </c>
      <c r="C3104" t="s">
        <v>3</v>
      </c>
      <c r="D3104" t="s">
        <v>1181</v>
      </c>
      <c r="E3104" s="5">
        <v>25.96</v>
      </c>
      <c r="F3104" t="s">
        <v>11</v>
      </c>
    </row>
    <row r="3105" spans="1:6">
      <c r="A3105" s="1">
        <v>45707</v>
      </c>
      <c r="B3105" s="2">
        <v>45707.423506956016</v>
      </c>
      <c r="C3105" t="s">
        <v>3</v>
      </c>
      <c r="D3105" t="s">
        <v>1181</v>
      </c>
      <c r="E3105" s="5">
        <v>25.96</v>
      </c>
      <c r="F3105" t="s">
        <v>11</v>
      </c>
    </row>
    <row r="3106" spans="1:6">
      <c r="A3106" s="1">
        <v>45708</v>
      </c>
      <c r="B3106" s="2">
        <v>45708.387422581021</v>
      </c>
      <c r="C3106" t="s">
        <v>3</v>
      </c>
      <c r="D3106" t="s">
        <v>1181</v>
      </c>
      <c r="E3106" s="5">
        <v>25.96</v>
      </c>
      <c r="F3106" t="s">
        <v>11</v>
      </c>
    </row>
    <row r="3107" spans="1:6">
      <c r="A3107" s="1">
        <v>45708</v>
      </c>
      <c r="B3107" s="2">
        <v>45708.430844282404</v>
      </c>
      <c r="C3107" t="s">
        <v>3</v>
      </c>
      <c r="D3107" t="s">
        <v>1181</v>
      </c>
      <c r="E3107" s="5">
        <v>25.96</v>
      </c>
      <c r="F3107" t="s">
        <v>11</v>
      </c>
    </row>
    <row r="3108" spans="1:6">
      <c r="A3108" s="1">
        <v>45709</v>
      </c>
      <c r="B3108" s="2">
        <v>45709.539616435184</v>
      </c>
      <c r="C3108" t="s">
        <v>3</v>
      </c>
      <c r="D3108" t="s">
        <v>1181</v>
      </c>
      <c r="E3108" s="5">
        <v>25.96</v>
      </c>
      <c r="F3108" t="s">
        <v>11</v>
      </c>
    </row>
    <row r="3109" spans="1:6">
      <c r="A3109" s="1">
        <v>45719</v>
      </c>
      <c r="B3109" s="2">
        <v>45719.658319641203</v>
      </c>
      <c r="C3109" t="s">
        <v>3</v>
      </c>
      <c r="D3109" t="s">
        <v>1181</v>
      </c>
      <c r="E3109" s="5">
        <v>25.96</v>
      </c>
      <c r="F3109" t="s">
        <v>11</v>
      </c>
    </row>
    <row r="3110" spans="1:6">
      <c r="A3110" s="1">
        <v>45720</v>
      </c>
      <c r="B3110" s="2">
        <v>45720.490753055557</v>
      </c>
      <c r="C3110" t="s">
        <v>3</v>
      </c>
      <c r="D3110" t="s">
        <v>1181</v>
      </c>
      <c r="E3110" s="5">
        <v>25.96</v>
      </c>
      <c r="F3110" t="s">
        <v>11</v>
      </c>
    </row>
    <row r="3111" spans="1:6">
      <c r="A3111" s="1">
        <v>45720</v>
      </c>
      <c r="B3111" s="2">
        <v>45720.491255914349</v>
      </c>
      <c r="C3111" t="s">
        <v>3</v>
      </c>
      <c r="D3111" t="s">
        <v>1181</v>
      </c>
      <c r="E3111" s="5">
        <v>25.96</v>
      </c>
      <c r="F3111" t="s">
        <v>11</v>
      </c>
    </row>
    <row r="3112" spans="1:6">
      <c r="A3112" s="1">
        <v>45720</v>
      </c>
      <c r="B3112" s="2">
        <v>45720.700676157408</v>
      </c>
      <c r="C3112" t="s">
        <v>3</v>
      </c>
      <c r="D3112" t="s">
        <v>1181</v>
      </c>
      <c r="E3112" s="5">
        <v>25.96</v>
      </c>
      <c r="F3112" t="s">
        <v>11</v>
      </c>
    </row>
    <row r="3113" spans="1:6">
      <c r="A3113" s="1">
        <v>45721</v>
      </c>
      <c r="B3113" s="2">
        <v>45721.401669652776</v>
      </c>
      <c r="C3113" t="s">
        <v>3</v>
      </c>
      <c r="D3113" t="s">
        <v>1181</v>
      </c>
      <c r="E3113" s="5">
        <v>25.96</v>
      </c>
      <c r="F3113" t="s">
        <v>11</v>
      </c>
    </row>
    <row r="3114" spans="1:6">
      <c r="A3114" s="1">
        <v>45721</v>
      </c>
      <c r="B3114" s="2">
        <v>45721.487065150461</v>
      </c>
      <c r="C3114" t="s">
        <v>3</v>
      </c>
      <c r="D3114" t="s">
        <v>1181</v>
      </c>
      <c r="E3114" s="5">
        <v>25.96</v>
      </c>
      <c r="F3114" t="s">
        <v>11</v>
      </c>
    </row>
    <row r="3115" spans="1:6">
      <c r="A3115" s="1">
        <v>45729</v>
      </c>
      <c r="B3115" s="2">
        <v>45729.470860057867</v>
      </c>
      <c r="C3115" t="s">
        <v>3</v>
      </c>
      <c r="D3115" t="s">
        <v>1181</v>
      </c>
      <c r="E3115" s="5">
        <v>25.96</v>
      </c>
      <c r="F3115" t="s">
        <v>11</v>
      </c>
    </row>
    <row r="3116" spans="1:6">
      <c r="A3116" s="1">
        <v>45730</v>
      </c>
      <c r="B3116" s="2">
        <v>45730.723780844906</v>
      </c>
      <c r="C3116" t="s">
        <v>3</v>
      </c>
      <c r="D3116" t="s">
        <v>1181</v>
      </c>
      <c r="E3116" s="5">
        <v>25.96</v>
      </c>
      <c r="F3116" t="s">
        <v>11</v>
      </c>
    </row>
    <row r="3117" spans="1:6">
      <c r="A3117" s="1">
        <v>45731</v>
      </c>
      <c r="B3117" s="2">
        <v>45731.580346678238</v>
      </c>
      <c r="C3117" t="s">
        <v>3</v>
      </c>
      <c r="D3117" t="s">
        <v>1181</v>
      </c>
      <c r="E3117" s="5">
        <v>25.96</v>
      </c>
      <c r="F3117" t="s">
        <v>11</v>
      </c>
    </row>
    <row r="3118" spans="1:6">
      <c r="A3118" s="1">
        <v>45733</v>
      </c>
      <c r="B3118" s="2">
        <v>45733.699127025466</v>
      </c>
      <c r="C3118" t="s">
        <v>3</v>
      </c>
      <c r="D3118" t="s">
        <v>1181</v>
      </c>
      <c r="E3118" s="5">
        <v>25.96</v>
      </c>
      <c r="F3118" t="s">
        <v>11</v>
      </c>
    </row>
    <row r="3119" spans="1:6">
      <c r="A3119" s="1">
        <v>45735</v>
      </c>
      <c r="B3119" s="2">
        <v>45735.687456898151</v>
      </c>
      <c r="C3119" t="s">
        <v>3</v>
      </c>
      <c r="D3119" t="s">
        <v>1181</v>
      </c>
      <c r="E3119" s="5">
        <v>25.96</v>
      </c>
      <c r="F3119" t="s">
        <v>11</v>
      </c>
    </row>
    <row r="3120" spans="1:6">
      <c r="A3120" s="1">
        <v>45691</v>
      </c>
      <c r="B3120" s="2">
        <v>45691.864052442128</v>
      </c>
      <c r="C3120" t="s">
        <v>3</v>
      </c>
      <c r="D3120" t="s">
        <v>1182</v>
      </c>
      <c r="E3120" s="5">
        <v>35.76</v>
      </c>
      <c r="F3120" t="s">
        <v>18</v>
      </c>
    </row>
    <row r="3121" spans="1:6">
      <c r="A3121" s="1">
        <v>45698</v>
      </c>
      <c r="B3121" s="2">
        <v>45698.549374722221</v>
      </c>
      <c r="C3121" t="s">
        <v>3</v>
      </c>
      <c r="D3121" t="s">
        <v>1182</v>
      </c>
      <c r="E3121" s="5">
        <v>35.76</v>
      </c>
      <c r="F3121" t="s">
        <v>18</v>
      </c>
    </row>
    <row r="3122" spans="1:6">
      <c r="A3122" s="1">
        <v>45701</v>
      </c>
      <c r="B3122" s="2">
        <v>45701.400059375002</v>
      </c>
      <c r="C3122" t="s">
        <v>3</v>
      </c>
      <c r="D3122" t="s">
        <v>1182</v>
      </c>
      <c r="E3122" s="5">
        <v>35.76</v>
      </c>
      <c r="F3122" t="s">
        <v>18</v>
      </c>
    </row>
    <row r="3123" spans="1:6">
      <c r="A3123" s="1">
        <v>45707</v>
      </c>
      <c r="B3123" s="2">
        <v>45707.531990324074</v>
      </c>
      <c r="C3123" t="s">
        <v>3</v>
      </c>
      <c r="D3123" t="s">
        <v>1182</v>
      </c>
      <c r="E3123" s="5">
        <v>35.76</v>
      </c>
      <c r="F3123" t="s">
        <v>18</v>
      </c>
    </row>
    <row r="3124" spans="1:6">
      <c r="A3124" s="1">
        <v>45714</v>
      </c>
      <c r="B3124" s="2">
        <v>45714.551005520836</v>
      </c>
      <c r="C3124" t="s">
        <v>3</v>
      </c>
      <c r="D3124" t="s">
        <v>1182</v>
      </c>
      <c r="E3124" s="5">
        <v>35.76</v>
      </c>
      <c r="F3124" t="s">
        <v>18</v>
      </c>
    </row>
    <row r="3125" spans="1:6">
      <c r="A3125" s="1">
        <v>45715</v>
      </c>
      <c r="B3125" s="2">
        <v>45715.464084074076</v>
      </c>
      <c r="C3125" t="s">
        <v>3</v>
      </c>
      <c r="D3125" t="s">
        <v>1182</v>
      </c>
      <c r="E3125" s="5">
        <v>35.76</v>
      </c>
      <c r="F3125" t="s">
        <v>18</v>
      </c>
    </row>
    <row r="3126" spans="1:6">
      <c r="A3126" s="1">
        <v>45729</v>
      </c>
      <c r="B3126" s="2">
        <v>45729.388998449074</v>
      </c>
      <c r="C3126" t="s">
        <v>3</v>
      </c>
      <c r="D3126" t="s">
        <v>1182</v>
      </c>
      <c r="E3126" s="5">
        <v>35.76</v>
      </c>
      <c r="F3126" t="s">
        <v>7</v>
      </c>
    </row>
    <row r="3127" spans="1:6">
      <c r="A3127" s="1">
        <v>45734</v>
      </c>
      <c r="B3127" s="2">
        <v>45734.356823599534</v>
      </c>
      <c r="C3127" t="s">
        <v>3</v>
      </c>
      <c r="D3127" t="s">
        <v>1182</v>
      </c>
      <c r="E3127" s="5">
        <v>35.76</v>
      </c>
      <c r="F3127" t="s">
        <v>7</v>
      </c>
    </row>
    <row r="3128" spans="1:6">
      <c r="A3128" s="1">
        <v>45692</v>
      </c>
      <c r="B3128" s="2">
        <v>45692.524980127317</v>
      </c>
      <c r="C3128" t="s">
        <v>3</v>
      </c>
      <c r="D3128" t="s">
        <v>1183</v>
      </c>
      <c r="E3128" s="5">
        <v>30.86</v>
      </c>
      <c r="F3128" t="s">
        <v>14</v>
      </c>
    </row>
    <row r="3129" spans="1:6">
      <c r="A3129" s="1">
        <v>45704</v>
      </c>
      <c r="B3129" s="2">
        <v>45704.451396018521</v>
      </c>
      <c r="C3129" t="s">
        <v>3</v>
      </c>
      <c r="D3129" t="s">
        <v>1183</v>
      </c>
      <c r="E3129" s="5">
        <v>25.96</v>
      </c>
      <c r="F3129" t="s">
        <v>11</v>
      </c>
    </row>
    <row r="3130" spans="1:6">
      <c r="A3130" s="1">
        <v>45704</v>
      </c>
      <c r="B3130" s="2">
        <v>45704.452129247686</v>
      </c>
      <c r="C3130" t="s">
        <v>3</v>
      </c>
      <c r="D3130" t="s">
        <v>1183</v>
      </c>
      <c r="E3130" s="5">
        <v>30.86</v>
      </c>
      <c r="F3130" t="s">
        <v>14</v>
      </c>
    </row>
    <row r="3131" spans="1:6">
      <c r="A3131" s="1">
        <v>45708</v>
      </c>
      <c r="B3131" s="2">
        <v>45708.838236087962</v>
      </c>
      <c r="C3131" t="s">
        <v>3</v>
      </c>
      <c r="D3131" t="s">
        <v>1183</v>
      </c>
      <c r="E3131" s="5">
        <v>35.76</v>
      </c>
      <c r="F3131" t="s">
        <v>7</v>
      </c>
    </row>
    <row r="3132" spans="1:6">
      <c r="A3132" s="1">
        <v>45692</v>
      </c>
      <c r="B3132" s="2">
        <v>45692.593912152777</v>
      </c>
      <c r="C3132" t="s">
        <v>3</v>
      </c>
      <c r="D3132" t="s">
        <v>1184</v>
      </c>
      <c r="E3132" s="5">
        <v>25.96</v>
      </c>
      <c r="F3132" t="s">
        <v>11</v>
      </c>
    </row>
    <row r="3133" spans="1:6">
      <c r="A3133" s="1">
        <v>45694</v>
      </c>
      <c r="B3133" s="2">
        <v>45694.715111157406</v>
      </c>
      <c r="C3133" t="s">
        <v>3</v>
      </c>
      <c r="D3133" t="s">
        <v>1184</v>
      </c>
      <c r="E3133" s="5">
        <v>35.76</v>
      </c>
      <c r="F3133" t="s">
        <v>18</v>
      </c>
    </row>
    <row r="3134" spans="1:6">
      <c r="A3134" s="1">
        <v>45695</v>
      </c>
      <c r="B3134" s="2">
        <v>45695.669571099534</v>
      </c>
      <c r="C3134" t="s">
        <v>3</v>
      </c>
      <c r="D3134" t="s">
        <v>1184</v>
      </c>
      <c r="E3134" s="5">
        <v>25.96</v>
      </c>
      <c r="F3134" t="s">
        <v>28</v>
      </c>
    </row>
    <row r="3135" spans="1:6">
      <c r="A3135" s="1">
        <v>45696</v>
      </c>
      <c r="B3135" s="2">
        <v>45696.560273009258</v>
      </c>
      <c r="C3135" t="s">
        <v>3</v>
      </c>
      <c r="D3135" t="s">
        <v>1184</v>
      </c>
      <c r="E3135" s="5">
        <v>25.96</v>
      </c>
      <c r="F3135" t="s">
        <v>11</v>
      </c>
    </row>
    <row r="3136" spans="1:6">
      <c r="A3136" s="1">
        <v>45698</v>
      </c>
      <c r="B3136" s="2">
        <v>45698.681192673612</v>
      </c>
      <c r="C3136" t="s">
        <v>3</v>
      </c>
      <c r="D3136" t="s">
        <v>1184</v>
      </c>
      <c r="E3136" s="5">
        <v>35.76</v>
      </c>
      <c r="F3136" t="s">
        <v>18</v>
      </c>
    </row>
    <row r="3137" spans="1:6">
      <c r="A3137" s="1">
        <v>45705</v>
      </c>
      <c r="B3137" s="2">
        <v>45705.682430567133</v>
      </c>
      <c r="C3137" t="s">
        <v>3</v>
      </c>
      <c r="D3137" t="s">
        <v>1184</v>
      </c>
      <c r="E3137" s="5">
        <v>25.96</v>
      </c>
      <c r="F3137" t="s">
        <v>11</v>
      </c>
    </row>
    <row r="3138" spans="1:6">
      <c r="A3138" s="1">
        <v>45707</v>
      </c>
      <c r="B3138" s="2">
        <v>45707.36635167824</v>
      </c>
      <c r="C3138" t="s">
        <v>3</v>
      </c>
      <c r="D3138" t="s">
        <v>1184</v>
      </c>
      <c r="E3138" s="5">
        <v>25.96</v>
      </c>
      <c r="F3138" t="s">
        <v>11</v>
      </c>
    </row>
    <row r="3139" spans="1:6">
      <c r="A3139" s="1">
        <v>45712</v>
      </c>
      <c r="B3139" s="2">
        <v>45712.708084814818</v>
      </c>
      <c r="C3139" t="s">
        <v>3</v>
      </c>
      <c r="D3139" t="s">
        <v>1184</v>
      </c>
      <c r="E3139" s="5">
        <v>25.96</v>
      </c>
      <c r="F3139" t="s">
        <v>11</v>
      </c>
    </row>
    <row r="3140" spans="1:6">
      <c r="A3140" s="1">
        <v>45712</v>
      </c>
      <c r="B3140" s="2">
        <v>45712.708853414355</v>
      </c>
      <c r="C3140" t="s">
        <v>3</v>
      </c>
      <c r="D3140" t="s">
        <v>1184</v>
      </c>
      <c r="E3140" s="5">
        <v>25.96</v>
      </c>
      <c r="F3140" t="s">
        <v>11</v>
      </c>
    </row>
    <row r="3141" spans="1:6">
      <c r="A3141" s="1">
        <v>45713</v>
      </c>
      <c r="B3141" s="2">
        <v>45713.460808449076</v>
      </c>
      <c r="C3141" t="s">
        <v>3</v>
      </c>
      <c r="D3141" t="s">
        <v>1184</v>
      </c>
      <c r="E3141" s="5">
        <v>25.96</v>
      </c>
      <c r="F3141" t="s">
        <v>11</v>
      </c>
    </row>
    <row r="3142" spans="1:6">
      <c r="A3142" s="1">
        <v>45714</v>
      </c>
      <c r="B3142" s="2">
        <v>45714.373347650464</v>
      </c>
      <c r="C3142" t="s">
        <v>3</v>
      </c>
      <c r="D3142" t="s">
        <v>1184</v>
      </c>
      <c r="E3142" s="5">
        <v>25.96</v>
      </c>
      <c r="F3142" t="s">
        <v>11</v>
      </c>
    </row>
    <row r="3143" spans="1:6">
      <c r="A3143" s="1">
        <v>45715</v>
      </c>
      <c r="B3143" s="2">
        <v>45715.658225601852</v>
      </c>
      <c r="C3143" t="s">
        <v>3</v>
      </c>
      <c r="D3143" t="s">
        <v>1184</v>
      </c>
      <c r="E3143" s="5">
        <v>25.96</v>
      </c>
      <c r="F3143" t="s">
        <v>11</v>
      </c>
    </row>
    <row r="3144" spans="1:6">
      <c r="A3144" s="1">
        <v>45715</v>
      </c>
      <c r="B3144" s="2">
        <v>45715.686436377313</v>
      </c>
      <c r="C3144" t="s">
        <v>3</v>
      </c>
      <c r="D3144" t="s">
        <v>1184</v>
      </c>
      <c r="E3144" s="5">
        <v>25.96</v>
      </c>
      <c r="F3144" t="s">
        <v>11</v>
      </c>
    </row>
    <row r="3145" spans="1:6">
      <c r="A3145" s="1">
        <v>45715</v>
      </c>
      <c r="B3145" s="2">
        <v>45715.724421782405</v>
      </c>
      <c r="C3145" t="s">
        <v>3</v>
      </c>
      <c r="D3145" t="s">
        <v>1184</v>
      </c>
      <c r="E3145" s="5">
        <v>25.96</v>
      </c>
      <c r="F3145" t="s">
        <v>11</v>
      </c>
    </row>
    <row r="3146" spans="1:6">
      <c r="A3146" s="1">
        <v>45716</v>
      </c>
      <c r="B3146" s="2">
        <v>45716.687577488425</v>
      </c>
      <c r="C3146" t="s">
        <v>3</v>
      </c>
      <c r="D3146" t="s">
        <v>1184</v>
      </c>
      <c r="E3146" s="5">
        <v>25.96</v>
      </c>
      <c r="F3146" t="s">
        <v>11</v>
      </c>
    </row>
    <row r="3147" spans="1:6">
      <c r="A3147" s="1">
        <v>45716</v>
      </c>
      <c r="B3147" s="2">
        <v>45716.730748055554</v>
      </c>
      <c r="C3147" t="s">
        <v>3</v>
      </c>
      <c r="D3147" t="s">
        <v>1184</v>
      </c>
      <c r="E3147" s="5">
        <v>25.96</v>
      </c>
      <c r="F3147" t="s">
        <v>11</v>
      </c>
    </row>
    <row r="3148" spans="1:6">
      <c r="A3148" s="1">
        <v>45719</v>
      </c>
      <c r="B3148" s="2">
        <v>45719.702912372682</v>
      </c>
      <c r="C3148" t="s">
        <v>3</v>
      </c>
      <c r="D3148" t="s">
        <v>1184</v>
      </c>
      <c r="E3148" s="5">
        <v>25.96</v>
      </c>
      <c r="F3148" t="s">
        <v>11</v>
      </c>
    </row>
    <row r="3149" spans="1:6">
      <c r="A3149" s="1">
        <v>45726</v>
      </c>
      <c r="B3149" s="2">
        <v>45726.64733190972</v>
      </c>
      <c r="C3149" t="s">
        <v>3</v>
      </c>
      <c r="D3149" t="s">
        <v>1184</v>
      </c>
      <c r="E3149" s="5">
        <v>25.96</v>
      </c>
      <c r="F3149" t="s">
        <v>11</v>
      </c>
    </row>
    <row r="3150" spans="1:6">
      <c r="A3150" s="1">
        <v>45726</v>
      </c>
      <c r="B3150" s="2">
        <v>45726.76104445602</v>
      </c>
      <c r="C3150" t="s">
        <v>3</v>
      </c>
      <c r="D3150" t="s">
        <v>1184</v>
      </c>
      <c r="E3150" s="5">
        <v>25.96</v>
      </c>
      <c r="F3150" t="s">
        <v>11</v>
      </c>
    </row>
    <row r="3151" spans="1:6">
      <c r="A3151" s="1">
        <v>45727</v>
      </c>
      <c r="B3151" s="2">
        <v>45727.365573750001</v>
      </c>
      <c r="C3151" t="s">
        <v>3</v>
      </c>
      <c r="D3151" t="s">
        <v>1184</v>
      </c>
      <c r="E3151" s="5">
        <v>25.96</v>
      </c>
      <c r="F3151" t="s">
        <v>11</v>
      </c>
    </row>
    <row r="3152" spans="1:6">
      <c r="A3152" s="1">
        <v>45727</v>
      </c>
      <c r="B3152" s="2">
        <v>45727.43539136574</v>
      </c>
      <c r="C3152" t="s">
        <v>3</v>
      </c>
      <c r="D3152" t="s">
        <v>1184</v>
      </c>
      <c r="E3152" s="5">
        <v>25.96</v>
      </c>
      <c r="F3152" t="s">
        <v>11</v>
      </c>
    </row>
    <row r="3153" spans="1:6">
      <c r="A3153" s="1">
        <v>45727</v>
      </c>
      <c r="B3153" s="2">
        <v>45727.523152256945</v>
      </c>
      <c r="C3153" t="s">
        <v>3</v>
      </c>
      <c r="D3153" t="s">
        <v>1184</v>
      </c>
      <c r="E3153" s="5">
        <v>25.96</v>
      </c>
      <c r="F3153" t="s">
        <v>11</v>
      </c>
    </row>
    <row r="3154" spans="1:6">
      <c r="A3154" s="1">
        <v>45728</v>
      </c>
      <c r="B3154" s="2">
        <v>45728.757340381948</v>
      </c>
      <c r="C3154" t="s">
        <v>3</v>
      </c>
      <c r="D3154" t="s">
        <v>1184</v>
      </c>
      <c r="E3154" s="5">
        <v>25.96</v>
      </c>
      <c r="F3154" t="s">
        <v>11</v>
      </c>
    </row>
    <row r="3155" spans="1:6">
      <c r="A3155" s="1">
        <v>45728</v>
      </c>
      <c r="B3155" s="2">
        <v>45728.779324722222</v>
      </c>
      <c r="C3155" t="s">
        <v>3</v>
      </c>
      <c r="D3155" t="s">
        <v>1184</v>
      </c>
      <c r="E3155" s="5">
        <v>25.96</v>
      </c>
      <c r="F3155" t="s">
        <v>11</v>
      </c>
    </row>
    <row r="3156" spans="1:6">
      <c r="A3156" s="1">
        <v>45730</v>
      </c>
      <c r="B3156" s="2">
        <v>45730.32993</v>
      </c>
      <c r="C3156" t="s">
        <v>3</v>
      </c>
      <c r="D3156" t="s">
        <v>1184</v>
      </c>
      <c r="E3156" s="5">
        <v>25.96</v>
      </c>
      <c r="F3156" t="s">
        <v>11</v>
      </c>
    </row>
    <row r="3157" spans="1:6">
      <c r="A3157" s="1">
        <v>45730</v>
      </c>
      <c r="B3157" s="2">
        <v>45730.394875011574</v>
      </c>
      <c r="C3157" t="s">
        <v>3</v>
      </c>
      <c r="D3157" t="s">
        <v>1184</v>
      </c>
      <c r="E3157" s="5">
        <v>25.96</v>
      </c>
      <c r="F3157" t="s">
        <v>11</v>
      </c>
    </row>
    <row r="3158" spans="1:6">
      <c r="A3158" s="1">
        <v>45730</v>
      </c>
      <c r="B3158" s="2">
        <v>45730.607838912038</v>
      </c>
      <c r="C3158" t="s">
        <v>3</v>
      </c>
      <c r="D3158" t="s">
        <v>1184</v>
      </c>
      <c r="E3158" s="5">
        <v>25.96</v>
      </c>
      <c r="F3158" t="s">
        <v>11</v>
      </c>
    </row>
    <row r="3159" spans="1:6">
      <c r="A3159" s="1">
        <v>45730</v>
      </c>
      <c r="B3159" s="2">
        <v>45730.685463148147</v>
      </c>
      <c r="C3159" t="s">
        <v>3</v>
      </c>
      <c r="D3159" t="s">
        <v>1184</v>
      </c>
      <c r="E3159" s="5">
        <v>25.96</v>
      </c>
      <c r="F3159" t="s">
        <v>11</v>
      </c>
    </row>
    <row r="3160" spans="1:6">
      <c r="A3160" s="1">
        <v>45732</v>
      </c>
      <c r="B3160" s="2">
        <v>45732.599104548608</v>
      </c>
      <c r="C3160" t="s">
        <v>3</v>
      </c>
      <c r="D3160" t="s">
        <v>1184</v>
      </c>
      <c r="E3160" s="5">
        <v>25.96</v>
      </c>
      <c r="F3160" t="s">
        <v>11</v>
      </c>
    </row>
    <row r="3161" spans="1:6">
      <c r="A3161" s="1">
        <v>45736</v>
      </c>
      <c r="B3161" s="2">
        <v>45736.628731423611</v>
      </c>
      <c r="C3161" t="s">
        <v>3</v>
      </c>
      <c r="D3161" t="s">
        <v>1184</v>
      </c>
      <c r="E3161" s="5">
        <v>25.96</v>
      </c>
      <c r="F3161" t="s">
        <v>11</v>
      </c>
    </row>
    <row r="3162" spans="1:6">
      <c r="A3162" s="1">
        <v>45737</v>
      </c>
      <c r="B3162" s="2">
        <v>45737.642158738425</v>
      </c>
      <c r="C3162" t="s">
        <v>3</v>
      </c>
      <c r="D3162" t="s">
        <v>1184</v>
      </c>
      <c r="E3162" s="5">
        <v>25.96</v>
      </c>
      <c r="F3162" t="s">
        <v>11</v>
      </c>
    </row>
    <row r="3163" spans="1:6">
      <c r="A3163" s="1">
        <v>45737</v>
      </c>
      <c r="B3163" s="2">
        <v>45737.791253136573</v>
      </c>
      <c r="C3163" t="s">
        <v>3</v>
      </c>
      <c r="D3163" t="s">
        <v>1184</v>
      </c>
      <c r="E3163" s="5">
        <v>25.96</v>
      </c>
      <c r="F3163" t="s">
        <v>11</v>
      </c>
    </row>
    <row r="3164" spans="1:6">
      <c r="A3164" s="1">
        <v>45692</v>
      </c>
      <c r="B3164" s="2">
        <v>45692.597089629628</v>
      </c>
      <c r="C3164" t="s">
        <v>3</v>
      </c>
      <c r="D3164" t="s">
        <v>1185</v>
      </c>
      <c r="E3164" s="5">
        <v>25.96</v>
      </c>
      <c r="F3164" t="s">
        <v>11</v>
      </c>
    </row>
    <row r="3165" spans="1:6">
      <c r="A3165" s="1">
        <v>45693</v>
      </c>
      <c r="B3165" s="2">
        <v>45693.572023437497</v>
      </c>
      <c r="C3165" t="s">
        <v>3</v>
      </c>
      <c r="D3165" t="s">
        <v>1185</v>
      </c>
      <c r="E3165" s="5">
        <v>21.06</v>
      </c>
      <c r="F3165" t="s">
        <v>35</v>
      </c>
    </row>
    <row r="3166" spans="1:6">
      <c r="A3166" s="1">
        <v>45693</v>
      </c>
      <c r="B3166" s="2">
        <v>45693.572561458335</v>
      </c>
      <c r="C3166" t="s">
        <v>3</v>
      </c>
      <c r="D3166" t="s">
        <v>1185</v>
      </c>
      <c r="E3166" s="5">
        <v>21.06</v>
      </c>
      <c r="F3166" t="s">
        <v>35</v>
      </c>
    </row>
    <row r="3167" spans="1:6">
      <c r="A3167" s="1">
        <v>45694</v>
      </c>
      <c r="B3167" s="2">
        <v>45694.582887222219</v>
      </c>
      <c r="C3167" t="s">
        <v>3</v>
      </c>
      <c r="D3167" t="s">
        <v>1185</v>
      </c>
      <c r="E3167" s="5">
        <v>25.96</v>
      </c>
      <c r="F3167" t="s">
        <v>11</v>
      </c>
    </row>
    <row r="3168" spans="1:6">
      <c r="A3168" s="1">
        <v>45707</v>
      </c>
      <c r="B3168" s="2">
        <v>45707.546462754632</v>
      </c>
      <c r="C3168" t="s">
        <v>3</v>
      </c>
      <c r="D3168" t="s">
        <v>1185</v>
      </c>
      <c r="E3168" s="5">
        <v>25.96</v>
      </c>
      <c r="F3168" t="s">
        <v>11</v>
      </c>
    </row>
    <row r="3169" spans="1:6">
      <c r="A3169" s="1">
        <v>45726</v>
      </c>
      <c r="B3169" s="2">
        <v>45726.525171250003</v>
      </c>
      <c r="C3169" t="s">
        <v>3</v>
      </c>
      <c r="D3169" t="s">
        <v>1185</v>
      </c>
      <c r="E3169" s="5">
        <v>25.96</v>
      </c>
      <c r="F3169" t="s">
        <v>11</v>
      </c>
    </row>
    <row r="3170" spans="1:6">
      <c r="A3170" s="1">
        <v>45727</v>
      </c>
      <c r="B3170" s="2">
        <v>45727.553410763889</v>
      </c>
      <c r="C3170" t="s">
        <v>3</v>
      </c>
      <c r="D3170" t="s">
        <v>1185</v>
      </c>
      <c r="E3170" s="5">
        <v>25.96</v>
      </c>
      <c r="F3170" t="s">
        <v>11</v>
      </c>
    </row>
    <row r="3171" spans="1:6">
      <c r="A3171" s="1">
        <v>45692</v>
      </c>
      <c r="B3171" s="2">
        <v>45692.795392534725</v>
      </c>
      <c r="C3171" t="s">
        <v>3</v>
      </c>
      <c r="D3171" t="s">
        <v>1186</v>
      </c>
      <c r="E3171" s="5">
        <v>35.76</v>
      </c>
      <c r="F3171" t="s">
        <v>18</v>
      </c>
    </row>
    <row r="3172" spans="1:6">
      <c r="A3172" s="1">
        <v>45692</v>
      </c>
      <c r="B3172" s="2">
        <v>45692.798341747686</v>
      </c>
      <c r="C3172" t="s">
        <v>3</v>
      </c>
      <c r="D3172" t="s">
        <v>1187</v>
      </c>
      <c r="E3172" s="5">
        <v>35.76</v>
      </c>
      <c r="F3172" t="s">
        <v>18</v>
      </c>
    </row>
    <row r="3173" spans="1:6">
      <c r="A3173" s="1">
        <v>45692</v>
      </c>
      <c r="B3173" s="2">
        <v>45692.798930254627</v>
      </c>
      <c r="C3173" t="s">
        <v>3</v>
      </c>
      <c r="D3173" t="s">
        <v>1187</v>
      </c>
      <c r="E3173" s="5">
        <v>35.76</v>
      </c>
      <c r="F3173" t="s">
        <v>18</v>
      </c>
    </row>
    <row r="3174" spans="1:6">
      <c r="A3174" s="1">
        <v>45692</v>
      </c>
      <c r="B3174" s="2">
        <v>45692.810732442129</v>
      </c>
      <c r="C3174" t="s">
        <v>3</v>
      </c>
      <c r="D3174" t="s">
        <v>1188</v>
      </c>
      <c r="E3174" s="5">
        <v>25.96</v>
      </c>
      <c r="F3174" t="s">
        <v>28</v>
      </c>
    </row>
    <row r="3175" spans="1:6">
      <c r="A3175" s="1">
        <v>45720</v>
      </c>
      <c r="B3175" s="2">
        <v>45720.798720729166</v>
      </c>
      <c r="C3175" t="s">
        <v>3</v>
      </c>
      <c r="D3175" t="s">
        <v>1188</v>
      </c>
      <c r="E3175" s="5">
        <v>35.76</v>
      </c>
      <c r="F3175" t="s">
        <v>7</v>
      </c>
    </row>
    <row r="3176" spans="1:6">
      <c r="A3176" s="1">
        <v>45693</v>
      </c>
      <c r="B3176" s="2">
        <v>45693.50748699074</v>
      </c>
      <c r="C3176" t="s">
        <v>3</v>
      </c>
      <c r="D3176" t="s">
        <v>1189</v>
      </c>
      <c r="E3176" s="5">
        <v>25.96</v>
      </c>
      <c r="F3176" t="s">
        <v>11</v>
      </c>
    </row>
    <row r="3177" spans="1:6">
      <c r="A3177" s="1">
        <v>45693</v>
      </c>
      <c r="B3177" s="2">
        <v>45693.55608991898</v>
      </c>
      <c r="C3177" t="s">
        <v>3</v>
      </c>
      <c r="D3177" t="s">
        <v>1190</v>
      </c>
      <c r="E3177" s="5">
        <v>25.96</v>
      </c>
      <c r="F3177" t="s">
        <v>11</v>
      </c>
    </row>
    <row r="3178" spans="1:6">
      <c r="A3178" s="1">
        <v>45699</v>
      </c>
      <c r="B3178" s="2">
        <v>45699.471706921293</v>
      </c>
      <c r="C3178" t="s">
        <v>3</v>
      </c>
      <c r="D3178" t="s">
        <v>1190</v>
      </c>
      <c r="E3178" s="5">
        <v>25.96</v>
      </c>
      <c r="F3178" t="s">
        <v>11</v>
      </c>
    </row>
    <row r="3179" spans="1:6">
      <c r="A3179" s="1">
        <v>45720</v>
      </c>
      <c r="B3179" s="2">
        <v>45720.461886273151</v>
      </c>
      <c r="C3179" t="s">
        <v>3</v>
      </c>
      <c r="D3179" t="s">
        <v>1190</v>
      </c>
      <c r="E3179" s="5">
        <v>25.96</v>
      </c>
      <c r="F3179" t="s">
        <v>11</v>
      </c>
    </row>
    <row r="3180" spans="1:6">
      <c r="A3180" s="1">
        <v>45693</v>
      </c>
      <c r="B3180" s="2">
        <v>45693.660402476853</v>
      </c>
      <c r="C3180" t="s">
        <v>3</v>
      </c>
      <c r="D3180" t="s">
        <v>1191</v>
      </c>
      <c r="E3180" s="5">
        <v>35.76</v>
      </c>
      <c r="F3180" t="s">
        <v>43</v>
      </c>
    </row>
    <row r="3181" spans="1:6">
      <c r="A3181" s="1">
        <v>45712</v>
      </c>
      <c r="B3181" s="2">
        <v>45712.686714490737</v>
      </c>
      <c r="C3181" t="s">
        <v>3</v>
      </c>
      <c r="D3181" t="s">
        <v>1191</v>
      </c>
      <c r="E3181" s="5">
        <v>35.76</v>
      </c>
      <c r="F3181" t="s">
        <v>7</v>
      </c>
    </row>
    <row r="3182" spans="1:6">
      <c r="A3182" s="1">
        <v>45693</v>
      </c>
      <c r="B3182" s="2">
        <v>45693.762898460649</v>
      </c>
      <c r="C3182" t="s">
        <v>3</v>
      </c>
      <c r="D3182" t="s">
        <v>1192</v>
      </c>
      <c r="E3182" s="5">
        <v>35.76</v>
      </c>
      <c r="F3182" t="s">
        <v>43</v>
      </c>
    </row>
    <row r="3183" spans="1:6">
      <c r="A3183" s="1">
        <v>45695</v>
      </c>
      <c r="B3183" s="2">
        <v>45695.779591909719</v>
      </c>
      <c r="C3183" t="s">
        <v>3</v>
      </c>
      <c r="D3183" t="s">
        <v>1192</v>
      </c>
      <c r="E3183" s="5">
        <v>35.76</v>
      </c>
      <c r="F3183" t="s">
        <v>18</v>
      </c>
    </row>
    <row r="3184" spans="1:6">
      <c r="A3184" s="1">
        <v>45697</v>
      </c>
      <c r="B3184" s="2">
        <v>45697.63608679398</v>
      </c>
      <c r="C3184" t="s">
        <v>3</v>
      </c>
      <c r="D3184" t="s">
        <v>1192</v>
      </c>
      <c r="E3184" s="5">
        <v>35.76</v>
      </c>
      <c r="F3184" t="s">
        <v>9</v>
      </c>
    </row>
    <row r="3185" spans="1:6">
      <c r="A3185" s="1">
        <v>45698</v>
      </c>
      <c r="B3185" s="2">
        <v>45698.801405798615</v>
      </c>
      <c r="C3185" t="s">
        <v>3</v>
      </c>
      <c r="D3185" t="s">
        <v>1192</v>
      </c>
      <c r="E3185" s="5">
        <v>35.76</v>
      </c>
      <c r="F3185" t="s">
        <v>7</v>
      </c>
    </row>
    <row r="3186" spans="1:6">
      <c r="A3186" s="1">
        <v>45700</v>
      </c>
      <c r="B3186" s="2">
        <v>45700.849460347221</v>
      </c>
      <c r="C3186" t="s">
        <v>3</v>
      </c>
      <c r="D3186" t="s">
        <v>1192</v>
      </c>
      <c r="E3186" s="5">
        <v>35.76</v>
      </c>
      <c r="F3186" t="s">
        <v>18</v>
      </c>
    </row>
    <row r="3187" spans="1:6">
      <c r="A3187" s="1">
        <v>45701</v>
      </c>
      <c r="B3187" s="2">
        <v>45701.719579050929</v>
      </c>
      <c r="C3187" t="s">
        <v>3</v>
      </c>
      <c r="D3187" t="s">
        <v>1192</v>
      </c>
      <c r="E3187" s="5">
        <v>30.86</v>
      </c>
      <c r="F3187" t="s">
        <v>14</v>
      </c>
    </row>
    <row r="3188" spans="1:6">
      <c r="A3188" s="1">
        <v>45709</v>
      </c>
      <c r="B3188" s="2">
        <v>45709.797440104165</v>
      </c>
      <c r="C3188" t="s">
        <v>3</v>
      </c>
      <c r="D3188" t="s">
        <v>1192</v>
      </c>
      <c r="E3188" s="5">
        <v>35.76</v>
      </c>
      <c r="F3188" t="s">
        <v>18</v>
      </c>
    </row>
    <row r="3189" spans="1:6">
      <c r="A3189" s="1">
        <v>45709</v>
      </c>
      <c r="B3189" s="2">
        <v>45709.798027210651</v>
      </c>
      <c r="C3189" t="s">
        <v>3</v>
      </c>
      <c r="D3189" t="s">
        <v>1192</v>
      </c>
      <c r="E3189" s="5">
        <v>35.76</v>
      </c>
      <c r="F3189" t="s">
        <v>18</v>
      </c>
    </row>
    <row r="3190" spans="1:6">
      <c r="A3190" s="1">
        <v>45719</v>
      </c>
      <c r="B3190" s="2">
        <v>45719.748927581022</v>
      </c>
      <c r="C3190" t="s">
        <v>3</v>
      </c>
      <c r="D3190" t="s">
        <v>1192</v>
      </c>
      <c r="E3190" s="5">
        <v>35.76</v>
      </c>
      <c r="F3190" t="s">
        <v>9</v>
      </c>
    </row>
    <row r="3191" spans="1:6">
      <c r="A3191" s="1">
        <v>45693</v>
      </c>
      <c r="B3191" s="2">
        <v>45693.763762476854</v>
      </c>
      <c r="C3191" t="s">
        <v>3</v>
      </c>
      <c r="D3191" t="s">
        <v>1193</v>
      </c>
      <c r="E3191" s="5">
        <v>35.76</v>
      </c>
      <c r="F3191" t="s">
        <v>43</v>
      </c>
    </row>
    <row r="3192" spans="1:6">
      <c r="A3192" s="1">
        <v>45695</v>
      </c>
      <c r="B3192" s="2">
        <v>45695.780278749997</v>
      </c>
      <c r="C3192" t="s">
        <v>3</v>
      </c>
      <c r="D3192" t="s">
        <v>1193</v>
      </c>
      <c r="E3192" s="5">
        <v>35.76</v>
      </c>
      <c r="F3192" t="s">
        <v>18</v>
      </c>
    </row>
    <row r="3193" spans="1:6">
      <c r="A3193" s="1">
        <v>45697</v>
      </c>
      <c r="B3193" s="2">
        <v>45697.636715555556</v>
      </c>
      <c r="C3193" t="s">
        <v>3</v>
      </c>
      <c r="D3193" t="s">
        <v>1193</v>
      </c>
      <c r="E3193" s="5">
        <v>35.76</v>
      </c>
      <c r="F3193" t="s">
        <v>18</v>
      </c>
    </row>
    <row r="3194" spans="1:6">
      <c r="A3194" s="1">
        <v>45701</v>
      </c>
      <c r="B3194" s="2">
        <v>45701.720372650459</v>
      </c>
      <c r="C3194" t="s">
        <v>3</v>
      </c>
      <c r="D3194" t="s">
        <v>1193</v>
      </c>
      <c r="E3194" s="5">
        <v>30.86</v>
      </c>
      <c r="F3194" t="s">
        <v>14</v>
      </c>
    </row>
    <row r="3195" spans="1:6">
      <c r="A3195" s="1">
        <v>45703</v>
      </c>
      <c r="B3195" s="2">
        <v>45703.65346577546</v>
      </c>
      <c r="C3195" t="s">
        <v>3</v>
      </c>
      <c r="D3195" t="s">
        <v>1193</v>
      </c>
      <c r="E3195" s="5">
        <v>35.76</v>
      </c>
      <c r="F3195" t="s">
        <v>9</v>
      </c>
    </row>
    <row r="3196" spans="1:6">
      <c r="A3196" s="1">
        <v>45707</v>
      </c>
      <c r="B3196" s="2">
        <v>45707.799884143518</v>
      </c>
      <c r="C3196" t="s">
        <v>3</v>
      </c>
      <c r="D3196" t="s">
        <v>1193</v>
      </c>
      <c r="E3196" s="5">
        <v>35.76</v>
      </c>
      <c r="F3196" t="s">
        <v>18</v>
      </c>
    </row>
    <row r="3197" spans="1:6">
      <c r="A3197" s="1">
        <v>45707</v>
      </c>
      <c r="B3197" s="2">
        <v>45707.800495115742</v>
      </c>
      <c r="C3197" t="s">
        <v>3</v>
      </c>
      <c r="D3197" t="s">
        <v>1193</v>
      </c>
      <c r="E3197" s="5">
        <v>35.76</v>
      </c>
      <c r="F3197" t="s">
        <v>9</v>
      </c>
    </row>
    <row r="3198" spans="1:6">
      <c r="A3198" s="1">
        <v>45712</v>
      </c>
      <c r="B3198" s="2">
        <v>45712.808458437503</v>
      </c>
      <c r="C3198" t="s">
        <v>3</v>
      </c>
      <c r="D3198" t="s">
        <v>1193</v>
      </c>
      <c r="E3198" s="5">
        <v>35.76</v>
      </c>
      <c r="F3198" t="s">
        <v>9</v>
      </c>
    </row>
    <row r="3199" spans="1:6">
      <c r="A3199" s="1">
        <v>45712</v>
      </c>
      <c r="B3199" s="2">
        <v>45712.809893136575</v>
      </c>
      <c r="C3199" t="s">
        <v>3</v>
      </c>
      <c r="D3199" t="s">
        <v>1193</v>
      </c>
      <c r="E3199" s="5">
        <v>35.76</v>
      </c>
      <c r="F3199" t="s">
        <v>18</v>
      </c>
    </row>
    <row r="3200" spans="1:6">
      <c r="A3200" s="1">
        <v>45715</v>
      </c>
      <c r="B3200" s="2">
        <v>45715.777799108793</v>
      </c>
      <c r="C3200" t="s">
        <v>3</v>
      </c>
      <c r="D3200" t="s">
        <v>1193</v>
      </c>
      <c r="E3200" s="5">
        <v>35.76</v>
      </c>
      <c r="F3200" t="s">
        <v>18</v>
      </c>
    </row>
    <row r="3201" spans="1:6">
      <c r="A3201" s="1">
        <v>45715</v>
      </c>
      <c r="B3201" s="2">
        <v>45715.77838019676</v>
      </c>
      <c r="C3201" t="s">
        <v>3</v>
      </c>
      <c r="D3201" t="s">
        <v>1193</v>
      </c>
      <c r="E3201" s="5">
        <v>35.76</v>
      </c>
      <c r="F3201" t="s">
        <v>18</v>
      </c>
    </row>
    <row r="3202" spans="1:6">
      <c r="A3202" s="1">
        <v>45719</v>
      </c>
      <c r="B3202" s="2">
        <v>45719.748294999998</v>
      </c>
      <c r="C3202" t="s">
        <v>3</v>
      </c>
      <c r="D3202" t="s">
        <v>1193</v>
      </c>
      <c r="E3202" s="5">
        <v>35.76</v>
      </c>
      <c r="F3202" t="s">
        <v>9</v>
      </c>
    </row>
    <row r="3203" spans="1:6">
      <c r="A3203" s="1">
        <v>45693</v>
      </c>
      <c r="B3203" s="2">
        <v>45693.764484791667</v>
      </c>
      <c r="C3203" t="s">
        <v>3</v>
      </c>
      <c r="D3203" t="s">
        <v>1194</v>
      </c>
      <c r="E3203" s="5">
        <v>35.76</v>
      </c>
      <c r="F3203" t="s">
        <v>18</v>
      </c>
    </row>
    <row r="3204" spans="1:6">
      <c r="A3204" s="1">
        <v>45693</v>
      </c>
      <c r="B3204" s="2">
        <v>45693.781737638892</v>
      </c>
      <c r="C3204" t="s">
        <v>3</v>
      </c>
      <c r="D3204" t="s">
        <v>1195</v>
      </c>
      <c r="E3204" s="5">
        <v>35.76</v>
      </c>
      <c r="F3204" t="s">
        <v>43</v>
      </c>
    </row>
    <row r="3205" spans="1:6">
      <c r="A3205" s="1">
        <v>45693</v>
      </c>
      <c r="B3205" s="2">
        <v>45693.835655428244</v>
      </c>
      <c r="C3205" t="s">
        <v>3</v>
      </c>
      <c r="D3205" t="s">
        <v>1196</v>
      </c>
      <c r="E3205" s="5">
        <v>35.76</v>
      </c>
      <c r="F3205" t="s">
        <v>18</v>
      </c>
    </row>
    <row r="3206" spans="1:6">
      <c r="A3206" s="1">
        <v>45707</v>
      </c>
      <c r="B3206" s="2">
        <v>45707.837133935187</v>
      </c>
      <c r="C3206" t="s">
        <v>3</v>
      </c>
      <c r="D3206" t="s">
        <v>1196</v>
      </c>
      <c r="E3206" s="5">
        <v>35.76</v>
      </c>
      <c r="F3206" t="s">
        <v>18</v>
      </c>
    </row>
    <row r="3207" spans="1:6">
      <c r="A3207" s="1">
        <v>45694</v>
      </c>
      <c r="B3207" s="2">
        <v>45694.746123159719</v>
      </c>
      <c r="C3207" t="s">
        <v>3</v>
      </c>
      <c r="D3207" t="s">
        <v>1197</v>
      </c>
      <c r="E3207" s="5">
        <v>35.76</v>
      </c>
      <c r="F3207" t="s">
        <v>18</v>
      </c>
    </row>
    <row r="3208" spans="1:6">
      <c r="A3208" s="1">
        <v>45694</v>
      </c>
      <c r="B3208" s="2">
        <v>45694.829936354166</v>
      </c>
      <c r="C3208" t="s">
        <v>3</v>
      </c>
      <c r="D3208" t="s">
        <v>1198</v>
      </c>
      <c r="E3208" s="5">
        <v>21.06</v>
      </c>
      <c r="F3208" t="s">
        <v>35</v>
      </c>
    </row>
    <row r="3209" spans="1:6">
      <c r="A3209" s="1">
        <v>45703</v>
      </c>
      <c r="B3209" s="2">
        <v>45703.584620694448</v>
      </c>
      <c r="C3209" t="s">
        <v>3</v>
      </c>
      <c r="D3209" t="s">
        <v>1198</v>
      </c>
      <c r="E3209" s="5">
        <v>35.76</v>
      </c>
      <c r="F3209" t="s">
        <v>43</v>
      </c>
    </row>
    <row r="3210" spans="1:6">
      <c r="A3210" s="1">
        <v>45709</v>
      </c>
      <c r="B3210" s="2">
        <v>45709.832917997686</v>
      </c>
      <c r="C3210" t="s">
        <v>3</v>
      </c>
      <c r="D3210" t="s">
        <v>1198</v>
      </c>
      <c r="E3210" s="5">
        <v>35.76</v>
      </c>
      <c r="F3210" t="s">
        <v>43</v>
      </c>
    </row>
    <row r="3211" spans="1:6">
      <c r="A3211" s="1">
        <v>45712</v>
      </c>
      <c r="B3211" s="2">
        <v>45712.67388855324</v>
      </c>
      <c r="C3211" t="s">
        <v>3</v>
      </c>
      <c r="D3211" t="s">
        <v>1198</v>
      </c>
      <c r="E3211" s="5">
        <v>35.76</v>
      </c>
      <c r="F3211" t="s">
        <v>43</v>
      </c>
    </row>
    <row r="3212" spans="1:6">
      <c r="A3212" s="1">
        <v>45713</v>
      </c>
      <c r="B3212" s="2">
        <v>45713.514369293982</v>
      </c>
      <c r="C3212" t="s">
        <v>3</v>
      </c>
      <c r="D3212" t="s">
        <v>1198</v>
      </c>
      <c r="E3212" s="5">
        <v>35.76</v>
      </c>
      <c r="F3212" t="s">
        <v>43</v>
      </c>
    </row>
    <row r="3213" spans="1:6">
      <c r="A3213" s="1">
        <v>45715</v>
      </c>
      <c r="B3213" s="2">
        <v>45715.776861759259</v>
      </c>
      <c r="C3213" t="s">
        <v>3</v>
      </c>
      <c r="D3213" t="s">
        <v>1198</v>
      </c>
      <c r="E3213" s="5">
        <v>35.76</v>
      </c>
      <c r="F3213" t="s">
        <v>43</v>
      </c>
    </row>
    <row r="3214" spans="1:6">
      <c r="A3214" s="1">
        <v>45717</v>
      </c>
      <c r="B3214" s="2">
        <v>45717.438723865744</v>
      </c>
      <c r="C3214" t="s">
        <v>3</v>
      </c>
      <c r="D3214" t="s">
        <v>1198</v>
      </c>
      <c r="E3214" s="5">
        <v>35.76</v>
      </c>
      <c r="F3214" t="s">
        <v>43</v>
      </c>
    </row>
    <row r="3215" spans="1:6">
      <c r="A3215" s="1">
        <v>45717</v>
      </c>
      <c r="B3215" s="2">
        <v>45717.695984363425</v>
      </c>
      <c r="C3215" t="s">
        <v>3</v>
      </c>
      <c r="D3215" t="s">
        <v>1198</v>
      </c>
      <c r="E3215" s="5">
        <v>35.76</v>
      </c>
      <c r="F3215" t="s">
        <v>43</v>
      </c>
    </row>
    <row r="3216" spans="1:6">
      <c r="A3216" s="1">
        <v>45719</v>
      </c>
      <c r="B3216" s="2">
        <v>45719.540370972223</v>
      </c>
      <c r="C3216" t="s">
        <v>3</v>
      </c>
      <c r="D3216" t="s">
        <v>1198</v>
      </c>
      <c r="E3216" s="5">
        <v>35.76</v>
      </c>
      <c r="F3216" t="s">
        <v>43</v>
      </c>
    </row>
    <row r="3217" spans="1:6">
      <c r="A3217" s="1">
        <v>45721</v>
      </c>
      <c r="B3217" s="2">
        <v>45721.464254259263</v>
      </c>
      <c r="C3217" t="s">
        <v>3</v>
      </c>
      <c r="D3217" t="s">
        <v>1198</v>
      </c>
      <c r="E3217" s="5">
        <v>35.76</v>
      </c>
      <c r="F3217" t="s">
        <v>43</v>
      </c>
    </row>
    <row r="3218" spans="1:6">
      <c r="A3218" s="1">
        <v>45723</v>
      </c>
      <c r="B3218" s="2">
        <v>45723.620487962966</v>
      </c>
      <c r="C3218" t="s">
        <v>3</v>
      </c>
      <c r="D3218" t="s">
        <v>1198</v>
      </c>
      <c r="E3218" s="5">
        <v>35.76</v>
      </c>
      <c r="F3218" t="s">
        <v>43</v>
      </c>
    </row>
    <row r="3219" spans="1:6">
      <c r="A3219" s="1">
        <v>45725</v>
      </c>
      <c r="B3219" s="2">
        <v>45725.577734699073</v>
      </c>
      <c r="C3219" t="s">
        <v>3</v>
      </c>
      <c r="D3219" t="s">
        <v>1198</v>
      </c>
      <c r="E3219" s="5">
        <v>35.76</v>
      </c>
      <c r="F3219" t="s">
        <v>43</v>
      </c>
    </row>
    <row r="3220" spans="1:6">
      <c r="A3220" s="1">
        <v>45727</v>
      </c>
      <c r="B3220" s="2">
        <v>45727.740859178244</v>
      </c>
      <c r="C3220" t="s">
        <v>3</v>
      </c>
      <c r="D3220" t="s">
        <v>1198</v>
      </c>
      <c r="E3220" s="5">
        <v>35.76</v>
      </c>
      <c r="F3220" t="s">
        <v>43</v>
      </c>
    </row>
    <row r="3221" spans="1:6">
      <c r="A3221" s="1">
        <v>45694</v>
      </c>
      <c r="B3221" s="2">
        <v>45694.838186400462</v>
      </c>
      <c r="C3221" t="s">
        <v>3</v>
      </c>
      <c r="D3221" t="s">
        <v>1199</v>
      </c>
      <c r="E3221" s="5">
        <v>35.76</v>
      </c>
      <c r="F3221" t="s">
        <v>18</v>
      </c>
    </row>
    <row r="3222" spans="1:6">
      <c r="A3222" s="1">
        <v>45706</v>
      </c>
      <c r="B3222" s="2">
        <v>45706.838150416668</v>
      </c>
      <c r="C3222" t="s">
        <v>3</v>
      </c>
      <c r="D3222" t="s">
        <v>1199</v>
      </c>
      <c r="E3222" s="5">
        <v>35.76</v>
      </c>
      <c r="F3222" t="s">
        <v>18</v>
      </c>
    </row>
    <row r="3223" spans="1:6">
      <c r="A3223" s="1">
        <v>45727</v>
      </c>
      <c r="B3223" s="2">
        <v>45727.839540844907</v>
      </c>
      <c r="C3223" t="s">
        <v>3</v>
      </c>
      <c r="D3223" t="s">
        <v>1199</v>
      </c>
      <c r="E3223" s="5">
        <v>35.76</v>
      </c>
      <c r="F3223" t="s">
        <v>18</v>
      </c>
    </row>
    <row r="3224" spans="1:6">
      <c r="A3224" s="1">
        <v>45694</v>
      </c>
      <c r="B3224" s="2">
        <v>45694.838739641207</v>
      </c>
      <c r="C3224" t="s">
        <v>3</v>
      </c>
      <c r="D3224" t="s">
        <v>1200</v>
      </c>
      <c r="E3224" s="5">
        <v>35.76</v>
      </c>
      <c r="F3224" t="s">
        <v>18</v>
      </c>
    </row>
    <row r="3225" spans="1:6">
      <c r="A3225" s="1">
        <v>45695</v>
      </c>
      <c r="B3225" s="2">
        <v>45695.379914976853</v>
      </c>
      <c r="C3225" t="s">
        <v>3</v>
      </c>
      <c r="D3225" t="s">
        <v>1201</v>
      </c>
      <c r="E3225" s="5">
        <v>30.86</v>
      </c>
      <c r="F3225" t="s">
        <v>14</v>
      </c>
    </row>
    <row r="3226" spans="1:6">
      <c r="A3226" s="1">
        <v>45720</v>
      </c>
      <c r="B3226" s="2">
        <v>45720.36927398148</v>
      </c>
      <c r="C3226" t="s">
        <v>3</v>
      </c>
      <c r="D3226" t="s">
        <v>1201</v>
      </c>
      <c r="E3226" s="5">
        <v>30.86</v>
      </c>
      <c r="F3226" t="s">
        <v>14</v>
      </c>
    </row>
    <row r="3227" spans="1:6">
      <c r="A3227" s="1">
        <v>45695</v>
      </c>
      <c r="B3227" s="2">
        <v>45695.450962986113</v>
      </c>
      <c r="C3227" t="s">
        <v>3</v>
      </c>
      <c r="D3227" t="s">
        <v>1202</v>
      </c>
      <c r="E3227" s="5">
        <v>25.96</v>
      </c>
      <c r="F3227" t="s">
        <v>11</v>
      </c>
    </row>
    <row r="3228" spans="1:6">
      <c r="A3228" s="1">
        <v>45700</v>
      </c>
      <c r="B3228" s="2">
        <v>45700.446683738424</v>
      </c>
      <c r="C3228" t="s">
        <v>3</v>
      </c>
      <c r="D3228" t="s">
        <v>1202</v>
      </c>
      <c r="E3228" s="5">
        <v>25.96</v>
      </c>
      <c r="F3228" t="s">
        <v>11</v>
      </c>
    </row>
    <row r="3229" spans="1:6">
      <c r="A3229" s="1">
        <v>45695</v>
      </c>
      <c r="B3229" s="2">
        <v>45695.506696666664</v>
      </c>
      <c r="C3229" t="s">
        <v>3</v>
      </c>
      <c r="D3229" t="s">
        <v>1203</v>
      </c>
      <c r="E3229" s="5">
        <v>35.76</v>
      </c>
      <c r="F3229" t="s">
        <v>18</v>
      </c>
    </row>
    <row r="3230" spans="1:6">
      <c r="A3230" s="1">
        <v>45697</v>
      </c>
      <c r="B3230" s="2">
        <v>45697.63413392361</v>
      </c>
      <c r="C3230" t="s">
        <v>3</v>
      </c>
      <c r="D3230" t="s">
        <v>1203</v>
      </c>
      <c r="E3230" s="5">
        <v>35.76</v>
      </c>
      <c r="F3230" t="s">
        <v>18</v>
      </c>
    </row>
    <row r="3231" spans="1:6">
      <c r="A3231" s="1">
        <v>45697</v>
      </c>
      <c r="B3231" s="2">
        <v>45697.634749363424</v>
      </c>
      <c r="C3231" t="s">
        <v>3</v>
      </c>
      <c r="D3231" t="s">
        <v>1203</v>
      </c>
      <c r="E3231" s="5">
        <v>35.76</v>
      </c>
      <c r="F3231" t="s">
        <v>7</v>
      </c>
    </row>
    <row r="3232" spans="1:6">
      <c r="A3232" s="1">
        <v>45699</v>
      </c>
      <c r="B3232" s="2">
        <v>45699.47300928241</v>
      </c>
      <c r="C3232" t="s">
        <v>3</v>
      </c>
      <c r="D3232" t="s">
        <v>1203</v>
      </c>
      <c r="E3232" s="5">
        <v>35.76</v>
      </c>
      <c r="F3232" t="s">
        <v>18</v>
      </c>
    </row>
    <row r="3233" spans="1:6">
      <c r="A3233" s="1">
        <v>45718</v>
      </c>
      <c r="B3233" s="2">
        <v>45718.512226574072</v>
      </c>
      <c r="C3233" t="s">
        <v>3</v>
      </c>
      <c r="D3233" t="s">
        <v>1203</v>
      </c>
      <c r="E3233" s="5">
        <v>35.76</v>
      </c>
      <c r="F3233" t="s">
        <v>7</v>
      </c>
    </row>
    <row r="3234" spans="1:6">
      <c r="A3234" s="1">
        <v>45720</v>
      </c>
      <c r="B3234" s="2">
        <v>45720.518045972225</v>
      </c>
      <c r="C3234" t="s">
        <v>3</v>
      </c>
      <c r="D3234" t="s">
        <v>1203</v>
      </c>
      <c r="E3234" s="5">
        <v>35.76</v>
      </c>
      <c r="F3234" t="s">
        <v>18</v>
      </c>
    </row>
    <row r="3235" spans="1:6">
      <c r="A3235" s="1">
        <v>45723</v>
      </c>
      <c r="B3235" s="2">
        <v>45723.493743680556</v>
      </c>
      <c r="C3235" t="s">
        <v>3</v>
      </c>
      <c r="D3235" t="s">
        <v>1203</v>
      </c>
      <c r="E3235" s="5">
        <v>35.76</v>
      </c>
      <c r="F3235" t="s">
        <v>18</v>
      </c>
    </row>
    <row r="3236" spans="1:6">
      <c r="A3236" s="1">
        <v>45695</v>
      </c>
      <c r="B3236" s="2">
        <v>45695.54087704861</v>
      </c>
      <c r="C3236" t="s">
        <v>3</v>
      </c>
      <c r="D3236" t="s">
        <v>1204</v>
      </c>
      <c r="E3236" s="5">
        <v>25.96</v>
      </c>
      <c r="F3236" t="s">
        <v>11</v>
      </c>
    </row>
    <row r="3237" spans="1:6">
      <c r="A3237" s="1">
        <v>45710</v>
      </c>
      <c r="B3237" s="2">
        <v>45710.486954259257</v>
      </c>
      <c r="C3237" t="s">
        <v>3</v>
      </c>
      <c r="D3237" t="s">
        <v>1204</v>
      </c>
      <c r="E3237" s="5">
        <v>25.96</v>
      </c>
      <c r="F3237" t="s">
        <v>11</v>
      </c>
    </row>
    <row r="3238" spans="1:6">
      <c r="A3238" s="1">
        <v>45714</v>
      </c>
      <c r="B3238" s="2">
        <v>45714.64496824074</v>
      </c>
      <c r="C3238" t="s">
        <v>3</v>
      </c>
      <c r="D3238" t="s">
        <v>1204</v>
      </c>
      <c r="E3238" s="5">
        <v>25.96</v>
      </c>
      <c r="F3238" t="s">
        <v>11</v>
      </c>
    </row>
    <row r="3239" spans="1:6">
      <c r="A3239" s="1">
        <v>45715</v>
      </c>
      <c r="B3239" s="2">
        <v>45715.717314803238</v>
      </c>
      <c r="C3239" t="s">
        <v>3</v>
      </c>
      <c r="D3239" t="s">
        <v>1204</v>
      </c>
      <c r="E3239" s="5">
        <v>25.96</v>
      </c>
      <c r="F3239" t="s">
        <v>11</v>
      </c>
    </row>
    <row r="3240" spans="1:6">
      <c r="A3240" s="1">
        <v>45716</v>
      </c>
      <c r="B3240" s="2">
        <v>45716.731818842592</v>
      </c>
      <c r="C3240" t="s">
        <v>3</v>
      </c>
      <c r="D3240" t="s">
        <v>1204</v>
      </c>
      <c r="E3240" s="5">
        <v>25.96</v>
      </c>
      <c r="F3240" t="s">
        <v>11</v>
      </c>
    </row>
    <row r="3241" spans="1:6">
      <c r="A3241" s="1">
        <v>45717</v>
      </c>
      <c r="B3241" s="2">
        <v>45717.475052164351</v>
      </c>
      <c r="C3241" t="s">
        <v>3</v>
      </c>
      <c r="D3241" t="s">
        <v>1204</v>
      </c>
      <c r="E3241" s="5">
        <v>25.96</v>
      </c>
      <c r="F3241" t="s">
        <v>11</v>
      </c>
    </row>
    <row r="3242" spans="1:6">
      <c r="A3242" s="1">
        <v>45718</v>
      </c>
      <c r="B3242" s="2">
        <v>45718.64219017361</v>
      </c>
      <c r="C3242" t="s">
        <v>3</v>
      </c>
      <c r="D3242" t="s">
        <v>1204</v>
      </c>
      <c r="E3242" s="5">
        <v>25.96</v>
      </c>
      <c r="F3242" t="s">
        <v>11</v>
      </c>
    </row>
    <row r="3243" spans="1:6">
      <c r="A3243" s="1">
        <v>45724</v>
      </c>
      <c r="B3243" s="2">
        <v>45724.472055300925</v>
      </c>
      <c r="C3243" t="s">
        <v>3</v>
      </c>
      <c r="D3243" t="s">
        <v>1204</v>
      </c>
      <c r="E3243" s="5">
        <v>25.96</v>
      </c>
      <c r="F3243" t="s">
        <v>11</v>
      </c>
    </row>
    <row r="3244" spans="1:6">
      <c r="A3244" s="1">
        <v>45724</v>
      </c>
      <c r="B3244" s="2">
        <v>45724.472596956017</v>
      </c>
      <c r="C3244" t="s">
        <v>3</v>
      </c>
      <c r="D3244" t="s">
        <v>1204</v>
      </c>
      <c r="E3244" s="5">
        <v>25.96</v>
      </c>
      <c r="F3244" t="s">
        <v>11</v>
      </c>
    </row>
    <row r="3245" spans="1:6">
      <c r="A3245" s="1">
        <v>45695</v>
      </c>
      <c r="B3245" s="2">
        <v>45695.682095960648</v>
      </c>
      <c r="C3245" t="s">
        <v>3</v>
      </c>
      <c r="D3245" t="s">
        <v>1205</v>
      </c>
      <c r="E3245" s="5">
        <v>35.76</v>
      </c>
      <c r="F3245" t="s">
        <v>7</v>
      </c>
    </row>
    <row r="3246" spans="1:6">
      <c r="A3246" s="1">
        <v>45698</v>
      </c>
      <c r="B3246" s="2">
        <v>45698.656974965277</v>
      </c>
      <c r="C3246" t="s">
        <v>3</v>
      </c>
      <c r="D3246" t="s">
        <v>1205</v>
      </c>
      <c r="E3246" s="5">
        <v>35.76</v>
      </c>
      <c r="F3246" t="s">
        <v>7</v>
      </c>
    </row>
    <row r="3247" spans="1:6">
      <c r="A3247" s="1">
        <v>45700</v>
      </c>
      <c r="B3247" s="2">
        <v>45700.654358506945</v>
      </c>
      <c r="C3247" t="s">
        <v>3</v>
      </c>
      <c r="D3247" t="s">
        <v>1205</v>
      </c>
      <c r="E3247" s="5">
        <v>35.76</v>
      </c>
      <c r="F3247" t="s">
        <v>7</v>
      </c>
    </row>
    <row r="3248" spans="1:6">
      <c r="A3248" s="1">
        <v>45705</v>
      </c>
      <c r="B3248" s="2">
        <v>45705.648143136576</v>
      </c>
      <c r="C3248" t="s">
        <v>3</v>
      </c>
      <c r="D3248" t="s">
        <v>1205</v>
      </c>
      <c r="E3248" s="5">
        <v>35.76</v>
      </c>
      <c r="F3248" t="s">
        <v>7</v>
      </c>
    </row>
    <row r="3249" spans="1:6">
      <c r="A3249" s="1">
        <v>45707</v>
      </c>
      <c r="B3249" s="2">
        <v>45707.809988032408</v>
      </c>
      <c r="C3249" t="s">
        <v>3</v>
      </c>
      <c r="D3249" t="s">
        <v>1205</v>
      </c>
      <c r="E3249" s="5">
        <v>35.76</v>
      </c>
      <c r="F3249" t="s">
        <v>7</v>
      </c>
    </row>
    <row r="3250" spans="1:6">
      <c r="A3250" s="1">
        <v>45709</v>
      </c>
      <c r="B3250" s="2">
        <v>45709.699290196761</v>
      </c>
      <c r="C3250" t="s">
        <v>3</v>
      </c>
      <c r="D3250" t="s">
        <v>1205</v>
      </c>
      <c r="E3250" s="5">
        <v>35.76</v>
      </c>
      <c r="F3250" t="s">
        <v>7</v>
      </c>
    </row>
    <row r="3251" spans="1:6">
      <c r="A3251" s="1">
        <v>45712</v>
      </c>
      <c r="B3251" s="2">
        <v>45712.540755891205</v>
      </c>
      <c r="C3251" t="s">
        <v>3</v>
      </c>
      <c r="D3251" t="s">
        <v>1205</v>
      </c>
      <c r="E3251" s="5">
        <v>35.76</v>
      </c>
      <c r="F3251" t="s">
        <v>7</v>
      </c>
    </row>
    <row r="3252" spans="1:6">
      <c r="A3252" s="1">
        <v>45712</v>
      </c>
      <c r="B3252" s="2">
        <v>45712.541681458337</v>
      </c>
      <c r="C3252" t="s">
        <v>3</v>
      </c>
      <c r="D3252" t="s">
        <v>1205</v>
      </c>
      <c r="E3252" s="5">
        <v>35.76</v>
      </c>
      <c r="F3252" t="s">
        <v>18</v>
      </c>
    </row>
    <row r="3253" spans="1:6">
      <c r="A3253" s="1">
        <v>45712</v>
      </c>
      <c r="B3253" s="2">
        <v>45712.765244965274</v>
      </c>
      <c r="C3253" t="s">
        <v>3</v>
      </c>
      <c r="D3253" t="s">
        <v>1205</v>
      </c>
      <c r="E3253" s="5">
        <v>35.76</v>
      </c>
      <c r="F3253" t="s">
        <v>7</v>
      </c>
    </row>
    <row r="3254" spans="1:6">
      <c r="A3254" s="1">
        <v>45714</v>
      </c>
      <c r="B3254" s="2">
        <v>45714.563467719905</v>
      </c>
      <c r="C3254" t="s">
        <v>3</v>
      </c>
      <c r="D3254" t="s">
        <v>1205</v>
      </c>
      <c r="E3254" s="5">
        <v>35.76</v>
      </c>
      <c r="F3254" t="s">
        <v>7</v>
      </c>
    </row>
    <row r="3255" spans="1:6">
      <c r="A3255" s="1">
        <v>45714</v>
      </c>
      <c r="B3255" s="2">
        <v>45714.705551493054</v>
      </c>
      <c r="C3255" t="s">
        <v>3</v>
      </c>
      <c r="D3255" t="s">
        <v>1205</v>
      </c>
      <c r="E3255" s="5">
        <v>35.76</v>
      </c>
      <c r="F3255" t="s">
        <v>7</v>
      </c>
    </row>
    <row r="3256" spans="1:6">
      <c r="A3256" s="1">
        <v>45716</v>
      </c>
      <c r="B3256" s="2">
        <v>45716.619470011574</v>
      </c>
      <c r="C3256" t="s">
        <v>3</v>
      </c>
      <c r="D3256" t="s">
        <v>1205</v>
      </c>
      <c r="E3256" s="5">
        <v>35.76</v>
      </c>
      <c r="F3256" t="s">
        <v>7</v>
      </c>
    </row>
    <row r="3257" spans="1:6">
      <c r="A3257" s="1">
        <v>45716</v>
      </c>
      <c r="B3257" s="2">
        <v>45716.722926956019</v>
      </c>
      <c r="C3257" t="s">
        <v>3</v>
      </c>
      <c r="D3257" t="s">
        <v>1205</v>
      </c>
      <c r="E3257" s="5">
        <v>35.76</v>
      </c>
      <c r="F3257" t="s">
        <v>7</v>
      </c>
    </row>
    <row r="3258" spans="1:6">
      <c r="A3258" s="1">
        <v>45719</v>
      </c>
      <c r="B3258" s="2">
        <v>45719.632652800923</v>
      </c>
      <c r="C3258" t="s">
        <v>3</v>
      </c>
      <c r="D3258" t="s">
        <v>1205</v>
      </c>
      <c r="E3258" s="5">
        <v>35.76</v>
      </c>
      <c r="F3258" t="s">
        <v>7</v>
      </c>
    </row>
    <row r="3259" spans="1:6">
      <c r="A3259" s="1">
        <v>45719</v>
      </c>
      <c r="B3259" s="2">
        <v>45719.678185648147</v>
      </c>
      <c r="C3259" t="s">
        <v>3</v>
      </c>
      <c r="D3259" t="s">
        <v>1205</v>
      </c>
      <c r="E3259" s="5">
        <v>35.76</v>
      </c>
      <c r="F3259" t="s">
        <v>7</v>
      </c>
    </row>
    <row r="3260" spans="1:6">
      <c r="A3260" s="1">
        <v>45721</v>
      </c>
      <c r="B3260" s="2">
        <v>45721.630447025462</v>
      </c>
      <c r="C3260" t="s">
        <v>3</v>
      </c>
      <c r="D3260" t="s">
        <v>1205</v>
      </c>
      <c r="E3260" s="5">
        <v>35.76</v>
      </c>
      <c r="F3260" t="s">
        <v>7</v>
      </c>
    </row>
    <row r="3261" spans="1:6">
      <c r="A3261" s="1">
        <v>45721</v>
      </c>
      <c r="B3261" s="2">
        <v>45721.730334247688</v>
      </c>
      <c r="C3261" t="s">
        <v>3</v>
      </c>
      <c r="D3261" t="s">
        <v>1205</v>
      </c>
      <c r="E3261" s="5">
        <v>35.76</v>
      </c>
      <c r="F3261" t="s">
        <v>7</v>
      </c>
    </row>
    <row r="3262" spans="1:6">
      <c r="A3262" s="1">
        <v>45723</v>
      </c>
      <c r="B3262" s="2">
        <v>45723.631300057874</v>
      </c>
      <c r="C3262" t="s">
        <v>3</v>
      </c>
      <c r="D3262" t="s">
        <v>1205</v>
      </c>
      <c r="E3262" s="5">
        <v>35.76</v>
      </c>
      <c r="F3262" t="s">
        <v>7</v>
      </c>
    </row>
    <row r="3263" spans="1:6">
      <c r="A3263" s="1">
        <v>45723</v>
      </c>
      <c r="B3263" s="2">
        <v>45723.715616724534</v>
      </c>
      <c r="C3263" t="s">
        <v>3</v>
      </c>
      <c r="D3263" t="s">
        <v>1205</v>
      </c>
      <c r="E3263" s="5">
        <v>35.76</v>
      </c>
      <c r="F3263" t="s">
        <v>7</v>
      </c>
    </row>
    <row r="3264" spans="1:6">
      <c r="A3264" s="1">
        <v>45726</v>
      </c>
      <c r="B3264" s="2">
        <v>45726.679173530094</v>
      </c>
      <c r="C3264" t="s">
        <v>3</v>
      </c>
      <c r="D3264" t="s">
        <v>1205</v>
      </c>
      <c r="E3264" s="5">
        <v>35.76</v>
      </c>
      <c r="F3264" t="s">
        <v>7</v>
      </c>
    </row>
    <row r="3265" spans="1:6">
      <c r="A3265" s="1">
        <v>45728</v>
      </c>
      <c r="B3265" s="2">
        <v>45728.691018287034</v>
      </c>
      <c r="C3265" t="s">
        <v>3</v>
      </c>
      <c r="D3265" t="s">
        <v>1205</v>
      </c>
      <c r="E3265" s="5">
        <v>35.76</v>
      </c>
      <c r="F3265" t="s">
        <v>7</v>
      </c>
    </row>
    <row r="3266" spans="1:6">
      <c r="A3266" s="1">
        <v>45729</v>
      </c>
      <c r="B3266" s="2">
        <v>45729.509460243054</v>
      </c>
      <c r="C3266" t="s">
        <v>3</v>
      </c>
      <c r="D3266" t="s">
        <v>1205</v>
      </c>
      <c r="E3266" s="5">
        <v>35.76</v>
      </c>
      <c r="F3266" t="s">
        <v>7</v>
      </c>
    </row>
    <row r="3267" spans="1:6">
      <c r="A3267" s="1">
        <v>45730</v>
      </c>
      <c r="B3267" s="2">
        <v>45730.662742812499</v>
      </c>
      <c r="C3267" t="s">
        <v>3</v>
      </c>
      <c r="D3267" t="s">
        <v>1205</v>
      </c>
      <c r="E3267" s="5">
        <v>35.76</v>
      </c>
      <c r="F3267" t="s">
        <v>7</v>
      </c>
    </row>
    <row r="3268" spans="1:6">
      <c r="A3268" s="1">
        <v>45730</v>
      </c>
      <c r="B3268" s="2">
        <v>45730.727260185187</v>
      </c>
      <c r="C3268" t="s">
        <v>3</v>
      </c>
      <c r="D3268" t="s">
        <v>1205</v>
      </c>
      <c r="E3268" s="5">
        <v>35.76</v>
      </c>
      <c r="F3268" t="s">
        <v>7</v>
      </c>
    </row>
    <row r="3269" spans="1:6">
      <c r="A3269" s="1">
        <v>45733</v>
      </c>
      <c r="B3269" s="2">
        <v>45733.659009895833</v>
      </c>
      <c r="C3269" t="s">
        <v>3</v>
      </c>
      <c r="D3269" t="s">
        <v>1205</v>
      </c>
      <c r="E3269" s="5">
        <v>35.76</v>
      </c>
      <c r="F3269" t="s">
        <v>7</v>
      </c>
    </row>
    <row r="3270" spans="1:6">
      <c r="A3270" s="1">
        <v>45735</v>
      </c>
      <c r="B3270" s="2">
        <v>45735.68025391204</v>
      </c>
      <c r="C3270" t="s">
        <v>3</v>
      </c>
      <c r="D3270" t="s">
        <v>1205</v>
      </c>
      <c r="E3270" s="5">
        <v>35.76</v>
      </c>
      <c r="F3270" t="s">
        <v>7</v>
      </c>
    </row>
    <row r="3271" spans="1:6">
      <c r="A3271" s="1">
        <v>45737</v>
      </c>
      <c r="B3271" s="2">
        <v>45737.724188368054</v>
      </c>
      <c r="C3271" t="s">
        <v>3</v>
      </c>
      <c r="D3271" t="s">
        <v>1205</v>
      </c>
      <c r="E3271" s="5">
        <v>35.76</v>
      </c>
      <c r="F3271" t="s">
        <v>7</v>
      </c>
    </row>
    <row r="3272" spans="1:6">
      <c r="A3272" s="1">
        <v>45695</v>
      </c>
      <c r="B3272" s="2">
        <v>45695.780912523151</v>
      </c>
      <c r="C3272" t="s">
        <v>3</v>
      </c>
      <c r="D3272" t="s">
        <v>1206</v>
      </c>
      <c r="E3272" s="5">
        <v>25.96</v>
      </c>
      <c r="F3272" t="s">
        <v>28</v>
      </c>
    </row>
    <row r="3273" spans="1:6">
      <c r="A3273" s="1">
        <v>45695</v>
      </c>
      <c r="B3273" s="2">
        <v>45695.781517094911</v>
      </c>
      <c r="C3273" t="s">
        <v>3</v>
      </c>
      <c r="D3273" t="s">
        <v>1206</v>
      </c>
      <c r="E3273" s="5">
        <v>35.76</v>
      </c>
      <c r="F3273" t="s">
        <v>18</v>
      </c>
    </row>
    <row r="3274" spans="1:6">
      <c r="A3274" s="1">
        <v>45705</v>
      </c>
      <c r="B3274" s="2">
        <v>45705.846035856484</v>
      </c>
      <c r="C3274" t="s">
        <v>3</v>
      </c>
      <c r="D3274" t="s">
        <v>1206</v>
      </c>
      <c r="E3274" s="5">
        <v>35.76</v>
      </c>
      <c r="F3274" t="s">
        <v>7</v>
      </c>
    </row>
    <row r="3275" spans="1:6">
      <c r="A3275" s="1">
        <v>45695</v>
      </c>
      <c r="B3275" s="2">
        <v>45695.840965428244</v>
      </c>
      <c r="C3275" t="s">
        <v>3</v>
      </c>
      <c r="D3275" t="s">
        <v>1207</v>
      </c>
      <c r="E3275" s="5">
        <v>35.76</v>
      </c>
      <c r="F3275" t="s">
        <v>18</v>
      </c>
    </row>
    <row r="3276" spans="1:6">
      <c r="A3276" s="1">
        <v>45696</v>
      </c>
      <c r="B3276" s="2">
        <v>45696.460201215275</v>
      </c>
      <c r="C3276" t="s">
        <v>3</v>
      </c>
      <c r="D3276" t="s">
        <v>1208</v>
      </c>
      <c r="E3276" s="5">
        <v>25.96</v>
      </c>
      <c r="F3276" t="s">
        <v>28</v>
      </c>
    </row>
    <row r="3277" spans="1:6">
      <c r="A3277" s="1">
        <v>45699</v>
      </c>
      <c r="B3277" s="2">
        <v>45699.673014340275</v>
      </c>
      <c r="C3277" t="s">
        <v>3</v>
      </c>
      <c r="D3277" t="s">
        <v>1208</v>
      </c>
      <c r="E3277" s="5">
        <v>30.86</v>
      </c>
      <c r="F3277" t="s">
        <v>14</v>
      </c>
    </row>
    <row r="3278" spans="1:6">
      <c r="A3278" s="1">
        <v>45705</v>
      </c>
      <c r="B3278" s="2">
        <v>45705.628954826389</v>
      </c>
      <c r="C3278" t="s">
        <v>3</v>
      </c>
      <c r="D3278" t="s">
        <v>1208</v>
      </c>
      <c r="E3278" s="5">
        <v>30.86</v>
      </c>
      <c r="F3278" t="s">
        <v>14</v>
      </c>
    </row>
    <row r="3279" spans="1:6">
      <c r="A3279" s="1">
        <v>45729</v>
      </c>
      <c r="B3279" s="2">
        <v>45729.621892986113</v>
      </c>
      <c r="C3279" t="s">
        <v>3</v>
      </c>
      <c r="D3279" t="s">
        <v>1208</v>
      </c>
      <c r="E3279" s="5">
        <v>25.96</v>
      </c>
      <c r="F3279" t="s">
        <v>11</v>
      </c>
    </row>
    <row r="3280" spans="1:6">
      <c r="A3280" s="1">
        <v>45696</v>
      </c>
      <c r="B3280" s="2">
        <v>45696.485808819445</v>
      </c>
      <c r="C3280" t="s">
        <v>3</v>
      </c>
      <c r="D3280" t="s">
        <v>1209</v>
      </c>
      <c r="E3280" s="5">
        <v>25.96</v>
      </c>
      <c r="F3280" t="s">
        <v>11</v>
      </c>
    </row>
    <row r="3281" spans="1:6">
      <c r="A3281" s="1">
        <v>45697</v>
      </c>
      <c r="B3281" s="2">
        <v>45697.503530173613</v>
      </c>
      <c r="C3281" t="s">
        <v>3</v>
      </c>
      <c r="D3281" t="s">
        <v>1210</v>
      </c>
      <c r="E3281" s="5">
        <v>35.76</v>
      </c>
      <c r="F3281" t="s">
        <v>7</v>
      </c>
    </row>
    <row r="3282" spans="1:6">
      <c r="A3282" s="1">
        <v>45704</v>
      </c>
      <c r="B3282" s="2">
        <v>45704.594178807871</v>
      </c>
      <c r="C3282" t="s">
        <v>3</v>
      </c>
      <c r="D3282" t="s">
        <v>1210</v>
      </c>
      <c r="E3282" s="5">
        <v>35.76</v>
      </c>
      <c r="F3282" t="s">
        <v>9</v>
      </c>
    </row>
    <row r="3283" spans="1:6">
      <c r="A3283" s="1">
        <v>45704</v>
      </c>
      <c r="B3283" s="2">
        <v>45704.594920416668</v>
      </c>
      <c r="C3283" t="s">
        <v>3</v>
      </c>
      <c r="D3283" t="s">
        <v>1210</v>
      </c>
      <c r="E3283" s="5">
        <v>35.76</v>
      </c>
      <c r="F3283" t="s">
        <v>7</v>
      </c>
    </row>
    <row r="3284" spans="1:6">
      <c r="A3284" s="1">
        <v>45708</v>
      </c>
      <c r="B3284" s="2">
        <v>45708.597605312498</v>
      </c>
      <c r="C3284" t="s">
        <v>3</v>
      </c>
      <c r="D3284" t="s">
        <v>1210</v>
      </c>
      <c r="E3284" s="5">
        <v>35.76</v>
      </c>
      <c r="F3284" t="s">
        <v>7</v>
      </c>
    </row>
    <row r="3285" spans="1:6">
      <c r="A3285" s="1">
        <v>45719</v>
      </c>
      <c r="B3285" s="2">
        <v>45719.67697296296</v>
      </c>
      <c r="C3285" t="s">
        <v>3</v>
      </c>
      <c r="D3285" t="s">
        <v>1210</v>
      </c>
      <c r="E3285" s="5">
        <v>35.76</v>
      </c>
      <c r="F3285" t="s">
        <v>18</v>
      </c>
    </row>
    <row r="3286" spans="1:6">
      <c r="A3286" s="1">
        <v>45739</v>
      </c>
      <c r="B3286" s="2">
        <v>45739.421658310188</v>
      </c>
      <c r="C3286" t="s">
        <v>3</v>
      </c>
      <c r="D3286" t="s">
        <v>1210</v>
      </c>
      <c r="E3286" s="5">
        <v>35.76</v>
      </c>
      <c r="F3286" t="s">
        <v>7</v>
      </c>
    </row>
    <row r="3287" spans="1:6">
      <c r="A3287" s="1">
        <v>45698</v>
      </c>
      <c r="B3287" s="2">
        <v>45698.560354988425</v>
      </c>
      <c r="C3287" t="s">
        <v>3</v>
      </c>
      <c r="D3287" t="s">
        <v>1211</v>
      </c>
      <c r="E3287" s="5">
        <v>30.86</v>
      </c>
      <c r="F3287" t="s">
        <v>14</v>
      </c>
    </row>
    <row r="3288" spans="1:6">
      <c r="A3288" s="1">
        <v>45698</v>
      </c>
      <c r="B3288" s="2">
        <v>45698.569598715279</v>
      </c>
      <c r="C3288" t="s">
        <v>3</v>
      </c>
      <c r="D3288" t="s">
        <v>1212</v>
      </c>
      <c r="E3288" s="5">
        <v>25.96</v>
      </c>
      <c r="F3288" t="s">
        <v>11</v>
      </c>
    </row>
    <row r="3289" spans="1:6">
      <c r="A3289" s="1">
        <v>45702</v>
      </c>
      <c r="B3289" s="2">
        <v>45702.615275532407</v>
      </c>
      <c r="C3289" t="s">
        <v>3</v>
      </c>
      <c r="D3289" t="s">
        <v>1212</v>
      </c>
      <c r="E3289" s="5">
        <v>25.96</v>
      </c>
      <c r="F3289" t="s">
        <v>11</v>
      </c>
    </row>
    <row r="3290" spans="1:6">
      <c r="A3290" s="1">
        <v>45702</v>
      </c>
      <c r="B3290" s="2">
        <v>45702.615799861109</v>
      </c>
      <c r="C3290" t="s">
        <v>3</v>
      </c>
      <c r="D3290" t="s">
        <v>1212</v>
      </c>
      <c r="E3290" s="5">
        <v>21.06</v>
      </c>
      <c r="F3290" t="s">
        <v>35</v>
      </c>
    </row>
    <row r="3291" spans="1:6">
      <c r="A3291" s="1">
        <v>45706</v>
      </c>
      <c r="B3291" s="2">
        <v>45706.479237916668</v>
      </c>
      <c r="C3291" t="s">
        <v>3</v>
      </c>
      <c r="D3291" t="s">
        <v>1212</v>
      </c>
      <c r="E3291" s="5">
        <v>25.96</v>
      </c>
      <c r="F3291" t="s">
        <v>11</v>
      </c>
    </row>
    <row r="3292" spans="1:6">
      <c r="A3292" s="1">
        <v>45707</v>
      </c>
      <c r="B3292" s="2">
        <v>45707.531320277776</v>
      </c>
      <c r="C3292" t="s">
        <v>3</v>
      </c>
      <c r="D3292" t="s">
        <v>1212</v>
      </c>
      <c r="E3292" s="5">
        <v>25.96</v>
      </c>
      <c r="F3292" t="s">
        <v>11</v>
      </c>
    </row>
    <row r="3293" spans="1:6">
      <c r="A3293" s="1">
        <v>45708</v>
      </c>
      <c r="B3293" s="2">
        <v>45708.433605868056</v>
      </c>
      <c r="C3293" t="s">
        <v>3</v>
      </c>
      <c r="D3293" t="s">
        <v>1212</v>
      </c>
      <c r="E3293" s="5">
        <v>25.96</v>
      </c>
      <c r="F3293" t="s">
        <v>11</v>
      </c>
    </row>
    <row r="3294" spans="1:6">
      <c r="A3294" s="1">
        <v>45709</v>
      </c>
      <c r="B3294" s="2">
        <v>45709.539097199071</v>
      </c>
      <c r="C3294" t="s">
        <v>3</v>
      </c>
      <c r="D3294" t="s">
        <v>1212</v>
      </c>
      <c r="E3294" s="5">
        <v>25.96</v>
      </c>
      <c r="F3294" t="s">
        <v>11</v>
      </c>
    </row>
    <row r="3295" spans="1:6">
      <c r="A3295" s="1">
        <v>45717</v>
      </c>
      <c r="B3295" s="2">
        <v>45717.47775928241</v>
      </c>
      <c r="C3295" t="s">
        <v>3</v>
      </c>
      <c r="D3295" t="s">
        <v>1212</v>
      </c>
      <c r="E3295" s="5">
        <v>25.96</v>
      </c>
      <c r="F3295" t="s">
        <v>11</v>
      </c>
    </row>
    <row r="3296" spans="1:6">
      <c r="A3296" s="1">
        <v>45719</v>
      </c>
      <c r="B3296" s="2">
        <v>45719.730120138891</v>
      </c>
      <c r="C3296" t="s">
        <v>3</v>
      </c>
      <c r="D3296" t="s">
        <v>1212</v>
      </c>
      <c r="E3296" s="5">
        <v>25.96</v>
      </c>
      <c r="F3296" t="s">
        <v>11</v>
      </c>
    </row>
    <row r="3297" spans="1:6">
      <c r="A3297" s="1">
        <v>45719</v>
      </c>
      <c r="B3297" s="2">
        <v>45719.730768946756</v>
      </c>
      <c r="C3297" t="s">
        <v>3</v>
      </c>
      <c r="D3297" t="s">
        <v>1212</v>
      </c>
      <c r="E3297" s="5">
        <v>35.76</v>
      </c>
      <c r="F3297" t="s">
        <v>9</v>
      </c>
    </row>
    <row r="3298" spans="1:6">
      <c r="A3298" s="1">
        <v>45719</v>
      </c>
      <c r="B3298" s="2">
        <v>45719.731235567131</v>
      </c>
      <c r="C3298" t="s">
        <v>3</v>
      </c>
      <c r="D3298" t="s">
        <v>1212</v>
      </c>
      <c r="E3298" s="5">
        <v>25.96</v>
      </c>
      <c r="F3298" t="s">
        <v>11</v>
      </c>
    </row>
    <row r="3299" spans="1:6">
      <c r="A3299" s="1">
        <v>45721</v>
      </c>
      <c r="B3299" s="2">
        <v>45721.417526574071</v>
      </c>
      <c r="C3299" t="s">
        <v>3</v>
      </c>
      <c r="D3299" t="s">
        <v>1212</v>
      </c>
      <c r="E3299" s="5">
        <v>25.96</v>
      </c>
      <c r="F3299" t="s">
        <v>11</v>
      </c>
    </row>
    <row r="3300" spans="1:6">
      <c r="A3300" s="1">
        <v>45721</v>
      </c>
      <c r="B3300" s="2">
        <v>45721.418105289355</v>
      </c>
      <c r="C3300" t="s">
        <v>3</v>
      </c>
      <c r="D3300" t="s">
        <v>1212</v>
      </c>
      <c r="E3300" s="5">
        <v>25.96</v>
      </c>
      <c r="F3300" t="s">
        <v>11</v>
      </c>
    </row>
    <row r="3301" spans="1:6">
      <c r="A3301" s="1">
        <v>45721</v>
      </c>
      <c r="B3301" s="2">
        <v>45721.485314606478</v>
      </c>
      <c r="C3301" t="s">
        <v>3</v>
      </c>
      <c r="D3301" t="s">
        <v>1212</v>
      </c>
      <c r="E3301" s="5">
        <v>25.96</v>
      </c>
      <c r="F3301" t="s">
        <v>11</v>
      </c>
    </row>
    <row r="3302" spans="1:6">
      <c r="A3302" s="1">
        <v>45722</v>
      </c>
      <c r="B3302" s="2">
        <v>45722.462310462965</v>
      </c>
      <c r="C3302" t="s">
        <v>3</v>
      </c>
      <c r="D3302" t="s">
        <v>1212</v>
      </c>
      <c r="E3302" s="5">
        <v>25.96</v>
      </c>
      <c r="F3302" t="s">
        <v>11</v>
      </c>
    </row>
    <row r="3303" spans="1:6">
      <c r="A3303" s="1">
        <v>45698</v>
      </c>
      <c r="B3303" s="2">
        <v>45698.584630081015</v>
      </c>
      <c r="C3303" t="s">
        <v>3</v>
      </c>
      <c r="D3303" t="s">
        <v>1213</v>
      </c>
      <c r="E3303" s="5">
        <v>35.76</v>
      </c>
      <c r="F3303" t="s">
        <v>7</v>
      </c>
    </row>
    <row r="3304" spans="1:6">
      <c r="A3304" s="1">
        <v>45728</v>
      </c>
      <c r="B3304" s="2">
        <v>45728.580829178238</v>
      </c>
      <c r="C3304" t="s">
        <v>3</v>
      </c>
      <c r="D3304" t="s">
        <v>1213</v>
      </c>
      <c r="E3304" s="5">
        <v>35.76</v>
      </c>
      <c r="F3304" t="s">
        <v>7</v>
      </c>
    </row>
    <row r="3305" spans="1:6">
      <c r="A3305" s="1">
        <v>45698</v>
      </c>
      <c r="B3305" s="2">
        <v>45698.626330439816</v>
      </c>
      <c r="C3305" t="s">
        <v>3</v>
      </c>
      <c r="D3305" t="s">
        <v>1214</v>
      </c>
      <c r="E3305" s="5">
        <v>35.76</v>
      </c>
      <c r="F3305" t="s">
        <v>43</v>
      </c>
    </row>
    <row r="3306" spans="1:6">
      <c r="A3306" s="1">
        <v>45700</v>
      </c>
      <c r="B3306" s="2">
        <v>45700.303439398151</v>
      </c>
      <c r="C3306" t="s">
        <v>3</v>
      </c>
      <c r="D3306" t="s">
        <v>1214</v>
      </c>
      <c r="E3306" s="5">
        <v>35.76</v>
      </c>
      <c r="F3306" t="s">
        <v>43</v>
      </c>
    </row>
    <row r="3307" spans="1:6">
      <c r="A3307" s="1">
        <v>45700</v>
      </c>
      <c r="B3307" s="2">
        <v>45700.71217579861</v>
      </c>
      <c r="C3307" t="s">
        <v>3</v>
      </c>
      <c r="D3307" t="s">
        <v>1214</v>
      </c>
      <c r="E3307" s="5">
        <v>35.76</v>
      </c>
      <c r="F3307" t="s">
        <v>43</v>
      </c>
    </row>
    <row r="3308" spans="1:6">
      <c r="A3308" s="1">
        <v>45702</v>
      </c>
      <c r="B3308" s="2">
        <v>45702.625193784719</v>
      </c>
      <c r="C3308" t="s">
        <v>3</v>
      </c>
      <c r="D3308" t="s">
        <v>1214</v>
      </c>
      <c r="E3308" s="5">
        <v>35.76</v>
      </c>
      <c r="F3308" t="s">
        <v>43</v>
      </c>
    </row>
    <row r="3309" spans="1:6">
      <c r="A3309" s="1">
        <v>45703</v>
      </c>
      <c r="B3309" s="2">
        <v>45703.390878819446</v>
      </c>
      <c r="C3309" t="s">
        <v>3</v>
      </c>
      <c r="D3309" t="s">
        <v>1214</v>
      </c>
      <c r="E3309" s="5">
        <v>35.76</v>
      </c>
      <c r="F3309" t="s">
        <v>43</v>
      </c>
    </row>
    <row r="3310" spans="1:6">
      <c r="A3310" s="1">
        <v>45703</v>
      </c>
      <c r="B3310" s="2">
        <v>45703.563955254627</v>
      </c>
      <c r="C3310" t="s">
        <v>3</v>
      </c>
      <c r="D3310" t="s">
        <v>1214</v>
      </c>
      <c r="E3310" s="5">
        <v>30.86</v>
      </c>
      <c r="F3310" t="s">
        <v>14</v>
      </c>
    </row>
    <row r="3311" spans="1:6">
      <c r="A3311" s="1">
        <v>45705</v>
      </c>
      <c r="B3311" s="2">
        <v>45705.284773784719</v>
      </c>
      <c r="C3311" t="s">
        <v>3</v>
      </c>
      <c r="D3311" t="s">
        <v>1214</v>
      </c>
      <c r="E3311" s="5">
        <v>35.76</v>
      </c>
      <c r="F3311" t="s">
        <v>43</v>
      </c>
    </row>
    <row r="3312" spans="1:6">
      <c r="A3312" s="1">
        <v>45698</v>
      </c>
      <c r="B3312" s="2">
        <v>45698.802008402781</v>
      </c>
      <c r="C3312" t="s">
        <v>3</v>
      </c>
      <c r="D3312" t="s">
        <v>1215</v>
      </c>
      <c r="E3312" s="5">
        <v>35.76</v>
      </c>
      <c r="F3312" t="s">
        <v>7</v>
      </c>
    </row>
    <row r="3313" spans="1:6">
      <c r="A3313" s="1">
        <v>45703</v>
      </c>
      <c r="B3313" s="2">
        <v>45703.652866516204</v>
      </c>
      <c r="C3313" t="s">
        <v>3</v>
      </c>
      <c r="D3313" t="s">
        <v>1215</v>
      </c>
      <c r="E3313" s="5">
        <v>35.76</v>
      </c>
      <c r="F3313" t="s">
        <v>9</v>
      </c>
    </row>
    <row r="3314" spans="1:6">
      <c r="A3314" s="1">
        <v>45699</v>
      </c>
      <c r="B3314" s="2">
        <v>45699.70116892361</v>
      </c>
      <c r="C3314" t="s">
        <v>3</v>
      </c>
      <c r="D3314" t="s">
        <v>1216</v>
      </c>
      <c r="E3314" s="5">
        <v>21.06</v>
      </c>
      <c r="F3314" t="s">
        <v>35</v>
      </c>
    </row>
    <row r="3315" spans="1:6">
      <c r="A3315" s="1">
        <v>45702</v>
      </c>
      <c r="B3315" s="2">
        <v>45702.714671828704</v>
      </c>
      <c r="C3315" t="s">
        <v>3</v>
      </c>
      <c r="D3315" t="s">
        <v>1216</v>
      </c>
      <c r="E3315" s="5">
        <v>21.06</v>
      </c>
      <c r="F3315" t="s">
        <v>35</v>
      </c>
    </row>
    <row r="3316" spans="1:6">
      <c r="A3316" s="1">
        <v>45705</v>
      </c>
      <c r="B3316" s="2">
        <v>45705.496553275465</v>
      </c>
      <c r="C3316" t="s">
        <v>3</v>
      </c>
      <c r="D3316" t="s">
        <v>1216</v>
      </c>
      <c r="E3316" s="5">
        <v>21.06</v>
      </c>
      <c r="F3316" t="s">
        <v>35</v>
      </c>
    </row>
    <row r="3317" spans="1:6">
      <c r="A3317" s="1">
        <v>45699</v>
      </c>
      <c r="B3317" s="2">
        <v>45699.739034652775</v>
      </c>
      <c r="C3317" t="s">
        <v>3</v>
      </c>
      <c r="D3317" t="s">
        <v>1217</v>
      </c>
      <c r="E3317" s="5">
        <v>30.86</v>
      </c>
      <c r="F3317" t="s">
        <v>14</v>
      </c>
    </row>
    <row r="3318" spans="1:6">
      <c r="A3318" s="1">
        <v>45699</v>
      </c>
      <c r="B3318" s="2">
        <v>45699.746271215277</v>
      </c>
      <c r="C3318" t="s">
        <v>3</v>
      </c>
      <c r="D3318" t="s">
        <v>1217</v>
      </c>
      <c r="E3318" s="5">
        <v>30.86</v>
      </c>
      <c r="F3318" t="s">
        <v>14</v>
      </c>
    </row>
    <row r="3319" spans="1:6">
      <c r="A3319" s="1">
        <v>45705</v>
      </c>
      <c r="B3319" s="2">
        <v>45705.495817256946</v>
      </c>
      <c r="C3319" t="s">
        <v>3</v>
      </c>
      <c r="D3319" t="s">
        <v>1217</v>
      </c>
      <c r="E3319" s="5">
        <v>30.86</v>
      </c>
      <c r="F3319" t="s">
        <v>14</v>
      </c>
    </row>
    <row r="3320" spans="1:6">
      <c r="A3320" s="1">
        <v>45706</v>
      </c>
      <c r="B3320" s="2">
        <v>45706.484994756946</v>
      </c>
      <c r="C3320" t="s">
        <v>3</v>
      </c>
      <c r="D3320" t="s">
        <v>1217</v>
      </c>
      <c r="E3320" s="5">
        <v>30.86</v>
      </c>
      <c r="F3320" t="s">
        <v>14</v>
      </c>
    </row>
    <row r="3321" spans="1:6">
      <c r="A3321" s="1">
        <v>45708</v>
      </c>
      <c r="B3321" s="2">
        <v>45708.543285277781</v>
      </c>
      <c r="C3321" t="s">
        <v>3</v>
      </c>
      <c r="D3321" t="s">
        <v>1217</v>
      </c>
      <c r="E3321" s="5">
        <v>30.86</v>
      </c>
      <c r="F3321" t="s">
        <v>14</v>
      </c>
    </row>
    <row r="3322" spans="1:6">
      <c r="A3322" s="1">
        <v>45709</v>
      </c>
      <c r="B3322" s="2">
        <v>45709.546330173609</v>
      </c>
      <c r="C3322" t="s">
        <v>3</v>
      </c>
      <c r="D3322" t="s">
        <v>1217</v>
      </c>
      <c r="E3322" s="5">
        <v>25.96</v>
      </c>
      <c r="F3322" t="s">
        <v>11</v>
      </c>
    </row>
    <row r="3323" spans="1:6">
      <c r="A3323" s="1">
        <v>45709</v>
      </c>
      <c r="B3323" s="2">
        <v>45709.595773182868</v>
      </c>
      <c r="C3323" t="s">
        <v>3</v>
      </c>
      <c r="D3323" t="s">
        <v>1217</v>
      </c>
      <c r="E3323" s="5">
        <v>25.96</v>
      </c>
      <c r="F3323" t="s">
        <v>11</v>
      </c>
    </row>
    <row r="3324" spans="1:6">
      <c r="A3324" s="1">
        <v>45709</v>
      </c>
      <c r="B3324" s="2">
        <v>45709.661666898151</v>
      </c>
      <c r="C3324" t="s">
        <v>3</v>
      </c>
      <c r="D3324" t="s">
        <v>1217</v>
      </c>
      <c r="E3324" s="5">
        <v>25.96</v>
      </c>
      <c r="F3324" t="s">
        <v>11</v>
      </c>
    </row>
    <row r="3325" spans="1:6">
      <c r="A3325" s="1">
        <v>45733</v>
      </c>
      <c r="B3325" s="2">
        <v>45733.582650405093</v>
      </c>
      <c r="C3325" t="s">
        <v>3</v>
      </c>
      <c r="D3325" t="s">
        <v>1217</v>
      </c>
      <c r="E3325" s="5">
        <v>25.96</v>
      </c>
      <c r="F3325" t="s">
        <v>11</v>
      </c>
    </row>
    <row r="3326" spans="1:6">
      <c r="A3326" s="1">
        <v>45734</v>
      </c>
      <c r="B3326" s="2">
        <v>45734.673004363423</v>
      </c>
      <c r="C3326" t="s">
        <v>3</v>
      </c>
      <c r="D3326" t="s">
        <v>1217</v>
      </c>
      <c r="E3326" s="5">
        <v>25.96</v>
      </c>
      <c r="F3326" t="s">
        <v>11</v>
      </c>
    </row>
    <row r="3327" spans="1:6">
      <c r="A3327" s="1">
        <v>45734</v>
      </c>
      <c r="B3327" s="2">
        <v>45734.682877569445</v>
      </c>
      <c r="C3327" t="s">
        <v>3</v>
      </c>
      <c r="D3327" t="s">
        <v>1217</v>
      </c>
      <c r="E3327" s="5">
        <v>21.06</v>
      </c>
      <c r="F3327" t="s">
        <v>35</v>
      </c>
    </row>
    <row r="3328" spans="1:6">
      <c r="A3328" s="1">
        <v>45699</v>
      </c>
      <c r="B3328" s="2">
        <v>45699.7945721875</v>
      </c>
      <c r="C3328" t="s">
        <v>3</v>
      </c>
      <c r="D3328" t="s">
        <v>1218</v>
      </c>
      <c r="E3328" s="5">
        <v>35.76</v>
      </c>
      <c r="F3328" t="s">
        <v>7</v>
      </c>
    </row>
    <row r="3329" spans="1:6">
      <c r="A3329" s="1">
        <v>45699</v>
      </c>
      <c r="B3329" s="2">
        <v>45699.79518321759</v>
      </c>
      <c r="C3329" t="s">
        <v>3</v>
      </c>
      <c r="D3329" t="s">
        <v>1218</v>
      </c>
      <c r="E3329" s="5">
        <v>35.76</v>
      </c>
      <c r="F3329" t="s">
        <v>18</v>
      </c>
    </row>
    <row r="3330" spans="1:6">
      <c r="A3330" s="1">
        <v>45700</v>
      </c>
      <c r="B3330" s="2">
        <v>45700.530197731481</v>
      </c>
      <c r="C3330" t="s">
        <v>3</v>
      </c>
      <c r="D3330" t="s">
        <v>1219</v>
      </c>
      <c r="E3330" s="5">
        <v>25.96</v>
      </c>
      <c r="F3330" t="s">
        <v>11</v>
      </c>
    </row>
    <row r="3331" spans="1:6">
      <c r="A3331" s="1">
        <v>45700</v>
      </c>
      <c r="B3331" s="2">
        <v>45700.547330150461</v>
      </c>
      <c r="C3331" t="s">
        <v>3</v>
      </c>
      <c r="D3331" t="s">
        <v>1220</v>
      </c>
      <c r="E3331" s="5">
        <v>25.96</v>
      </c>
      <c r="F3331" t="s">
        <v>11</v>
      </c>
    </row>
    <row r="3332" spans="1:6">
      <c r="A3332" s="1">
        <v>45705</v>
      </c>
      <c r="B3332" s="2">
        <v>45705.766581458331</v>
      </c>
      <c r="C3332" t="s">
        <v>3</v>
      </c>
      <c r="D3332" t="s">
        <v>1220</v>
      </c>
      <c r="E3332" s="5">
        <v>25.96</v>
      </c>
      <c r="F3332" t="s">
        <v>11</v>
      </c>
    </row>
    <row r="3333" spans="1:6">
      <c r="A3333" s="1">
        <v>45701</v>
      </c>
      <c r="B3333" s="2">
        <v>45701.387048854165</v>
      </c>
      <c r="C3333" t="s">
        <v>3</v>
      </c>
      <c r="D3333" t="s">
        <v>1221</v>
      </c>
      <c r="E3333" s="5">
        <v>21.06</v>
      </c>
      <c r="F3333" t="s">
        <v>35</v>
      </c>
    </row>
    <row r="3334" spans="1:6">
      <c r="A3334" s="1">
        <v>45707</v>
      </c>
      <c r="B3334" s="2">
        <v>45707.445041550927</v>
      </c>
      <c r="C3334" t="s">
        <v>3</v>
      </c>
      <c r="D3334" t="s">
        <v>1221</v>
      </c>
      <c r="E3334" s="5">
        <v>30.86</v>
      </c>
      <c r="F3334" t="s">
        <v>14</v>
      </c>
    </row>
    <row r="3335" spans="1:6">
      <c r="A3335" s="1">
        <v>45722</v>
      </c>
      <c r="B3335" s="2">
        <v>45722.399918229166</v>
      </c>
      <c r="C3335" t="s">
        <v>3</v>
      </c>
      <c r="D3335" t="s">
        <v>1221</v>
      </c>
      <c r="E3335" s="5">
        <v>21.06</v>
      </c>
      <c r="F3335" t="s">
        <v>35</v>
      </c>
    </row>
    <row r="3336" spans="1:6">
      <c r="A3336" s="1">
        <v>45722</v>
      </c>
      <c r="B3336" s="2">
        <v>45722.450056793983</v>
      </c>
      <c r="C3336" t="s">
        <v>3</v>
      </c>
      <c r="D3336" t="s">
        <v>1221</v>
      </c>
      <c r="E3336" s="5">
        <v>30.86</v>
      </c>
      <c r="F3336" t="s">
        <v>14</v>
      </c>
    </row>
    <row r="3337" spans="1:6">
      <c r="A3337" s="1">
        <v>45724</v>
      </c>
      <c r="B3337" s="2">
        <v>45724.391487777779</v>
      </c>
      <c r="C3337" t="s">
        <v>3</v>
      </c>
      <c r="D3337" t="s">
        <v>1221</v>
      </c>
      <c r="E3337" s="5">
        <v>30.86</v>
      </c>
      <c r="F3337" t="s">
        <v>14</v>
      </c>
    </row>
    <row r="3338" spans="1:6">
      <c r="A3338" s="1">
        <v>45729</v>
      </c>
      <c r="B3338" s="2">
        <v>45729.390331261573</v>
      </c>
      <c r="C3338" t="s">
        <v>3</v>
      </c>
      <c r="D3338" t="s">
        <v>1221</v>
      </c>
      <c r="E3338" s="5">
        <v>21.06</v>
      </c>
      <c r="F3338" t="s">
        <v>35</v>
      </c>
    </row>
    <row r="3339" spans="1:6">
      <c r="A3339" s="1">
        <v>45730</v>
      </c>
      <c r="B3339" s="2">
        <v>45730.393147037037</v>
      </c>
      <c r="C3339" t="s">
        <v>3</v>
      </c>
      <c r="D3339" t="s">
        <v>1221</v>
      </c>
      <c r="E3339" s="5">
        <v>21.06</v>
      </c>
      <c r="F3339" t="s">
        <v>35</v>
      </c>
    </row>
    <row r="3340" spans="1:6">
      <c r="A3340" s="1">
        <v>45701</v>
      </c>
      <c r="B3340" s="2">
        <v>45701.751104791663</v>
      </c>
      <c r="C3340" t="s">
        <v>3</v>
      </c>
      <c r="D3340" t="s">
        <v>1222</v>
      </c>
      <c r="E3340" s="5">
        <v>35.76</v>
      </c>
      <c r="F3340" t="s">
        <v>7</v>
      </c>
    </row>
    <row r="3341" spans="1:6">
      <c r="A3341" s="1">
        <v>45715</v>
      </c>
      <c r="B3341" s="2">
        <v>45715.762140844905</v>
      </c>
      <c r="C3341" t="s">
        <v>3</v>
      </c>
      <c r="D3341" t="s">
        <v>1222</v>
      </c>
      <c r="E3341" s="5">
        <v>35.76</v>
      </c>
      <c r="F3341" t="s">
        <v>7</v>
      </c>
    </row>
    <row r="3342" spans="1:6">
      <c r="A3342" s="1">
        <v>45701</v>
      </c>
      <c r="B3342" s="2">
        <v>45701.796184872685</v>
      </c>
      <c r="C3342" t="s">
        <v>3</v>
      </c>
      <c r="D3342" t="s">
        <v>1223</v>
      </c>
      <c r="E3342" s="5">
        <v>35.76</v>
      </c>
      <c r="F3342" t="s">
        <v>7</v>
      </c>
    </row>
    <row r="3343" spans="1:6">
      <c r="A3343" s="1">
        <v>45727</v>
      </c>
      <c r="B3343" s="2">
        <v>45727.796694143515</v>
      </c>
      <c r="C3343" t="s">
        <v>3</v>
      </c>
      <c r="D3343" t="s">
        <v>1223</v>
      </c>
      <c r="E3343" s="5">
        <v>35.76</v>
      </c>
      <c r="F3343" t="s">
        <v>7</v>
      </c>
    </row>
    <row r="3344" spans="1:6">
      <c r="A3344" s="1">
        <v>45702</v>
      </c>
      <c r="B3344" s="2">
        <v>45702.588302465279</v>
      </c>
      <c r="C3344" t="s">
        <v>3</v>
      </c>
      <c r="D3344" t="s">
        <v>1224</v>
      </c>
      <c r="E3344" s="5">
        <v>35.76</v>
      </c>
      <c r="F3344" t="s">
        <v>9</v>
      </c>
    </row>
    <row r="3345" spans="1:6">
      <c r="A3345" s="1">
        <v>45705</v>
      </c>
      <c r="B3345" s="2">
        <v>45705.414574212962</v>
      </c>
      <c r="C3345" t="s">
        <v>3</v>
      </c>
      <c r="D3345" t="s">
        <v>1224</v>
      </c>
      <c r="E3345" s="5">
        <v>35.76</v>
      </c>
      <c r="F3345" t="s">
        <v>9</v>
      </c>
    </row>
    <row r="3346" spans="1:6">
      <c r="A3346" s="1">
        <v>45706</v>
      </c>
      <c r="B3346" s="2">
        <v>45706.712130185188</v>
      </c>
      <c r="C3346" t="s">
        <v>3</v>
      </c>
      <c r="D3346" t="s">
        <v>1224</v>
      </c>
      <c r="E3346" s="5">
        <v>35.76</v>
      </c>
      <c r="F3346" t="s">
        <v>9</v>
      </c>
    </row>
    <row r="3347" spans="1:6">
      <c r="A3347" s="1">
        <v>45722</v>
      </c>
      <c r="B3347" s="2">
        <v>45722.398371481482</v>
      </c>
      <c r="C3347" t="s">
        <v>3</v>
      </c>
      <c r="D3347" t="s">
        <v>1224</v>
      </c>
      <c r="E3347" s="5">
        <v>35.76</v>
      </c>
      <c r="F3347" t="s">
        <v>9</v>
      </c>
    </row>
    <row r="3348" spans="1:6">
      <c r="A3348" s="1">
        <v>45723</v>
      </c>
      <c r="B3348" s="2">
        <v>45723.572088483794</v>
      </c>
      <c r="C3348" t="s">
        <v>3</v>
      </c>
      <c r="D3348" t="s">
        <v>1224</v>
      </c>
      <c r="E3348" s="5">
        <v>35.76</v>
      </c>
      <c r="F3348" t="s">
        <v>9</v>
      </c>
    </row>
    <row r="3349" spans="1:6">
      <c r="A3349" s="1">
        <v>45726</v>
      </c>
      <c r="B3349" s="2">
        <v>45726.388528784722</v>
      </c>
      <c r="C3349" t="s">
        <v>3</v>
      </c>
      <c r="D3349" t="s">
        <v>1224</v>
      </c>
      <c r="E3349" s="5">
        <v>35.76</v>
      </c>
      <c r="F3349" t="s">
        <v>9</v>
      </c>
    </row>
    <row r="3350" spans="1:6">
      <c r="A3350" s="1">
        <v>45727</v>
      </c>
      <c r="B3350" s="2">
        <v>45727.701166087965</v>
      </c>
      <c r="C3350" t="s">
        <v>3</v>
      </c>
      <c r="D3350" t="s">
        <v>1224</v>
      </c>
      <c r="E3350" s="5">
        <v>35.76</v>
      </c>
      <c r="F3350" t="s">
        <v>9</v>
      </c>
    </row>
    <row r="3351" spans="1:6">
      <c r="A3351" s="1">
        <v>45702</v>
      </c>
      <c r="B3351" s="2">
        <v>45702.623752858795</v>
      </c>
      <c r="C3351" t="s">
        <v>3</v>
      </c>
      <c r="D3351" t="s">
        <v>1225</v>
      </c>
      <c r="E3351" s="5">
        <v>30.86</v>
      </c>
      <c r="F3351" t="s">
        <v>14</v>
      </c>
    </row>
    <row r="3352" spans="1:6">
      <c r="A3352" s="1">
        <v>45702</v>
      </c>
      <c r="B3352" s="2">
        <v>45702.662459108797</v>
      </c>
      <c r="C3352" t="s">
        <v>3</v>
      </c>
      <c r="D3352" t="s">
        <v>1226</v>
      </c>
      <c r="E3352" s="5">
        <v>35.76</v>
      </c>
      <c r="F3352" t="s">
        <v>9</v>
      </c>
    </row>
    <row r="3353" spans="1:6">
      <c r="A3353" s="1">
        <v>45702</v>
      </c>
      <c r="B3353" s="2">
        <v>45702.663162268516</v>
      </c>
      <c r="C3353" t="s">
        <v>3</v>
      </c>
      <c r="D3353" t="s">
        <v>1226</v>
      </c>
      <c r="E3353" s="5">
        <v>35.76</v>
      </c>
      <c r="F3353" t="s">
        <v>43</v>
      </c>
    </row>
    <row r="3354" spans="1:6">
      <c r="A3354" s="1">
        <v>45706</v>
      </c>
      <c r="B3354" s="2">
        <v>45706.873756932873</v>
      </c>
      <c r="C3354" t="s">
        <v>3</v>
      </c>
      <c r="D3354" t="s">
        <v>1226</v>
      </c>
      <c r="E3354" s="5">
        <v>35.76</v>
      </c>
      <c r="F3354" t="s">
        <v>9</v>
      </c>
    </row>
    <row r="3355" spans="1:6">
      <c r="A3355" s="1">
        <v>45726</v>
      </c>
      <c r="B3355" s="2">
        <v>45726.65414204861</v>
      </c>
      <c r="C3355" t="s">
        <v>3</v>
      </c>
      <c r="D3355" t="s">
        <v>1226</v>
      </c>
      <c r="E3355" s="5">
        <v>35.76</v>
      </c>
      <c r="F3355" t="s">
        <v>9</v>
      </c>
    </row>
    <row r="3356" spans="1:6">
      <c r="A3356" s="1">
        <v>45702</v>
      </c>
      <c r="B3356" s="2">
        <v>45702.725982303244</v>
      </c>
      <c r="C3356" t="s">
        <v>3</v>
      </c>
      <c r="D3356" t="s">
        <v>1227</v>
      </c>
      <c r="E3356" s="5">
        <v>30.86</v>
      </c>
      <c r="F3356" t="s">
        <v>14</v>
      </c>
    </row>
    <row r="3357" spans="1:6">
      <c r="A3357" s="1">
        <v>45702</v>
      </c>
      <c r="B3357" s="2">
        <v>45702.887846712962</v>
      </c>
      <c r="C3357" t="s">
        <v>3</v>
      </c>
      <c r="D3357" t="s">
        <v>1228</v>
      </c>
      <c r="E3357" s="5">
        <v>25.96</v>
      </c>
      <c r="F3357" t="s">
        <v>11</v>
      </c>
    </row>
    <row r="3358" spans="1:6">
      <c r="A3358" s="1">
        <v>45730</v>
      </c>
      <c r="B3358" s="2">
        <v>45730.903282245374</v>
      </c>
      <c r="C3358" t="s">
        <v>3</v>
      </c>
      <c r="D3358" t="s">
        <v>1228</v>
      </c>
      <c r="E3358" s="5">
        <v>25.96</v>
      </c>
      <c r="F3358" t="s">
        <v>11</v>
      </c>
    </row>
    <row r="3359" spans="1:6">
      <c r="A3359" s="1">
        <v>45703</v>
      </c>
      <c r="B3359" s="2">
        <v>45703.591596319442</v>
      </c>
      <c r="C3359" t="s">
        <v>3</v>
      </c>
      <c r="D3359" t="s">
        <v>1229</v>
      </c>
      <c r="E3359" s="5">
        <v>25.96</v>
      </c>
      <c r="F3359" t="s">
        <v>11</v>
      </c>
    </row>
    <row r="3360" spans="1:6">
      <c r="A3360" s="1">
        <v>45706</v>
      </c>
      <c r="B3360" s="2">
        <v>45706.559549861115</v>
      </c>
      <c r="C3360" t="s">
        <v>3</v>
      </c>
      <c r="D3360" t="s">
        <v>1229</v>
      </c>
      <c r="E3360" s="5">
        <v>25.96</v>
      </c>
      <c r="F3360" t="s">
        <v>11</v>
      </c>
    </row>
    <row r="3361" spans="1:6">
      <c r="A3361" s="1">
        <v>45715</v>
      </c>
      <c r="B3361" s="2">
        <v>45715.801569699077</v>
      </c>
      <c r="C3361" t="s">
        <v>3</v>
      </c>
      <c r="D3361" t="s">
        <v>1229</v>
      </c>
      <c r="E3361" s="5">
        <v>35.76</v>
      </c>
      <c r="F3361" t="s">
        <v>7</v>
      </c>
    </row>
    <row r="3362" spans="1:6">
      <c r="A3362" s="1">
        <v>45722</v>
      </c>
      <c r="B3362" s="2">
        <v>45722.577466446761</v>
      </c>
      <c r="C3362" t="s">
        <v>3</v>
      </c>
      <c r="D3362" t="s">
        <v>1229</v>
      </c>
      <c r="E3362" s="5">
        <v>35.76</v>
      </c>
      <c r="F3362" t="s">
        <v>7</v>
      </c>
    </row>
    <row r="3363" spans="1:6">
      <c r="A3363" s="1">
        <v>45734</v>
      </c>
      <c r="B3363" s="2">
        <v>45734.451289444441</v>
      </c>
      <c r="C3363" t="s">
        <v>3</v>
      </c>
      <c r="D3363" t="s">
        <v>1229</v>
      </c>
      <c r="E3363" s="5">
        <v>35.76</v>
      </c>
      <c r="F3363" t="s">
        <v>7</v>
      </c>
    </row>
    <row r="3364" spans="1:6">
      <c r="A3364" s="1">
        <v>45734</v>
      </c>
      <c r="B3364" s="2">
        <v>45734.452288356479</v>
      </c>
      <c r="C3364" t="s">
        <v>3</v>
      </c>
      <c r="D3364" t="s">
        <v>1229</v>
      </c>
      <c r="E3364" s="5">
        <v>25.96</v>
      </c>
      <c r="F3364" t="s">
        <v>11</v>
      </c>
    </row>
    <row r="3365" spans="1:6">
      <c r="A3365" s="1">
        <v>45704</v>
      </c>
      <c r="B3365" s="2">
        <v>45704.449111377318</v>
      </c>
      <c r="C3365" t="s">
        <v>3</v>
      </c>
      <c r="D3365" t="s">
        <v>1230</v>
      </c>
      <c r="E3365" s="5">
        <v>25.96</v>
      </c>
      <c r="F3365" t="s">
        <v>11</v>
      </c>
    </row>
    <row r="3366" spans="1:6">
      <c r="A3366" s="1">
        <v>45722</v>
      </c>
      <c r="B3366" s="2">
        <v>45722.671380821761</v>
      </c>
      <c r="C3366" t="s">
        <v>3</v>
      </c>
      <c r="D3366" t="s">
        <v>1230</v>
      </c>
      <c r="E3366" s="5">
        <v>30.86</v>
      </c>
      <c r="F3366" t="s">
        <v>14</v>
      </c>
    </row>
    <row r="3367" spans="1:6">
      <c r="A3367" s="1">
        <v>45704</v>
      </c>
      <c r="B3367" s="2">
        <v>45704.73926829861</v>
      </c>
      <c r="C3367" t="s">
        <v>3</v>
      </c>
      <c r="D3367" t="s">
        <v>1231</v>
      </c>
      <c r="E3367" s="5">
        <v>30.86</v>
      </c>
      <c r="F3367" t="s">
        <v>14</v>
      </c>
    </row>
    <row r="3368" spans="1:6">
      <c r="A3368" s="1">
        <v>45707</v>
      </c>
      <c r="B3368" s="2">
        <v>45707.74851892361</v>
      </c>
      <c r="C3368" t="s">
        <v>3</v>
      </c>
      <c r="D3368" t="s">
        <v>1231</v>
      </c>
      <c r="E3368" s="5">
        <v>30.86</v>
      </c>
      <c r="F3368" t="s">
        <v>14</v>
      </c>
    </row>
    <row r="3369" spans="1:6">
      <c r="A3369" s="1">
        <v>45718</v>
      </c>
      <c r="B3369" s="2">
        <v>45718.566892777781</v>
      </c>
      <c r="C3369" t="s">
        <v>3</v>
      </c>
      <c r="D3369" t="s">
        <v>1231</v>
      </c>
      <c r="E3369" s="5">
        <v>30.86</v>
      </c>
      <c r="F3369" t="s">
        <v>14</v>
      </c>
    </row>
    <row r="3370" spans="1:6">
      <c r="A3370" s="1">
        <v>45725</v>
      </c>
      <c r="B3370" s="2">
        <v>45725.661566296294</v>
      </c>
      <c r="C3370" t="s">
        <v>3</v>
      </c>
      <c r="D3370" t="s">
        <v>1231</v>
      </c>
      <c r="E3370" s="5">
        <v>30.86</v>
      </c>
      <c r="F3370" t="s">
        <v>14</v>
      </c>
    </row>
    <row r="3371" spans="1:6">
      <c r="A3371" s="1">
        <v>45731</v>
      </c>
      <c r="B3371" s="2">
        <v>45731.812922511577</v>
      </c>
      <c r="C3371" t="s">
        <v>3</v>
      </c>
      <c r="D3371" t="s">
        <v>1231</v>
      </c>
      <c r="E3371" s="5">
        <v>30.86</v>
      </c>
      <c r="F3371" t="s">
        <v>14</v>
      </c>
    </row>
    <row r="3372" spans="1:6">
      <c r="A3372" s="1">
        <v>45705</v>
      </c>
      <c r="B3372" s="2">
        <v>45705.394520624999</v>
      </c>
      <c r="C3372" t="s">
        <v>3</v>
      </c>
      <c r="D3372" t="s">
        <v>1232</v>
      </c>
      <c r="E3372" s="5">
        <v>30.86</v>
      </c>
      <c r="F3372" t="s">
        <v>14</v>
      </c>
    </row>
    <row r="3373" spans="1:6">
      <c r="A3373" s="1">
        <v>45705</v>
      </c>
      <c r="B3373" s="2">
        <v>45705.679935162036</v>
      </c>
      <c r="C3373" t="s">
        <v>3</v>
      </c>
      <c r="D3373" t="s">
        <v>1232</v>
      </c>
      <c r="E3373" s="5">
        <v>21.06</v>
      </c>
      <c r="F3373" t="s">
        <v>35</v>
      </c>
    </row>
    <row r="3374" spans="1:6">
      <c r="A3374" s="1">
        <v>45706</v>
      </c>
      <c r="B3374" s="2">
        <v>45706.510724247688</v>
      </c>
      <c r="C3374" t="s">
        <v>3</v>
      </c>
      <c r="D3374" t="s">
        <v>1232</v>
      </c>
      <c r="E3374" s="5">
        <v>30.86</v>
      </c>
      <c r="F3374" t="s">
        <v>14</v>
      </c>
    </row>
    <row r="3375" spans="1:6">
      <c r="A3375" s="1">
        <v>45705</v>
      </c>
      <c r="B3375" s="2">
        <v>45705.430695196759</v>
      </c>
      <c r="C3375" t="s">
        <v>3</v>
      </c>
      <c r="D3375" t="s">
        <v>1233</v>
      </c>
      <c r="E3375" s="5">
        <v>30.86</v>
      </c>
      <c r="F3375" t="s">
        <v>14</v>
      </c>
    </row>
    <row r="3376" spans="1:6">
      <c r="A3376" s="1">
        <v>45735</v>
      </c>
      <c r="B3376" s="2">
        <v>45735.715220289349</v>
      </c>
      <c r="C3376" t="s">
        <v>3</v>
      </c>
      <c r="D3376" t="s">
        <v>1233</v>
      </c>
      <c r="E3376" s="5">
        <v>30.86</v>
      </c>
      <c r="F3376" t="s">
        <v>14</v>
      </c>
    </row>
    <row r="3377" spans="1:6">
      <c r="A3377" s="1">
        <v>45705</v>
      </c>
      <c r="B3377" s="2">
        <v>45705.534008344905</v>
      </c>
      <c r="C3377" t="s">
        <v>3</v>
      </c>
      <c r="D3377" t="s">
        <v>1234</v>
      </c>
      <c r="E3377" s="5">
        <v>35.76</v>
      </c>
      <c r="F3377" t="s">
        <v>43</v>
      </c>
    </row>
    <row r="3378" spans="1:6">
      <c r="A3378" s="1">
        <v>45707</v>
      </c>
      <c r="B3378" s="2">
        <v>45707.392036770834</v>
      </c>
      <c r="C3378" t="s">
        <v>3</v>
      </c>
      <c r="D3378" t="s">
        <v>1234</v>
      </c>
      <c r="E3378" s="5">
        <v>35.76</v>
      </c>
      <c r="F3378" t="s">
        <v>43</v>
      </c>
    </row>
    <row r="3379" spans="1:6">
      <c r="A3379" s="1">
        <v>45712</v>
      </c>
      <c r="B3379" s="2">
        <v>45712.385342187503</v>
      </c>
      <c r="C3379" t="s">
        <v>3</v>
      </c>
      <c r="D3379" t="s">
        <v>1234</v>
      </c>
      <c r="E3379" s="5">
        <v>30.86</v>
      </c>
      <c r="F3379" t="s">
        <v>14</v>
      </c>
    </row>
    <row r="3380" spans="1:6">
      <c r="A3380" s="1">
        <v>45705</v>
      </c>
      <c r="B3380" s="2">
        <v>45705.59932760417</v>
      </c>
      <c r="C3380" t="s">
        <v>3</v>
      </c>
      <c r="D3380" t="s">
        <v>1235</v>
      </c>
      <c r="E3380" s="5">
        <v>35.76</v>
      </c>
      <c r="F3380" t="s">
        <v>7</v>
      </c>
    </row>
    <row r="3381" spans="1:6">
      <c r="A3381" s="1">
        <v>45705</v>
      </c>
      <c r="B3381" s="2">
        <v>45705.730024432873</v>
      </c>
      <c r="C3381" t="s">
        <v>3</v>
      </c>
      <c r="D3381" t="s">
        <v>1236</v>
      </c>
      <c r="E3381" s="5">
        <v>30.86</v>
      </c>
      <c r="F3381" t="s">
        <v>14</v>
      </c>
    </row>
    <row r="3382" spans="1:6">
      <c r="A3382" s="1">
        <v>45706</v>
      </c>
      <c r="B3382" s="2">
        <v>45706.560478125</v>
      </c>
      <c r="C3382" t="s">
        <v>3</v>
      </c>
      <c r="D3382" t="s">
        <v>1236</v>
      </c>
      <c r="E3382" s="5">
        <v>30.86</v>
      </c>
      <c r="F3382" t="s">
        <v>14</v>
      </c>
    </row>
    <row r="3383" spans="1:6">
      <c r="A3383" s="1">
        <v>45706</v>
      </c>
      <c r="B3383" s="2">
        <v>45706.876384594907</v>
      </c>
      <c r="C3383" t="s">
        <v>3</v>
      </c>
      <c r="D3383" t="s">
        <v>1236</v>
      </c>
      <c r="E3383" s="5">
        <v>30.86</v>
      </c>
      <c r="F3383" t="s">
        <v>14</v>
      </c>
    </row>
    <row r="3384" spans="1:6">
      <c r="A3384" s="1">
        <v>45712</v>
      </c>
      <c r="B3384" s="2">
        <v>45712.73447855324</v>
      </c>
      <c r="C3384" t="s">
        <v>3</v>
      </c>
      <c r="D3384" t="s">
        <v>1236</v>
      </c>
      <c r="E3384" s="5">
        <v>30.86</v>
      </c>
      <c r="F3384" t="s">
        <v>14</v>
      </c>
    </row>
    <row r="3385" spans="1:6">
      <c r="A3385" s="1">
        <v>45720</v>
      </c>
      <c r="B3385" s="2">
        <v>45720.461133761572</v>
      </c>
      <c r="C3385" t="s">
        <v>3</v>
      </c>
      <c r="D3385" t="s">
        <v>1236</v>
      </c>
      <c r="E3385" s="5">
        <v>30.86</v>
      </c>
      <c r="F3385" t="s">
        <v>14</v>
      </c>
    </row>
    <row r="3386" spans="1:6">
      <c r="A3386" s="1">
        <v>45721</v>
      </c>
      <c r="B3386" s="2">
        <v>45721.715242939812</v>
      </c>
      <c r="C3386" t="s">
        <v>3</v>
      </c>
      <c r="D3386" t="s">
        <v>1236</v>
      </c>
      <c r="E3386" s="5">
        <v>30.86</v>
      </c>
      <c r="F3386" t="s">
        <v>14</v>
      </c>
    </row>
    <row r="3387" spans="1:6">
      <c r="A3387" s="1">
        <v>45735</v>
      </c>
      <c r="B3387" s="2">
        <v>45735.727542488428</v>
      </c>
      <c r="C3387" t="s">
        <v>3</v>
      </c>
      <c r="D3387" t="s">
        <v>1236</v>
      </c>
      <c r="E3387" s="5">
        <v>30.86</v>
      </c>
      <c r="F3387" t="s">
        <v>14</v>
      </c>
    </row>
    <row r="3388" spans="1:6">
      <c r="A3388" s="1">
        <v>45705</v>
      </c>
      <c r="B3388" s="2">
        <v>45705.801294421297</v>
      </c>
      <c r="C3388" t="s">
        <v>3</v>
      </c>
      <c r="D3388" t="s">
        <v>1237</v>
      </c>
      <c r="E3388" s="5">
        <v>25.96</v>
      </c>
      <c r="F3388" t="s">
        <v>11</v>
      </c>
    </row>
    <row r="3389" spans="1:6">
      <c r="A3389" s="1">
        <v>45705</v>
      </c>
      <c r="B3389" s="2">
        <v>45705.802093483799</v>
      </c>
      <c r="C3389" t="s">
        <v>3</v>
      </c>
      <c r="D3389" t="s">
        <v>1237</v>
      </c>
      <c r="E3389" s="5">
        <v>25.96</v>
      </c>
      <c r="F3389" t="s">
        <v>11</v>
      </c>
    </row>
    <row r="3390" spans="1:6">
      <c r="A3390" s="1">
        <v>45706</v>
      </c>
      <c r="B3390" s="2">
        <v>45706.544759826385</v>
      </c>
      <c r="C3390" t="s">
        <v>3</v>
      </c>
      <c r="D3390" t="s">
        <v>1238</v>
      </c>
      <c r="E3390" s="5">
        <v>35.76</v>
      </c>
      <c r="F3390" t="s">
        <v>18</v>
      </c>
    </row>
    <row r="3391" spans="1:6">
      <c r="A3391" s="1">
        <v>45706</v>
      </c>
      <c r="B3391" s="2">
        <v>45706.714112361115</v>
      </c>
      <c r="C3391" t="s">
        <v>3</v>
      </c>
      <c r="D3391" t="s">
        <v>1239</v>
      </c>
      <c r="E3391" s="5">
        <v>30.86</v>
      </c>
      <c r="F3391" t="s">
        <v>14</v>
      </c>
    </row>
    <row r="3392" spans="1:6">
      <c r="A3392" s="1">
        <v>45706</v>
      </c>
      <c r="B3392" s="2">
        <v>45706.714783113428</v>
      </c>
      <c r="C3392" t="s">
        <v>3</v>
      </c>
      <c r="D3392" t="s">
        <v>1239</v>
      </c>
      <c r="E3392" s="5">
        <v>21.06</v>
      </c>
      <c r="F3392" t="s">
        <v>35</v>
      </c>
    </row>
    <row r="3393" spans="1:6">
      <c r="A3393" s="1">
        <v>45706</v>
      </c>
      <c r="B3393" s="2">
        <v>45706.715542465281</v>
      </c>
      <c r="C3393" t="s">
        <v>3</v>
      </c>
      <c r="D3393" t="s">
        <v>1239</v>
      </c>
      <c r="E3393" s="5">
        <v>35.76</v>
      </c>
      <c r="F3393" t="s">
        <v>18</v>
      </c>
    </row>
    <row r="3394" spans="1:6">
      <c r="A3394" s="1">
        <v>45706</v>
      </c>
      <c r="B3394" s="2">
        <v>45706.716385520835</v>
      </c>
      <c r="C3394" t="s">
        <v>3</v>
      </c>
      <c r="D3394" t="s">
        <v>1239</v>
      </c>
      <c r="E3394" s="5">
        <v>35.76</v>
      </c>
      <c r="F3394" t="s">
        <v>18</v>
      </c>
    </row>
    <row r="3395" spans="1:6">
      <c r="A3395" s="1">
        <v>45706</v>
      </c>
      <c r="B3395" s="2">
        <v>45706.816982835648</v>
      </c>
      <c r="C3395" t="s">
        <v>3</v>
      </c>
      <c r="D3395" t="s">
        <v>1240</v>
      </c>
      <c r="E3395" s="5">
        <v>35.76</v>
      </c>
      <c r="F3395" t="s">
        <v>18</v>
      </c>
    </row>
    <row r="3396" spans="1:6">
      <c r="A3396" s="1">
        <v>45707</v>
      </c>
      <c r="B3396" s="2">
        <v>45707.429875879629</v>
      </c>
      <c r="C3396" t="s">
        <v>3</v>
      </c>
      <c r="D3396" t="s">
        <v>1241</v>
      </c>
      <c r="E3396" s="5">
        <v>35.76</v>
      </c>
      <c r="F3396" t="s">
        <v>9</v>
      </c>
    </row>
    <row r="3397" spans="1:6">
      <c r="A3397" s="1">
        <v>45719</v>
      </c>
      <c r="B3397" s="2">
        <v>45719.431535185184</v>
      </c>
      <c r="C3397" t="s">
        <v>3</v>
      </c>
      <c r="D3397" t="s">
        <v>1241</v>
      </c>
      <c r="E3397" s="5">
        <v>35.76</v>
      </c>
      <c r="F3397" t="s">
        <v>9</v>
      </c>
    </row>
    <row r="3398" spans="1:6">
      <c r="A3398" s="1">
        <v>45735</v>
      </c>
      <c r="B3398" s="2">
        <v>45735.429620659721</v>
      </c>
      <c r="C3398" t="s">
        <v>3</v>
      </c>
      <c r="D3398" t="s">
        <v>1241</v>
      </c>
      <c r="E3398" s="5">
        <v>35.76</v>
      </c>
      <c r="F3398" t="s">
        <v>9</v>
      </c>
    </row>
    <row r="3399" spans="1:6">
      <c r="A3399" s="1">
        <v>45707</v>
      </c>
      <c r="B3399" s="2">
        <v>45707.774754942133</v>
      </c>
      <c r="C3399" t="s">
        <v>3</v>
      </c>
      <c r="D3399" t="s">
        <v>1242</v>
      </c>
      <c r="E3399" s="5">
        <v>35.76</v>
      </c>
      <c r="F3399" t="s">
        <v>43</v>
      </c>
    </row>
    <row r="3400" spans="1:6">
      <c r="A3400" s="1">
        <v>45707</v>
      </c>
      <c r="B3400" s="2">
        <v>45707.792744074075</v>
      </c>
      <c r="C3400" t="s">
        <v>3</v>
      </c>
      <c r="D3400" t="s">
        <v>1243</v>
      </c>
      <c r="E3400" s="5">
        <v>35.76</v>
      </c>
      <c r="F3400" t="s">
        <v>7</v>
      </c>
    </row>
    <row r="3401" spans="1:6">
      <c r="A3401" s="1">
        <v>45708</v>
      </c>
      <c r="B3401" s="2">
        <v>45708.638721701391</v>
      </c>
      <c r="C3401" t="s">
        <v>3</v>
      </c>
      <c r="D3401" t="s">
        <v>1244</v>
      </c>
      <c r="E3401" s="5">
        <v>21.06</v>
      </c>
      <c r="F3401" t="s">
        <v>35</v>
      </c>
    </row>
    <row r="3402" spans="1:6">
      <c r="A3402" s="1">
        <v>45708</v>
      </c>
      <c r="B3402" s="2">
        <v>45708.707715601849</v>
      </c>
      <c r="C3402" t="s">
        <v>3</v>
      </c>
      <c r="D3402" t="s">
        <v>1245</v>
      </c>
      <c r="E3402" s="5">
        <v>35.76</v>
      </c>
      <c r="F3402" t="s">
        <v>43</v>
      </c>
    </row>
    <row r="3403" spans="1:6">
      <c r="A3403" s="1">
        <v>45708</v>
      </c>
      <c r="B3403" s="2">
        <v>45708.70876090278</v>
      </c>
      <c r="C3403" t="s">
        <v>3</v>
      </c>
      <c r="D3403" t="s">
        <v>1245</v>
      </c>
      <c r="E3403" s="5">
        <v>35.76</v>
      </c>
      <c r="F3403" t="s">
        <v>9</v>
      </c>
    </row>
    <row r="3404" spans="1:6">
      <c r="A3404" s="1">
        <v>45708</v>
      </c>
      <c r="B3404" s="2">
        <v>45708.789984131945</v>
      </c>
      <c r="C3404" t="s">
        <v>3</v>
      </c>
      <c r="D3404" t="s">
        <v>1246</v>
      </c>
      <c r="E3404" s="5">
        <v>25.96</v>
      </c>
      <c r="F3404" t="s">
        <v>11</v>
      </c>
    </row>
    <row r="3405" spans="1:6">
      <c r="A3405" s="1">
        <v>45709</v>
      </c>
      <c r="B3405" s="2">
        <v>45709.429293726855</v>
      </c>
      <c r="C3405" t="s">
        <v>3</v>
      </c>
      <c r="D3405" t="s">
        <v>1246</v>
      </c>
      <c r="E3405" s="5">
        <v>25.96</v>
      </c>
      <c r="F3405" t="s">
        <v>11</v>
      </c>
    </row>
    <row r="3406" spans="1:6">
      <c r="A3406" s="1">
        <v>45708</v>
      </c>
      <c r="B3406" s="2">
        <v>45708.792954583332</v>
      </c>
      <c r="C3406" t="s">
        <v>3</v>
      </c>
      <c r="D3406" t="s">
        <v>1247</v>
      </c>
      <c r="E3406" s="5">
        <v>35.76</v>
      </c>
      <c r="F3406" t="s">
        <v>9</v>
      </c>
    </row>
    <row r="3407" spans="1:6">
      <c r="A3407" s="1">
        <v>45736</v>
      </c>
      <c r="B3407" s="2">
        <v>45736.788873518519</v>
      </c>
      <c r="C3407" t="s">
        <v>3</v>
      </c>
      <c r="D3407" t="s">
        <v>1247</v>
      </c>
      <c r="E3407" s="5">
        <v>35.76</v>
      </c>
      <c r="F3407" t="s">
        <v>9</v>
      </c>
    </row>
    <row r="3408" spans="1:6">
      <c r="A3408" s="1">
        <v>45708</v>
      </c>
      <c r="B3408" s="2">
        <v>45708.796823703706</v>
      </c>
      <c r="C3408" t="s">
        <v>3</v>
      </c>
      <c r="D3408" t="s">
        <v>1248</v>
      </c>
      <c r="E3408" s="5">
        <v>35.76</v>
      </c>
      <c r="F3408" t="s">
        <v>18</v>
      </c>
    </row>
    <row r="3409" spans="1:6">
      <c r="A3409" s="1">
        <v>45713</v>
      </c>
      <c r="B3409" s="2">
        <v>45713.763299270831</v>
      </c>
      <c r="C3409" t="s">
        <v>3</v>
      </c>
      <c r="D3409" t="s">
        <v>1248</v>
      </c>
      <c r="E3409" s="5">
        <v>35.76</v>
      </c>
      <c r="F3409" t="s">
        <v>18</v>
      </c>
    </row>
    <row r="3410" spans="1:6">
      <c r="A3410" s="1">
        <v>45720</v>
      </c>
      <c r="B3410" s="2">
        <v>45720.780114212961</v>
      </c>
      <c r="C3410" t="s">
        <v>3</v>
      </c>
      <c r="D3410" t="s">
        <v>1248</v>
      </c>
      <c r="E3410" s="5">
        <v>35.76</v>
      </c>
      <c r="F3410" t="s">
        <v>18</v>
      </c>
    </row>
    <row r="3411" spans="1:6">
      <c r="A3411" s="1">
        <v>45709</v>
      </c>
      <c r="B3411" s="2">
        <v>45709.40381491898</v>
      </c>
      <c r="C3411" t="s">
        <v>3</v>
      </c>
      <c r="D3411" t="s">
        <v>1249</v>
      </c>
      <c r="E3411" s="5">
        <v>35.76</v>
      </c>
      <c r="F3411" t="s">
        <v>7</v>
      </c>
    </row>
    <row r="3412" spans="1:6">
      <c r="A3412" s="1">
        <v>45709</v>
      </c>
      <c r="B3412" s="2">
        <v>45709.409269884258</v>
      </c>
      <c r="C3412" t="s">
        <v>3</v>
      </c>
      <c r="D3412" t="s">
        <v>1250</v>
      </c>
      <c r="E3412" s="5">
        <v>35.76</v>
      </c>
      <c r="F3412" t="s">
        <v>43</v>
      </c>
    </row>
    <row r="3413" spans="1:6">
      <c r="A3413" s="1">
        <v>45709</v>
      </c>
      <c r="B3413" s="2">
        <v>45709.410562557867</v>
      </c>
      <c r="C3413" t="s">
        <v>3</v>
      </c>
      <c r="D3413" t="s">
        <v>1251</v>
      </c>
      <c r="E3413" s="5">
        <v>21.06</v>
      </c>
      <c r="F3413" t="s">
        <v>35</v>
      </c>
    </row>
    <row r="3414" spans="1:6">
      <c r="A3414" s="1">
        <v>45713</v>
      </c>
      <c r="B3414" s="2">
        <v>45713.418574675925</v>
      </c>
      <c r="C3414" t="s">
        <v>3</v>
      </c>
      <c r="D3414" t="s">
        <v>1251</v>
      </c>
      <c r="E3414" s="5">
        <v>21.06</v>
      </c>
      <c r="F3414" t="s">
        <v>35</v>
      </c>
    </row>
    <row r="3415" spans="1:6">
      <c r="A3415" s="1">
        <v>45715</v>
      </c>
      <c r="B3415" s="2">
        <v>45715.45311519676</v>
      </c>
      <c r="C3415" t="s">
        <v>3</v>
      </c>
      <c r="D3415" t="s">
        <v>1251</v>
      </c>
      <c r="E3415" s="5">
        <v>21.06</v>
      </c>
      <c r="F3415" t="s">
        <v>35</v>
      </c>
    </row>
    <row r="3416" spans="1:6">
      <c r="A3416" s="1">
        <v>45709</v>
      </c>
      <c r="B3416" s="2">
        <v>45709.505356087961</v>
      </c>
      <c r="C3416" t="s">
        <v>3</v>
      </c>
      <c r="D3416" t="s">
        <v>1252</v>
      </c>
      <c r="E3416" s="5">
        <v>25.96</v>
      </c>
      <c r="F3416" t="s">
        <v>11</v>
      </c>
    </row>
    <row r="3417" spans="1:6">
      <c r="A3417" s="1">
        <v>45709</v>
      </c>
      <c r="B3417" s="2">
        <v>45709.673682002314</v>
      </c>
      <c r="C3417" t="s">
        <v>3</v>
      </c>
      <c r="D3417" t="s">
        <v>1253</v>
      </c>
      <c r="E3417" s="5">
        <v>35.76</v>
      </c>
      <c r="F3417" t="s">
        <v>18</v>
      </c>
    </row>
    <row r="3418" spans="1:6">
      <c r="A3418" s="1">
        <v>45710</v>
      </c>
      <c r="B3418" s="2">
        <v>45710.452994004627</v>
      </c>
      <c r="C3418" t="s">
        <v>3</v>
      </c>
      <c r="D3418" t="s">
        <v>1254</v>
      </c>
      <c r="E3418" s="5">
        <v>35.76</v>
      </c>
      <c r="F3418" t="s">
        <v>9</v>
      </c>
    </row>
    <row r="3419" spans="1:6">
      <c r="A3419" s="1">
        <v>45710</v>
      </c>
      <c r="B3419" s="2">
        <v>45710.478130243057</v>
      </c>
      <c r="C3419" t="s">
        <v>3</v>
      </c>
      <c r="D3419" t="s">
        <v>1255</v>
      </c>
      <c r="E3419" s="5">
        <v>25.96</v>
      </c>
      <c r="F3419" t="s">
        <v>11</v>
      </c>
    </row>
    <row r="3420" spans="1:6">
      <c r="A3420" s="1">
        <v>45711</v>
      </c>
      <c r="B3420" s="2">
        <v>45711.57663920139</v>
      </c>
      <c r="C3420" t="s">
        <v>3</v>
      </c>
      <c r="D3420" t="s">
        <v>1256</v>
      </c>
      <c r="E3420" s="5">
        <v>35.76</v>
      </c>
      <c r="F3420" t="s">
        <v>43</v>
      </c>
    </row>
    <row r="3421" spans="1:6">
      <c r="A3421" s="1">
        <v>45711</v>
      </c>
      <c r="B3421" s="2">
        <v>45711.727603263891</v>
      </c>
      <c r="C3421" t="s">
        <v>3</v>
      </c>
      <c r="D3421" t="s">
        <v>1257</v>
      </c>
      <c r="E3421" s="5">
        <v>25.96</v>
      </c>
      <c r="F3421" t="s">
        <v>11</v>
      </c>
    </row>
    <row r="3422" spans="1:6">
      <c r="A3422" s="1">
        <v>45712</v>
      </c>
      <c r="B3422" s="2">
        <v>45712.406373831021</v>
      </c>
      <c r="C3422" t="s">
        <v>3</v>
      </c>
      <c r="D3422" t="s">
        <v>1258</v>
      </c>
      <c r="E3422" s="5">
        <v>35.76</v>
      </c>
      <c r="F3422" t="s">
        <v>7</v>
      </c>
    </row>
    <row r="3423" spans="1:6">
      <c r="A3423" s="1">
        <v>45712</v>
      </c>
      <c r="B3423" s="2">
        <v>45712.44985740741</v>
      </c>
      <c r="C3423" t="s">
        <v>3</v>
      </c>
      <c r="D3423" t="s">
        <v>1258</v>
      </c>
      <c r="E3423" s="5">
        <v>35.76</v>
      </c>
      <c r="F3423" t="s">
        <v>18</v>
      </c>
    </row>
    <row r="3424" spans="1:6">
      <c r="A3424" s="1">
        <v>45719</v>
      </c>
      <c r="B3424" s="2">
        <v>45719.407545925926</v>
      </c>
      <c r="C3424" t="s">
        <v>3</v>
      </c>
      <c r="D3424" t="s">
        <v>1258</v>
      </c>
      <c r="E3424" s="5">
        <v>35.76</v>
      </c>
      <c r="F3424" t="s">
        <v>18</v>
      </c>
    </row>
    <row r="3425" spans="1:6">
      <c r="A3425" s="1">
        <v>45719</v>
      </c>
      <c r="B3425" s="2">
        <v>45719.40878863426</v>
      </c>
      <c r="C3425" t="s">
        <v>3</v>
      </c>
      <c r="D3425" t="s">
        <v>1258</v>
      </c>
      <c r="E3425" s="5">
        <v>35.76</v>
      </c>
      <c r="F3425" t="s">
        <v>7</v>
      </c>
    </row>
    <row r="3426" spans="1:6">
      <c r="A3426" s="1">
        <v>45712</v>
      </c>
      <c r="B3426" s="2">
        <v>45712.423061273148</v>
      </c>
      <c r="C3426" t="s">
        <v>3</v>
      </c>
      <c r="D3426" t="s">
        <v>1259</v>
      </c>
      <c r="E3426" s="5">
        <v>30.86</v>
      </c>
      <c r="F3426" t="s">
        <v>14</v>
      </c>
    </row>
    <row r="3427" spans="1:6">
      <c r="A3427" s="1">
        <v>45712</v>
      </c>
      <c r="B3427" s="2">
        <v>45712.423862569442</v>
      </c>
      <c r="C3427" t="s">
        <v>3</v>
      </c>
      <c r="D3427" t="s">
        <v>1259</v>
      </c>
      <c r="E3427" s="5">
        <v>30.86</v>
      </c>
      <c r="F3427" t="s">
        <v>14</v>
      </c>
    </row>
    <row r="3428" spans="1:6">
      <c r="A3428" s="1">
        <v>45712</v>
      </c>
      <c r="B3428" s="2">
        <v>45712.666739895831</v>
      </c>
      <c r="C3428" t="s">
        <v>3</v>
      </c>
      <c r="D3428" t="s">
        <v>1260</v>
      </c>
      <c r="E3428" s="5">
        <v>35.76</v>
      </c>
      <c r="F3428" t="s">
        <v>18</v>
      </c>
    </row>
    <row r="3429" spans="1:6">
      <c r="A3429" s="1">
        <v>45720</v>
      </c>
      <c r="B3429" s="2">
        <v>45720.839589756943</v>
      </c>
      <c r="C3429" t="s">
        <v>3</v>
      </c>
      <c r="D3429" t="s">
        <v>1260</v>
      </c>
      <c r="E3429" s="5">
        <v>35.76</v>
      </c>
      <c r="F3429" t="s">
        <v>7</v>
      </c>
    </row>
    <row r="3430" spans="1:6">
      <c r="A3430" s="1">
        <v>45712</v>
      </c>
      <c r="B3430" s="2">
        <v>45712.808963090276</v>
      </c>
      <c r="C3430" t="s">
        <v>3</v>
      </c>
      <c r="D3430" t="s">
        <v>1261</v>
      </c>
      <c r="E3430" s="5">
        <v>35.76</v>
      </c>
      <c r="F3430" t="s">
        <v>7</v>
      </c>
    </row>
    <row r="3431" spans="1:6">
      <c r="A3431" s="1">
        <v>45714</v>
      </c>
      <c r="B3431" s="2">
        <v>45714.637089664349</v>
      </c>
      <c r="C3431" t="s">
        <v>3</v>
      </c>
      <c r="D3431" t="s">
        <v>1261</v>
      </c>
      <c r="E3431" s="5">
        <v>25.96</v>
      </c>
      <c r="F3431" t="s">
        <v>28</v>
      </c>
    </row>
    <row r="3432" spans="1:6">
      <c r="A3432" s="1">
        <v>45714</v>
      </c>
      <c r="B3432" s="2">
        <v>45714.424619675927</v>
      </c>
      <c r="C3432" t="s">
        <v>3</v>
      </c>
      <c r="D3432" t="s">
        <v>1262</v>
      </c>
      <c r="E3432" s="5">
        <v>30.86</v>
      </c>
      <c r="F3432" t="s">
        <v>14</v>
      </c>
    </row>
    <row r="3433" spans="1:6">
      <c r="A3433" s="1">
        <v>45714</v>
      </c>
      <c r="B3433" s="2">
        <v>45714.425295289351</v>
      </c>
      <c r="C3433" t="s">
        <v>3</v>
      </c>
      <c r="D3433" t="s">
        <v>1262</v>
      </c>
      <c r="E3433" s="5">
        <v>30.86</v>
      </c>
      <c r="F3433" t="s">
        <v>14</v>
      </c>
    </row>
    <row r="3434" spans="1:6">
      <c r="A3434" s="1">
        <v>45721</v>
      </c>
      <c r="B3434" s="2">
        <v>45721.444847465275</v>
      </c>
      <c r="C3434" t="s">
        <v>3</v>
      </c>
      <c r="D3434" t="s">
        <v>1262</v>
      </c>
      <c r="E3434" s="5">
        <v>30.86</v>
      </c>
      <c r="F3434" t="s">
        <v>14</v>
      </c>
    </row>
    <row r="3435" spans="1:6">
      <c r="A3435" s="1">
        <v>45714</v>
      </c>
      <c r="B3435" s="2">
        <v>45714.635277650465</v>
      </c>
      <c r="C3435" t="s">
        <v>3</v>
      </c>
      <c r="D3435" t="s">
        <v>1263</v>
      </c>
      <c r="E3435" s="5">
        <v>25.96</v>
      </c>
      <c r="F3435" t="s">
        <v>11</v>
      </c>
    </row>
    <row r="3436" spans="1:6">
      <c r="A3436" s="1">
        <v>45714</v>
      </c>
      <c r="B3436" s="2">
        <v>45714.638921527781</v>
      </c>
      <c r="C3436" t="s">
        <v>3</v>
      </c>
      <c r="D3436" t="s">
        <v>1264</v>
      </c>
      <c r="E3436" s="5">
        <v>35.76</v>
      </c>
      <c r="F3436" t="s">
        <v>9</v>
      </c>
    </row>
    <row r="3437" spans="1:6">
      <c r="A3437" s="1">
        <v>45714</v>
      </c>
      <c r="B3437" s="2">
        <v>45714.639453761571</v>
      </c>
      <c r="C3437" t="s">
        <v>3</v>
      </c>
      <c r="D3437" t="s">
        <v>1264</v>
      </c>
      <c r="E3437" s="5">
        <v>25.96</v>
      </c>
      <c r="F3437" t="s">
        <v>11</v>
      </c>
    </row>
    <row r="3438" spans="1:6">
      <c r="A3438" s="1">
        <v>45715</v>
      </c>
      <c r="B3438" s="2">
        <v>45715.53351710648</v>
      </c>
      <c r="C3438" t="s">
        <v>3</v>
      </c>
      <c r="D3438" t="s">
        <v>1265</v>
      </c>
      <c r="E3438" s="5">
        <v>35.76</v>
      </c>
      <c r="F3438" t="s">
        <v>18</v>
      </c>
    </row>
    <row r="3439" spans="1:6">
      <c r="A3439" s="1">
        <v>45715</v>
      </c>
      <c r="B3439" s="2">
        <v>45715.562366018516</v>
      </c>
      <c r="C3439" t="s">
        <v>3</v>
      </c>
      <c r="D3439" t="s">
        <v>1266</v>
      </c>
      <c r="E3439" s="5">
        <v>30.86</v>
      </c>
      <c r="F3439" t="s">
        <v>14</v>
      </c>
    </row>
    <row r="3440" spans="1:6">
      <c r="A3440" s="1">
        <v>45715</v>
      </c>
      <c r="B3440" s="2">
        <v>45715.613418113426</v>
      </c>
      <c r="C3440" t="s">
        <v>3</v>
      </c>
      <c r="D3440" t="s">
        <v>1267</v>
      </c>
      <c r="E3440" s="5">
        <v>35.76</v>
      </c>
      <c r="F3440" t="s">
        <v>7</v>
      </c>
    </row>
    <row r="3441" spans="1:6">
      <c r="A3441" s="1">
        <v>45715</v>
      </c>
      <c r="B3441" s="2">
        <v>45715.745289976854</v>
      </c>
      <c r="C3441" t="s">
        <v>3</v>
      </c>
      <c r="D3441" t="s">
        <v>1268</v>
      </c>
      <c r="E3441" s="5">
        <v>35.76</v>
      </c>
      <c r="F3441" t="s">
        <v>7</v>
      </c>
    </row>
    <row r="3442" spans="1:6">
      <c r="A3442" s="1">
        <v>45717</v>
      </c>
      <c r="B3442" s="2">
        <v>45717.613470219905</v>
      </c>
      <c r="C3442" t="s">
        <v>3</v>
      </c>
      <c r="D3442" t="s">
        <v>1268</v>
      </c>
      <c r="E3442" s="5">
        <v>35.76</v>
      </c>
      <c r="F3442" t="s">
        <v>7</v>
      </c>
    </row>
    <row r="3443" spans="1:6">
      <c r="A3443" s="1">
        <v>45716</v>
      </c>
      <c r="B3443" s="2">
        <v>45716.34025212963</v>
      </c>
      <c r="C3443" t="s">
        <v>3</v>
      </c>
      <c r="D3443" t="s">
        <v>1269</v>
      </c>
      <c r="E3443" s="5">
        <v>21.06</v>
      </c>
      <c r="F3443" t="s">
        <v>35</v>
      </c>
    </row>
    <row r="3444" spans="1:6">
      <c r="A3444" s="1">
        <v>45716</v>
      </c>
      <c r="B3444" s="2">
        <v>45716.729911423608</v>
      </c>
      <c r="C3444" t="s">
        <v>3</v>
      </c>
      <c r="D3444" t="s">
        <v>1270</v>
      </c>
      <c r="E3444" s="5">
        <v>30.86</v>
      </c>
      <c r="F3444" t="s">
        <v>14</v>
      </c>
    </row>
    <row r="3445" spans="1:6">
      <c r="A3445" s="1">
        <v>45719</v>
      </c>
      <c r="B3445" s="2">
        <v>45719.728273194443</v>
      </c>
      <c r="C3445" t="s">
        <v>3</v>
      </c>
      <c r="D3445" t="s">
        <v>1270</v>
      </c>
      <c r="E3445" s="5">
        <v>30.86</v>
      </c>
      <c r="F3445" t="s">
        <v>14</v>
      </c>
    </row>
    <row r="3446" spans="1:6">
      <c r="A3446" s="1">
        <v>45716</v>
      </c>
      <c r="B3446" s="2">
        <v>45716.787378321758</v>
      </c>
      <c r="C3446" t="s">
        <v>3</v>
      </c>
      <c r="D3446" t="s">
        <v>1271</v>
      </c>
      <c r="E3446" s="5">
        <v>35.76</v>
      </c>
      <c r="F3446" t="s">
        <v>7</v>
      </c>
    </row>
    <row r="3447" spans="1:6">
      <c r="A3447" s="1">
        <v>45719</v>
      </c>
      <c r="B3447" s="2">
        <v>45719.782553344907</v>
      </c>
      <c r="C3447" t="s">
        <v>3</v>
      </c>
      <c r="D3447" t="s">
        <v>1271</v>
      </c>
      <c r="E3447" s="5">
        <v>35.76</v>
      </c>
      <c r="F3447" t="s">
        <v>7</v>
      </c>
    </row>
    <row r="3448" spans="1:6">
      <c r="A3448" s="1">
        <v>45726</v>
      </c>
      <c r="B3448" s="2">
        <v>45726.783683194444</v>
      </c>
      <c r="C3448" t="s">
        <v>3</v>
      </c>
      <c r="D3448" t="s">
        <v>1271</v>
      </c>
      <c r="E3448" s="5">
        <v>35.76</v>
      </c>
      <c r="F3448" t="s">
        <v>7</v>
      </c>
    </row>
    <row r="3449" spans="1:6">
      <c r="A3449" s="1">
        <v>45726</v>
      </c>
      <c r="B3449" s="2">
        <v>45726.784286076392</v>
      </c>
      <c r="C3449" t="s">
        <v>3</v>
      </c>
      <c r="D3449" t="s">
        <v>1271</v>
      </c>
      <c r="E3449" s="5">
        <v>35.76</v>
      </c>
      <c r="F3449" t="s">
        <v>7</v>
      </c>
    </row>
    <row r="3450" spans="1:6">
      <c r="A3450" s="1">
        <v>45717</v>
      </c>
      <c r="B3450" s="2">
        <v>45717.714276643521</v>
      </c>
      <c r="C3450" t="s">
        <v>3</v>
      </c>
      <c r="D3450" t="s">
        <v>1272</v>
      </c>
      <c r="E3450" s="5">
        <v>25.96</v>
      </c>
      <c r="F3450" t="s">
        <v>11</v>
      </c>
    </row>
    <row r="3451" spans="1:6">
      <c r="A3451" s="1">
        <v>45719</v>
      </c>
      <c r="B3451" s="2">
        <v>45719.433874027774</v>
      </c>
      <c r="C3451" t="s">
        <v>3</v>
      </c>
      <c r="D3451" t="s">
        <v>1273</v>
      </c>
      <c r="E3451" s="5">
        <v>35.76</v>
      </c>
      <c r="F3451" t="s">
        <v>9</v>
      </c>
    </row>
    <row r="3452" spans="1:6">
      <c r="A3452" s="1">
        <v>45737</v>
      </c>
      <c r="B3452" s="2">
        <v>45737.709360775465</v>
      </c>
      <c r="C3452" t="s">
        <v>3</v>
      </c>
      <c r="D3452" t="s">
        <v>1273</v>
      </c>
      <c r="E3452" s="5">
        <v>35.76</v>
      </c>
      <c r="F3452" t="s">
        <v>9</v>
      </c>
    </row>
    <row r="3453" spans="1:6">
      <c r="A3453" s="1">
        <v>45738</v>
      </c>
      <c r="B3453" s="2">
        <v>45738.468124537038</v>
      </c>
      <c r="C3453" t="s">
        <v>3</v>
      </c>
      <c r="D3453" t="s">
        <v>1273</v>
      </c>
      <c r="E3453" s="5">
        <v>35.76</v>
      </c>
      <c r="F3453" t="s">
        <v>9</v>
      </c>
    </row>
    <row r="3454" spans="1:6">
      <c r="A3454" s="1">
        <v>45720</v>
      </c>
      <c r="B3454" s="2">
        <v>45720.415707962966</v>
      </c>
      <c r="C3454" t="s">
        <v>3</v>
      </c>
      <c r="D3454" t="s">
        <v>1274</v>
      </c>
      <c r="E3454" s="5">
        <v>25.96</v>
      </c>
      <c r="F3454" t="s">
        <v>11</v>
      </c>
    </row>
    <row r="3455" spans="1:6">
      <c r="A3455" s="1">
        <v>45723</v>
      </c>
      <c r="B3455" s="2">
        <v>45723.580226909726</v>
      </c>
      <c r="C3455" t="s">
        <v>3</v>
      </c>
      <c r="D3455" t="s">
        <v>1274</v>
      </c>
      <c r="E3455" s="5">
        <v>25.96</v>
      </c>
      <c r="F3455" t="s">
        <v>11</v>
      </c>
    </row>
    <row r="3456" spans="1:6">
      <c r="A3456" s="1">
        <v>45721</v>
      </c>
      <c r="B3456" s="2">
        <v>45721.424195844906</v>
      </c>
      <c r="C3456" t="s">
        <v>3</v>
      </c>
      <c r="D3456" t="s">
        <v>1275</v>
      </c>
      <c r="E3456" s="5">
        <v>35.76</v>
      </c>
      <c r="F3456" t="s">
        <v>43</v>
      </c>
    </row>
    <row r="3457" spans="1:6">
      <c r="A3457" s="1">
        <v>45721</v>
      </c>
      <c r="B3457" s="2">
        <v>45721.465904687502</v>
      </c>
      <c r="C3457" t="s">
        <v>3</v>
      </c>
      <c r="D3457" t="s">
        <v>1276</v>
      </c>
      <c r="E3457" s="5">
        <v>35.76</v>
      </c>
      <c r="F3457" t="s">
        <v>18</v>
      </c>
    </row>
    <row r="3458" spans="1:6">
      <c r="A3458" s="1">
        <v>45723</v>
      </c>
      <c r="B3458" s="2">
        <v>45723.445668877313</v>
      </c>
      <c r="C3458" t="s">
        <v>3</v>
      </c>
      <c r="D3458" t="s">
        <v>1276</v>
      </c>
      <c r="E3458" s="5">
        <v>35.76</v>
      </c>
      <c r="F3458" t="s">
        <v>18</v>
      </c>
    </row>
    <row r="3459" spans="1:6">
      <c r="A3459" s="1">
        <v>45721</v>
      </c>
      <c r="B3459" s="2">
        <v>45721.71971701389</v>
      </c>
      <c r="C3459" t="s">
        <v>3</v>
      </c>
      <c r="D3459" t="s">
        <v>1277</v>
      </c>
      <c r="E3459" s="5">
        <v>21.06</v>
      </c>
      <c r="F3459" t="s">
        <v>35</v>
      </c>
    </row>
    <row r="3460" spans="1:6">
      <c r="A3460" s="1">
        <v>45721</v>
      </c>
      <c r="B3460" s="2">
        <v>45721.793713171297</v>
      </c>
      <c r="C3460" t="s">
        <v>3</v>
      </c>
      <c r="D3460" t="s">
        <v>1278</v>
      </c>
      <c r="E3460" s="5">
        <v>35.76</v>
      </c>
      <c r="F3460" t="s">
        <v>18</v>
      </c>
    </row>
    <row r="3461" spans="1:6">
      <c r="A3461" s="1">
        <v>45728</v>
      </c>
      <c r="B3461" s="2">
        <v>45728.762012083331</v>
      </c>
      <c r="C3461" t="s">
        <v>3</v>
      </c>
      <c r="D3461" t="s">
        <v>1278</v>
      </c>
      <c r="E3461" s="5">
        <v>35.76</v>
      </c>
      <c r="F3461" t="s">
        <v>18</v>
      </c>
    </row>
    <row r="3462" spans="1:6">
      <c r="A3462" s="1">
        <v>45722</v>
      </c>
      <c r="B3462" s="2">
        <v>45722.470578912034</v>
      </c>
      <c r="C3462" t="s">
        <v>3</v>
      </c>
      <c r="D3462" t="s">
        <v>1279</v>
      </c>
      <c r="E3462" s="5">
        <v>35.76</v>
      </c>
      <c r="F3462" t="s">
        <v>43</v>
      </c>
    </row>
    <row r="3463" spans="1:6">
      <c r="A3463" s="1">
        <v>45723</v>
      </c>
      <c r="B3463" s="2">
        <v>45723.435126597222</v>
      </c>
      <c r="C3463" t="s">
        <v>3</v>
      </c>
      <c r="D3463" t="s">
        <v>1280</v>
      </c>
      <c r="E3463" s="5">
        <v>30.86</v>
      </c>
      <c r="F3463" t="s">
        <v>14</v>
      </c>
    </row>
    <row r="3464" spans="1:6">
      <c r="A3464" s="1">
        <v>45723</v>
      </c>
      <c r="B3464" s="2">
        <v>45723.435793298609</v>
      </c>
      <c r="C3464" t="s">
        <v>3</v>
      </c>
      <c r="D3464" t="s">
        <v>1280</v>
      </c>
      <c r="E3464" s="5">
        <v>30.86</v>
      </c>
      <c r="F3464" t="s">
        <v>14</v>
      </c>
    </row>
    <row r="3465" spans="1:6">
      <c r="A3465" s="1">
        <v>45724</v>
      </c>
      <c r="B3465" s="2">
        <v>45724.528701805553</v>
      </c>
      <c r="C3465" t="s">
        <v>3</v>
      </c>
      <c r="D3465" t="s">
        <v>1281</v>
      </c>
      <c r="E3465" s="5">
        <v>30.86</v>
      </c>
      <c r="F3465" t="s">
        <v>14</v>
      </c>
    </row>
    <row r="3466" spans="1:6">
      <c r="A3466" s="1">
        <v>45738</v>
      </c>
      <c r="B3466" s="2">
        <v>45738.55784627315</v>
      </c>
      <c r="C3466" t="s">
        <v>3</v>
      </c>
      <c r="D3466" t="s">
        <v>1281</v>
      </c>
      <c r="E3466" s="5">
        <v>30.86</v>
      </c>
      <c r="F3466" t="s">
        <v>14</v>
      </c>
    </row>
    <row r="3467" spans="1:6">
      <c r="A3467" s="1">
        <v>45725</v>
      </c>
      <c r="B3467" s="2">
        <v>45725.404211608795</v>
      </c>
      <c r="C3467" t="s">
        <v>3</v>
      </c>
      <c r="D3467" t="s">
        <v>1282</v>
      </c>
      <c r="E3467" s="5">
        <v>21.06</v>
      </c>
      <c r="F3467" t="s">
        <v>35</v>
      </c>
    </row>
    <row r="3468" spans="1:6">
      <c r="A3468" s="1">
        <v>45725</v>
      </c>
      <c r="B3468" s="2">
        <v>45725.476309999998</v>
      </c>
      <c r="C3468" t="s">
        <v>3</v>
      </c>
      <c r="D3468" t="s">
        <v>1283</v>
      </c>
      <c r="E3468" s="5">
        <v>30.86</v>
      </c>
      <c r="F3468" t="s">
        <v>14</v>
      </c>
    </row>
    <row r="3469" spans="1:6">
      <c r="A3469" s="1">
        <v>45725</v>
      </c>
      <c r="B3469" s="2">
        <v>45725.662273078706</v>
      </c>
      <c r="C3469" t="s">
        <v>3</v>
      </c>
      <c r="D3469" t="s">
        <v>1284</v>
      </c>
      <c r="E3469" s="5">
        <v>35.76</v>
      </c>
      <c r="F3469" t="s">
        <v>18</v>
      </c>
    </row>
    <row r="3470" spans="1:6">
      <c r="A3470" s="1">
        <v>45726</v>
      </c>
      <c r="B3470" s="2">
        <v>45726.357447719907</v>
      </c>
      <c r="C3470" t="s">
        <v>3</v>
      </c>
      <c r="D3470" t="s">
        <v>1285</v>
      </c>
      <c r="E3470" s="5">
        <v>25.96</v>
      </c>
      <c r="F3470" t="s">
        <v>11</v>
      </c>
    </row>
    <row r="3471" spans="1:6">
      <c r="A3471" s="1">
        <v>45726</v>
      </c>
      <c r="B3471" s="2">
        <v>45726.358107384258</v>
      </c>
      <c r="C3471" t="s">
        <v>3</v>
      </c>
      <c r="D3471" t="s">
        <v>1285</v>
      </c>
      <c r="E3471" s="5">
        <v>35.76</v>
      </c>
      <c r="F3471" t="s">
        <v>7</v>
      </c>
    </row>
    <row r="3472" spans="1:6">
      <c r="A3472" s="1">
        <v>45730</v>
      </c>
      <c r="B3472" s="2">
        <v>45730.374616064815</v>
      </c>
      <c r="C3472" t="s">
        <v>3</v>
      </c>
      <c r="D3472" t="s">
        <v>1285</v>
      </c>
      <c r="E3472" s="5">
        <v>25.96</v>
      </c>
      <c r="F3472" t="s">
        <v>11</v>
      </c>
    </row>
    <row r="3473" spans="1:6">
      <c r="A3473" s="1">
        <v>45726</v>
      </c>
      <c r="B3473" s="2">
        <v>45726.410348645833</v>
      </c>
      <c r="C3473" t="s">
        <v>3</v>
      </c>
      <c r="D3473" t="s">
        <v>1286</v>
      </c>
      <c r="E3473" s="5">
        <v>35.76</v>
      </c>
      <c r="F3473" t="s">
        <v>18</v>
      </c>
    </row>
    <row r="3474" spans="1:6">
      <c r="A3474" s="1">
        <v>45726</v>
      </c>
      <c r="B3474" s="2">
        <v>45726.429827083331</v>
      </c>
      <c r="C3474" t="s">
        <v>3</v>
      </c>
      <c r="D3474" t="s">
        <v>1287</v>
      </c>
      <c r="E3474" s="5">
        <v>35.76</v>
      </c>
      <c r="F3474" t="s">
        <v>9</v>
      </c>
    </row>
    <row r="3475" spans="1:6">
      <c r="A3475" s="1">
        <v>45726</v>
      </c>
      <c r="B3475" s="2">
        <v>45726.683627766201</v>
      </c>
      <c r="C3475" t="s">
        <v>3</v>
      </c>
      <c r="D3475" t="s">
        <v>1288</v>
      </c>
      <c r="E3475" s="5">
        <v>35.76</v>
      </c>
      <c r="F3475" t="s">
        <v>43</v>
      </c>
    </row>
    <row r="3476" spans="1:6">
      <c r="A3476" s="1">
        <v>45726</v>
      </c>
      <c r="B3476" s="2">
        <v>45726.684403449071</v>
      </c>
      <c r="C3476" t="s">
        <v>3</v>
      </c>
      <c r="D3476" t="s">
        <v>1288</v>
      </c>
      <c r="E3476" s="5">
        <v>30.86</v>
      </c>
      <c r="F3476" t="s">
        <v>14</v>
      </c>
    </row>
    <row r="3477" spans="1:6">
      <c r="A3477" s="1">
        <v>45738</v>
      </c>
      <c r="B3477" s="2">
        <v>45738.378623368058</v>
      </c>
      <c r="C3477" t="s">
        <v>3</v>
      </c>
      <c r="D3477" t="s">
        <v>1288</v>
      </c>
      <c r="E3477" s="5">
        <v>30.86</v>
      </c>
      <c r="F3477" t="s">
        <v>14</v>
      </c>
    </row>
    <row r="3478" spans="1:6">
      <c r="A3478" s="1">
        <v>45738</v>
      </c>
      <c r="B3478" s="2">
        <v>45738.68541395833</v>
      </c>
      <c r="C3478" t="s">
        <v>3</v>
      </c>
      <c r="D3478" t="s">
        <v>1288</v>
      </c>
      <c r="E3478" s="5">
        <v>35.76</v>
      </c>
      <c r="F3478" t="s">
        <v>7</v>
      </c>
    </row>
    <row r="3479" spans="1:6">
      <c r="A3479" s="1">
        <v>45738</v>
      </c>
      <c r="B3479" s="2">
        <v>45738.745554884263</v>
      </c>
      <c r="C3479" t="s">
        <v>3</v>
      </c>
      <c r="D3479" t="s">
        <v>1288</v>
      </c>
      <c r="E3479" s="5">
        <v>30.86</v>
      </c>
      <c r="F3479" t="s">
        <v>14</v>
      </c>
    </row>
    <row r="3480" spans="1:6">
      <c r="A3480" s="1">
        <v>45727</v>
      </c>
      <c r="B3480" s="2">
        <v>45727.39380096065</v>
      </c>
      <c r="C3480" t="s">
        <v>3</v>
      </c>
      <c r="D3480" t="s">
        <v>1289</v>
      </c>
      <c r="E3480" s="5">
        <v>35.76</v>
      </c>
      <c r="F3480" t="s">
        <v>7</v>
      </c>
    </row>
    <row r="3481" spans="1:6">
      <c r="A3481" s="1">
        <v>45735</v>
      </c>
      <c r="B3481" s="2">
        <v>45735.708333252318</v>
      </c>
      <c r="C3481" t="s">
        <v>3</v>
      </c>
      <c r="D3481" t="s">
        <v>1289</v>
      </c>
      <c r="E3481" s="5">
        <v>35.76</v>
      </c>
      <c r="F3481" t="s">
        <v>18</v>
      </c>
    </row>
    <row r="3482" spans="1:6">
      <c r="A3482" s="1">
        <v>45737</v>
      </c>
      <c r="B3482" s="2">
        <v>45737.558298634256</v>
      </c>
      <c r="C3482" t="s">
        <v>3</v>
      </c>
      <c r="D3482" t="s">
        <v>1289</v>
      </c>
      <c r="E3482" s="5">
        <v>35.76</v>
      </c>
      <c r="F3482" t="s">
        <v>7</v>
      </c>
    </row>
    <row r="3483" spans="1:6">
      <c r="A3483" s="1">
        <v>45739</v>
      </c>
      <c r="B3483" s="2">
        <v>45739.75808605324</v>
      </c>
      <c r="C3483" t="s">
        <v>3</v>
      </c>
      <c r="D3483" t="s">
        <v>1289</v>
      </c>
      <c r="E3483" s="5">
        <v>35.76</v>
      </c>
      <c r="F3483" t="s">
        <v>7</v>
      </c>
    </row>
    <row r="3484" spans="1:6">
      <c r="A3484" s="1">
        <v>45727</v>
      </c>
      <c r="B3484" s="2">
        <v>45727.687165069445</v>
      </c>
      <c r="C3484" t="s">
        <v>3</v>
      </c>
      <c r="D3484" t="s">
        <v>1290</v>
      </c>
      <c r="E3484" s="5">
        <v>35.76</v>
      </c>
      <c r="F3484" t="s">
        <v>9</v>
      </c>
    </row>
    <row r="3485" spans="1:6">
      <c r="A3485" s="1">
        <v>45727</v>
      </c>
      <c r="B3485" s="2">
        <v>45727.687686215279</v>
      </c>
      <c r="C3485" t="s">
        <v>3</v>
      </c>
      <c r="D3485" t="s">
        <v>1290</v>
      </c>
      <c r="E3485" s="5">
        <v>35.76</v>
      </c>
      <c r="F3485" t="s">
        <v>18</v>
      </c>
    </row>
    <row r="3486" spans="1:6">
      <c r="A3486" s="1">
        <v>45730</v>
      </c>
      <c r="B3486" s="2">
        <v>45730.688196608797</v>
      </c>
      <c r="C3486" t="s">
        <v>3</v>
      </c>
      <c r="D3486" t="s">
        <v>1290</v>
      </c>
      <c r="E3486" s="5">
        <v>35.76</v>
      </c>
      <c r="F3486" t="s">
        <v>18</v>
      </c>
    </row>
    <row r="3487" spans="1:6">
      <c r="A3487" s="1">
        <v>45733</v>
      </c>
      <c r="B3487" s="2">
        <v>45733.598200775465</v>
      </c>
      <c r="C3487" t="s">
        <v>3</v>
      </c>
      <c r="D3487" t="s">
        <v>1290</v>
      </c>
      <c r="E3487" s="5">
        <v>35.76</v>
      </c>
      <c r="F3487" t="s">
        <v>18</v>
      </c>
    </row>
    <row r="3488" spans="1:6">
      <c r="A3488" s="1">
        <v>45733</v>
      </c>
      <c r="B3488" s="2">
        <v>45733.598839606479</v>
      </c>
      <c r="C3488" t="s">
        <v>3</v>
      </c>
      <c r="D3488" t="s">
        <v>1290</v>
      </c>
      <c r="E3488" s="5">
        <v>35.76</v>
      </c>
      <c r="F3488" t="s">
        <v>18</v>
      </c>
    </row>
    <row r="3489" spans="1:6">
      <c r="A3489" s="1">
        <v>45734</v>
      </c>
      <c r="B3489" s="2">
        <v>45734.833737997687</v>
      </c>
      <c r="C3489" t="s">
        <v>3</v>
      </c>
      <c r="D3489" t="s">
        <v>1290</v>
      </c>
      <c r="E3489" s="5">
        <v>35.76</v>
      </c>
      <c r="F3489" t="s">
        <v>18</v>
      </c>
    </row>
    <row r="3490" spans="1:6">
      <c r="A3490" s="1">
        <v>45734</v>
      </c>
      <c r="B3490" s="2">
        <v>45734.834464548614</v>
      </c>
      <c r="C3490" t="s">
        <v>3</v>
      </c>
      <c r="D3490" t="s">
        <v>1290</v>
      </c>
      <c r="E3490" s="5">
        <v>35.76</v>
      </c>
      <c r="F3490" t="s">
        <v>18</v>
      </c>
    </row>
    <row r="3491" spans="1:6">
      <c r="A3491" s="1">
        <v>45736</v>
      </c>
      <c r="B3491" s="2">
        <v>45736.640183124997</v>
      </c>
      <c r="C3491" t="s">
        <v>3</v>
      </c>
      <c r="D3491" t="s">
        <v>1290</v>
      </c>
      <c r="E3491" s="5">
        <v>25.96</v>
      </c>
      <c r="F3491" t="s">
        <v>11</v>
      </c>
    </row>
    <row r="3492" spans="1:6">
      <c r="A3492" s="1">
        <v>45728</v>
      </c>
      <c r="B3492" s="2">
        <v>45728.46642877315</v>
      </c>
      <c r="C3492" t="s">
        <v>3</v>
      </c>
      <c r="D3492" t="s">
        <v>1291</v>
      </c>
      <c r="E3492" s="5">
        <v>35.76</v>
      </c>
      <c r="F3492" t="s">
        <v>18</v>
      </c>
    </row>
    <row r="3493" spans="1:6">
      <c r="A3493" s="1">
        <v>45728</v>
      </c>
      <c r="B3493" s="2">
        <v>45728.504294652776</v>
      </c>
      <c r="C3493" t="s">
        <v>3</v>
      </c>
      <c r="D3493" t="s">
        <v>1292</v>
      </c>
      <c r="E3493" s="5">
        <v>25.96</v>
      </c>
      <c r="F3493" t="s">
        <v>11</v>
      </c>
    </row>
    <row r="3494" spans="1:6">
      <c r="A3494" s="1">
        <v>45728</v>
      </c>
      <c r="B3494" s="2">
        <v>45728.538639027778</v>
      </c>
      <c r="C3494" t="s">
        <v>3</v>
      </c>
      <c r="D3494" t="s">
        <v>1293</v>
      </c>
      <c r="E3494" s="5">
        <v>35.76</v>
      </c>
      <c r="F3494" t="s">
        <v>9</v>
      </c>
    </row>
    <row r="3495" spans="1:6">
      <c r="A3495" s="1">
        <v>45738</v>
      </c>
      <c r="B3495" s="2">
        <v>45738.487043738423</v>
      </c>
      <c r="C3495" t="s">
        <v>3</v>
      </c>
      <c r="D3495" t="s">
        <v>1293</v>
      </c>
      <c r="E3495" s="5">
        <v>35.76</v>
      </c>
      <c r="F3495" t="s">
        <v>18</v>
      </c>
    </row>
    <row r="3496" spans="1:6">
      <c r="A3496" s="1">
        <v>45728</v>
      </c>
      <c r="B3496" s="2">
        <v>45728.54293181713</v>
      </c>
      <c r="C3496" t="s">
        <v>3</v>
      </c>
      <c r="D3496" t="s">
        <v>1294</v>
      </c>
      <c r="E3496" s="5">
        <v>35.76</v>
      </c>
      <c r="F3496" t="s">
        <v>7</v>
      </c>
    </row>
    <row r="3497" spans="1:6">
      <c r="A3497" s="1">
        <v>45728</v>
      </c>
      <c r="B3497" s="2">
        <v>45728.685847002314</v>
      </c>
      <c r="C3497" t="s">
        <v>3</v>
      </c>
      <c r="D3497" t="s">
        <v>1295</v>
      </c>
      <c r="E3497" s="5">
        <v>35.76</v>
      </c>
      <c r="F3497" t="s">
        <v>43</v>
      </c>
    </row>
    <row r="3498" spans="1:6">
      <c r="A3498" s="1">
        <v>45728</v>
      </c>
      <c r="B3498" s="2">
        <v>45728.767135312497</v>
      </c>
      <c r="C3498" t="s">
        <v>3</v>
      </c>
      <c r="D3498" t="s">
        <v>1296</v>
      </c>
      <c r="E3498" s="5">
        <v>25.96</v>
      </c>
      <c r="F3498" t="s">
        <v>11</v>
      </c>
    </row>
    <row r="3499" spans="1:6">
      <c r="A3499" s="1">
        <v>45729</v>
      </c>
      <c r="B3499" s="2">
        <v>45729.401616053241</v>
      </c>
      <c r="C3499" t="s">
        <v>3</v>
      </c>
      <c r="D3499" t="s">
        <v>1297</v>
      </c>
      <c r="E3499" s="5">
        <v>25.96</v>
      </c>
      <c r="F3499" t="s">
        <v>11</v>
      </c>
    </row>
    <row r="3500" spans="1:6">
      <c r="A3500" s="1">
        <v>45729</v>
      </c>
      <c r="B3500" s="2">
        <v>45729.402252175925</v>
      </c>
      <c r="C3500" t="s">
        <v>3</v>
      </c>
      <c r="D3500" t="s">
        <v>1298</v>
      </c>
      <c r="E3500" s="5">
        <v>30.86</v>
      </c>
      <c r="F3500" t="s">
        <v>14</v>
      </c>
    </row>
    <row r="3501" spans="1:6">
      <c r="A3501" s="1">
        <v>45729</v>
      </c>
      <c r="B3501" s="2">
        <v>45729.620717673613</v>
      </c>
      <c r="C3501" t="s">
        <v>3</v>
      </c>
      <c r="D3501" t="s">
        <v>1299</v>
      </c>
      <c r="E3501" s="5">
        <v>30.86</v>
      </c>
      <c r="F3501" t="s">
        <v>14</v>
      </c>
    </row>
    <row r="3502" spans="1:6">
      <c r="A3502" s="1">
        <v>45730</v>
      </c>
      <c r="B3502" s="2">
        <v>45730.342826203705</v>
      </c>
      <c r="C3502" t="s">
        <v>3</v>
      </c>
      <c r="D3502" t="s">
        <v>1300</v>
      </c>
      <c r="E3502" s="5">
        <v>30.86</v>
      </c>
      <c r="F3502" t="s">
        <v>14</v>
      </c>
    </row>
    <row r="3503" spans="1:6">
      <c r="A3503" s="1">
        <v>45730</v>
      </c>
      <c r="B3503" s="2">
        <v>45730.375345868059</v>
      </c>
      <c r="C3503" t="s">
        <v>3</v>
      </c>
      <c r="D3503" t="s">
        <v>1301</v>
      </c>
      <c r="E3503" s="5">
        <v>35.76</v>
      </c>
      <c r="F3503" t="s">
        <v>7</v>
      </c>
    </row>
    <row r="3504" spans="1:6">
      <c r="A3504" s="1">
        <v>45730</v>
      </c>
      <c r="B3504" s="2">
        <v>45730.450263935185</v>
      </c>
      <c r="C3504" t="s">
        <v>3</v>
      </c>
      <c r="D3504" t="s">
        <v>1302</v>
      </c>
      <c r="E3504" s="5">
        <v>35.76</v>
      </c>
      <c r="F3504" t="s">
        <v>7</v>
      </c>
    </row>
    <row r="3505" spans="1:6">
      <c r="A3505" s="1">
        <v>45730</v>
      </c>
      <c r="B3505" s="2">
        <v>45730.451016157407</v>
      </c>
      <c r="C3505" t="s">
        <v>3</v>
      </c>
      <c r="D3505" t="s">
        <v>1302</v>
      </c>
      <c r="E3505" s="5">
        <v>35.76</v>
      </c>
      <c r="F3505" t="s">
        <v>43</v>
      </c>
    </row>
    <row r="3506" spans="1:6">
      <c r="A3506" s="1">
        <v>45730</v>
      </c>
      <c r="B3506" s="2">
        <v>45730.688831921296</v>
      </c>
      <c r="C3506" t="s">
        <v>3</v>
      </c>
      <c r="D3506" t="s">
        <v>1303</v>
      </c>
      <c r="E3506" s="5">
        <v>35.76</v>
      </c>
      <c r="F3506" t="s">
        <v>18</v>
      </c>
    </row>
    <row r="3507" spans="1:6">
      <c r="A3507" s="1">
        <v>45730</v>
      </c>
      <c r="B3507" s="2">
        <v>45730.689354409726</v>
      </c>
      <c r="C3507" t="s">
        <v>3</v>
      </c>
      <c r="D3507" t="s">
        <v>1303</v>
      </c>
      <c r="E3507" s="5">
        <v>35.76</v>
      </c>
      <c r="F3507" t="s">
        <v>18</v>
      </c>
    </row>
    <row r="3508" spans="1:6">
      <c r="A3508" s="1">
        <v>45730</v>
      </c>
      <c r="B3508" s="2">
        <v>45730.712084641207</v>
      </c>
      <c r="C3508" t="s">
        <v>3</v>
      </c>
      <c r="D3508" t="s">
        <v>1304</v>
      </c>
      <c r="E3508" s="5">
        <v>25.96</v>
      </c>
      <c r="F3508" t="s">
        <v>11</v>
      </c>
    </row>
    <row r="3509" spans="1:6">
      <c r="A3509" s="1">
        <v>45736</v>
      </c>
      <c r="B3509" s="2">
        <v>45736.597660624997</v>
      </c>
      <c r="C3509" t="s">
        <v>3</v>
      </c>
      <c r="D3509" t="s">
        <v>1304</v>
      </c>
      <c r="E3509" s="5">
        <v>25.96</v>
      </c>
      <c r="F3509" t="s">
        <v>11</v>
      </c>
    </row>
    <row r="3510" spans="1:6">
      <c r="A3510" s="1">
        <v>45736</v>
      </c>
      <c r="B3510" s="2">
        <v>45736.598401631942</v>
      </c>
      <c r="C3510" t="s">
        <v>3</v>
      </c>
      <c r="D3510" t="s">
        <v>1304</v>
      </c>
      <c r="E3510" s="5">
        <v>21.06</v>
      </c>
      <c r="F3510" t="s">
        <v>35</v>
      </c>
    </row>
    <row r="3511" spans="1:6">
      <c r="A3511" s="1">
        <v>45730</v>
      </c>
      <c r="B3511" s="2">
        <v>45730.847477106479</v>
      </c>
      <c r="C3511" t="s">
        <v>3</v>
      </c>
      <c r="D3511" t="s">
        <v>1305</v>
      </c>
      <c r="E3511" s="5">
        <v>25.96</v>
      </c>
      <c r="F3511" t="s">
        <v>11</v>
      </c>
    </row>
    <row r="3512" spans="1:6">
      <c r="A3512" s="1">
        <v>45731</v>
      </c>
      <c r="B3512" s="2">
        <v>45731.827396863424</v>
      </c>
      <c r="C3512" t="s">
        <v>3</v>
      </c>
      <c r="D3512" t="s">
        <v>1306</v>
      </c>
      <c r="E3512" s="5">
        <v>35.76</v>
      </c>
      <c r="F3512" t="s">
        <v>43</v>
      </c>
    </row>
    <row r="3513" spans="1:6">
      <c r="A3513" s="1">
        <v>45732</v>
      </c>
      <c r="B3513" s="2">
        <v>45732.400268460646</v>
      </c>
      <c r="C3513" t="s">
        <v>3</v>
      </c>
      <c r="D3513" t="s">
        <v>1307</v>
      </c>
      <c r="E3513" s="5">
        <v>30.86</v>
      </c>
      <c r="F3513" t="s">
        <v>14</v>
      </c>
    </row>
    <row r="3514" spans="1:6">
      <c r="A3514" s="1">
        <v>45734</v>
      </c>
      <c r="B3514" s="2">
        <v>45734.613600891207</v>
      </c>
      <c r="C3514" t="s">
        <v>3</v>
      </c>
      <c r="D3514" t="s">
        <v>1307</v>
      </c>
      <c r="E3514" s="5">
        <v>30.86</v>
      </c>
      <c r="F3514" t="s">
        <v>14</v>
      </c>
    </row>
    <row r="3515" spans="1:6">
      <c r="A3515" s="1">
        <v>45736</v>
      </c>
      <c r="B3515" s="2">
        <v>45736.421346249997</v>
      </c>
      <c r="C3515" t="s">
        <v>3</v>
      </c>
      <c r="D3515" t="s">
        <v>1307</v>
      </c>
      <c r="E3515" s="5">
        <v>30.86</v>
      </c>
      <c r="F3515" t="s">
        <v>14</v>
      </c>
    </row>
    <row r="3516" spans="1:6">
      <c r="A3516" s="1">
        <v>45732</v>
      </c>
      <c r="B3516" s="2">
        <v>45732.451497361108</v>
      </c>
      <c r="C3516" t="s">
        <v>3</v>
      </c>
      <c r="D3516" t="s">
        <v>1308</v>
      </c>
      <c r="E3516" s="5">
        <v>35.76</v>
      </c>
      <c r="F3516" t="s">
        <v>7</v>
      </c>
    </row>
    <row r="3517" spans="1:6">
      <c r="A3517" s="1">
        <v>45732</v>
      </c>
      <c r="B3517" s="2">
        <v>45732.500545543982</v>
      </c>
      <c r="C3517" t="s">
        <v>3</v>
      </c>
      <c r="D3517" t="s">
        <v>1308</v>
      </c>
      <c r="E3517" s="5">
        <v>35.76</v>
      </c>
      <c r="F3517" t="s">
        <v>9</v>
      </c>
    </row>
    <row r="3518" spans="1:6">
      <c r="A3518" s="1">
        <v>45733</v>
      </c>
      <c r="B3518" s="2">
        <v>45733.616707384259</v>
      </c>
      <c r="C3518" t="s">
        <v>3</v>
      </c>
      <c r="D3518" t="s">
        <v>1309</v>
      </c>
      <c r="E3518" s="5">
        <v>35.76</v>
      </c>
      <c r="F3518" t="s">
        <v>7</v>
      </c>
    </row>
    <row r="3519" spans="1:6">
      <c r="A3519" s="1">
        <v>45735</v>
      </c>
      <c r="B3519" s="2">
        <v>45735.633948657407</v>
      </c>
      <c r="C3519" t="s">
        <v>3</v>
      </c>
      <c r="D3519" t="s">
        <v>1309</v>
      </c>
      <c r="E3519" s="5">
        <v>35.76</v>
      </c>
      <c r="F3519" t="s">
        <v>7</v>
      </c>
    </row>
    <row r="3520" spans="1:6">
      <c r="A3520" s="1">
        <v>45734</v>
      </c>
      <c r="B3520" s="2">
        <v>45734.349432696756</v>
      </c>
      <c r="C3520" t="s">
        <v>3</v>
      </c>
      <c r="D3520" t="s">
        <v>1310</v>
      </c>
      <c r="E3520" s="5">
        <v>30.86</v>
      </c>
      <c r="F3520" t="s">
        <v>14</v>
      </c>
    </row>
    <row r="3521" spans="1:6">
      <c r="A3521" s="1">
        <v>45734</v>
      </c>
      <c r="B3521" s="2">
        <v>45734.491203344907</v>
      </c>
      <c r="C3521" t="s">
        <v>3</v>
      </c>
      <c r="D3521" t="s">
        <v>1311</v>
      </c>
      <c r="E3521" s="5">
        <v>35.76</v>
      </c>
      <c r="F3521" t="s">
        <v>9</v>
      </c>
    </row>
    <row r="3522" spans="1:6">
      <c r="A3522" s="1">
        <v>45734</v>
      </c>
      <c r="B3522" s="2">
        <v>45734.492310810187</v>
      </c>
      <c r="C3522" t="s">
        <v>3</v>
      </c>
      <c r="D3522" t="s">
        <v>1311</v>
      </c>
      <c r="E3522" s="5">
        <v>35.76</v>
      </c>
      <c r="F3522" t="s">
        <v>9</v>
      </c>
    </row>
    <row r="3523" spans="1:6">
      <c r="A3523" s="1">
        <v>45734</v>
      </c>
      <c r="B3523" s="2">
        <v>45734.889352210645</v>
      </c>
      <c r="C3523" t="s">
        <v>3</v>
      </c>
      <c r="D3523" t="s">
        <v>1312</v>
      </c>
      <c r="E3523" s="5">
        <v>35.76</v>
      </c>
      <c r="F3523" t="s">
        <v>7</v>
      </c>
    </row>
    <row r="3524" spans="1:6">
      <c r="A3524" s="1">
        <v>45736</v>
      </c>
      <c r="B3524" s="2">
        <v>45736.909902928244</v>
      </c>
      <c r="C3524" t="s">
        <v>3</v>
      </c>
      <c r="D3524" t="s">
        <v>1312</v>
      </c>
      <c r="E3524" s="5">
        <v>35.76</v>
      </c>
      <c r="F3524" t="s">
        <v>7</v>
      </c>
    </row>
    <row r="3525" spans="1:6">
      <c r="A3525" s="1">
        <v>45735</v>
      </c>
      <c r="B3525" s="2">
        <v>45735.54059232639</v>
      </c>
      <c r="C3525" t="s">
        <v>3</v>
      </c>
      <c r="D3525" t="s">
        <v>1313</v>
      </c>
      <c r="E3525" s="5">
        <v>25.96</v>
      </c>
      <c r="F3525" t="s">
        <v>11</v>
      </c>
    </row>
    <row r="3526" spans="1:6">
      <c r="A3526" s="1">
        <v>45735</v>
      </c>
      <c r="B3526" s="2">
        <v>45735.63499327546</v>
      </c>
      <c r="C3526" t="s">
        <v>3</v>
      </c>
      <c r="D3526" t="s">
        <v>1314</v>
      </c>
      <c r="E3526" s="5">
        <v>35.76</v>
      </c>
      <c r="F3526" t="s">
        <v>7</v>
      </c>
    </row>
    <row r="3527" spans="1:6">
      <c r="A3527" s="1">
        <v>45735</v>
      </c>
      <c r="B3527" s="2">
        <v>45735.770721967594</v>
      </c>
      <c r="C3527" t="s">
        <v>3</v>
      </c>
      <c r="D3527" t="s">
        <v>1315</v>
      </c>
      <c r="E3527" s="5">
        <v>25.96</v>
      </c>
      <c r="F3527" t="s">
        <v>28</v>
      </c>
    </row>
    <row r="3528" spans="1:6">
      <c r="A3528" s="1">
        <v>45735</v>
      </c>
      <c r="B3528" s="2">
        <v>45735.771342673608</v>
      </c>
      <c r="C3528" t="s">
        <v>3</v>
      </c>
      <c r="D3528" t="s">
        <v>1316</v>
      </c>
      <c r="E3528" s="5">
        <v>21.06</v>
      </c>
      <c r="F3528" t="s">
        <v>35</v>
      </c>
    </row>
    <row r="3529" spans="1:6">
      <c r="A3529" s="1">
        <v>45738</v>
      </c>
      <c r="B3529" s="2">
        <v>45738.665256747685</v>
      </c>
      <c r="C3529" t="s">
        <v>3</v>
      </c>
      <c r="D3529" t="s">
        <v>1316</v>
      </c>
      <c r="E3529" s="5">
        <v>21.06</v>
      </c>
      <c r="F3529" t="s">
        <v>35</v>
      </c>
    </row>
    <row r="3530" spans="1:6">
      <c r="A3530" s="1">
        <v>45735</v>
      </c>
      <c r="B3530" s="2">
        <v>45735.77182858796</v>
      </c>
      <c r="C3530" t="s">
        <v>3</v>
      </c>
      <c r="D3530" t="s">
        <v>1317</v>
      </c>
      <c r="E3530" s="5">
        <v>21.06</v>
      </c>
      <c r="F3530" t="s">
        <v>35</v>
      </c>
    </row>
    <row r="3531" spans="1:6">
      <c r="A3531" s="1">
        <v>45736</v>
      </c>
      <c r="B3531" s="2">
        <v>45736.34254957176</v>
      </c>
      <c r="C3531" t="s">
        <v>3</v>
      </c>
      <c r="D3531" t="s">
        <v>1318</v>
      </c>
      <c r="E3531" s="5">
        <v>30.86</v>
      </c>
      <c r="F3531" t="s">
        <v>14</v>
      </c>
    </row>
    <row r="3532" spans="1:6">
      <c r="A3532" s="1">
        <v>45736</v>
      </c>
      <c r="B3532" s="2">
        <v>45736.448428090276</v>
      </c>
      <c r="C3532" t="s">
        <v>3</v>
      </c>
      <c r="D3532" t="s">
        <v>1319</v>
      </c>
      <c r="E3532" s="5">
        <v>25.96</v>
      </c>
      <c r="F3532" t="s">
        <v>11</v>
      </c>
    </row>
    <row r="3533" spans="1:6">
      <c r="A3533" s="1">
        <v>45736</v>
      </c>
      <c r="B3533" s="2">
        <v>45736.533615613429</v>
      </c>
      <c r="C3533" t="s">
        <v>3</v>
      </c>
      <c r="D3533" t="s">
        <v>1320</v>
      </c>
      <c r="E3533" s="5">
        <v>25.96</v>
      </c>
      <c r="F3533" t="s">
        <v>11</v>
      </c>
    </row>
    <row r="3534" spans="1:6">
      <c r="A3534" s="1">
        <v>45737</v>
      </c>
      <c r="B3534" s="2">
        <v>45737.344950451392</v>
      </c>
      <c r="C3534" t="s">
        <v>3</v>
      </c>
      <c r="D3534" t="s">
        <v>1320</v>
      </c>
      <c r="E3534" s="5">
        <v>25.96</v>
      </c>
      <c r="F3534" t="s">
        <v>11</v>
      </c>
    </row>
    <row r="3535" spans="1:6">
      <c r="A3535" s="1">
        <v>45737</v>
      </c>
      <c r="B3535" s="2">
        <v>45737.543615127317</v>
      </c>
      <c r="C3535" t="s">
        <v>3</v>
      </c>
      <c r="D3535" t="s">
        <v>1320</v>
      </c>
      <c r="E3535" s="5">
        <v>25.96</v>
      </c>
      <c r="F3535" t="s">
        <v>11</v>
      </c>
    </row>
    <row r="3536" spans="1:6">
      <c r="A3536" s="1">
        <v>45738</v>
      </c>
      <c r="B3536" s="2">
        <v>45738.518051805557</v>
      </c>
      <c r="C3536" t="s">
        <v>3</v>
      </c>
      <c r="D3536" t="s">
        <v>1320</v>
      </c>
      <c r="E3536" s="5">
        <v>25.96</v>
      </c>
      <c r="F3536" t="s">
        <v>11</v>
      </c>
    </row>
    <row r="3537" spans="1:6">
      <c r="A3537" s="1">
        <v>45736</v>
      </c>
      <c r="B3537" s="2">
        <v>45736.600748726851</v>
      </c>
      <c r="C3537" t="s">
        <v>3</v>
      </c>
      <c r="D3537" t="s">
        <v>1321</v>
      </c>
      <c r="E3537" s="5">
        <v>25.96</v>
      </c>
      <c r="F3537" t="s">
        <v>28</v>
      </c>
    </row>
    <row r="3538" spans="1:6">
      <c r="A3538" s="1">
        <v>45736</v>
      </c>
      <c r="B3538" s="2">
        <v>45736.601929571756</v>
      </c>
      <c r="C3538" t="s">
        <v>3</v>
      </c>
      <c r="D3538" t="s">
        <v>1322</v>
      </c>
      <c r="E3538" s="5">
        <v>35.76</v>
      </c>
      <c r="F3538" t="s">
        <v>43</v>
      </c>
    </row>
    <row r="3539" spans="1:6">
      <c r="A3539" s="1">
        <v>45736</v>
      </c>
      <c r="B3539" s="2">
        <v>45736.724900706016</v>
      </c>
      <c r="C3539" t="s">
        <v>3</v>
      </c>
      <c r="D3539" t="s">
        <v>1323</v>
      </c>
      <c r="E3539" s="5">
        <v>25.96</v>
      </c>
      <c r="F3539" t="s">
        <v>11</v>
      </c>
    </row>
    <row r="3540" spans="1:6">
      <c r="A3540" s="1">
        <v>45738</v>
      </c>
      <c r="B3540" s="2">
        <v>45738.546083217596</v>
      </c>
      <c r="C3540" t="s">
        <v>3</v>
      </c>
      <c r="D3540" t="s">
        <v>1323</v>
      </c>
      <c r="E3540" s="5">
        <v>25.96</v>
      </c>
      <c r="F3540" t="s">
        <v>11</v>
      </c>
    </row>
    <row r="3541" spans="1:6">
      <c r="A3541" s="1">
        <v>45736</v>
      </c>
      <c r="B3541" s="2">
        <v>45736.817148148148</v>
      </c>
      <c r="C3541" t="s">
        <v>3</v>
      </c>
      <c r="D3541" t="s">
        <v>1324</v>
      </c>
      <c r="E3541" s="5">
        <v>35.76</v>
      </c>
      <c r="F3541" t="s">
        <v>18</v>
      </c>
    </row>
    <row r="3542" spans="1:6">
      <c r="A3542" s="1">
        <v>45737</v>
      </c>
      <c r="B3542" s="2">
        <v>45737.357858750001</v>
      </c>
      <c r="C3542" t="s">
        <v>3</v>
      </c>
      <c r="D3542" t="s">
        <v>1325</v>
      </c>
      <c r="E3542" s="5">
        <v>35.76</v>
      </c>
      <c r="F3542" t="s">
        <v>43</v>
      </c>
    </row>
    <row r="3543" spans="1:6">
      <c r="A3543" s="1">
        <v>45737</v>
      </c>
      <c r="B3543" s="2">
        <v>45737.631284976851</v>
      </c>
      <c r="C3543" t="s">
        <v>3</v>
      </c>
      <c r="D3543" t="s">
        <v>1326</v>
      </c>
      <c r="E3543" s="5">
        <v>35.76</v>
      </c>
      <c r="F3543" t="s">
        <v>43</v>
      </c>
    </row>
    <row r="3544" spans="1:6">
      <c r="A3544" s="1">
        <v>45738</v>
      </c>
      <c r="B3544" s="2">
        <v>45738.51281818287</v>
      </c>
      <c r="C3544" t="s">
        <v>3</v>
      </c>
      <c r="D3544" t="s">
        <v>1327</v>
      </c>
      <c r="E3544" s="5">
        <v>30.86</v>
      </c>
      <c r="F3544" t="s">
        <v>14</v>
      </c>
    </row>
    <row r="3545" spans="1:6">
      <c r="A3545" s="1">
        <v>45738</v>
      </c>
      <c r="B3545" s="2">
        <v>45738.803388043983</v>
      </c>
      <c r="C3545" t="s">
        <v>3</v>
      </c>
      <c r="D3545" t="s">
        <v>1328</v>
      </c>
      <c r="E3545" s="5">
        <v>30.86</v>
      </c>
      <c r="F3545" t="s">
        <v>14</v>
      </c>
    </row>
    <row r="3546" spans="1:6">
      <c r="A3546" s="1">
        <v>45739</v>
      </c>
      <c r="B3546" s="2">
        <v>45739.613626874998</v>
      </c>
      <c r="C3546" t="s">
        <v>3</v>
      </c>
      <c r="D3546" t="s">
        <v>1329</v>
      </c>
      <c r="E3546" s="5">
        <v>35.76</v>
      </c>
      <c r="F3546" t="s">
        <v>18</v>
      </c>
    </row>
    <row r="3547" spans="1:6">
      <c r="A3547" s="1">
        <v>45739</v>
      </c>
      <c r="B3547" s="2">
        <v>45739.614084074077</v>
      </c>
      <c r="C3547" t="s">
        <v>3</v>
      </c>
      <c r="D3547" t="s">
        <v>1329</v>
      </c>
      <c r="E3547" s="5">
        <v>35.76</v>
      </c>
      <c r="F3547" t="s">
        <v>18</v>
      </c>
    </row>
    <row r="3548" spans="1:6">
      <c r="A3548" s="1">
        <v>45739</v>
      </c>
      <c r="B3548" s="2">
        <v>45739.65797133102</v>
      </c>
      <c r="C3548" t="s">
        <v>3</v>
      </c>
      <c r="D3548" t="s">
        <v>1330</v>
      </c>
      <c r="E3548" s="5">
        <v>25.96</v>
      </c>
      <c r="F3548" t="s">
        <v>11</v>
      </c>
    </row>
  </sheetData>
  <autoFilter ref="A1:F3548" xr:uid="{00000000-0009-0000-0000-000002000000}">
    <sortState xmlns:xlrd2="http://schemas.microsoft.com/office/spreadsheetml/2017/richdata2" ref="A2:F3548">
      <sortCondition ref="D1:D354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17"/>
  <sheetViews>
    <sheetView zoomScaleNormal="100" workbookViewId="0">
      <selection activeCell="C22" sqref="C22"/>
    </sheetView>
  </sheetViews>
  <sheetFormatPr defaultRowHeight="15"/>
  <cols>
    <col min="1" max="1" width="21.7109375" bestFit="1" customWidth="1"/>
    <col min="2" max="2" width="18" style="15" bestFit="1" customWidth="1"/>
    <col min="3" max="3" width="17.42578125" style="17" bestFit="1" customWidth="1"/>
    <col min="4" max="4" width="12.85546875" customWidth="1"/>
    <col min="5" max="5" width="13.140625" customWidth="1"/>
    <col min="6" max="6" width="17.28515625" customWidth="1"/>
    <col min="7" max="7" width="20.28515625" bestFit="1" customWidth="1"/>
    <col min="8" max="8" width="13.28515625" customWidth="1"/>
    <col min="9" max="9" width="18.28515625" style="7" bestFit="1" customWidth="1"/>
    <col min="10" max="10" width="11.5703125" bestFit="1" customWidth="1"/>
    <col min="11" max="11" width="9.7109375" customWidth="1"/>
  </cols>
  <sheetData>
    <row r="1" spans="1:11" ht="28.5" customHeight="1">
      <c r="A1" s="3" t="s">
        <v>1332</v>
      </c>
      <c r="B1" s="13" t="s">
        <v>1333</v>
      </c>
      <c r="C1" s="16" t="s">
        <v>1334</v>
      </c>
      <c r="D1" s="3" t="s">
        <v>1335</v>
      </c>
      <c r="E1" s="3" t="s">
        <v>1336</v>
      </c>
      <c r="F1" s="3" t="s">
        <v>1337</v>
      </c>
      <c r="G1" s="3" t="s">
        <v>1338</v>
      </c>
      <c r="H1" s="3" t="s">
        <v>1339</v>
      </c>
      <c r="I1" s="8" t="s">
        <v>1340</v>
      </c>
      <c r="J1" s="3" t="s">
        <v>1341</v>
      </c>
      <c r="K1" s="3" t="s">
        <v>1342</v>
      </c>
    </row>
    <row r="2" spans="1:11">
      <c r="A2" t="s">
        <v>6</v>
      </c>
      <c r="B2" s="14">
        <f>_xlfn.MINIFS('working sheet'!$B$2:$B$3548, 'working sheet'!$D$2:$D$3548, A2)</f>
        <v>45352.427668055556</v>
      </c>
      <c r="C2" s="17">
        <f>_xlfn.MAXIFS('working sheet'!$B$1:$B$3548,'working sheet'!$D$1:$D$3548,'Customer Portfolio'!A2)</f>
        <v>45449.441778553242</v>
      </c>
      <c r="D2">
        <f>COUNTIFS('working sheet'!$D$1:$D$3548,'Customer Portfolio'!A2)</f>
        <v>17</v>
      </c>
      <c r="E2" s="5">
        <f>SUMIFS('working sheet'!$E$2:$E$3548,'working sheet'!$D$2:$D$3548,'Customer Portfolio'!A2)</f>
        <v>646.14000000000021</v>
      </c>
      <c r="F2" s="6">
        <f>E2/D2</f>
        <v>38.008235294117661</v>
      </c>
      <c r="G2" t="str">
        <f t="array" ref="G2">IFERROR(INDEX('working sheet'!$F$2:$F$3548, MODE(IF('working sheet'!$D$2:$D$3548=A2, MATCH('working sheet'!$F$2:$F$3548, 'working sheet'!$F$2:$F$3548, 0)))),
         INDEX('working sheet'!$F$2:$F$3548, MATCH(A2, 'working sheet'!$D$2:$D$3548, 0)))</f>
        <v>Latte</v>
      </c>
      <c r="H2" s="7">
        <f>C2-B2+1</f>
        <v>98.014110497686488</v>
      </c>
      <c r="I2" s="7">
        <f>MAX('working sheet'!$B$2:$B$3548)-C2</f>
        <v>290.31630749999749</v>
      </c>
      <c r="J2" s="4" t="str">
        <f t="array" ref="J2">IF(AND(I2&lt;=30, D2&gt;=10, E2&gt;=200), "VIP",  IF(AND(I2&lt;=60, D2&gt;=5, E2&gt;=100), "Loyal", IF(AND(I2&lt;=90, D2&gt;=3), "Regular", IF(I2&lt;=30, "Recent", IF(D2&gt;=3, "Occasional", "At Risk")))))</f>
        <v>Occasional</v>
      </c>
      <c r="K2" t="str">
        <f t="array" ref="K2">IF(OR(J2="VIP", J2="Loyal"), "HIGH",IF(OR(J2="Regular", J2="Recent"), "MEDIUM","LOW"))</f>
        <v>LOW</v>
      </c>
    </row>
    <row r="3" spans="1:11">
      <c r="A3" t="s">
        <v>8</v>
      </c>
      <c r="B3" s="14">
        <f>_xlfn.MINIFS('working sheet'!$B$2:$B$3548, 'working sheet'!$D$2:$D$3548, A3)</f>
        <v>45352.513455312503</v>
      </c>
      <c r="C3" s="17">
        <f>_xlfn.MAXIFS('working sheet'!$B$1:$B$3548,'working sheet'!$D$1:$D$3548,'Customer Portfolio'!A3)</f>
        <v>45352.514098252315</v>
      </c>
      <c r="D3">
        <f>COUNTIFS('working sheet'!$D$1:$D$3548,'Customer Portfolio'!A3)</f>
        <v>2</v>
      </c>
      <c r="E3" s="5">
        <f>SUMIFS('working sheet'!$E$2:$E$3548,'working sheet'!$D$2:$D$3548,'Customer Portfolio'!A3)</f>
        <v>77.400000000000006</v>
      </c>
      <c r="F3" s="6">
        <f t="shared" ref="F3:F66" si="0">E3/D3</f>
        <v>38.700000000000003</v>
      </c>
      <c r="G3" t="str">
        <f t="array" ref="G3">IFERROR(INDEX('working sheet'!$F$2:$F$3548, MODE(IF('working sheet'!$D$2:$D$3548=A3, MATCH('working sheet'!$F$2:$F$3548, 'working sheet'!$F$2:$F$3548, 0)))),
         INDEX('working sheet'!$F$2:$F$3548, MATCH(A3, 'working sheet'!$D$2:$D$3548, 0)))</f>
        <v>Hot Chocolate</v>
      </c>
      <c r="H3" s="7">
        <f t="shared" ref="H3:H66" si="1">C3-B3+1</f>
        <v>1.0006429398126784</v>
      </c>
      <c r="I3" s="7">
        <f>MAX('working sheet'!$B$2:$B$3548)-C3</f>
        <v>387.24398780092451</v>
      </c>
      <c r="J3" s="4" t="str">
        <f t="array" ref="J3">IF(AND(I3&lt;=30, D3&gt;=10, E3&gt;=200), "VIP",  IF(AND(I3&lt;=60, D3&gt;=5, E3&gt;=100), "Loyal", IF(AND(I3&lt;=90, D3&gt;=3), "Regular", IF(I3&lt;=30, "Recent", IF(D3&gt;=3, "Occasional", "At Risk")))))</f>
        <v>At Risk</v>
      </c>
      <c r="K3" t="str">
        <f t="array" ref="K3">IF(OR(J3="VIP", J3="Loyal"), "HIGH",IF(OR(J3="Regular", J3="Recent"), "MEDIUM","LOW"))</f>
        <v>LOW</v>
      </c>
    </row>
    <row r="4" spans="1:11">
      <c r="A4" t="s">
        <v>10</v>
      </c>
      <c r="B4" s="14">
        <f>_xlfn.MINIFS('working sheet'!$B$2:$B$3548, 'working sheet'!$D$2:$D$3548, A4)</f>
        <v>45352.573993124999</v>
      </c>
      <c r="C4" s="17">
        <f>_xlfn.MAXIFS('working sheet'!$B$1:$B$3548,'working sheet'!$D$1:$D$3548,'Customer Portfolio'!A4)</f>
        <v>45583.398703946761</v>
      </c>
      <c r="D4">
        <f>COUNTIFS('working sheet'!$D$1:$D$3548,'Customer Portfolio'!A4)</f>
        <v>31</v>
      </c>
      <c r="E4" s="5">
        <f>SUMIFS('working sheet'!$E$2:$E$3548,'working sheet'!$D$2:$D$3548,'Customer Portfolio'!A4)</f>
        <v>867.47999999999968</v>
      </c>
      <c r="F4" s="6">
        <f t="shared" si="0"/>
        <v>27.983225806451603</v>
      </c>
      <c r="G4" t="str">
        <f t="array" ref="G4">IFERROR(INDEX('working sheet'!$F$2:$F$3548, MODE(IF('working sheet'!$D$2:$D$3548=A4, MATCH('working sheet'!$F$2:$F$3548, 'working sheet'!$F$2:$F$3548, 0)))),
         INDEX('working sheet'!$F$2:$F$3548, MATCH(A4, 'working sheet'!$D$2:$D$3548, 0)))</f>
        <v>Americano</v>
      </c>
      <c r="H4" s="7">
        <f t="shared" si="1"/>
        <v>231.82471082176198</v>
      </c>
      <c r="I4" s="7">
        <f>MAX('working sheet'!$B$2:$B$3548)-C4</f>
        <v>156.35938210647873</v>
      </c>
      <c r="J4" s="4" t="str">
        <f t="array" ref="J4">IF(AND(I4&lt;=30, D4&gt;=10, E4&gt;=200), "VIP",  IF(AND(I4&lt;=60, D4&gt;=5, E4&gt;=100), "Loyal", IF(AND(I4&lt;=90, D4&gt;=3), "Regular", IF(I4&lt;=30, "Recent", IF(D4&gt;=3, "Occasional", "At Risk")))))</f>
        <v>Occasional</v>
      </c>
      <c r="K4" t="str">
        <f t="array" ref="K4">IF(OR(J4="VIP", J4="Loyal"), "HIGH",IF(OR(J4="Regular", J4="Recent"), "MEDIUM","LOW"))</f>
        <v>LOW</v>
      </c>
    </row>
    <row r="5" spans="1:11">
      <c r="A5" t="s">
        <v>12</v>
      </c>
      <c r="B5" s="14">
        <f>_xlfn.MINIFS('working sheet'!$B$2:$B$3548, 'working sheet'!$D$2:$D$3548, A5)</f>
        <v>45352.575169282405</v>
      </c>
      <c r="C5" s="17">
        <f>_xlfn.MAXIFS('working sheet'!$B$1:$B$3548,'working sheet'!$D$1:$D$3548,'Customer Portfolio'!A5)</f>
        <v>45569.396088402777</v>
      </c>
      <c r="D5">
        <f>COUNTIFS('working sheet'!$D$1:$D$3548,'Customer Portfolio'!A5)</f>
        <v>12</v>
      </c>
      <c r="E5" s="5">
        <f>SUMIFS('working sheet'!$E$2:$E$3548,'working sheet'!$D$2:$D$3548,'Customer Portfolio'!A5)</f>
        <v>371.3</v>
      </c>
      <c r="F5" s="6">
        <f t="shared" si="0"/>
        <v>30.941666666666666</v>
      </c>
      <c r="G5" t="str">
        <f t="array" ref="G5">IFERROR(INDEX('working sheet'!$F$2:$F$3548, MODE(IF('working sheet'!$D$2:$D$3548=A5, MATCH('working sheet'!$F$2:$F$3548, 'working sheet'!$F$2:$F$3548, 0)))),
         INDEX('working sheet'!$F$2:$F$3548, MATCH(A5, 'working sheet'!$D$2:$D$3548, 0)))</f>
        <v>Americano with Milk</v>
      </c>
      <c r="H5" s="7">
        <f t="shared" si="1"/>
        <v>217.8209191203714</v>
      </c>
      <c r="I5" s="7">
        <f>MAX('working sheet'!$B$2:$B$3548)-C5</f>
        <v>170.36199765046331</v>
      </c>
      <c r="J5" s="4" t="str">
        <f t="array" ref="J5">IF(AND(I5&lt;=30, D5&gt;=10, E5&gt;=200), "VIP",  IF(AND(I5&lt;=60, D5&gt;=5, E5&gt;=100), "Loyal", IF(AND(I5&lt;=90, D5&gt;=3), "Regular", IF(I5&lt;=30, "Recent", IF(D5&gt;=3, "Occasional", "At Risk")))))</f>
        <v>Occasional</v>
      </c>
      <c r="K5" t="str">
        <f t="array" ref="K5">IF(OR(J5="VIP", J5="Loyal"), "HIGH",IF(OR(J5="Regular", J5="Recent"), "MEDIUM","LOW"))</f>
        <v>LOW</v>
      </c>
    </row>
    <row r="6" spans="1:11">
      <c r="A6" t="s">
        <v>13</v>
      </c>
      <c r="B6" s="14">
        <f>_xlfn.MINIFS('working sheet'!$B$2:$B$3548, 'working sheet'!$D$2:$D$3548, A6)</f>
        <v>45352.65263571759</v>
      </c>
      <c r="C6" s="17">
        <f>_xlfn.MAXIFS('working sheet'!$B$1:$B$3548,'working sheet'!$D$1:$D$3548,'Customer Portfolio'!A6)</f>
        <v>45352.65263571759</v>
      </c>
      <c r="D6">
        <f>COUNTIFS('working sheet'!$D$1:$D$3548,'Customer Portfolio'!A6)</f>
        <v>1</v>
      </c>
      <c r="E6" s="5">
        <f>SUMIFS('working sheet'!$E$2:$E$3548,'working sheet'!$D$2:$D$3548,'Customer Portfolio'!A6)</f>
        <v>33.799999999999997</v>
      </c>
      <c r="F6" s="6">
        <f t="shared" si="0"/>
        <v>33.799999999999997</v>
      </c>
      <c r="G6" t="str">
        <f t="array" ref="G6">IFERROR(INDEX('working sheet'!$F$2:$F$3548, MODE(IF('working sheet'!$D$2:$D$3548=A6, MATCH('working sheet'!$F$2:$F$3548, 'working sheet'!$F$2:$F$3548, 0)))),
         INDEX('working sheet'!$F$2:$F$3548, MATCH(A6, 'working sheet'!$D$2:$D$3548, 0)))</f>
        <v>Americano with Milk</v>
      </c>
      <c r="H6" s="7">
        <f t="shared" si="1"/>
        <v>1</v>
      </c>
      <c r="I6" s="7">
        <f>MAX('working sheet'!$B$2:$B$3548)-C6</f>
        <v>387.10545033564995</v>
      </c>
      <c r="J6" s="4" t="str">
        <f t="array" ref="J6">IF(AND(I6&lt;=30, D6&gt;=10, E6&gt;=200), "VIP",  IF(AND(I6&lt;=60, D6&gt;=5, E6&gt;=100), "Loyal", IF(AND(I6&lt;=90, D6&gt;=3), "Regular", IF(I6&lt;=30, "Recent", IF(D6&gt;=3, "Occasional", "At Risk")))))</f>
        <v>At Risk</v>
      </c>
      <c r="K6" t="str">
        <f t="array" ref="K6">IF(OR(J6="VIP", J6="Loyal"), "HIGH",IF(OR(J6="Regular", J6="Recent"), "MEDIUM","LOW"))</f>
        <v>LOW</v>
      </c>
    </row>
    <row r="7" spans="1:11">
      <c r="A7" t="s">
        <v>15</v>
      </c>
      <c r="B7" s="14">
        <f>_xlfn.MINIFS('working sheet'!$B$2:$B$3548, 'working sheet'!$D$2:$D$3548, A7)</f>
        <v>45352.679893009263</v>
      </c>
      <c r="C7" s="17">
        <f>_xlfn.MAXIFS('working sheet'!$B$1:$B$3548,'working sheet'!$D$1:$D$3548,'Customer Portfolio'!A7)</f>
        <v>45352.679893009263</v>
      </c>
      <c r="D7">
        <f>COUNTIFS('working sheet'!$D$1:$D$3548,'Customer Portfolio'!A7)</f>
        <v>1</v>
      </c>
      <c r="E7" s="5">
        <f>SUMIFS('working sheet'!$E$2:$E$3548,'working sheet'!$D$2:$D$3548,'Customer Portfolio'!A7)</f>
        <v>38.700000000000003</v>
      </c>
      <c r="F7" s="6">
        <f t="shared" si="0"/>
        <v>38.700000000000003</v>
      </c>
      <c r="G7" t="str">
        <f t="array" ref="G7">IFERROR(INDEX('working sheet'!$F$2:$F$3548, MODE(IF('working sheet'!$D$2:$D$3548=A7, MATCH('working sheet'!$F$2:$F$3548, 'working sheet'!$F$2:$F$3548, 0)))),
         INDEX('working sheet'!$F$2:$F$3548, MATCH(A7, 'working sheet'!$D$2:$D$3548, 0)))</f>
        <v>Hot Chocolate</v>
      </c>
      <c r="H7" s="7">
        <f t="shared" si="1"/>
        <v>1</v>
      </c>
      <c r="I7" s="7">
        <f>MAX('working sheet'!$B$2:$B$3548)-C7</f>
        <v>387.07819304397708</v>
      </c>
      <c r="J7" s="4" t="str">
        <f t="array" ref="J7">IF(AND(I7&lt;=30, D7&gt;=10, E7&gt;=200), "VIP",  IF(AND(I7&lt;=60, D7&gt;=5, E7&gt;=100), "Loyal", IF(AND(I7&lt;=90, D7&gt;=3), "Regular", IF(I7&lt;=30, "Recent", IF(D7&gt;=3, "Occasional", "At Risk")))))</f>
        <v>At Risk</v>
      </c>
      <c r="K7" t="str">
        <f t="array" ref="K7">IF(OR(J7="VIP", J7="Loyal"), "HIGH",IF(OR(J7="Regular", J7="Recent"), "MEDIUM","LOW"))</f>
        <v>LOW</v>
      </c>
    </row>
    <row r="8" spans="1:11">
      <c r="A8" t="s">
        <v>16</v>
      </c>
      <c r="B8" s="14">
        <f>_xlfn.MINIFS('working sheet'!$B$2:$B$3548, 'working sheet'!$D$2:$D$3548, A8)</f>
        <v>45352.777124768516</v>
      </c>
      <c r="C8" s="17">
        <f>_xlfn.MAXIFS('working sheet'!$B$1:$B$3548,'working sheet'!$D$1:$D$3548,'Customer Portfolio'!A8)</f>
        <v>45352.777124768516</v>
      </c>
      <c r="D8">
        <f>COUNTIFS('working sheet'!$D$1:$D$3548,'Customer Portfolio'!A8)</f>
        <v>1</v>
      </c>
      <c r="E8" s="5">
        <f>SUMIFS('working sheet'!$E$2:$E$3548,'working sheet'!$D$2:$D$3548,'Customer Portfolio'!A8)</f>
        <v>33.799999999999997</v>
      </c>
      <c r="F8" s="6">
        <f t="shared" si="0"/>
        <v>33.799999999999997</v>
      </c>
      <c r="G8" t="str">
        <f t="array" ref="G8">IFERROR(INDEX('working sheet'!$F$2:$F$3548, MODE(IF('working sheet'!$D$2:$D$3548=A8, MATCH('working sheet'!$F$2:$F$3548, 'working sheet'!$F$2:$F$3548, 0)))),
         INDEX('working sheet'!$F$2:$F$3548, MATCH(A8, 'working sheet'!$D$2:$D$3548, 0)))</f>
        <v>Americano with Milk</v>
      </c>
      <c r="H8" s="7">
        <f t="shared" si="1"/>
        <v>1</v>
      </c>
      <c r="I8" s="7">
        <f>MAX('working sheet'!$B$2:$B$3548)-C8</f>
        <v>386.98096128472389</v>
      </c>
      <c r="J8" s="4" t="str">
        <f t="array" ref="J8">IF(AND(I8&lt;=30, D8&gt;=10, E8&gt;=200), "VIP",  IF(AND(I8&lt;=60, D8&gt;=5, E8&gt;=100), "Loyal", IF(AND(I8&lt;=90, D8&gt;=3), "Regular", IF(I8&lt;=30, "Recent", IF(D8&gt;=3, "Occasional", "At Risk")))))</f>
        <v>At Risk</v>
      </c>
      <c r="K8" t="str">
        <f t="array" ref="K8">IF(OR(J8="VIP", J8="Loyal"), "HIGH",IF(OR(J8="Regular", J8="Recent"), "MEDIUM","LOW"))</f>
        <v>LOW</v>
      </c>
    </row>
    <row r="9" spans="1:11">
      <c r="A9" t="s">
        <v>17</v>
      </c>
      <c r="B9" s="14">
        <f>_xlfn.MINIFS('working sheet'!$B$2:$B$3548, 'working sheet'!$D$2:$D$3548, A9)</f>
        <v>45352.806964837961</v>
      </c>
      <c r="C9" s="17">
        <f>_xlfn.MAXIFS('working sheet'!$B$1:$B$3548,'working sheet'!$D$1:$D$3548,'Customer Portfolio'!A9)</f>
        <v>45352.807822766204</v>
      </c>
      <c r="D9">
        <f>COUNTIFS('working sheet'!$D$1:$D$3548,'Customer Portfolio'!A9)</f>
        <v>2</v>
      </c>
      <c r="E9" s="5">
        <f>SUMIFS('working sheet'!$E$2:$E$3548,'working sheet'!$D$2:$D$3548,'Customer Portfolio'!A9)</f>
        <v>72.5</v>
      </c>
      <c r="F9" s="6">
        <f t="shared" si="0"/>
        <v>36.25</v>
      </c>
      <c r="G9" t="str">
        <f t="array" ref="G9">IFERROR(INDEX('working sheet'!$F$2:$F$3548, MODE(IF('working sheet'!$D$2:$D$3548=A9, MATCH('working sheet'!$F$2:$F$3548, 'working sheet'!$F$2:$F$3548, 0)))),
         INDEX('working sheet'!$F$2:$F$3548, MATCH(A9, 'working sheet'!$D$2:$D$3548, 0)))</f>
        <v>Cocoa</v>
      </c>
      <c r="H9" s="7">
        <f t="shared" si="1"/>
        <v>1.0008579282439314</v>
      </c>
      <c r="I9" s="7">
        <f>MAX('working sheet'!$B$2:$B$3548)-C9</f>
        <v>386.95026328703534</v>
      </c>
      <c r="J9" s="4" t="str">
        <f t="array" ref="J9">IF(AND(I9&lt;=30, D9&gt;=10, E9&gt;=200), "VIP",  IF(AND(I9&lt;=60, D9&gt;=5, E9&gt;=100), "Loyal", IF(AND(I9&lt;=90, D9&gt;=3), "Regular", IF(I9&lt;=30, "Recent", IF(D9&gt;=3, "Occasional", "At Risk")))))</f>
        <v>At Risk</v>
      </c>
      <c r="K9" t="str">
        <f t="array" ref="K9">IF(OR(J9="VIP", J9="Loyal"), "HIGH",IF(OR(J9="Regular", J9="Recent"), "MEDIUM","LOW"))</f>
        <v>LOW</v>
      </c>
    </row>
    <row r="10" spans="1:11">
      <c r="A10" t="s">
        <v>19</v>
      </c>
      <c r="B10" s="14">
        <f>_xlfn.MINIFS('working sheet'!$B$2:$B$3548, 'working sheet'!$D$2:$D$3548, A10)</f>
        <v>45352.812006840279</v>
      </c>
      <c r="C10" s="17">
        <f>_xlfn.MAXIFS('working sheet'!$B$1:$B$3548,'working sheet'!$D$1:$D$3548,'Customer Portfolio'!A10)</f>
        <v>45514.670973206019</v>
      </c>
      <c r="D10">
        <f>COUNTIFS('working sheet'!$D$1:$D$3548,'Customer Portfolio'!A10)</f>
        <v>67</v>
      </c>
      <c r="E10" s="5">
        <f>SUMIFS('working sheet'!$E$2:$E$3548,'working sheet'!$D$2:$D$3548,'Customer Portfolio'!A10)</f>
        <v>2343.9800000000009</v>
      </c>
      <c r="F10" s="6">
        <f t="shared" si="0"/>
        <v>34.984776119403001</v>
      </c>
      <c r="G10" t="str">
        <f t="array" ref="G10">IFERROR(INDEX('working sheet'!$F$2:$F$3548, MODE(IF('working sheet'!$D$2:$D$3548=A10, MATCH('working sheet'!$F$2:$F$3548, 'working sheet'!$F$2:$F$3548, 0)))),
         INDEX('working sheet'!$F$2:$F$3548, MATCH(A10, 'working sheet'!$D$2:$D$3548, 0)))</f>
        <v>Latte</v>
      </c>
      <c r="H10" s="7">
        <f t="shared" si="1"/>
        <v>162.85896636574034</v>
      </c>
      <c r="I10" s="7">
        <f>MAX('working sheet'!$B$2:$B$3548)-C10</f>
        <v>225.08711284722085</v>
      </c>
      <c r="J10" s="4" t="str">
        <f t="array" ref="J10">IF(AND(I10&lt;=30, D10&gt;=10, E10&gt;=200), "VIP",  IF(AND(I10&lt;=60, D10&gt;=5, E10&gt;=100), "Loyal", IF(AND(I10&lt;=90, D10&gt;=3), "Regular", IF(I10&lt;=30, "Recent", IF(D10&gt;=3, "Occasional", "At Risk")))))</f>
        <v>Occasional</v>
      </c>
      <c r="K10" t="str">
        <f t="array" ref="K10">IF(OR(J10="VIP", J10="Loyal"), "HIGH",IF(OR(J10="Regular", J10="Recent"), "MEDIUM","LOW"))</f>
        <v>LOW</v>
      </c>
    </row>
    <row r="11" spans="1:11">
      <c r="A11" t="s">
        <v>20</v>
      </c>
      <c r="B11" s="14">
        <f>_xlfn.MINIFS('working sheet'!$B$2:$B$3548, 'working sheet'!$D$2:$D$3548, A11)</f>
        <v>45353.432024965281</v>
      </c>
      <c r="C11" s="17">
        <f>_xlfn.MAXIFS('working sheet'!$B$1:$B$3548,'working sheet'!$D$1:$D$3548,'Customer Portfolio'!A11)</f>
        <v>45353.432024965281</v>
      </c>
      <c r="D11">
        <f>COUNTIFS('working sheet'!$D$1:$D$3548,'Customer Portfolio'!A11)</f>
        <v>1</v>
      </c>
      <c r="E11" s="5">
        <f>SUMIFS('working sheet'!$E$2:$E$3548,'working sheet'!$D$2:$D$3548,'Customer Portfolio'!A11)</f>
        <v>28.9</v>
      </c>
      <c r="F11" s="6">
        <f t="shared" si="0"/>
        <v>28.9</v>
      </c>
      <c r="G11" t="str">
        <f t="array" ref="G11">IFERROR(INDEX('working sheet'!$F$2:$F$3548, MODE(IF('working sheet'!$D$2:$D$3548=A11, MATCH('working sheet'!$F$2:$F$3548, 'working sheet'!$F$2:$F$3548, 0)))),
         INDEX('working sheet'!$F$2:$F$3548, MATCH(A11, 'working sheet'!$D$2:$D$3548, 0)))</f>
        <v>Americano</v>
      </c>
      <c r="H11" s="7">
        <f t="shared" si="1"/>
        <v>1</v>
      </c>
      <c r="I11" s="7">
        <f>MAX('working sheet'!$B$2:$B$3548)-C11</f>
        <v>386.32606108795881</v>
      </c>
      <c r="J11" s="4" t="str">
        <f t="array" ref="J11">IF(AND(I11&lt;=30, D11&gt;=10, E11&gt;=200), "VIP",  IF(AND(I11&lt;=60, D11&gt;=5, E11&gt;=100), "Loyal", IF(AND(I11&lt;=90, D11&gt;=3), "Regular", IF(I11&lt;=30, "Recent", IF(D11&gt;=3, "Occasional", "At Risk")))))</f>
        <v>At Risk</v>
      </c>
      <c r="K11" t="str">
        <f t="array" ref="K11">IF(OR(J11="VIP", J11="Loyal"), "HIGH",IF(OR(J11="Regular", J11="Recent"), "MEDIUM","LOW"))</f>
        <v>LOW</v>
      </c>
    </row>
    <row r="12" spans="1:11">
      <c r="A12" t="s">
        <v>22</v>
      </c>
      <c r="B12" s="14">
        <f>_xlfn.MINIFS('working sheet'!$B$2:$B$3548, 'working sheet'!$D$2:$D$3548, A12)</f>
        <v>45353.445616307872</v>
      </c>
      <c r="C12" s="17">
        <f>_xlfn.MAXIFS('working sheet'!$B$1:$B$3548,'working sheet'!$D$1:$D$3548,'Customer Portfolio'!A12)</f>
        <v>45353.445616307872</v>
      </c>
      <c r="D12">
        <f>COUNTIFS('working sheet'!$D$1:$D$3548,'Customer Portfolio'!A12)</f>
        <v>1</v>
      </c>
      <c r="E12" s="5">
        <f>SUMIFS('working sheet'!$E$2:$E$3548,'working sheet'!$D$2:$D$3548,'Customer Portfolio'!A12)</f>
        <v>33.799999999999997</v>
      </c>
      <c r="F12" s="6">
        <f t="shared" si="0"/>
        <v>33.799999999999997</v>
      </c>
      <c r="G12" t="str">
        <f t="array" ref="G12">IFERROR(INDEX('working sheet'!$F$2:$F$3548, MODE(IF('working sheet'!$D$2:$D$3548=A12, MATCH('working sheet'!$F$2:$F$3548, 'working sheet'!$F$2:$F$3548, 0)))),
         INDEX('working sheet'!$F$2:$F$3548, MATCH(A12, 'working sheet'!$D$2:$D$3548, 0)))</f>
        <v>Americano with Milk</v>
      </c>
      <c r="H12" s="7">
        <f t="shared" si="1"/>
        <v>1</v>
      </c>
      <c r="I12" s="7">
        <f>MAX('working sheet'!$B$2:$B$3548)-C12</f>
        <v>386.31246974536771</v>
      </c>
      <c r="J12" s="4" t="str">
        <f t="array" ref="J12">IF(AND(I12&lt;=30, D12&gt;=10, E12&gt;=200), "VIP",  IF(AND(I12&lt;=60, D12&gt;=5, E12&gt;=100), "Loyal", IF(AND(I12&lt;=90, D12&gt;=3), "Regular", IF(I12&lt;=30, "Recent", IF(D12&gt;=3, "Occasional", "At Risk")))))</f>
        <v>At Risk</v>
      </c>
      <c r="K12" t="str">
        <f t="array" ref="K12">IF(OR(J12="VIP", J12="Loyal"), "HIGH",IF(OR(J12="Regular", J12="Recent"), "MEDIUM","LOW"))</f>
        <v>LOW</v>
      </c>
    </row>
    <row r="13" spans="1:11">
      <c r="A13" t="s">
        <v>23</v>
      </c>
      <c r="B13" s="14">
        <f>_xlfn.MINIFS('working sheet'!$B$2:$B$3548, 'working sheet'!$D$2:$D$3548, A13)</f>
        <v>45353.499831990739</v>
      </c>
      <c r="C13" s="17">
        <f>_xlfn.MAXIFS('working sheet'!$B$1:$B$3548,'working sheet'!$D$1:$D$3548,'Customer Portfolio'!A13)</f>
        <v>45677.354027303241</v>
      </c>
      <c r="D13">
        <f>COUNTIFS('working sheet'!$D$1:$D$3548,'Customer Portfolio'!A13)</f>
        <v>129</v>
      </c>
      <c r="E13" s="5">
        <f>SUMIFS('working sheet'!$E$2:$E$3548,'working sheet'!$D$2:$D$3548,'Customer Portfolio'!A13)</f>
        <v>3785.920000000006</v>
      </c>
      <c r="F13" s="6">
        <f t="shared" si="0"/>
        <v>29.348217054263614</v>
      </c>
      <c r="G13" t="str">
        <f t="array" ref="G13">IFERROR(INDEX('working sheet'!$F$2:$F$3548, MODE(IF('working sheet'!$D$2:$D$3548=A13, MATCH('working sheet'!$F$2:$F$3548, 'working sheet'!$F$2:$F$3548, 0)))),
         INDEX('working sheet'!$F$2:$F$3548, MATCH(A13, 'working sheet'!$D$2:$D$3548, 0)))</f>
        <v>Americano</v>
      </c>
      <c r="H13" s="7">
        <f t="shared" si="1"/>
        <v>324.85419531250227</v>
      </c>
      <c r="I13" s="7">
        <f>MAX('working sheet'!$B$2:$B$3548)-C13</f>
        <v>62.404058749998512</v>
      </c>
      <c r="J13" s="4" t="str">
        <f t="array" ref="J13">IF(AND(I13&lt;=30, D13&gt;=10, E13&gt;=200), "VIP",  IF(AND(I13&lt;=60, D13&gt;=5, E13&gt;=100), "Loyal", IF(AND(I13&lt;=90, D13&gt;=3), "Regular", IF(I13&lt;=30, "Recent", IF(D13&gt;=3, "Occasional", "At Risk")))))</f>
        <v>Regular</v>
      </c>
      <c r="K13" t="str">
        <f t="array" ref="K13">IF(OR(J13="VIP", J13="Loyal"), "HIGH",IF(OR(J13="Regular", J13="Recent"), "MEDIUM","LOW"))</f>
        <v>MEDIUM</v>
      </c>
    </row>
    <row r="14" spans="1:11">
      <c r="A14" t="s">
        <v>24</v>
      </c>
      <c r="B14" s="14">
        <f>_xlfn.MINIFS('working sheet'!$B$2:$B$3548, 'working sheet'!$D$2:$D$3548, A14)</f>
        <v>45353.610133506947</v>
      </c>
      <c r="C14" s="17">
        <f>_xlfn.MAXIFS('working sheet'!$B$1:$B$3548,'working sheet'!$D$1:$D$3548,'Customer Portfolio'!A14)</f>
        <v>45353.610133506947</v>
      </c>
      <c r="D14">
        <f>COUNTIFS('working sheet'!$D$1:$D$3548,'Customer Portfolio'!A14)</f>
        <v>1</v>
      </c>
      <c r="E14" s="5">
        <f>SUMIFS('working sheet'!$E$2:$E$3548,'working sheet'!$D$2:$D$3548,'Customer Portfolio'!A14)</f>
        <v>28.9</v>
      </c>
      <c r="F14" s="6">
        <f t="shared" si="0"/>
        <v>28.9</v>
      </c>
      <c r="G14" t="str">
        <f t="array" ref="G14">IFERROR(INDEX('working sheet'!$F$2:$F$3548, MODE(IF('working sheet'!$D$2:$D$3548=A14, MATCH('working sheet'!$F$2:$F$3548, 'working sheet'!$F$2:$F$3548, 0)))),
         INDEX('working sheet'!$F$2:$F$3548, MATCH(A14, 'working sheet'!$D$2:$D$3548, 0)))</f>
        <v>Americano</v>
      </c>
      <c r="H14" s="7">
        <f t="shared" si="1"/>
        <v>1</v>
      </c>
      <c r="I14" s="7">
        <f>MAX('working sheet'!$B$2:$B$3548)-C14</f>
        <v>386.1479525462928</v>
      </c>
      <c r="J14" s="4" t="str">
        <f t="array" ref="J14">IF(AND(I14&lt;=30, D14&gt;=10, E14&gt;=200), "VIP",  IF(AND(I14&lt;=60, D14&gt;=5, E14&gt;=100), "Loyal", IF(AND(I14&lt;=90, D14&gt;=3), "Regular", IF(I14&lt;=30, "Recent", IF(D14&gt;=3, "Occasional", "At Risk")))))</f>
        <v>At Risk</v>
      </c>
      <c r="K14" t="str">
        <f t="array" ref="K14">IF(OR(J14="VIP", J14="Loyal"), "HIGH",IF(OR(J14="Regular", J14="Recent"), "MEDIUM","LOW"))</f>
        <v>LOW</v>
      </c>
    </row>
    <row r="15" spans="1:11">
      <c r="A15" t="s">
        <v>25</v>
      </c>
      <c r="B15" s="14">
        <f>_xlfn.MINIFS('working sheet'!$B$2:$B$3548, 'working sheet'!$D$2:$D$3548, A15)</f>
        <v>45353.692644386574</v>
      </c>
      <c r="C15" s="17">
        <f>_xlfn.MAXIFS('working sheet'!$B$1:$B$3548,'working sheet'!$D$1:$D$3548,'Customer Portfolio'!A15)</f>
        <v>45353.692644386574</v>
      </c>
      <c r="D15">
        <f>COUNTIFS('working sheet'!$D$1:$D$3548,'Customer Portfolio'!A15)</f>
        <v>1</v>
      </c>
      <c r="E15" s="5">
        <f>SUMIFS('working sheet'!$E$2:$E$3548,'working sheet'!$D$2:$D$3548,'Customer Portfolio'!A15)</f>
        <v>33.799999999999997</v>
      </c>
      <c r="F15" s="6">
        <f t="shared" si="0"/>
        <v>33.799999999999997</v>
      </c>
      <c r="G15" t="str">
        <f t="array" ref="G15">IFERROR(INDEX('working sheet'!$F$2:$F$3548, MODE(IF('working sheet'!$D$2:$D$3548=A15, MATCH('working sheet'!$F$2:$F$3548, 'working sheet'!$F$2:$F$3548, 0)))),
         INDEX('working sheet'!$F$2:$F$3548, MATCH(A15, 'working sheet'!$D$2:$D$3548, 0)))</f>
        <v>Americano with Milk</v>
      </c>
      <c r="H15" s="7">
        <f t="shared" si="1"/>
        <v>1</v>
      </c>
      <c r="I15" s="7">
        <f>MAX('working sheet'!$B$2:$B$3548)-C15</f>
        <v>386.06544166666572</v>
      </c>
      <c r="J15" s="4" t="str">
        <f t="array" ref="J15">IF(AND(I15&lt;=30, D15&gt;=10, E15&gt;=200), "VIP",  IF(AND(I15&lt;=60, D15&gt;=5, E15&gt;=100), "Loyal", IF(AND(I15&lt;=90, D15&gt;=3), "Regular", IF(I15&lt;=30, "Recent", IF(D15&gt;=3, "Occasional", "At Risk")))))</f>
        <v>At Risk</v>
      </c>
      <c r="K15" t="str">
        <f t="array" ref="K15">IF(OR(J15="VIP", J15="Loyal"), "HIGH",IF(OR(J15="Regular", J15="Recent"), "MEDIUM","LOW"))</f>
        <v>LOW</v>
      </c>
    </row>
    <row r="16" spans="1:11">
      <c r="A16" t="s">
        <v>26</v>
      </c>
      <c r="B16" s="14">
        <f>_xlfn.MINIFS('working sheet'!$B$2:$B$3548, 'working sheet'!$D$2:$D$3548, A16)</f>
        <v>45354.435631493056</v>
      </c>
      <c r="C16" s="17">
        <f>_xlfn.MAXIFS('working sheet'!$B$1:$B$3548,'working sheet'!$D$1:$D$3548,'Customer Portfolio'!A16)</f>
        <v>45354.435631493056</v>
      </c>
      <c r="D16">
        <f>COUNTIFS('working sheet'!$D$1:$D$3548,'Customer Portfolio'!A16)</f>
        <v>1</v>
      </c>
      <c r="E16" s="5">
        <f>SUMIFS('working sheet'!$E$2:$E$3548,'working sheet'!$D$2:$D$3548,'Customer Portfolio'!A16)</f>
        <v>38.700000000000003</v>
      </c>
      <c r="F16" s="6">
        <f t="shared" si="0"/>
        <v>38.700000000000003</v>
      </c>
      <c r="G16" t="str">
        <f t="array" ref="G16">IFERROR(INDEX('working sheet'!$F$2:$F$3548, MODE(IF('working sheet'!$D$2:$D$3548=A16, MATCH('working sheet'!$F$2:$F$3548, 'working sheet'!$F$2:$F$3548, 0)))),
         INDEX('working sheet'!$F$2:$F$3548, MATCH(A16, 'working sheet'!$D$2:$D$3548, 0)))</f>
        <v>Latte</v>
      </c>
      <c r="H16" s="7">
        <f t="shared" si="1"/>
        <v>1</v>
      </c>
      <c r="I16" s="7">
        <f>MAX('working sheet'!$B$2:$B$3548)-C16</f>
        <v>385.32245456018427</v>
      </c>
      <c r="J16" s="4" t="str">
        <f t="array" ref="J16">IF(AND(I16&lt;=30, D16&gt;=10, E16&gt;=200), "VIP",  IF(AND(I16&lt;=60, D16&gt;=5, E16&gt;=100), "Loyal", IF(AND(I16&lt;=90, D16&gt;=3), "Regular", IF(I16&lt;=30, "Recent", IF(D16&gt;=3, "Occasional", "At Risk")))))</f>
        <v>At Risk</v>
      </c>
      <c r="K16" t="str">
        <f t="array" ref="K16">IF(OR(J16="VIP", J16="Loyal"), "HIGH",IF(OR(J16="Regular", J16="Recent"), "MEDIUM","LOW"))</f>
        <v>LOW</v>
      </c>
    </row>
    <row r="17" spans="1:11">
      <c r="A17" t="s">
        <v>27</v>
      </c>
      <c r="B17" s="14">
        <f>_xlfn.MINIFS('working sheet'!$B$2:$B$3548, 'working sheet'!$D$2:$D$3548, A17)</f>
        <v>45354.481899513892</v>
      </c>
      <c r="C17" s="17">
        <f>_xlfn.MAXIFS('working sheet'!$B$1:$B$3548,'working sheet'!$D$1:$D$3548,'Customer Portfolio'!A17)</f>
        <v>45354.481899513892</v>
      </c>
      <c r="D17">
        <f>COUNTIFS('working sheet'!$D$1:$D$3548,'Customer Portfolio'!A17)</f>
        <v>1</v>
      </c>
      <c r="E17" s="5">
        <f>SUMIFS('working sheet'!$E$2:$E$3548,'working sheet'!$D$2:$D$3548,'Customer Portfolio'!A17)</f>
        <v>28.9</v>
      </c>
      <c r="F17" s="6">
        <f t="shared" si="0"/>
        <v>28.9</v>
      </c>
      <c r="G17" t="str">
        <f t="array" ref="G17">IFERROR(INDEX('working sheet'!$F$2:$F$3548, MODE(IF('working sheet'!$D$2:$D$3548=A17, MATCH('working sheet'!$F$2:$F$3548, 'working sheet'!$F$2:$F$3548, 0)))),
         INDEX('working sheet'!$F$2:$F$3548, MATCH(A17, 'working sheet'!$D$2:$D$3548, 0)))</f>
        <v>Cortado</v>
      </c>
      <c r="H17" s="7">
        <f t="shared" si="1"/>
        <v>1</v>
      </c>
      <c r="I17" s="7">
        <f>MAX('working sheet'!$B$2:$B$3548)-C17</f>
        <v>385.27618653934769</v>
      </c>
      <c r="J17" s="4" t="str">
        <f t="array" ref="J17">IF(AND(I17&lt;=30, D17&gt;=10, E17&gt;=200), "VIP",  IF(AND(I17&lt;=60, D17&gt;=5, E17&gt;=100), "Loyal", IF(AND(I17&lt;=90, D17&gt;=3), "Regular", IF(I17&lt;=30, "Recent", IF(D17&gt;=3, "Occasional", "At Risk")))))</f>
        <v>At Risk</v>
      </c>
      <c r="K17" t="str">
        <f t="array" ref="K17">IF(OR(J17="VIP", J17="Loyal"), "HIGH",IF(OR(J17="Regular", J17="Recent"), "MEDIUM","LOW"))</f>
        <v>LOW</v>
      </c>
    </row>
    <row r="18" spans="1:11">
      <c r="A18" t="s">
        <v>29</v>
      </c>
      <c r="B18" s="14">
        <f>_xlfn.MINIFS('working sheet'!$B$2:$B$3548, 'working sheet'!$D$2:$D$3548, A18)</f>
        <v>45354.548337048611</v>
      </c>
      <c r="C18" s="17">
        <f>_xlfn.MAXIFS('working sheet'!$B$1:$B$3548,'working sheet'!$D$1:$D$3548,'Customer Portfolio'!A18)</f>
        <v>45396.657265428243</v>
      </c>
      <c r="D18">
        <f>COUNTIFS('working sheet'!$D$1:$D$3548,'Customer Portfolio'!A18)</f>
        <v>6</v>
      </c>
      <c r="E18" s="5">
        <f>SUMIFS('working sheet'!$E$2:$E$3548,'working sheet'!$D$2:$D$3548,'Customer Portfolio'!A18)</f>
        <v>232.2</v>
      </c>
      <c r="F18" s="6">
        <f t="shared" si="0"/>
        <v>38.699999999999996</v>
      </c>
      <c r="G18" t="str">
        <f t="array" ref="G18">IFERROR(INDEX('working sheet'!$F$2:$F$3548, MODE(IF('working sheet'!$D$2:$D$3548=A18, MATCH('working sheet'!$F$2:$F$3548, 'working sheet'!$F$2:$F$3548, 0)))),
         INDEX('working sheet'!$F$2:$F$3548, MATCH(A18, 'working sheet'!$D$2:$D$3548, 0)))</f>
        <v>Latte</v>
      </c>
      <c r="H18" s="7">
        <f t="shared" si="1"/>
        <v>43.108928379631834</v>
      </c>
      <c r="I18" s="7">
        <f>MAX('working sheet'!$B$2:$B$3548)-C18</f>
        <v>343.10082062499714</v>
      </c>
      <c r="J18" s="4" t="str">
        <f t="array" ref="J18">IF(AND(I18&lt;=30, D18&gt;=10, E18&gt;=200), "VIP",  IF(AND(I18&lt;=60, D18&gt;=5, E18&gt;=100), "Loyal", IF(AND(I18&lt;=90, D18&gt;=3), "Regular", IF(I18&lt;=30, "Recent", IF(D18&gt;=3, "Occasional", "At Risk")))))</f>
        <v>Occasional</v>
      </c>
      <c r="K18" t="str">
        <f t="array" ref="K18">IF(OR(J18="VIP", J18="Loyal"), "HIGH",IF(OR(J18="Regular", J18="Recent"), "MEDIUM","LOW"))</f>
        <v>LOW</v>
      </c>
    </row>
    <row r="19" spans="1:11">
      <c r="A19" t="s">
        <v>30</v>
      </c>
      <c r="B19" s="14">
        <f>_xlfn.MINIFS('working sheet'!$B$2:$B$3548, 'working sheet'!$D$2:$D$3548, A19)</f>
        <v>45354.712966099534</v>
      </c>
      <c r="C19" s="17">
        <f>_xlfn.MAXIFS('working sheet'!$B$1:$B$3548,'working sheet'!$D$1:$D$3548,'Customer Portfolio'!A19)</f>
        <v>45354.712966099534</v>
      </c>
      <c r="D19">
        <f>COUNTIFS('working sheet'!$D$1:$D$3548,'Customer Portfolio'!A19)</f>
        <v>1</v>
      </c>
      <c r="E19" s="5">
        <f>SUMIFS('working sheet'!$E$2:$E$3548,'working sheet'!$D$2:$D$3548,'Customer Portfolio'!A19)</f>
        <v>38.700000000000003</v>
      </c>
      <c r="F19" s="6">
        <f t="shared" si="0"/>
        <v>38.700000000000003</v>
      </c>
      <c r="G19" t="str">
        <f t="array" ref="G19">IFERROR(INDEX('working sheet'!$F$2:$F$3548, MODE(IF('working sheet'!$D$2:$D$3548=A19, MATCH('working sheet'!$F$2:$F$3548, 'working sheet'!$F$2:$F$3548, 0)))),
         INDEX('working sheet'!$F$2:$F$3548, MATCH(A19, 'working sheet'!$D$2:$D$3548, 0)))</f>
        <v>Cocoa</v>
      </c>
      <c r="H19" s="7">
        <f t="shared" si="1"/>
        <v>1</v>
      </c>
      <c r="I19" s="7">
        <f>MAX('working sheet'!$B$2:$B$3548)-C19</f>
        <v>385.04511995370558</v>
      </c>
      <c r="J19" s="4" t="str">
        <f t="array" ref="J19">IF(AND(I19&lt;=30, D19&gt;=10, E19&gt;=200), "VIP",  IF(AND(I19&lt;=60, D19&gt;=5, E19&gt;=100), "Loyal", IF(AND(I19&lt;=90, D19&gt;=3), "Regular", IF(I19&lt;=30, "Recent", IF(D19&gt;=3, "Occasional", "At Risk")))))</f>
        <v>At Risk</v>
      </c>
      <c r="K19" t="str">
        <f t="array" ref="K19">IF(OR(J19="VIP", J19="Loyal"), "HIGH",IF(OR(J19="Regular", J19="Recent"), "MEDIUM","LOW"))</f>
        <v>LOW</v>
      </c>
    </row>
    <row r="20" spans="1:11">
      <c r="A20" t="s">
        <v>31</v>
      </c>
      <c r="B20" s="14">
        <f>_xlfn.MINIFS('working sheet'!$B$2:$B$3548, 'working sheet'!$D$2:$D$3548, A20)</f>
        <v>45354.714420081022</v>
      </c>
      <c r="C20" s="17">
        <f>_xlfn.MAXIFS('working sheet'!$B$1:$B$3548,'working sheet'!$D$1:$D$3548,'Customer Portfolio'!A20)</f>
        <v>45737.493837152775</v>
      </c>
      <c r="D20">
        <f>COUNTIFS('working sheet'!$D$1:$D$3548,'Customer Portfolio'!A20)</f>
        <v>21</v>
      </c>
      <c r="E20" s="5">
        <f>SUMIFS('working sheet'!$E$2:$E$3548,'working sheet'!$D$2:$D$3548,'Customer Portfolio'!A20)</f>
        <v>667.66</v>
      </c>
      <c r="F20" s="6">
        <f t="shared" si="0"/>
        <v>31.793333333333333</v>
      </c>
      <c r="G20" t="str">
        <f t="array" ref="G20">IFERROR(INDEX('working sheet'!$F$2:$F$3548, MODE(IF('working sheet'!$D$2:$D$3548=A20, MATCH('working sheet'!$F$2:$F$3548, 'working sheet'!$F$2:$F$3548, 0)))),
         INDEX('working sheet'!$F$2:$F$3548, MATCH(A20, 'working sheet'!$D$2:$D$3548, 0)))</f>
        <v>Latte</v>
      </c>
      <c r="H20" s="7">
        <f t="shared" si="1"/>
        <v>383.77941707175341</v>
      </c>
      <c r="I20" s="7">
        <f>MAX('working sheet'!$B$2:$B$3548)-C20</f>
        <v>2.2642489004647359</v>
      </c>
      <c r="J20" s="4" t="str">
        <f t="array" ref="J20">IF(AND(I20&lt;=30, D20&gt;=10, E20&gt;=200), "VIP",  IF(AND(I20&lt;=60, D20&gt;=5, E20&gt;=100), "Loyal", IF(AND(I20&lt;=90, D20&gt;=3), "Regular", IF(I20&lt;=30, "Recent", IF(D20&gt;=3, "Occasional", "At Risk")))))</f>
        <v>VIP</v>
      </c>
      <c r="K20" t="str">
        <f t="array" ref="K20">IF(OR(J20="VIP", J20="Loyal"), "HIGH",IF(OR(J20="Regular", J20="Recent"), "MEDIUM","LOW"))</f>
        <v>HIGH</v>
      </c>
    </row>
    <row r="21" spans="1:11">
      <c r="A21" t="s">
        <v>32</v>
      </c>
      <c r="B21" s="14">
        <f>_xlfn.MINIFS('working sheet'!$B$2:$B$3548, 'working sheet'!$D$2:$D$3548, A21)</f>
        <v>45354.752353807868</v>
      </c>
      <c r="C21" s="17">
        <f>_xlfn.MAXIFS('working sheet'!$B$1:$B$3548,'working sheet'!$D$1:$D$3548,'Customer Portfolio'!A21)</f>
        <v>45354.755612951391</v>
      </c>
      <c r="D21">
        <f>COUNTIFS('working sheet'!$D$1:$D$3548,'Customer Portfolio'!A21)</f>
        <v>3</v>
      </c>
      <c r="E21" s="5">
        <f>SUMIFS('working sheet'!$E$2:$E$3548,'working sheet'!$D$2:$D$3548,'Customer Portfolio'!A21)</f>
        <v>106.3</v>
      </c>
      <c r="F21" s="6">
        <f t="shared" si="0"/>
        <v>35.43333333333333</v>
      </c>
      <c r="G21" t="str">
        <f t="array" ref="G21">IFERROR(INDEX('working sheet'!$F$2:$F$3548, MODE(IF('working sheet'!$D$2:$D$3548=A21, MATCH('working sheet'!$F$2:$F$3548, 'working sheet'!$F$2:$F$3548, 0)))),
         INDEX('working sheet'!$F$2:$F$3548, MATCH(A21, 'working sheet'!$D$2:$D$3548, 0)))</f>
        <v>Americano with Milk</v>
      </c>
      <c r="H21" s="7">
        <f t="shared" si="1"/>
        <v>1.0032591435228824</v>
      </c>
      <c r="I21" s="7">
        <f>MAX('working sheet'!$B$2:$B$3548)-C21</f>
        <v>385.00247310184932</v>
      </c>
      <c r="J21" s="4" t="str">
        <f t="array" ref="J21">IF(AND(I21&lt;=30, D21&gt;=10, E21&gt;=200), "VIP",  IF(AND(I21&lt;=60, D21&gt;=5, E21&gt;=100), "Loyal", IF(AND(I21&lt;=90, D21&gt;=3), "Regular", IF(I21&lt;=30, "Recent", IF(D21&gt;=3, "Occasional", "At Risk")))))</f>
        <v>Occasional</v>
      </c>
      <c r="K21" t="str">
        <f t="array" ref="K21">IF(OR(J21="VIP", J21="Loyal"), "HIGH",IF(OR(J21="Regular", J21="Recent"), "MEDIUM","LOW"))</f>
        <v>LOW</v>
      </c>
    </row>
    <row r="22" spans="1:11">
      <c r="A22" t="s">
        <v>33</v>
      </c>
      <c r="B22" s="14">
        <f>_xlfn.MINIFS('working sheet'!$B$2:$B$3548, 'working sheet'!$D$2:$D$3548, A22)</f>
        <v>45355.454756458334</v>
      </c>
      <c r="C22" s="17">
        <f>_xlfn.MAXIFS('working sheet'!$B$1:$B$3548,'working sheet'!$D$1:$D$3548,'Customer Portfolio'!A22)</f>
        <v>45355.454756458334</v>
      </c>
      <c r="D22">
        <f>COUNTIFS('working sheet'!$D$1:$D$3548,'Customer Portfolio'!A22)</f>
        <v>1</v>
      </c>
      <c r="E22" s="5">
        <f>SUMIFS('working sheet'!$E$2:$E$3548,'working sheet'!$D$2:$D$3548,'Customer Portfolio'!A22)</f>
        <v>38.700000000000003</v>
      </c>
      <c r="F22" s="6">
        <f t="shared" si="0"/>
        <v>38.700000000000003</v>
      </c>
      <c r="G22" t="str">
        <f t="array" ref="G22">IFERROR(INDEX('working sheet'!$F$2:$F$3548, MODE(IF('working sheet'!$D$2:$D$3548=A22, MATCH('working sheet'!$F$2:$F$3548, 'working sheet'!$F$2:$F$3548, 0)))),
         INDEX('working sheet'!$F$2:$F$3548, MATCH(A22, 'working sheet'!$D$2:$D$3548, 0)))</f>
        <v>Latte</v>
      </c>
      <c r="H22" s="7">
        <f t="shared" si="1"/>
        <v>1</v>
      </c>
      <c r="I22" s="7">
        <f>MAX('working sheet'!$B$2:$B$3548)-C22</f>
        <v>384.30332959490624</v>
      </c>
      <c r="J22" s="4" t="str">
        <f t="array" ref="J22">IF(AND(I22&lt;=30, D22&gt;=10, E22&gt;=200), "VIP",  IF(AND(I22&lt;=60, D22&gt;=5, E22&gt;=100), "Loyal", IF(AND(I22&lt;=90, D22&gt;=3), "Regular", IF(I22&lt;=30, "Recent", IF(D22&gt;=3, "Occasional", "At Risk")))))</f>
        <v>At Risk</v>
      </c>
      <c r="K22" t="str">
        <f t="array" ref="K22">IF(OR(J22="VIP", J22="Loyal"), "HIGH",IF(OR(J22="Regular", J22="Recent"), "MEDIUM","LOW"))</f>
        <v>LOW</v>
      </c>
    </row>
    <row r="23" spans="1:11">
      <c r="A23" t="s">
        <v>34</v>
      </c>
      <c r="B23" s="14">
        <f>_xlfn.MINIFS('working sheet'!$B$2:$B$3548, 'working sheet'!$D$2:$D$3548, A23)</f>
        <v>45355.586547847219</v>
      </c>
      <c r="C23" s="17">
        <f>_xlfn.MAXIFS('working sheet'!$B$1:$B$3548,'working sheet'!$D$1:$D$3548,'Customer Portfolio'!A23)</f>
        <v>45355.586547847219</v>
      </c>
      <c r="D23">
        <f>COUNTIFS('working sheet'!$D$1:$D$3548,'Customer Portfolio'!A23)</f>
        <v>1</v>
      </c>
      <c r="E23" s="5">
        <f>SUMIFS('working sheet'!$E$2:$E$3548,'working sheet'!$D$2:$D$3548,'Customer Portfolio'!A23)</f>
        <v>24</v>
      </c>
      <c r="F23" s="6">
        <f t="shared" si="0"/>
        <v>24</v>
      </c>
      <c r="G23" t="str">
        <f t="array" ref="G23">IFERROR(INDEX('working sheet'!$F$2:$F$3548, MODE(IF('working sheet'!$D$2:$D$3548=A23, MATCH('working sheet'!$F$2:$F$3548, 'working sheet'!$F$2:$F$3548, 0)))),
         INDEX('working sheet'!$F$2:$F$3548, MATCH(A23, 'working sheet'!$D$2:$D$3548, 0)))</f>
        <v>Espresso</v>
      </c>
      <c r="H23" s="7">
        <f t="shared" si="1"/>
        <v>1</v>
      </c>
      <c r="I23" s="7">
        <f>MAX('working sheet'!$B$2:$B$3548)-C23</f>
        <v>384.17153820602107</v>
      </c>
      <c r="J23" s="4" t="str">
        <f t="array" ref="J23">IF(AND(I23&lt;=30, D23&gt;=10, E23&gt;=200), "VIP",  IF(AND(I23&lt;=60, D23&gt;=5, E23&gt;=100), "Loyal", IF(AND(I23&lt;=90, D23&gt;=3), "Regular", IF(I23&lt;=30, "Recent", IF(D23&gt;=3, "Occasional", "At Risk")))))</f>
        <v>At Risk</v>
      </c>
      <c r="K23" t="str">
        <f t="array" ref="K23">IF(OR(J23="VIP", J23="Loyal"), "HIGH",IF(OR(J23="Regular", J23="Recent"), "MEDIUM","LOW"))</f>
        <v>LOW</v>
      </c>
    </row>
    <row r="24" spans="1:11">
      <c r="A24" t="s">
        <v>36</v>
      </c>
      <c r="B24" s="14">
        <f>_xlfn.MINIFS('working sheet'!$B$2:$B$3548, 'working sheet'!$D$2:$D$3548, A24)</f>
        <v>45356.60759216435</v>
      </c>
      <c r="C24" s="17">
        <f>_xlfn.MAXIFS('working sheet'!$B$1:$B$3548,'working sheet'!$D$1:$D$3548,'Customer Portfolio'!A24)</f>
        <v>45356.60759216435</v>
      </c>
      <c r="D24">
        <f>COUNTIFS('working sheet'!$D$1:$D$3548,'Customer Portfolio'!A24)</f>
        <v>1</v>
      </c>
      <c r="E24" s="5">
        <f>SUMIFS('working sheet'!$E$2:$E$3548,'working sheet'!$D$2:$D$3548,'Customer Portfolio'!A24)</f>
        <v>38.700000000000003</v>
      </c>
      <c r="F24" s="6">
        <f t="shared" si="0"/>
        <v>38.700000000000003</v>
      </c>
      <c r="G24" t="str">
        <f t="array" ref="G24">IFERROR(INDEX('working sheet'!$F$2:$F$3548, MODE(IF('working sheet'!$D$2:$D$3548=A24, MATCH('working sheet'!$F$2:$F$3548, 'working sheet'!$F$2:$F$3548, 0)))),
         INDEX('working sheet'!$F$2:$F$3548, MATCH(A24, 'working sheet'!$D$2:$D$3548, 0)))</f>
        <v>Latte</v>
      </c>
      <c r="H24" s="7">
        <f t="shared" si="1"/>
        <v>1</v>
      </c>
      <c r="I24" s="7">
        <f>MAX('working sheet'!$B$2:$B$3548)-C24</f>
        <v>383.1504938888902</v>
      </c>
      <c r="J24" s="4" t="str">
        <f t="array" ref="J24">IF(AND(I24&lt;=30, D24&gt;=10, E24&gt;=200), "VIP",  IF(AND(I24&lt;=60, D24&gt;=5, E24&gt;=100), "Loyal", IF(AND(I24&lt;=90, D24&gt;=3), "Regular", IF(I24&lt;=30, "Recent", IF(D24&gt;=3, "Occasional", "At Risk")))))</f>
        <v>At Risk</v>
      </c>
      <c r="K24" t="str">
        <f t="array" ref="K24">IF(OR(J24="VIP", J24="Loyal"), "HIGH",IF(OR(J24="Regular", J24="Recent"), "MEDIUM","LOW"))</f>
        <v>LOW</v>
      </c>
    </row>
    <row r="25" spans="1:11">
      <c r="A25" t="s">
        <v>37</v>
      </c>
      <c r="B25" s="14">
        <f>_xlfn.MINIFS('working sheet'!$B$2:$B$3548, 'working sheet'!$D$2:$D$3548, A25)</f>
        <v>45356.732014386573</v>
      </c>
      <c r="C25" s="17">
        <f>_xlfn.MAXIFS('working sheet'!$B$1:$B$3548,'working sheet'!$D$1:$D$3548,'Customer Portfolio'!A25)</f>
        <v>45446.606261018518</v>
      </c>
      <c r="D25">
        <f>COUNTIFS('working sheet'!$D$1:$D$3548,'Customer Portfolio'!A25)</f>
        <v>12</v>
      </c>
      <c r="E25" s="5">
        <f>SUMIFS('working sheet'!$E$2:$E$3548,'working sheet'!$D$2:$D$3548,'Customer Portfolio'!A25)</f>
        <v>422.26</v>
      </c>
      <c r="F25" s="6">
        <f t="shared" si="0"/>
        <v>35.188333333333333</v>
      </c>
      <c r="G25" t="str">
        <f t="array" ref="G25">IFERROR(INDEX('working sheet'!$F$2:$F$3548, MODE(IF('working sheet'!$D$2:$D$3548=A25, MATCH('working sheet'!$F$2:$F$3548, 'working sheet'!$F$2:$F$3548, 0)))),
         INDEX('working sheet'!$F$2:$F$3548, MATCH(A25, 'working sheet'!$D$2:$D$3548, 0)))</f>
        <v>Americano with Milk</v>
      </c>
      <c r="H25" s="7">
        <f t="shared" si="1"/>
        <v>90.874246631945425</v>
      </c>
      <c r="I25" s="7">
        <f>MAX('working sheet'!$B$2:$B$3548)-C25</f>
        <v>293.1518250347217</v>
      </c>
      <c r="J25" s="4" t="str">
        <f t="array" ref="J25">IF(AND(I25&lt;=30, D25&gt;=10, E25&gt;=200), "VIP",  IF(AND(I25&lt;=60, D25&gt;=5, E25&gt;=100), "Loyal", IF(AND(I25&lt;=90, D25&gt;=3), "Regular", IF(I25&lt;=30, "Recent", IF(D25&gt;=3, "Occasional", "At Risk")))))</f>
        <v>Occasional</v>
      </c>
      <c r="K25" t="str">
        <f t="array" ref="K25">IF(OR(J25="VIP", J25="Loyal"), "HIGH",IF(OR(J25="Regular", J25="Recent"), "MEDIUM","LOW"))</f>
        <v>LOW</v>
      </c>
    </row>
    <row r="26" spans="1:11">
      <c r="A26" t="s">
        <v>38</v>
      </c>
      <c r="B26" s="14">
        <f>_xlfn.MINIFS('working sheet'!$B$2:$B$3548, 'working sheet'!$D$2:$D$3548, A26)</f>
        <v>45356.732928483798</v>
      </c>
      <c r="C26" s="17">
        <f>_xlfn.MAXIFS('working sheet'!$B$1:$B$3548,'working sheet'!$D$1:$D$3548,'Customer Portfolio'!A26)</f>
        <v>45446.605351134262</v>
      </c>
      <c r="D26">
        <f>COUNTIFS('working sheet'!$D$1:$D$3548,'Customer Portfolio'!A26)</f>
        <v>4</v>
      </c>
      <c r="E26" s="5">
        <f>SUMIFS('working sheet'!$E$2:$E$3548,'working sheet'!$D$2:$D$3548,'Customer Portfolio'!A26)</f>
        <v>151.86000000000001</v>
      </c>
      <c r="F26" s="6">
        <f t="shared" si="0"/>
        <v>37.965000000000003</v>
      </c>
      <c r="G26" t="str">
        <f t="array" ref="G26">IFERROR(INDEX('working sheet'!$F$2:$F$3548, MODE(IF('working sheet'!$D$2:$D$3548=A26, MATCH('working sheet'!$F$2:$F$3548, 'working sheet'!$F$2:$F$3548, 0)))),
         INDEX('working sheet'!$F$2:$F$3548, MATCH(A26, 'working sheet'!$D$2:$D$3548, 0)))</f>
        <v>Cappuccino</v>
      </c>
      <c r="H26" s="7">
        <f t="shared" si="1"/>
        <v>90.872422650463704</v>
      </c>
      <c r="I26" s="7">
        <f>MAX('working sheet'!$B$2:$B$3548)-C26</f>
        <v>293.15273491897824</v>
      </c>
      <c r="J26" s="4" t="str">
        <f t="array" ref="J26">IF(AND(I26&lt;=30, D26&gt;=10, E26&gt;=200), "VIP",  IF(AND(I26&lt;=60, D26&gt;=5, E26&gt;=100), "Loyal", IF(AND(I26&lt;=90, D26&gt;=3), "Regular", IF(I26&lt;=30, "Recent", IF(D26&gt;=3, "Occasional", "At Risk")))))</f>
        <v>Occasional</v>
      </c>
      <c r="K26" t="str">
        <f t="array" ref="K26">IF(OR(J26="VIP", J26="Loyal"), "HIGH",IF(OR(J26="Regular", J26="Recent"), "MEDIUM","LOW"))</f>
        <v>LOW</v>
      </c>
    </row>
    <row r="27" spans="1:11">
      <c r="A27" t="s">
        <v>39</v>
      </c>
      <c r="B27" s="14">
        <f>_xlfn.MINIFS('working sheet'!$B$2:$B$3548, 'working sheet'!$D$2:$D$3548, A27)</f>
        <v>45356.733664016203</v>
      </c>
      <c r="C27" s="17">
        <f>_xlfn.MAXIFS('working sheet'!$B$1:$B$3548,'working sheet'!$D$1:$D$3548,'Customer Portfolio'!A27)</f>
        <v>45423.723566168985</v>
      </c>
      <c r="D27">
        <f>COUNTIFS('working sheet'!$D$1:$D$3548,'Customer Portfolio'!A27)</f>
        <v>2</v>
      </c>
      <c r="E27" s="5">
        <f>SUMIFS('working sheet'!$E$2:$E$3548,'working sheet'!$D$2:$D$3548,'Customer Portfolio'!A27)</f>
        <v>76.42</v>
      </c>
      <c r="F27" s="6">
        <f t="shared" si="0"/>
        <v>38.21</v>
      </c>
      <c r="G27" t="str">
        <f t="array" ref="G27">IFERROR(INDEX('working sheet'!$F$2:$F$3548, MODE(IF('working sheet'!$D$2:$D$3548=A27, MATCH('working sheet'!$F$2:$F$3548, 'working sheet'!$F$2:$F$3548, 0)))),
         INDEX('working sheet'!$F$2:$F$3548, MATCH(A27, 'working sheet'!$D$2:$D$3548, 0)))</f>
        <v>Cocoa</v>
      </c>
      <c r="H27" s="7">
        <f t="shared" si="1"/>
        <v>67.989902152781724</v>
      </c>
      <c r="I27" s="7">
        <f>MAX('working sheet'!$B$2:$B$3548)-C27</f>
        <v>316.03451988425513</v>
      </c>
      <c r="J27" s="4" t="str">
        <f t="array" ref="J27">IF(AND(I27&lt;=30, D27&gt;=10, E27&gt;=200), "VIP",  IF(AND(I27&lt;=60, D27&gt;=5, E27&gt;=100), "Loyal", IF(AND(I27&lt;=90, D27&gt;=3), "Regular", IF(I27&lt;=30, "Recent", IF(D27&gt;=3, "Occasional", "At Risk")))))</f>
        <v>At Risk</v>
      </c>
      <c r="K27" t="str">
        <f t="array" ref="K27">IF(OR(J27="VIP", J27="Loyal"), "HIGH",IF(OR(J27="Regular", J27="Recent"), "MEDIUM","LOW"))</f>
        <v>LOW</v>
      </c>
    </row>
    <row r="28" spans="1:11">
      <c r="A28" t="s">
        <v>40</v>
      </c>
      <c r="B28" s="14">
        <f>_xlfn.MINIFS('working sheet'!$B$2:$B$3548, 'working sheet'!$D$2:$D$3548, A28)</f>
        <v>45356.734185868052</v>
      </c>
      <c r="C28" s="17">
        <f>_xlfn.MAXIFS('working sheet'!$B$1:$B$3548,'working sheet'!$D$1:$D$3548,'Customer Portfolio'!A28)</f>
        <v>45356.734185868052</v>
      </c>
      <c r="D28">
        <f>COUNTIFS('working sheet'!$D$1:$D$3548,'Customer Portfolio'!A28)</f>
        <v>1</v>
      </c>
      <c r="E28" s="5">
        <f>SUMIFS('working sheet'!$E$2:$E$3548,'working sheet'!$D$2:$D$3548,'Customer Portfolio'!A28)</f>
        <v>38.700000000000003</v>
      </c>
      <c r="F28" s="6">
        <f t="shared" si="0"/>
        <v>38.700000000000003</v>
      </c>
      <c r="G28" t="str">
        <f t="array" ref="G28">IFERROR(INDEX('working sheet'!$F$2:$F$3548, MODE(IF('working sheet'!$D$2:$D$3548=A28, MATCH('working sheet'!$F$2:$F$3548, 'working sheet'!$F$2:$F$3548, 0)))),
         INDEX('working sheet'!$F$2:$F$3548, MATCH(A28, 'working sheet'!$D$2:$D$3548, 0)))</f>
        <v>Hot Chocolate</v>
      </c>
      <c r="H28" s="7">
        <f t="shared" si="1"/>
        <v>1</v>
      </c>
      <c r="I28" s="7">
        <f>MAX('working sheet'!$B$2:$B$3548)-C28</f>
        <v>383.02390018518781</v>
      </c>
      <c r="J28" s="4" t="str">
        <f t="array" ref="J28">IF(AND(I28&lt;=30, D28&gt;=10, E28&gt;=200), "VIP",  IF(AND(I28&lt;=60, D28&gt;=5, E28&gt;=100), "Loyal", IF(AND(I28&lt;=90, D28&gt;=3), "Regular", IF(I28&lt;=30, "Recent", IF(D28&gt;=3, "Occasional", "At Risk")))))</f>
        <v>At Risk</v>
      </c>
      <c r="K28" t="str">
        <f t="array" ref="K28">IF(OR(J28="VIP", J28="Loyal"), "HIGH",IF(OR(J28="Regular", J28="Recent"), "MEDIUM","LOW"))</f>
        <v>LOW</v>
      </c>
    </row>
    <row r="29" spans="1:11">
      <c r="A29" t="s">
        <v>41</v>
      </c>
      <c r="B29" s="14">
        <f>_xlfn.MINIFS('working sheet'!$B$2:$B$3548, 'working sheet'!$D$2:$D$3548, A29)</f>
        <v>45356.747404814814</v>
      </c>
      <c r="C29" s="17">
        <f>_xlfn.MAXIFS('working sheet'!$B$1:$B$3548,'working sheet'!$D$1:$D$3548,'Customer Portfolio'!A29)</f>
        <v>45356.751056041663</v>
      </c>
      <c r="D29">
        <f>COUNTIFS('working sheet'!$D$1:$D$3548,'Customer Portfolio'!A29)</f>
        <v>2</v>
      </c>
      <c r="E29" s="5">
        <f>SUMIFS('working sheet'!$E$2:$E$3548,'working sheet'!$D$2:$D$3548,'Customer Portfolio'!A29)</f>
        <v>67.599999999999994</v>
      </c>
      <c r="F29" s="6">
        <f t="shared" si="0"/>
        <v>33.799999999999997</v>
      </c>
      <c r="G29" t="str">
        <f t="array" ref="G29">IFERROR(INDEX('working sheet'!$F$2:$F$3548, MODE(IF('working sheet'!$D$2:$D$3548=A29, MATCH('working sheet'!$F$2:$F$3548, 'working sheet'!$F$2:$F$3548, 0)))),
         INDEX('working sheet'!$F$2:$F$3548, MATCH(A29, 'working sheet'!$D$2:$D$3548, 0)))</f>
        <v>Cortado</v>
      </c>
      <c r="H29" s="7">
        <f t="shared" si="1"/>
        <v>1.0036512268488877</v>
      </c>
      <c r="I29" s="7">
        <f>MAX('working sheet'!$B$2:$B$3548)-C29</f>
        <v>383.00703001157672</v>
      </c>
      <c r="J29" s="4" t="str">
        <f t="array" ref="J29">IF(AND(I29&lt;=30, D29&gt;=10, E29&gt;=200), "VIP",  IF(AND(I29&lt;=60, D29&gt;=5, E29&gt;=100), "Loyal", IF(AND(I29&lt;=90, D29&gt;=3), "Regular", IF(I29&lt;=30, "Recent", IF(D29&gt;=3, "Occasional", "At Risk")))))</f>
        <v>At Risk</v>
      </c>
      <c r="K29" t="str">
        <f t="array" ref="K29">IF(OR(J29="VIP", J29="Loyal"), "HIGH",IF(OR(J29="Regular", J29="Recent"), "MEDIUM","LOW"))</f>
        <v>LOW</v>
      </c>
    </row>
    <row r="30" spans="1:11">
      <c r="A30" t="s">
        <v>42</v>
      </c>
      <c r="B30" s="14">
        <f>_xlfn.MINIFS('working sheet'!$B$2:$B$3548, 'working sheet'!$D$2:$D$3548, A30)</f>
        <v>45357.619464826392</v>
      </c>
      <c r="C30" s="17">
        <f>_xlfn.MAXIFS('working sheet'!$B$1:$B$3548,'working sheet'!$D$1:$D$3548,'Customer Portfolio'!A30)</f>
        <v>45357.620351203703</v>
      </c>
      <c r="D30">
        <f>COUNTIFS('working sheet'!$D$1:$D$3548,'Customer Portfolio'!A30)</f>
        <v>2</v>
      </c>
      <c r="E30" s="5">
        <f>SUMIFS('working sheet'!$E$2:$E$3548,'working sheet'!$D$2:$D$3548,'Customer Portfolio'!A30)</f>
        <v>77.400000000000006</v>
      </c>
      <c r="F30" s="6">
        <f t="shared" si="0"/>
        <v>38.700000000000003</v>
      </c>
      <c r="G30" t="str">
        <f t="array" ref="G30">IFERROR(INDEX('working sheet'!$F$2:$F$3548, MODE(IF('working sheet'!$D$2:$D$3548=A30, MATCH('working sheet'!$F$2:$F$3548, 'working sheet'!$F$2:$F$3548, 0)))),
         INDEX('working sheet'!$F$2:$F$3548, MATCH(A30, 'working sheet'!$D$2:$D$3548, 0)))</f>
        <v>Cappuccino</v>
      </c>
      <c r="H30" s="7">
        <f t="shared" si="1"/>
        <v>1.0008863773109624</v>
      </c>
      <c r="I30" s="7">
        <f>MAX('working sheet'!$B$2:$B$3548)-C30</f>
        <v>382.13773484953708</v>
      </c>
      <c r="J30" s="4" t="str">
        <f t="array" ref="J30">IF(AND(I30&lt;=30, D30&gt;=10, E30&gt;=200), "VIP",  IF(AND(I30&lt;=60, D30&gt;=5, E30&gt;=100), "Loyal", IF(AND(I30&lt;=90, D30&gt;=3), "Regular", IF(I30&lt;=30, "Recent", IF(D30&gt;=3, "Occasional", "At Risk")))))</f>
        <v>At Risk</v>
      </c>
      <c r="K30" t="str">
        <f t="array" ref="K30">IF(OR(J30="VIP", J30="Loyal"), "HIGH",IF(OR(J30="Regular", J30="Recent"), "MEDIUM","LOW"))</f>
        <v>LOW</v>
      </c>
    </row>
    <row r="31" spans="1:11">
      <c r="A31" t="s">
        <v>44</v>
      </c>
      <c r="B31" s="14">
        <f>_xlfn.MINIFS('working sheet'!$B$2:$B$3548, 'working sheet'!$D$2:$D$3548, A31)</f>
        <v>45358.429635914355</v>
      </c>
      <c r="C31" s="17">
        <f>_xlfn.MAXIFS('working sheet'!$B$1:$B$3548,'working sheet'!$D$1:$D$3548,'Customer Portfolio'!A31)</f>
        <v>45358.429635914355</v>
      </c>
      <c r="D31">
        <f>COUNTIFS('working sheet'!$D$1:$D$3548,'Customer Portfolio'!A31)</f>
        <v>1</v>
      </c>
      <c r="E31" s="5">
        <f>SUMIFS('working sheet'!$E$2:$E$3548,'working sheet'!$D$2:$D$3548,'Customer Portfolio'!A31)</f>
        <v>38.700000000000003</v>
      </c>
      <c r="F31" s="6">
        <f t="shared" si="0"/>
        <v>38.700000000000003</v>
      </c>
      <c r="G31" t="str">
        <f t="array" ref="G31">IFERROR(INDEX('working sheet'!$F$2:$F$3548, MODE(IF('working sheet'!$D$2:$D$3548=A31, MATCH('working sheet'!$F$2:$F$3548, 'working sheet'!$F$2:$F$3548, 0)))),
         INDEX('working sheet'!$F$2:$F$3548, MATCH(A31, 'working sheet'!$D$2:$D$3548, 0)))</f>
        <v>Hot Chocolate</v>
      </c>
      <c r="H31" s="7">
        <f t="shared" si="1"/>
        <v>1</v>
      </c>
      <c r="I31" s="7">
        <f>MAX('working sheet'!$B$2:$B$3548)-C31</f>
        <v>381.32845013888436</v>
      </c>
      <c r="J31" s="4" t="str">
        <f t="array" ref="J31">IF(AND(I31&lt;=30, D31&gt;=10, E31&gt;=200), "VIP",  IF(AND(I31&lt;=60, D31&gt;=5, E31&gt;=100), "Loyal", IF(AND(I31&lt;=90, D31&gt;=3), "Regular", IF(I31&lt;=30, "Recent", IF(D31&gt;=3, "Occasional", "At Risk")))))</f>
        <v>At Risk</v>
      </c>
      <c r="K31" t="str">
        <f t="array" ref="K31">IF(OR(J31="VIP", J31="Loyal"), "HIGH",IF(OR(J31="Regular", J31="Recent"), "MEDIUM","LOW"))</f>
        <v>LOW</v>
      </c>
    </row>
    <row r="32" spans="1:11">
      <c r="A32" t="s">
        <v>45</v>
      </c>
      <c r="B32" s="14">
        <f>_xlfn.MINIFS('working sheet'!$B$2:$B$3548, 'working sheet'!$D$2:$D$3548, A32)</f>
        <v>45358.461099259257</v>
      </c>
      <c r="C32" s="17">
        <f>_xlfn.MAXIFS('working sheet'!$B$1:$B$3548,'working sheet'!$D$1:$D$3548,'Customer Portfolio'!A32)</f>
        <v>45358.461099259257</v>
      </c>
      <c r="D32">
        <f>COUNTIFS('working sheet'!$D$1:$D$3548,'Customer Portfolio'!A32)</f>
        <v>1</v>
      </c>
      <c r="E32" s="5">
        <f>SUMIFS('working sheet'!$E$2:$E$3548,'working sheet'!$D$2:$D$3548,'Customer Portfolio'!A32)</f>
        <v>38.700000000000003</v>
      </c>
      <c r="F32" s="6">
        <f t="shared" si="0"/>
        <v>38.700000000000003</v>
      </c>
      <c r="G32" t="str">
        <f t="array" ref="G32">IFERROR(INDEX('working sheet'!$F$2:$F$3548, MODE(IF('working sheet'!$D$2:$D$3548=A32, MATCH('working sheet'!$F$2:$F$3548, 'working sheet'!$F$2:$F$3548, 0)))),
         INDEX('working sheet'!$F$2:$F$3548, MATCH(A32, 'working sheet'!$D$2:$D$3548, 0)))</f>
        <v>Latte</v>
      </c>
      <c r="H32" s="7">
        <f t="shared" si="1"/>
        <v>1</v>
      </c>
      <c r="I32" s="7">
        <f>MAX('working sheet'!$B$2:$B$3548)-C32</f>
        <v>381.2969867939828</v>
      </c>
      <c r="J32" s="4" t="str">
        <f t="array" ref="J32">IF(AND(I32&lt;=30, D32&gt;=10, E32&gt;=200), "VIP",  IF(AND(I32&lt;=60, D32&gt;=5, E32&gt;=100), "Loyal", IF(AND(I32&lt;=90, D32&gt;=3), "Regular", IF(I32&lt;=30, "Recent", IF(D32&gt;=3, "Occasional", "At Risk")))))</f>
        <v>At Risk</v>
      </c>
      <c r="K32" t="str">
        <f t="array" ref="K32">IF(OR(J32="VIP", J32="Loyal"), "HIGH",IF(OR(J32="Regular", J32="Recent"), "MEDIUM","LOW"))</f>
        <v>LOW</v>
      </c>
    </row>
    <row r="33" spans="1:11">
      <c r="A33" t="s">
        <v>46</v>
      </c>
      <c r="B33" s="14">
        <f>_xlfn.MINIFS('working sheet'!$B$2:$B$3548, 'working sheet'!$D$2:$D$3548, A33)</f>
        <v>45358.653039421297</v>
      </c>
      <c r="C33" s="17">
        <f>_xlfn.MAXIFS('working sheet'!$B$1:$B$3548,'working sheet'!$D$1:$D$3548,'Customer Portfolio'!A33)</f>
        <v>45377.567241249999</v>
      </c>
      <c r="D33">
        <f>COUNTIFS('working sheet'!$D$1:$D$3548,'Customer Portfolio'!A33)</f>
        <v>2</v>
      </c>
      <c r="E33" s="5">
        <f>SUMIFS('working sheet'!$E$2:$E$3548,'working sheet'!$D$2:$D$3548,'Customer Portfolio'!A33)</f>
        <v>57.8</v>
      </c>
      <c r="F33" s="6">
        <f t="shared" si="0"/>
        <v>28.9</v>
      </c>
      <c r="G33" t="str">
        <f t="array" ref="G33">IFERROR(INDEX('working sheet'!$F$2:$F$3548, MODE(IF('working sheet'!$D$2:$D$3548=A33, MATCH('working sheet'!$F$2:$F$3548, 'working sheet'!$F$2:$F$3548, 0)))),
         INDEX('working sheet'!$F$2:$F$3548, MATCH(A33, 'working sheet'!$D$2:$D$3548, 0)))</f>
        <v>Americano</v>
      </c>
      <c r="H33" s="7">
        <f t="shared" si="1"/>
        <v>19.914201828702062</v>
      </c>
      <c r="I33" s="7">
        <f>MAX('working sheet'!$B$2:$B$3548)-C33</f>
        <v>362.19084480324091</v>
      </c>
      <c r="J33" s="4" t="str">
        <f t="array" ref="J33">IF(AND(I33&lt;=30, D33&gt;=10, E33&gt;=200), "VIP",  IF(AND(I33&lt;=60, D33&gt;=5, E33&gt;=100), "Loyal", IF(AND(I33&lt;=90, D33&gt;=3), "Regular", IF(I33&lt;=30, "Recent", IF(D33&gt;=3, "Occasional", "At Risk")))))</f>
        <v>At Risk</v>
      </c>
      <c r="K33" t="str">
        <f t="array" ref="K33">IF(OR(J33="VIP", J33="Loyal"), "HIGH",IF(OR(J33="Regular", J33="Recent"), "MEDIUM","LOW"))</f>
        <v>LOW</v>
      </c>
    </row>
    <row r="34" spans="1:11">
      <c r="A34" t="s">
        <v>47</v>
      </c>
      <c r="B34" s="14">
        <f>_xlfn.MINIFS('working sheet'!$B$2:$B$3548, 'working sheet'!$D$2:$D$3548, A34)</f>
        <v>45358.65380537037</v>
      </c>
      <c r="C34" s="17">
        <f>_xlfn.MAXIFS('working sheet'!$B$1:$B$3548,'working sheet'!$D$1:$D$3548,'Customer Portfolio'!A34)</f>
        <v>45429.37556083333</v>
      </c>
      <c r="D34">
        <f>COUNTIFS('working sheet'!$D$1:$D$3548,'Customer Portfolio'!A34)</f>
        <v>5</v>
      </c>
      <c r="E34" s="5">
        <f>SUMIFS('working sheet'!$E$2:$E$3548,'working sheet'!$D$2:$D$3548,'Customer Portfolio'!A34)</f>
        <v>148.42000000000002</v>
      </c>
      <c r="F34" s="6">
        <f t="shared" si="0"/>
        <v>29.684000000000005</v>
      </c>
      <c r="G34" t="str">
        <f t="array" ref="G34">IFERROR(INDEX('working sheet'!$F$2:$F$3548, MODE(IF('working sheet'!$D$2:$D$3548=A34, MATCH('working sheet'!$F$2:$F$3548, 'working sheet'!$F$2:$F$3548, 0)))),
         INDEX('working sheet'!$F$2:$F$3548, MATCH(A34, 'working sheet'!$D$2:$D$3548, 0)))</f>
        <v>Americano</v>
      </c>
      <c r="H34" s="7">
        <f t="shared" si="1"/>
        <v>71.721755462960573</v>
      </c>
      <c r="I34" s="7">
        <f>MAX('working sheet'!$B$2:$B$3548)-C34</f>
        <v>310.38252521990944</v>
      </c>
      <c r="J34" s="4" t="str">
        <f t="array" ref="J34">IF(AND(I34&lt;=30, D34&gt;=10, E34&gt;=200), "VIP",  IF(AND(I34&lt;=60, D34&gt;=5, E34&gt;=100), "Loyal", IF(AND(I34&lt;=90, D34&gt;=3), "Regular", IF(I34&lt;=30, "Recent", IF(D34&gt;=3, "Occasional", "At Risk")))))</f>
        <v>Occasional</v>
      </c>
      <c r="K34" t="str">
        <f t="array" ref="K34">IF(OR(J34="VIP", J34="Loyal"), "HIGH",IF(OR(J34="Regular", J34="Recent"), "MEDIUM","LOW"))</f>
        <v>LOW</v>
      </c>
    </row>
    <row r="35" spans="1:11">
      <c r="A35" t="s">
        <v>48</v>
      </c>
      <c r="B35" s="14">
        <f>_xlfn.MINIFS('working sheet'!$B$2:$B$3548, 'working sheet'!$D$2:$D$3548, A35)</f>
        <v>45359.515609409726</v>
      </c>
      <c r="C35" s="17">
        <f>_xlfn.MAXIFS('working sheet'!$B$1:$B$3548,'working sheet'!$D$1:$D$3548,'Customer Portfolio'!A35)</f>
        <v>45359.515609409726</v>
      </c>
      <c r="D35">
        <f>COUNTIFS('working sheet'!$D$1:$D$3548,'Customer Portfolio'!A35)</f>
        <v>1</v>
      </c>
      <c r="E35" s="5">
        <f>SUMIFS('working sheet'!$E$2:$E$3548,'working sheet'!$D$2:$D$3548,'Customer Portfolio'!A35)</f>
        <v>38.700000000000003</v>
      </c>
      <c r="F35" s="6">
        <f t="shared" si="0"/>
        <v>38.700000000000003</v>
      </c>
      <c r="G35" t="str">
        <f t="array" ref="G35">IFERROR(INDEX('working sheet'!$F$2:$F$3548, MODE(IF('working sheet'!$D$2:$D$3548=A35, MATCH('working sheet'!$F$2:$F$3548, 'working sheet'!$F$2:$F$3548, 0)))),
         INDEX('working sheet'!$F$2:$F$3548, MATCH(A35, 'working sheet'!$D$2:$D$3548, 0)))</f>
        <v>Cappuccino</v>
      </c>
      <c r="H35" s="7">
        <f t="shared" si="1"/>
        <v>1</v>
      </c>
      <c r="I35" s="7">
        <f>MAX('working sheet'!$B$2:$B$3548)-C35</f>
        <v>380.24247664351424</v>
      </c>
      <c r="J35" s="4" t="str">
        <f t="array" ref="J35">IF(AND(I35&lt;=30, D35&gt;=10, E35&gt;=200), "VIP",  IF(AND(I35&lt;=60, D35&gt;=5, E35&gt;=100), "Loyal", IF(AND(I35&lt;=90, D35&gt;=3), "Regular", IF(I35&lt;=30, "Recent", IF(D35&gt;=3, "Occasional", "At Risk")))))</f>
        <v>At Risk</v>
      </c>
      <c r="K35" t="str">
        <f t="array" ref="K35">IF(OR(J35="VIP", J35="Loyal"), "HIGH",IF(OR(J35="Regular", J35="Recent"), "MEDIUM","LOW"))</f>
        <v>LOW</v>
      </c>
    </row>
    <row r="36" spans="1:11">
      <c r="A36" t="s">
        <v>49</v>
      </c>
      <c r="B36" s="14">
        <f>_xlfn.MINIFS('working sheet'!$B$2:$B$3548, 'working sheet'!$D$2:$D$3548, A36)</f>
        <v>45359.578495856484</v>
      </c>
      <c r="C36" s="17">
        <f>_xlfn.MAXIFS('working sheet'!$B$1:$B$3548,'working sheet'!$D$1:$D$3548,'Customer Portfolio'!A36)</f>
        <v>45362.481235891202</v>
      </c>
      <c r="D36">
        <f>COUNTIFS('working sheet'!$D$1:$D$3548,'Customer Portfolio'!A36)</f>
        <v>2</v>
      </c>
      <c r="E36" s="5">
        <f>SUMIFS('working sheet'!$E$2:$E$3548,'working sheet'!$D$2:$D$3548,'Customer Portfolio'!A36)</f>
        <v>67.599999999999994</v>
      </c>
      <c r="F36" s="6">
        <f t="shared" si="0"/>
        <v>33.799999999999997</v>
      </c>
      <c r="G36" t="str">
        <f t="array" ref="G36">IFERROR(INDEX('working sheet'!$F$2:$F$3548, MODE(IF('working sheet'!$D$2:$D$3548=A36, MATCH('working sheet'!$F$2:$F$3548, 'working sheet'!$F$2:$F$3548, 0)))),
         INDEX('working sheet'!$F$2:$F$3548, MATCH(A36, 'working sheet'!$D$2:$D$3548, 0)))</f>
        <v>Americano</v>
      </c>
      <c r="H36" s="7">
        <f t="shared" si="1"/>
        <v>3.9027400347185903</v>
      </c>
      <c r="I36" s="7">
        <f>MAX('working sheet'!$B$2:$B$3548)-C36</f>
        <v>377.27685016203759</v>
      </c>
      <c r="J36" s="4" t="str">
        <f t="array" ref="J36">IF(AND(I36&lt;=30, D36&gt;=10, E36&gt;=200), "VIP",  IF(AND(I36&lt;=60, D36&gt;=5, E36&gt;=100), "Loyal", IF(AND(I36&lt;=90, D36&gt;=3), "Regular", IF(I36&lt;=30, "Recent", IF(D36&gt;=3, "Occasional", "At Risk")))))</f>
        <v>At Risk</v>
      </c>
      <c r="K36" t="str">
        <f t="array" ref="K36">IF(OR(J36="VIP", J36="Loyal"), "HIGH",IF(OR(J36="Regular", J36="Recent"), "MEDIUM","LOW"))</f>
        <v>LOW</v>
      </c>
    </row>
    <row r="37" spans="1:11">
      <c r="A37" t="s">
        <v>50</v>
      </c>
      <c r="B37" s="14">
        <f>_xlfn.MINIFS('working sheet'!$B$2:$B$3548, 'working sheet'!$D$2:$D$3548, A37)</f>
        <v>45359.790178831019</v>
      </c>
      <c r="C37" s="17">
        <f>_xlfn.MAXIFS('working sheet'!$B$1:$B$3548,'working sheet'!$D$1:$D$3548,'Customer Portfolio'!A37)</f>
        <v>45359.790178831019</v>
      </c>
      <c r="D37">
        <f>COUNTIFS('working sheet'!$D$1:$D$3548,'Customer Portfolio'!A37)</f>
        <v>1</v>
      </c>
      <c r="E37" s="5">
        <f>SUMIFS('working sheet'!$E$2:$E$3548,'working sheet'!$D$2:$D$3548,'Customer Portfolio'!A37)</f>
        <v>38.700000000000003</v>
      </c>
      <c r="F37" s="6">
        <f t="shared" si="0"/>
        <v>38.700000000000003</v>
      </c>
      <c r="G37" t="str">
        <f t="array" ref="G37">IFERROR(INDEX('working sheet'!$F$2:$F$3548, MODE(IF('working sheet'!$D$2:$D$3548=A37, MATCH('working sheet'!$F$2:$F$3548, 'working sheet'!$F$2:$F$3548, 0)))),
         INDEX('working sheet'!$F$2:$F$3548, MATCH(A37, 'working sheet'!$D$2:$D$3548, 0)))</f>
        <v>Latte</v>
      </c>
      <c r="H37" s="7">
        <f t="shared" si="1"/>
        <v>1</v>
      </c>
      <c r="I37" s="7">
        <f>MAX('working sheet'!$B$2:$B$3548)-C37</f>
        <v>379.96790722222067</v>
      </c>
      <c r="J37" s="4" t="str">
        <f t="array" ref="J37">IF(AND(I37&lt;=30, D37&gt;=10, E37&gt;=200), "VIP",  IF(AND(I37&lt;=60, D37&gt;=5, E37&gt;=100), "Loyal", IF(AND(I37&lt;=90, D37&gt;=3), "Regular", IF(I37&lt;=30, "Recent", IF(D37&gt;=3, "Occasional", "At Risk")))))</f>
        <v>At Risk</v>
      </c>
      <c r="K37" t="str">
        <f t="array" ref="K37">IF(OR(J37="VIP", J37="Loyal"), "HIGH",IF(OR(J37="Regular", J37="Recent"), "MEDIUM","LOW"))</f>
        <v>LOW</v>
      </c>
    </row>
    <row r="38" spans="1:11">
      <c r="A38" t="s">
        <v>51</v>
      </c>
      <c r="B38" s="14">
        <f>_xlfn.MINIFS('working sheet'!$B$2:$B$3548, 'working sheet'!$D$2:$D$3548, A38)</f>
        <v>45359.791260891201</v>
      </c>
      <c r="C38" s="17">
        <f>_xlfn.MAXIFS('working sheet'!$B$1:$B$3548,'working sheet'!$D$1:$D$3548,'Customer Portfolio'!A38)</f>
        <v>45359.791260891201</v>
      </c>
      <c r="D38">
        <f>COUNTIFS('working sheet'!$D$1:$D$3548,'Customer Portfolio'!A38)</f>
        <v>1</v>
      </c>
      <c r="E38" s="5">
        <f>SUMIFS('working sheet'!$E$2:$E$3548,'working sheet'!$D$2:$D$3548,'Customer Portfolio'!A38)</f>
        <v>38.700000000000003</v>
      </c>
      <c r="F38" s="6">
        <f t="shared" si="0"/>
        <v>38.700000000000003</v>
      </c>
      <c r="G38" t="str">
        <f t="array" ref="G38">IFERROR(INDEX('working sheet'!$F$2:$F$3548, MODE(IF('working sheet'!$D$2:$D$3548=A38, MATCH('working sheet'!$F$2:$F$3548, 'working sheet'!$F$2:$F$3548, 0)))),
         INDEX('working sheet'!$F$2:$F$3548, MATCH(A38, 'working sheet'!$D$2:$D$3548, 0)))</f>
        <v>Latte</v>
      </c>
      <c r="H38" s="7">
        <f t="shared" si="1"/>
        <v>1</v>
      </c>
      <c r="I38" s="7">
        <f>MAX('working sheet'!$B$2:$B$3548)-C38</f>
        <v>379.96682516203873</v>
      </c>
      <c r="J38" s="4" t="str">
        <f t="array" ref="J38">IF(AND(I38&lt;=30, D38&gt;=10, E38&gt;=200), "VIP",  IF(AND(I38&lt;=60, D38&gt;=5, E38&gt;=100), "Loyal", IF(AND(I38&lt;=90, D38&gt;=3), "Regular", IF(I38&lt;=30, "Recent", IF(D38&gt;=3, "Occasional", "At Risk")))))</f>
        <v>At Risk</v>
      </c>
      <c r="K38" t="str">
        <f t="array" ref="K38">IF(OR(J38="VIP", J38="Loyal"), "HIGH",IF(OR(J38="Regular", J38="Recent"), "MEDIUM","LOW"))</f>
        <v>LOW</v>
      </c>
    </row>
    <row r="39" spans="1:11">
      <c r="A39" t="s">
        <v>52</v>
      </c>
      <c r="B39" s="14">
        <f>_xlfn.MINIFS('working sheet'!$B$2:$B$3548, 'working sheet'!$D$2:$D$3548, A39)</f>
        <v>45360.50365230324</v>
      </c>
      <c r="C39" s="17">
        <f>_xlfn.MAXIFS('working sheet'!$B$1:$B$3548,'working sheet'!$D$1:$D$3548,'Customer Portfolio'!A39)</f>
        <v>45360.50365230324</v>
      </c>
      <c r="D39">
        <f>COUNTIFS('working sheet'!$D$1:$D$3548,'Customer Portfolio'!A39)</f>
        <v>1</v>
      </c>
      <c r="E39" s="5">
        <f>SUMIFS('working sheet'!$E$2:$E$3548,'working sheet'!$D$2:$D$3548,'Customer Portfolio'!A39)</f>
        <v>24</v>
      </c>
      <c r="F39" s="6">
        <f t="shared" si="0"/>
        <v>24</v>
      </c>
      <c r="G39" t="str">
        <f t="array" ref="G39">IFERROR(INDEX('working sheet'!$F$2:$F$3548, MODE(IF('working sheet'!$D$2:$D$3548=A39, MATCH('working sheet'!$F$2:$F$3548, 'working sheet'!$F$2:$F$3548, 0)))),
         INDEX('working sheet'!$F$2:$F$3548, MATCH(A39, 'working sheet'!$D$2:$D$3548, 0)))</f>
        <v>Espresso</v>
      </c>
      <c r="H39" s="7">
        <f t="shared" si="1"/>
        <v>1</v>
      </c>
      <c r="I39" s="7">
        <f>MAX('working sheet'!$B$2:$B$3548)-C39</f>
        <v>379.25443375000032</v>
      </c>
      <c r="J39" s="4" t="str">
        <f t="array" ref="J39">IF(AND(I39&lt;=30, D39&gt;=10, E39&gt;=200), "VIP",  IF(AND(I39&lt;=60, D39&gt;=5, E39&gt;=100), "Loyal", IF(AND(I39&lt;=90, D39&gt;=3), "Regular", IF(I39&lt;=30, "Recent", IF(D39&gt;=3, "Occasional", "At Risk")))))</f>
        <v>At Risk</v>
      </c>
      <c r="K39" t="str">
        <f t="array" ref="K39">IF(OR(J39="VIP", J39="Loyal"), "HIGH",IF(OR(J39="Regular", J39="Recent"), "MEDIUM","LOW"))</f>
        <v>LOW</v>
      </c>
    </row>
    <row r="40" spans="1:11">
      <c r="A40" t="s">
        <v>53</v>
      </c>
      <c r="B40" s="14">
        <f>_xlfn.MINIFS('working sheet'!$B$2:$B$3548, 'working sheet'!$D$2:$D$3548, A40)</f>
        <v>45360.505304108796</v>
      </c>
      <c r="C40" s="17">
        <f>_xlfn.MAXIFS('working sheet'!$B$1:$B$3548,'working sheet'!$D$1:$D$3548,'Customer Portfolio'!A40)</f>
        <v>45360.505304108796</v>
      </c>
      <c r="D40">
        <f>COUNTIFS('working sheet'!$D$1:$D$3548,'Customer Portfolio'!A40)</f>
        <v>1</v>
      </c>
      <c r="E40" s="5">
        <f>SUMIFS('working sheet'!$E$2:$E$3548,'working sheet'!$D$2:$D$3548,'Customer Portfolio'!A40)</f>
        <v>28.9</v>
      </c>
      <c r="F40" s="6">
        <f t="shared" si="0"/>
        <v>28.9</v>
      </c>
      <c r="G40" t="str">
        <f t="array" ref="G40">IFERROR(INDEX('working sheet'!$F$2:$F$3548, MODE(IF('working sheet'!$D$2:$D$3548=A40, MATCH('working sheet'!$F$2:$F$3548, 'working sheet'!$F$2:$F$3548, 0)))),
         INDEX('working sheet'!$F$2:$F$3548, MATCH(A40, 'working sheet'!$D$2:$D$3548, 0)))</f>
        <v>Americano</v>
      </c>
      <c r="H40" s="7">
        <f t="shared" si="1"/>
        <v>1</v>
      </c>
      <c r="I40" s="7">
        <f>MAX('working sheet'!$B$2:$B$3548)-C40</f>
        <v>379.252781944444</v>
      </c>
      <c r="J40" s="4" t="str">
        <f t="array" ref="J40">IF(AND(I40&lt;=30, D40&gt;=10, E40&gt;=200), "VIP",  IF(AND(I40&lt;=60, D40&gt;=5, E40&gt;=100), "Loyal", IF(AND(I40&lt;=90, D40&gt;=3), "Regular", IF(I40&lt;=30, "Recent", IF(D40&gt;=3, "Occasional", "At Risk")))))</f>
        <v>At Risk</v>
      </c>
      <c r="K40" t="str">
        <f t="array" ref="K40">IF(OR(J40="VIP", J40="Loyal"), "HIGH",IF(OR(J40="Regular", J40="Recent"), "MEDIUM","LOW"))</f>
        <v>LOW</v>
      </c>
    </row>
    <row r="41" spans="1:11">
      <c r="A41" t="s">
        <v>54</v>
      </c>
      <c r="B41" s="14">
        <f>_xlfn.MINIFS('working sheet'!$B$2:$B$3548, 'working sheet'!$D$2:$D$3548, A41)</f>
        <v>45360.509068530089</v>
      </c>
      <c r="C41" s="17">
        <f>_xlfn.MAXIFS('working sheet'!$B$1:$B$3548,'working sheet'!$D$1:$D$3548,'Customer Portfolio'!A41)</f>
        <v>45645.799080567129</v>
      </c>
      <c r="D41">
        <f>COUNTIFS('working sheet'!$D$1:$D$3548,'Customer Portfolio'!A41)</f>
        <v>50</v>
      </c>
      <c r="E41" s="5">
        <f>SUMIFS('working sheet'!$E$2:$E$3548,'working sheet'!$D$2:$D$3548,'Customer Portfolio'!A41)</f>
        <v>1519.4799999999991</v>
      </c>
      <c r="F41" s="6">
        <f t="shared" si="0"/>
        <v>30.389599999999984</v>
      </c>
      <c r="G41" t="str">
        <f t="array" ref="G41">IFERROR(INDEX('working sheet'!$F$2:$F$3548, MODE(IF('working sheet'!$D$2:$D$3548=A41, MATCH('working sheet'!$F$2:$F$3548, 'working sheet'!$F$2:$F$3548, 0)))),
         INDEX('working sheet'!$F$2:$F$3548, MATCH(A41, 'working sheet'!$D$2:$D$3548, 0)))</f>
        <v>Americano with Milk</v>
      </c>
      <c r="H41" s="7">
        <f t="shared" si="1"/>
        <v>286.29001203703956</v>
      </c>
      <c r="I41" s="7">
        <f>MAX('working sheet'!$B$2:$B$3548)-C41</f>
        <v>93.959005486110982</v>
      </c>
      <c r="J41" s="4" t="str">
        <f t="array" ref="J41">IF(AND(I41&lt;=30, D41&gt;=10, E41&gt;=200), "VIP",  IF(AND(I41&lt;=60, D41&gt;=5, E41&gt;=100), "Loyal", IF(AND(I41&lt;=90, D41&gt;=3), "Regular", IF(I41&lt;=30, "Recent", IF(D41&gt;=3, "Occasional", "At Risk")))))</f>
        <v>Occasional</v>
      </c>
      <c r="K41" t="str">
        <f t="array" ref="K41">IF(OR(J41="VIP", J41="Loyal"), "HIGH",IF(OR(J41="Regular", J41="Recent"), "MEDIUM","LOW"))</f>
        <v>LOW</v>
      </c>
    </row>
    <row r="42" spans="1:11">
      <c r="A42" t="s">
        <v>55</v>
      </c>
      <c r="B42" s="14">
        <f>_xlfn.MINIFS('working sheet'!$B$2:$B$3548, 'working sheet'!$D$2:$D$3548, A42)</f>
        <v>45360.548173946758</v>
      </c>
      <c r="C42" s="17">
        <f>_xlfn.MAXIFS('working sheet'!$B$1:$B$3548,'working sheet'!$D$1:$D$3548,'Customer Portfolio'!A42)</f>
        <v>45360.548173946758</v>
      </c>
      <c r="D42">
        <f>COUNTIFS('working sheet'!$D$1:$D$3548,'Customer Portfolio'!A42)</f>
        <v>1</v>
      </c>
      <c r="E42" s="5">
        <f>SUMIFS('working sheet'!$E$2:$E$3548,'working sheet'!$D$2:$D$3548,'Customer Portfolio'!A42)</f>
        <v>38.700000000000003</v>
      </c>
      <c r="F42" s="6">
        <f t="shared" si="0"/>
        <v>38.700000000000003</v>
      </c>
      <c r="G42" t="str">
        <f t="array" ref="G42">IFERROR(INDEX('working sheet'!$F$2:$F$3548, MODE(IF('working sheet'!$D$2:$D$3548=A42, MATCH('working sheet'!$F$2:$F$3548, 'working sheet'!$F$2:$F$3548, 0)))),
         INDEX('working sheet'!$F$2:$F$3548, MATCH(A42, 'working sheet'!$D$2:$D$3548, 0)))</f>
        <v>Latte</v>
      </c>
      <c r="H42" s="7">
        <f t="shared" si="1"/>
        <v>1</v>
      </c>
      <c r="I42" s="7">
        <f>MAX('working sheet'!$B$2:$B$3548)-C42</f>
        <v>379.20991210648208</v>
      </c>
      <c r="J42" s="4" t="str">
        <f t="array" ref="J42">IF(AND(I42&lt;=30, D42&gt;=10, E42&gt;=200), "VIP",  IF(AND(I42&lt;=60, D42&gt;=5, E42&gt;=100), "Loyal", IF(AND(I42&lt;=90, D42&gt;=3), "Regular", IF(I42&lt;=30, "Recent", IF(D42&gt;=3, "Occasional", "At Risk")))))</f>
        <v>At Risk</v>
      </c>
      <c r="K42" t="str">
        <f t="array" ref="K42">IF(OR(J42="VIP", J42="Loyal"), "HIGH",IF(OR(J42="Regular", J42="Recent"), "MEDIUM","LOW"))</f>
        <v>LOW</v>
      </c>
    </row>
    <row r="43" spans="1:11">
      <c r="A43" t="s">
        <v>56</v>
      </c>
      <c r="B43" s="14">
        <f>_xlfn.MINIFS('working sheet'!$B$2:$B$3548, 'working sheet'!$D$2:$D$3548, A43)</f>
        <v>45360.570210266204</v>
      </c>
      <c r="C43" s="17">
        <f>_xlfn.MAXIFS('working sheet'!$B$1:$B$3548,'working sheet'!$D$1:$D$3548,'Customer Portfolio'!A43)</f>
        <v>45649.445872870368</v>
      </c>
      <c r="D43">
        <f>COUNTIFS('working sheet'!$D$1:$D$3548,'Customer Portfolio'!A43)</f>
        <v>3</v>
      </c>
      <c r="E43" s="5">
        <f>SUMIFS('working sheet'!$E$2:$E$3548,'working sheet'!$D$2:$D$3548,'Customer Portfolio'!A43)</f>
        <v>102.38</v>
      </c>
      <c r="F43" s="6">
        <f t="shared" si="0"/>
        <v>34.126666666666665</v>
      </c>
      <c r="G43" t="str">
        <f t="array" ref="G43">IFERROR(INDEX('working sheet'!$F$2:$F$3548, MODE(IF('working sheet'!$D$2:$D$3548=A43, MATCH('working sheet'!$F$2:$F$3548, 'working sheet'!$F$2:$F$3548, 0)))),
         INDEX('working sheet'!$F$2:$F$3548, MATCH(A43, 'working sheet'!$D$2:$D$3548, 0)))</f>
        <v>Americano with Milk</v>
      </c>
      <c r="H43" s="7">
        <f t="shared" si="1"/>
        <v>289.87566260416497</v>
      </c>
      <c r="I43" s="7">
        <f>MAX('working sheet'!$B$2:$B$3548)-C43</f>
        <v>90.312213182871346</v>
      </c>
      <c r="J43" s="4" t="str">
        <f t="array" ref="J43">IF(AND(I43&lt;=30, D43&gt;=10, E43&gt;=200), "VIP",  IF(AND(I43&lt;=60, D43&gt;=5, E43&gt;=100), "Loyal", IF(AND(I43&lt;=90, D43&gt;=3), "Regular", IF(I43&lt;=30, "Recent", IF(D43&gt;=3, "Occasional", "At Risk")))))</f>
        <v>Occasional</v>
      </c>
      <c r="K43" t="str">
        <f t="array" ref="K43">IF(OR(J43="VIP", J43="Loyal"), "HIGH",IF(OR(J43="Regular", J43="Recent"), "MEDIUM","LOW"))</f>
        <v>LOW</v>
      </c>
    </row>
    <row r="44" spans="1:11">
      <c r="A44" t="s">
        <v>57</v>
      </c>
      <c r="B44" s="14">
        <f>_xlfn.MINIFS('working sheet'!$B$2:$B$3548, 'working sheet'!$D$2:$D$3548, A44)</f>
        <v>45360.578592685182</v>
      </c>
      <c r="C44" s="17">
        <f>_xlfn.MAXIFS('working sheet'!$B$1:$B$3548,'working sheet'!$D$1:$D$3548,'Customer Portfolio'!A44)</f>
        <v>45360.579592916663</v>
      </c>
      <c r="D44">
        <f>COUNTIFS('working sheet'!$D$1:$D$3548,'Customer Portfolio'!A44)</f>
        <v>2</v>
      </c>
      <c r="E44" s="5">
        <f>SUMIFS('working sheet'!$E$2:$E$3548,'working sheet'!$D$2:$D$3548,'Customer Portfolio'!A44)</f>
        <v>67.599999999999994</v>
      </c>
      <c r="F44" s="6">
        <f t="shared" si="0"/>
        <v>33.799999999999997</v>
      </c>
      <c r="G44" t="str">
        <f t="array" ref="G44">IFERROR(INDEX('working sheet'!$F$2:$F$3548, MODE(IF('working sheet'!$D$2:$D$3548=A44, MATCH('working sheet'!$F$2:$F$3548, 'working sheet'!$F$2:$F$3548, 0)))),
         INDEX('working sheet'!$F$2:$F$3548, MATCH(A44, 'working sheet'!$D$2:$D$3548, 0)))</f>
        <v>Cortado</v>
      </c>
      <c r="H44" s="7">
        <f t="shared" si="1"/>
        <v>1.0010002314811572</v>
      </c>
      <c r="I44" s="7">
        <f>MAX('working sheet'!$B$2:$B$3548)-C44</f>
        <v>379.17849313657644</v>
      </c>
      <c r="J44" s="4" t="str">
        <f t="array" ref="J44">IF(AND(I44&lt;=30, D44&gt;=10, E44&gt;=200), "VIP",  IF(AND(I44&lt;=60, D44&gt;=5, E44&gt;=100), "Loyal", IF(AND(I44&lt;=90, D44&gt;=3), "Regular", IF(I44&lt;=30, "Recent", IF(D44&gt;=3, "Occasional", "At Risk")))))</f>
        <v>At Risk</v>
      </c>
      <c r="K44" t="str">
        <f t="array" ref="K44">IF(OR(J44="VIP", J44="Loyal"), "HIGH",IF(OR(J44="Regular", J44="Recent"), "MEDIUM","LOW"))</f>
        <v>LOW</v>
      </c>
    </row>
    <row r="45" spans="1:11">
      <c r="A45" t="s">
        <v>58</v>
      </c>
      <c r="B45" s="14">
        <f>_xlfn.MINIFS('working sheet'!$B$2:$B$3548, 'working sheet'!$D$2:$D$3548, A45)</f>
        <v>45360.602000844905</v>
      </c>
      <c r="C45" s="17">
        <f>_xlfn.MAXIFS('working sheet'!$B$1:$B$3548,'working sheet'!$D$1:$D$3548,'Customer Portfolio'!A45)</f>
        <v>45360.602000844905</v>
      </c>
      <c r="D45">
        <f>COUNTIFS('working sheet'!$D$1:$D$3548,'Customer Portfolio'!A45)</f>
        <v>1</v>
      </c>
      <c r="E45" s="5">
        <f>SUMIFS('working sheet'!$E$2:$E$3548,'working sheet'!$D$2:$D$3548,'Customer Portfolio'!A45)</f>
        <v>38.700000000000003</v>
      </c>
      <c r="F45" s="6">
        <f t="shared" si="0"/>
        <v>38.700000000000003</v>
      </c>
      <c r="G45" t="str">
        <f t="array" ref="G45">IFERROR(INDEX('working sheet'!$F$2:$F$3548, MODE(IF('working sheet'!$D$2:$D$3548=A45, MATCH('working sheet'!$F$2:$F$3548, 'working sheet'!$F$2:$F$3548, 0)))),
         INDEX('working sheet'!$F$2:$F$3548, MATCH(A45, 'working sheet'!$D$2:$D$3548, 0)))</f>
        <v>Hot Chocolate</v>
      </c>
      <c r="H45" s="7">
        <f t="shared" si="1"/>
        <v>1</v>
      </c>
      <c r="I45" s="7">
        <f>MAX('working sheet'!$B$2:$B$3548)-C45</f>
        <v>379.15608520833484</v>
      </c>
      <c r="J45" s="4" t="str">
        <f t="array" ref="J45">IF(AND(I45&lt;=30, D45&gt;=10, E45&gt;=200), "VIP",  IF(AND(I45&lt;=60, D45&gt;=5, E45&gt;=100), "Loyal", IF(AND(I45&lt;=90, D45&gt;=3), "Regular", IF(I45&lt;=30, "Recent", IF(D45&gt;=3, "Occasional", "At Risk")))))</f>
        <v>At Risk</v>
      </c>
      <c r="K45" t="str">
        <f t="array" ref="K45">IF(OR(J45="VIP", J45="Loyal"), "HIGH",IF(OR(J45="Regular", J45="Recent"), "MEDIUM","LOW"))</f>
        <v>LOW</v>
      </c>
    </row>
    <row r="46" spans="1:11">
      <c r="A46" t="s">
        <v>59</v>
      </c>
      <c r="B46" s="14">
        <f>_xlfn.MINIFS('working sheet'!$B$2:$B$3548, 'working sheet'!$D$2:$D$3548, A46)</f>
        <v>45361.471768101852</v>
      </c>
      <c r="C46" s="17">
        <f>_xlfn.MAXIFS('working sheet'!$B$1:$B$3548,'working sheet'!$D$1:$D$3548,'Customer Portfolio'!A46)</f>
        <v>45361.471768101852</v>
      </c>
      <c r="D46">
        <f>COUNTIFS('working sheet'!$D$1:$D$3548,'Customer Portfolio'!A46)</f>
        <v>1</v>
      </c>
      <c r="E46" s="5">
        <f>SUMIFS('working sheet'!$E$2:$E$3548,'working sheet'!$D$2:$D$3548,'Customer Portfolio'!A46)</f>
        <v>24</v>
      </c>
      <c r="F46" s="6">
        <f t="shared" si="0"/>
        <v>24</v>
      </c>
      <c r="G46" t="str">
        <f t="array" ref="G46">IFERROR(INDEX('working sheet'!$F$2:$F$3548, MODE(IF('working sheet'!$D$2:$D$3548=A46, MATCH('working sheet'!$F$2:$F$3548, 'working sheet'!$F$2:$F$3548, 0)))),
         INDEX('working sheet'!$F$2:$F$3548, MATCH(A46, 'working sheet'!$D$2:$D$3548, 0)))</f>
        <v>Espresso</v>
      </c>
      <c r="H46" s="7">
        <f t="shared" si="1"/>
        <v>1</v>
      </c>
      <c r="I46" s="7">
        <f>MAX('working sheet'!$B$2:$B$3548)-C46</f>
        <v>378.2863179513879</v>
      </c>
      <c r="J46" s="4" t="str">
        <f t="array" ref="J46">IF(AND(I46&lt;=30, D46&gt;=10, E46&gt;=200), "VIP",  IF(AND(I46&lt;=60, D46&gt;=5, E46&gt;=100), "Loyal", IF(AND(I46&lt;=90, D46&gt;=3), "Regular", IF(I46&lt;=30, "Recent", IF(D46&gt;=3, "Occasional", "At Risk")))))</f>
        <v>At Risk</v>
      </c>
      <c r="K46" t="str">
        <f t="array" ref="K46">IF(OR(J46="VIP", J46="Loyal"), "HIGH",IF(OR(J46="Regular", J46="Recent"), "MEDIUM","LOW"))</f>
        <v>LOW</v>
      </c>
    </row>
    <row r="47" spans="1:11">
      <c r="A47" t="s">
        <v>60</v>
      </c>
      <c r="B47" s="14">
        <f>_xlfn.MINIFS('working sheet'!$B$2:$B$3548, 'working sheet'!$D$2:$D$3548, A47)</f>
        <v>45361.815283310185</v>
      </c>
      <c r="C47" s="17">
        <f>_xlfn.MAXIFS('working sheet'!$B$1:$B$3548,'working sheet'!$D$1:$D$3548,'Customer Portfolio'!A47)</f>
        <v>45731.71554863426</v>
      </c>
      <c r="D47">
        <f>COUNTIFS('working sheet'!$D$1:$D$3548,'Customer Portfolio'!A47)</f>
        <v>5</v>
      </c>
      <c r="E47" s="5">
        <f>SUMIFS('working sheet'!$E$2:$E$3548,'working sheet'!$D$2:$D$3548,'Customer Portfolio'!A47)</f>
        <v>174.87999999999997</v>
      </c>
      <c r="F47" s="6">
        <f t="shared" si="0"/>
        <v>34.975999999999992</v>
      </c>
      <c r="G47" t="str">
        <f t="array" ref="G47">IFERROR(INDEX('working sheet'!$F$2:$F$3548, MODE(IF('working sheet'!$D$2:$D$3548=A47, MATCH('working sheet'!$F$2:$F$3548, 'working sheet'!$F$2:$F$3548, 0)))),
         INDEX('working sheet'!$F$2:$F$3548, MATCH(A47, 'working sheet'!$D$2:$D$3548, 0)))</f>
        <v>Cappuccino</v>
      </c>
      <c r="H47" s="7">
        <f t="shared" si="1"/>
        <v>370.90026532407501</v>
      </c>
      <c r="I47" s="7">
        <f>MAX('working sheet'!$B$2:$B$3548)-C47</f>
        <v>8.0425374189799186</v>
      </c>
      <c r="J47" s="4" t="str">
        <f t="array" ref="J47">IF(AND(I47&lt;=30, D47&gt;=10, E47&gt;=200), "VIP",  IF(AND(I47&lt;=60, D47&gt;=5, E47&gt;=100), "Loyal", IF(AND(I47&lt;=90, D47&gt;=3), "Regular", IF(I47&lt;=30, "Recent", IF(D47&gt;=3, "Occasional", "At Risk")))))</f>
        <v>Loyal</v>
      </c>
      <c r="K47" t="str">
        <f t="array" ref="K47">IF(OR(J47="VIP", J47="Loyal"), "HIGH",IF(OR(J47="Regular", J47="Recent"), "MEDIUM","LOW"))</f>
        <v>HIGH</v>
      </c>
    </row>
    <row r="48" spans="1:11">
      <c r="A48" t="s">
        <v>61</v>
      </c>
      <c r="B48" s="14">
        <f>_xlfn.MINIFS('working sheet'!$B$2:$B$3548, 'working sheet'!$D$2:$D$3548, A48)</f>
        <v>45362.68363890046</v>
      </c>
      <c r="C48" s="17">
        <f>_xlfn.MAXIFS('working sheet'!$B$1:$B$3548,'working sheet'!$D$1:$D$3548,'Customer Portfolio'!A48)</f>
        <v>45362.684556296299</v>
      </c>
      <c r="D48">
        <f>COUNTIFS('working sheet'!$D$1:$D$3548,'Customer Portfolio'!A48)</f>
        <v>2</v>
      </c>
      <c r="E48" s="5">
        <f>SUMIFS('working sheet'!$E$2:$E$3548,'working sheet'!$D$2:$D$3548,'Customer Portfolio'!A48)</f>
        <v>67.599999999999994</v>
      </c>
      <c r="F48" s="6">
        <f t="shared" si="0"/>
        <v>33.799999999999997</v>
      </c>
      <c r="G48" t="str">
        <f t="array" ref="G48">IFERROR(INDEX('working sheet'!$F$2:$F$3548, MODE(IF('working sheet'!$D$2:$D$3548=A48, MATCH('working sheet'!$F$2:$F$3548, 'working sheet'!$F$2:$F$3548, 0)))),
         INDEX('working sheet'!$F$2:$F$3548, MATCH(A48, 'working sheet'!$D$2:$D$3548, 0)))</f>
        <v>Americano</v>
      </c>
      <c r="H48" s="7">
        <f t="shared" si="1"/>
        <v>1.0009173958387692</v>
      </c>
      <c r="I48" s="7">
        <f>MAX('working sheet'!$B$2:$B$3548)-C48</f>
        <v>377.07352975694084</v>
      </c>
      <c r="J48" s="4" t="str">
        <f t="array" ref="J48">IF(AND(I48&lt;=30, D48&gt;=10, E48&gt;=200), "VIP",  IF(AND(I48&lt;=60, D48&gt;=5, E48&gt;=100), "Loyal", IF(AND(I48&lt;=90, D48&gt;=3), "Regular", IF(I48&lt;=30, "Recent", IF(D48&gt;=3, "Occasional", "At Risk")))))</f>
        <v>At Risk</v>
      </c>
      <c r="K48" t="str">
        <f t="array" ref="K48">IF(OR(J48="VIP", J48="Loyal"), "HIGH",IF(OR(J48="Regular", J48="Recent"), "MEDIUM","LOW"))</f>
        <v>LOW</v>
      </c>
    </row>
    <row r="49" spans="1:11">
      <c r="A49" t="s">
        <v>62</v>
      </c>
      <c r="B49" s="14">
        <f>_xlfn.MINIFS('working sheet'!$B$2:$B$3548, 'working sheet'!$D$2:$D$3548, A49)</f>
        <v>45362.701963055559</v>
      </c>
      <c r="C49" s="17">
        <f>_xlfn.MAXIFS('working sheet'!$B$1:$B$3548,'working sheet'!$D$1:$D$3548,'Customer Portfolio'!A49)</f>
        <v>45364.462998124996</v>
      </c>
      <c r="D49">
        <f>COUNTIFS('working sheet'!$D$1:$D$3548,'Customer Portfolio'!A49)</f>
        <v>2</v>
      </c>
      <c r="E49" s="5">
        <f>SUMIFS('working sheet'!$E$2:$E$3548,'working sheet'!$D$2:$D$3548,'Customer Portfolio'!A49)</f>
        <v>67.599999999999994</v>
      </c>
      <c r="F49" s="6">
        <f t="shared" si="0"/>
        <v>33.799999999999997</v>
      </c>
      <c r="G49" t="str">
        <f t="array" ref="G49">IFERROR(INDEX('working sheet'!$F$2:$F$3548, MODE(IF('working sheet'!$D$2:$D$3548=A49, MATCH('working sheet'!$F$2:$F$3548, 'working sheet'!$F$2:$F$3548, 0)))),
         INDEX('working sheet'!$F$2:$F$3548, MATCH(A49, 'working sheet'!$D$2:$D$3548, 0)))</f>
        <v>Cortado</v>
      </c>
      <c r="H49" s="7">
        <f t="shared" si="1"/>
        <v>2.7610350694376393</v>
      </c>
      <c r="I49" s="7">
        <f>MAX('working sheet'!$B$2:$B$3548)-C49</f>
        <v>375.29508792824345</v>
      </c>
      <c r="J49" s="4" t="str">
        <f t="array" ref="J49">IF(AND(I49&lt;=30, D49&gt;=10, E49&gt;=200), "VIP",  IF(AND(I49&lt;=60, D49&gt;=5, E49&gt;=100), "Loyal", IF(AND(I49&lt;=90, D49&gt;=3), "Regular", IF(I49&lt;=30, "Recent", IF(D49&gt;=3, "Occasional", "At Risk")))))</f>
        <v>At Risk</v>
      </c>
      <c r="K49" t="str">
        <f t="array" ref="K49">IF(OR(J49="VIP", J49="Loyal"), "HIGH",IF(OR(J49="Regular", J49="Recent"), "MEDIUM","LOW"))</f>
        <v>LOW</v>
      </c>
    </row>
    <row r="50" spans="1:11">
      <c r="A50" t="s">
        <v>63</v>
      </c>
      <c r="B50" s="14">
        <f>_xlfn.MINIFS('working sheet'!$B$2:$B$3548, 'working sheet'!$D$2:$D$3548, A50)</f>
        <v>45363.472750370369</v>
      </c>
      <c r="C50" s="17">
        <f>_xlfn.MAXIFS('working sheet'!$B$1:$B$3548,'working sheet'!$D$1:$D$3548,'Customer Portfolio'!A50)</f>
        <v>45391.725971481479</v>
      </c>
      <c r="D50">
        <f>COUNTIFS('working sheet'!$D$1:$D$3548,'Customer Portfolio'!A50)</f>
        <v>4</v>
      </c>
      <c r="E50" s="5">
        <f>SUMIFS('working sheet'!$E$2:$E$3548,'working sheet'!$D$2:$D$3548,'Customer Portfolio'!A50)</f>
        <v>145</v>
      </c>
      <c r="F50" s="6">
        <f t="shared" si="0"/>
        <v>36.25</v>
      </c>
      <c r="G50" t="str">
        <f t="array" ref="G50">IFERROR(INDEX('working sheet'!$F$2:$F$3548, MODE(IF('working sheet'!$D$2:$D$3548=A50, MATCH('working sheet'!$F$2:$F$3548, 'working sheet'!$F$2:$F$3548, 0)))),
         INDEX('working sheet'!$F$2:$F$3548, MATCH(A50, 'working sheet'!$D$2:$D$3548, 0)))</f>
        <v>Hot Chocolate</v>
      </c>
      <c r="H50" s="7">
        <f t="shared" si="1"/>
        <v>29.253221111110179</v>
      </c>
      <c r="I50" s="7">
        <f>MAX('working sheet'!$B$2:$B$3548)-C50</f>
        <v>348.03211457176076</v>
      </c>
      <c r="J50" s="4" t="str">
        <f t="array" ref="J50">IF(AND(I50&lt;=30, D50&gt;=10, E50&gt;=200), "VIP",  IF(AND(I50&lt;=60, D50&gt;=5, E50&gt;=100), "Loyal", IF(AND(I50&lt;=90, D50&gt;=3), "Regular", IF(I50&lt;=30, "Recent", IF(D50&gt;=3, "Occasional", "At Risk")))))</f>
        <v>Occasional</v>
      </c>
      <c r="K50" t="str">
        <f t="array" ref="K50">IF(OR(J50="VIP", J50="Loyal"), "HIGH",IF(OR(J50="Regular", J50="Recent"), "MEDIUM","LOW"))</f>
        <v>LOW</v>
      </c>
    </row>
    <row r="51" spans="1:11">
      <c r="A51" t="s">
        <v>64</v>
      </c>
      <c r="B51" s="14">
        <f>_xlfn.MINIFS('working sheet'!$B$2:$B$3548, 'working sheet'!$D$2:$D$3548, A51)</f>
        <v>45363.677584780089</v>
      </c>
      <c r="C51" s="17">
        <f>_xlfn.MAXIFS('working sheet'!$B$1:$B$3548,'working sheet'!$D$1:$D$3548,'Customer Portfolio'!A51)</f>
        <v>45670.8689615162</v>
      </c>
      <c r="D51">
        <f>COUNTIFS('working sheet'!$D$1:$D$3548,'Customer Portfolio'!A51)</f>
        <v>8</v>
      </c>
      <c r="E51" s="5">
        <f>SUMIFS('working sheet'!$E$2:$E$3548,'working sheet'!$D$2:$D$3548,'Customer Portfolio'!A51)</f>
        <v>235.12000000000003</v>
      </c>
      <c r="F51" s="6">
        <f t="shared" si="0"/>
        <v>29.390000000000004</v>
      </c>
      <c r="G51" t="str">
        <f t="array" ref="G51">IFERROR(INDEX('working sheet'!$F$2:$F$3548, MODE(IF('working sheet'!$D$2:$D$3548=A51, MATCH('working sheet'!$F$2:$F$3548, 'working sheet'!$F$2:$F$3548, 0)))),
         INDEX('working sheet'!$F$2:$F$3548, MATCH(A51, 'working sheet'!$D$2:$D$3548, 0)))</f>
        <v>Americano</v>
      </c>
      <c r="H51" s="7">
        <f t="shared" si="1"/>
        <v>308.19137673611112</v>
      </c>
      <c r="I51" s="7">
        <f>MAX('working sheet'!$B$2:$B$3548)-C51</f>
        <v>68.889124537039606</v>
      </c>
      <c r="J51" s="4" t="str">
        <f t="array" ref="J51">IF(AND(I51&lt;=30, D51&gt;=10, E51&gt;=200), "VIP",  IF(AND(I51&lt;=60, D51&gt;=5, E51&gt;=100), "Loyal", IF(AND(I51&lt;=90, D51&gt;=3), "Regular", IF(I51&lt;=30, "Recent", IF(D51&gt;=3, "Occasional", "At Risk")))))</f>
        <v>Regular</v>
      </c>
      <c r="K51" t="str">
        <f t="array" ref="K51">IF(OR(J51="VIP", J51="Loyal"), "HIGH",IF(OR(J51="Regular", J51="Recent"), "MEDIUM","LOW"))</f>
        <v>MEDIUM</v>
      </c>
    </row>
    <row r="52" spans="1:11">
      <c r="A52" t="s">
        <v>65</v>
      </c>
      <c r="B52" s="14">
        <f>_xlfn.MINIFS('working sheet'!$B$2:$B$3548, 'working sheet'!$D$2:$D$3548, A52)</f>
        <v>45364.512573333333</v>
      </c>
      <c r="C52" s="17">
        <f>_xlfn.MAXIFS('working sheet'!$B$1:$B$3548,'working sheet'!$D$1:$D$3548,'Customer Portfolio'!A52)</f>
        <v>45364.513253796293</v>
      </c>
      <c r="D52">
        <f>COUNTIFS('working sheet'!$D$1:$D$3548,'Customer Portfolio'!A52)</f>
        <v>2</v>
      </c>
      <c r="E52" s="5">
        <f>SUMIFS('working sheet'!$E$2:$E$3548,'working sheet'!$D$2:$D$3548,'Customer Portfolio'!A52)</f>
        <v>57.8</v>
      </c>
      <c r="F52" s="6">
        <f t="shared" si="0"/>
        <v>28.9</v>
      </c>
      <c r="G52" t="str">
        <f t="array" ref="G52">IFERROR(INDEX('working sheet'!$F$2:$F$3548, MODE(IF('working sheet'!$D$2:$D$3548=A52, MATCH('working sheet'!$F$2:$F$3548, 'working sheet'!$F$2:$F$3548, 0)))),
         INDEX('working sheet'!$F$2:$F$3548, MATCH(A52, 'working sheet'!$D$2:$D$3548, 0)))</f>
        <v>Americano</v>
      </c>
      <c r="H52" s="7">
        <f t="shared" si="1"/>
        <v>1.0006804629592807</v>
      </c>
      <c r="I52" s="7">
        <f>MAX('working sheet'!$B$2:$B$3548)-C52</f>
        <v>375.24483225694712</v>
      </c>
      <c r="J52" s="4" t="str">
        <f t="array" ref="J52">IF(AND(I52&lt;=30, D52&gt;=10, E52&gt;=200), "VIP",  IF(AND(I52&lt;=60, D52&gt;=5, E52&gt;=100), "Loyal", IF(AND(I52&lt;=90, D52&gt;=3), "Regular", IF(I52&lt;=30, "Recent", IF(D52&gt;=3, "Occasional", "At Risk")))))</f>
        <v>At Risk</v>
      </c>
      <c r="K52" t="str">
        <f t="array" ref="K52">IF(OR(J52="VIP", J52="Loyal"), "HIGH",IF(OR(J52="Regular", J52="Recent"), "MEDIUM","LOW"))</f>
        <v>LOW</v>
      </c>
    </row>
    <row r="53" spans="1:11">
      <c r="A53" t="s">
        <v>66</v>
      </c>
      <c r="B53" s="14">
        <f>_xlfn.MINIFS('working sheet'!$B$2:$B$3548, 'working sheet'!$D$2:$D$3548, A53)</f>
        <v>45364.601861979165</v>
      </c>
      <c r="C53" s="17">
        <f>_xlfn.MAXIFS('working sheet'!$B$1:$B$3548,'working sheet'!$D$1:$D$3548,'Customer Portfolio'!A53)</f>
        <v>45364.601861979165</v>
      </c>
      <c r="D53">
        <f>COUNTIFS('working sheet'!$D$1:$D$3548,'Customer Portfolio'!A53)</f>
        <v>1</v>
      </c>
      <c r="E53" s="5">
        <f>SUMIFS('working sheet'!$E$2:$E$3548,'working sheet'!$D$2:$D$3548,'Customer Portfolio'!A53)</f>
        <v>33.799999999999997</v>
      </c>
      <c r="F53" s="6">
        <f t="shared" si="0"/>
        <v>33.799999999999997</v>
      </c>
      <c r="G53" t="str">
        <f t="array" ref="G53">IFERROR(INDEX('working sheet'!$F$2:$F$3548, MODE(IF('working sheet'!$D$2:$D$3548=A53, MATCH('working sheet'!$F$2:$F$3548, 'working sheet'!$F$2:$F$3548, 0)))),
         INDEX('working sheet'!$F$2:$F$3548, MATCH(A53, 'working sheet'!$D$2:$D$3548, 0)))</f>
        <v>Americano with Milk</v>
      </c>
      <c r="H53" s="7">
        <f t="shared" si="1"/>
        <v>1</v>
      </c>
      <c r="I53" s="7">
        <f>MAX('working sheet'!$B$2:$B$3548)-C53</f>
        <v>375.156224074075</v>
      </c>
      <c r="J53" s="4" t="str">
        <f t="array" ref="J53">IF(AND(I53&lt;=30, D53&gt;=10, E53&gt;=200), "VIP",  IF(AND(I53&lt;=60, D53&gt;=5, E53&gt;=100), "Loyal", IF(AND(I53&lt;=90, D53&gt;=3), "Regular", IF(I53&lt;=30, "Recent", IF(D53&gt;=3, "Occasional", "At Risk")))))</f>
        <v>At Risk</v>
      </c>
      <c r="K53" t="str">
        <f t="array" ref="K53">IF(OR(J53="VIP", J53="Loyal"), "HIGH",IF(OR(J53="Regular", J53="Recent"), "MEDIUM","LOW"))</f>
        <v>LOW</v>
      </c>
    </row>
    <row r="54" spans="1:11">
      <c r="A54" t="s">
        <v>67</v>
      </c>
      <c r="B54" s="14">
        <f>_xlfn.MINIFS('working sheet'!$B$2:$B$3548, 'working sheet'!$D$2:$D$3548, A54)</f>
        <v>45364.653035428244</v>
      </c>
      <c r="C54" s="17">
        <f>_xlfn.MAXIFS('working sheet'!$B$1:$B$3548,'working sheet'!$D$1:$D$3548,'Customer Portfolio'!A54)</f>
        <v>45364.653708611113</v>
      </c>
      <c r="D54">
        <f>COUNTIFS('working sheet'!$D$1:$D$3548,'Customer Portfolio'!A54)</f>
        <v>2</v>
      </c>
      <c r="E54" s="5">
        <f>SUMIFS('working sheet'!$E$2:$E$3548,'working sheet'!$D$2:$D$3548,'Customer Portfolio'!A54)</f>
        <v>48</v>
      </c>
      <c r="F54" s="6">
        <f t="shared" si="0"/>
        <v>24</v>
      </c>
      <c r="G54" t="str">
        <f t="array" ref="G54">IFERROR(INDEX('working sheet'!$F$2:$F$3548, MODE(IF('working sheet'!$D$2:$D$3548=A54, MATCH('working sheet'!$F$2:$F$3548, 'working sheet'!$F$2:$F$3548, 0)))),
         INDEX('working sheet'!$F$2:$F$3548, MATCH(A54, 'working sheet'!$D$2:$D$3548, 0)))</f>
        <v>Espresso</v>
      </c>
      <c r="H54" s="7">
        <f t="shared" si="1"/>
        <v>1.0006731828689226</v>
      </c>
      <c r="I54" s="7">
        <f>MAX('working sheet'!$B$2:$B$3548)-C54</f>
        <v>375.10437744212686</v>
      </c>
      <c r="J54" s="4" t="str">
        <f t="array" ref="J54">IF(AND(I54&lt;=30, D54&gt;=10, E54&gt;=200), "VIP",  IF(AND(I54&lt;=60, D54&gt;=5, E54&gt;=100), "Loyal", IF(AND(I54&lt;=90, D54&gt;=3), "Regular", IF(I54&lt;=30, "Recent", IF(D54&gt;=3, "Occasional", "At Risk")))))</f>
        <v>At Risk</v>
      </c>
      <c r="K54" t="str">
        <f t="array" ref="K54">IF(OR(J54="VIP", J54="Loyal"), "HIGH",IF(OR(J54="Regular", J54="Recent"), "MEDIUM","LOW"))</f>
        <v>LOW</v>
      </c>
    </row>
    <row r="55" spans="1:11">
      <c r="A55" t="s">
        <v>68</v>
      </c>
      <c r="B55" s="14">
        <f>_xlfn.MINIFS('working sheet'!$B$2:$B$3548, 'working sheet'!$D$2:$D$3548, A55)</f>
        <v>45364.699414039351</v>
      </c>
      <c r="C55" s="17">
        <f>_xlfn.MAXIFS('working sheet'!$B$1:$B$3548,'working sheet'!$D$1:$D$3548,'Customer Portfolio'!A55)</f>
        <v>45583.363184907408</v>
      </c>
      <c r="D55">
        <f>COUNTIFS('working sheet'!$D$1:$D$3548,'Customer Portfolio'!A55)</f>
        <v>2</v>
      </c>
      <c r="E55" s="5">
        <f>SUMIFS('working sheet'!$E$2:$E$3548,'working sheet'!$D$2:$D$3548,'Customer Portfolio'!A55)</f>
        <v>59.76</v>
      </c>
      <c r="F55" s="6">
        <f t="shared" si="0"/>
        <v>29.88</v>
      </c>
      <c r="G55" t="str">
        <f t="array" ref="G55">IFERROR(INDEX('working sheet'!$F$2:$F$3548, MODE(IF('working sheet'!$D$2:$D$3548=A55, MATCH('working sheet'!$F$2:$F$3548, 'working sheet'!$F$2:$F$3548, 0)))),
         INDEX('working sheet'!$F$2:$F$3548, MATCH(A55, 'working sheet'!$D$2:$D$3548, 0)))</f>
        <v>Espresso</v>
      </c>
      <c r="H55" s="7">
        <f t="shared" si="1"/>
        <v>219.66377086805733</v>
      </c>
      <c r="I55" s="7">
        <f>MAX('working sheet'!$B$2:$B$3548)-C55</f>
        <v>156.39490114583168</v>
      </c>
      <c r="J55" s="4" t="str">
        <f t="array" ref="J55">IF(AND(I55&lt;=30, D55&gt;=10, E55&gt;=200), "VIP",  IF(AND(I55&lt;=60, D55&gt;=5, E55&gt;=100), "Loyal", IF(AND(I55&lt;=90, D55&gt;=3), "Regular", IF(I55&lt;=30, "Recent", IF(D55&gt;=3, "Occasional", "At Risk")))))</f>
        <v>At Risk</v>
      </c>
      <c r="K55" t="str">
        <f t="array" ref="K55">IF(OR(J55="VIP", J55="Loyal"), "HIGH",IF(OR(J55="Regular", J55="Recent"), "MEDIUM","LOW"))</f>
        <v>LOW</v>
      </c>
    </row>
    <row r="56" spans="1:11">
      <c r="A56" t="s">
        <v>69</v>
      </c>
      <c r="B56" s="14">
        <f>_xlfn.MINIFS('working sheet'!$B$2:$B$3548, 'working sheet'!$D$2:$D$3548, A56)</f>
        <v>45365.436493252317</v>
      </c>
      <c r="C56" s="17">
        <f>_xlfn.MAXIFS('working sheet'!$B$1:$B$3548,'working sheet'!$D$1:$D$3548,'Customer Portfolio'!A56)</f>
        <v>45377.44208508102</v>
      </c>
      <c r="D56">
        <f>COUNTIFS('working sheet'!$D$1:$D$3548,'Customer Portfolio'!A56)</f>
        <v>4</v>
      </c>
      <c r="E56" s="5">
        <f>SUMIFS('working sheet'!$E$2:$E$3548,'working sheet'!$D$2:$D$3548,'Customer Portfolio'!A56)</f>
        <v>154.80000000000001</v>
      </c>
      <c r="F56" s="6">
        <f t="shared" si="0"/>
        <v>38.700000000000003</v>
      </c>
      <c r="G56" t="str">
        <f t="array" ref="G56">IFERROR(INDEX('working sheet'!$F$2:$F$3548, MODE(IF('working sheet'!$D$2:$D$3548=A56, MATCH('working sheet'!$F$2:$F$3548, 'working sheet'!$F$2:$F$3548, 0)))),
         INDEX('working sheet'!$F$2:$F$3548, MATCH(A56, 'working sheet'!$D$2:$D$3548, 0)))</f>
        <v>Latte</v>
      </c>
      <c r="H56" s="7">
        <f t="shared" si="1"/>
        <v>13.005591828703473</v>
      </c>
      <c r="I56" s="7">
        <f>MAX('working sheet'!$B$2:$B$3548)-C56</f>
        <v>362.31600097221963</v>
      </c>
      <c r="J56" s="4" t="str">
        <f t="array" ref="J56">IF(AND(I56&lt;=30, D56&gt;=10, E56&gt;=200), "VIP",  IF(AND(I56&lt;=60, D56&gt;=5, E56&gt;=100), "Loyal", IF(AND(I56&lt;=90, D56&gt;=3), "Regular", IF(I56&lt;=30, "Recent", IF(D56&gt;=3, "Occasional", "At Risk")))))</f>
        <v>Occasional</v>
      </c>
      <c r="K56" t="str">
        <f t="array" ref="K56">IF(OR(J56="VIP", J56="Loyal"), "HIGH",IF(OR(J56="Regular", J56="Recent"), "MEDIUM","LOW"))</f>
        <v>LOW</v>
      </c>
    </row>
    <row r="57" spans="1:11">
      <c r="A57" t="s">
        <v>70</v>
      </c>
      <c r="B57" s="14">
        <f>_xlfn.MINIFS('working sheet'!$B$2:$B$3548, 'working sheet'!$D$2:$D$3548, A57)</f>
        <v>45365.577776678241</v>
      </c>
      <c r="C57" s="17">
        <f>_xlfn.MAXIFS('working sheet'!$B$1:$B$3548,'working sheet'!$D$1:$D$3548,'Customer Portfolio'!A57)</f>
        <v>45365.577776678241</v>
      </c>
      <c r="D57">
        <f>COUNTIFS('working sheet'!$D$1:$D$3548,'Customer Portfolio'!A57)</f>
        <v>1</v>
      </c>
      <c r="E57" s="5">
        <f>SUMIFS('working sheet'!$E$2:$E$3548,'working sheet'!$D$2:$D$3548,'Customer Portfolio'!A57)</f>
        <v>33.799999999999997</v>
      </c>
      <c r="F57" s="6">
        <f t="shared" si="0"/>
        <v>33.799999999999997</v>
      </c>
      <c r="G57" t="str">
        <f t="array" ref="G57">IFERROR(INDEX('working sheet'!$F$2:$F$3548, MODE(IF('working sheet'!$D$2:$D$3548=A57, MATCH('working sheet'!$F$2:$F$3548, 'working sheet'!$F$2:$F$3548, 0)))),
         INDEX('working sheet'!$F$2:$F$3548, MATCH(A57, 'working sheet'!$D$2:$D$3548, 0)))</f>
        <v>Americano with Milk</v>
      </c>
      <c r="H57" s="7">
        <f t="shared" si="1"/>
        <v>1</v>
      </c>
      <c r="I57" s="7">
        <f>MAX('working sheet'!$B$2:$B$3548)-C57</f>
        <v>374.18030937499861</v>
      </c>
      <c r="J57" s="4" t="str">
        <f t="array" ref="J57">IF(AND(I57&lt;=30, D57&gt;=10, E57&gt;=200), "VIP",  IF(AND(I57&lt;=60, D57&gt;=5, E57&gt;=100), "Loyal", IF(AND(I57&lt;=90, D57&gt;=3), "Regular", IF(I57&lt;=30, "Recent", IF(D57&gt;=3, "Occasional", "At Risk")))))</f>
        <v>At Risk</v>
      </c>
      <c r="K57" t="str">
        <f t="array" ref="K57">IF(OR(J57="VIP", J57="Loyal"), "HIGH",IF(OR(J57="Regular", J57="Recent"), "MEDIUM","LOW"))</f>
        <v>LOW</v>
      </c>
    </row>
    <row r="58" spans="1:11">
      <c r="A58" t="s">
        <v>71</v>
      </c>
      <c r="B58" s="14">
        <f>_xlfn.MINIFS('working sheet'!$B$2:$B$3548, 'working sheet'!$D$2:$D$3548, A58)</f>
        <v>45365.578428796296</v>
      </c>
      <c r="C58" s="17">
        <f>_xlfn.MAXIFS('working sheet'!$B$1:$B$3548,'working sheet'!$D$1:$D$3548,'Customer Portfolio'!A58)</f>
        <v>45365.578428796296</v>
      </c>
      <c r="D58">
        <f>COUNTIFS('working sheet'!$D$1:$D$3548,'Customer Portfolio'!A58)</f>
        <v>1</v>
      </c>
      <c r="E58" s="5">
        <f>SUMIFS('working sheet'!$E$2:$E$3548,'working sheet'!$D$2:$D$3548,'Customer Portfolio'!A58)</f>
        <v>24</v>
      </c>
      <c r="F58" s="6">
        <f t="shared" si="0"/>
        <v>24</v>
      </c>
      <c r="G58" t="str">
        <f t="array" ref="G58">IFERROR(INDEX('working sheet'!$F$2:$F$3548, MODE(IF('working sheet'!$D$2:$D$3548=A58, MATCH('working sheet'!$F$2:$F$3548, 'working sheet'!$F$2:$F$3548, 0)))),
         INDEX('working sheet'!$F$2:$F$3548, MATCH(A58, 'working sheet'!$D$2:$D$3548, 0)))</f>
        <v>Espresso</v>
      </c>
      <c r="H58" s="7">
        <f t="shared" si="1"/>
        <v>1</v>
      </c>
      <c r="I58" s="7">
        <f>MAX('working sheet'!$B$2:$B$3548)-C58</f>
        <v>374.17965725694376</v>
      </c>
      <c r="J58" s="4" t="str">
        <f t="array" ref="J58">IF(AND(I58&lt;=30, D58&gt;=10, E58&gt;=200), "VIP",  IF(AND(I58&lt;=60, D58&gt;=5, E58&gt;=100), "Loyal", IF(AND(I58&lt;=90, D58&gt;=3), "Regular", IF(I58&lt;=30, "Recent", IF(D58&gt;=3, "Occasional", "At Risk")))))</f>
        <v>At Risk</v>
      </c>
      <c r="K58" t="str">
        <f t="array" ref="K58">IF(OR(J58="VIP", J58="Loyal"), "HIGH",IF(OR(J58="Regular", J58="Recent"), "MEDIUM","LOW"))</f>
        <v>LOW</v>
      </c>
    </row>
    <row r="59" spans="1:11">
      <c r="A59" t="s">
        <v>72</v>
      </c>
      <c r="B59" s="14">
        <f>_xlfn.MINIFS('working sheet'!$B$2:$B$3548, 'working sheet'!$D$2:$D$3548, A59)</f>
        <v>45365.639332951388</v>
      </c>
      <c r="C59" s="17">
        <f>_xlfn.MAXIFS('working sheet'!$B$1:$B$3548,'working sheet'!$D$1:$D$3548,'Customer Portfolio'!A59)</f>
        <v>45478.514220717596</v>
      </c>
      <c r="D59">
        <f>COUNTIFS('working sheet'!$D$1:$D$3548,'Customer Portfolio'!A59)</f>
        <v>2</v>
      </c>
      <c r="E59" s="5">
        <f>SUMIFS('working sheet'!$E$2:$E$3548,'working sheet'!$D$2:$D$3548,'Customer Portfolio'!A59)</f>
        <v>76.42</v>
      </c>
      <c r="F59" s="6">
        <f t="shared" si="0"/>
        <v>38.21</v>
      </c>
      <c r="G59" t="str">
        <f t="array" ref="G59">IFERROR(INDEX('working sheet'!$F$2:$F$3548, MODE(IF('working sheet'!$D$2:$D$3548=A59, MATCH('working sheet'!$F$2:$F$3548, 'working sheet'!$F$2:$F$3548, 0)))),
         INDEX('working sheet'!$F$2:$F$3548, MATCH(A59, 'working sheet'!$D$2:$D$3548, 0)))</f>
        <v>Latte</v>
      </c>
      <c r="H59" s="7">
        <f t="shared" si="1"/>
        <v>113.87488776620739</v>
      </c>
      <c r="I59" s="7">
        <f>MAX('working sheet'!$B$2:$B$3548)-C59</f>
        <v>261.24386533564393</v>
      </c>
      <c r="J59" s="4" t="str">
        <f t="array" ref="J59">IF(AND(I59&lt;=30, D59&gt;=10, E59&gt;=200), "VIP",  IF(AND(I59&lt;=60, D59&gt;=5, E59&gt;=100), "Loyal", IF(AND(I59&lt;=90, D59&gt;=3), "Regular", IF(I59&lt;=30, "Recent", IF(D59&gt;=3, "Occasional", "At Risk")))))</f>
        <v>At Risk</v>
      </c>
      <c r="K59" t="str">
        <f t="array" ref="K59">IF(OR(J59="VIP", J59="Loyal"), "HIGH",IF(OR(J59="Regular", J59="Recent"), "MEDIUM","LOW"))</f>
        <v>LOW</v>
      </c>
    </row>
    <row r="60" spans="1:11">
      <c r="A60" t="s">
        <v>73</v>
      </c>
      <c r="B60" s="14">
        <f>_xlfn.MINIFS('working sheet'!$B$2:$B$3548, 'working sheet'!$D$2:$D$3548, A60)</f>
        <v>45365.669554467589</v>
      </c>
      <c r="C60" s="17">
        <f>_xlfn.MAXIFS('working sheet'!$B$1:$B$3548,'working sheet'!$D$1:$D$3548,'Customer Portfolio'!A60)</f>
        <v>45500.523183680554</v>
      </c>
      <c r="D60">
        <f>COUNTIFS('working sheet'!$D$1:$D$3548,'Customer Portfolio'!A60)</f>
        <v>12</v>
      </c>
      <c r="E60" s="5">
        <f>SUMIFS('working sheet'!$E$2:$E$3548,'working sheet'!$D$2:$D$3548,'Customer Portfolio'!A60)</f>
        <v>337.00000000000006</v>
      </c>
      <c r="F60" s="6">
        <f t="shared" si="0"/>
        <v>28.083333333333339</v>
      </c>
      <c r="G60" t="str">
        <f t="array" ref="G60">IFERROR(INDEX('working sheet'!$F$2:$F$3548, MODE(IF('working sheet'!$D$2:$D$3548=A60, MATCH('working sheet'!$F$2:$F$3548, 'working sheet'!$F$2:$F$3548, 0)))),
         INDEX('working sheet'!$F$2:$F$3548, MATCH(A60, 'working sheet'!$D$2:$D$3548, 0)))</f>
        <v>Americano with Milk</v>
      </c>
      <c r="H60" s="7">
        <f t="shared" si="1"/>
        <v>135.85362921296473</v>
      </c>
      <c r="I60" s="7">
        <f>MAX('working sheet'!$B$2:$B$3548)-C60</f>
        <v>239.23490237268561</v>
      </c>
      <c r="J60" s="4" t="str">
        <f t="array" ref="J60">IF(AND(I60&lt;=30, D60&gt;=10, E60&gt;=200), "VIP",  IF(AND(I60&lt;=60, D60&gt;=5, E60&gt;=100), "Loyal", IF(AND(I60&lt;=90, D60&gt;=3), "Regular", IF(I60&lt;=30, "Recent", IF(D60&gt;=3, "Occasional", "At Risk")))))</f>
        <v>Occasional</v>
      </c>
      <c r="K60" t="str">
        <f t="array" ref="K60">IF(OR(J60="VIP", J60="Loyal"), "HIGH",IF(OR(J60="Regular", J60="Recent"), "MEDIUM","LOW"))</f>
        <v>LOW</v>
      </c>
    </row>
    <row r="61" spans="1:11">
      <c r="A61" t="s">
        <v>74</v>
      </c>
      <c r="B61" s="14">
        <f>_xlfn.MINIFS('working sheet'!$B$2:$B$3548, 'working sheet'!$D$2:$D$3548, A61)</f>
        <v>45366.453497453702</v>
      </c>
      <c r="C61" s="17">
        <f>_xlfn.MAXIFS('working sheet'!$B$1:$B$3548,'working sheet'!$D$1:$D$3548,'Customer Portfolio'!A61)</f>
        <v>45366.453497453702</v>
      </c>
      <c r="D61">
        <f>COUNTIFS('working sheet'!$D$1:$D$3548,'Customer Portfolio'!A61)</f>
        <v>1</v>
      </c>
      <c r="E61" s="5">
        <f>SUMIFS('working sheet'!$E$2:$E$3548,'working sheet'!$D$2:$D$3548,'Customer Portfolio'!A61)</f>
        <v>38.700000000000003</v>
      </c>
      <c r="F61" s="6">
        <f t="shared" si="0"/>
        <v>38.700000000000003</v>
      </c>
      <c r="G61" t="str">
        <f t="array" ref="G61">IFERROR(INDEX('working sheet'!$F$2:$F$3548, MODE(IF('working sheet'!$D$2:$D$3548=A61, MATCH('working sheet'!$F$2:$F$3548, 'working sheet'!$F$2:$F$3548, 0)))),
         INDEX('working sheet'!$F$2:$F$3548, MATCH(A61, 'working sheet'!$D$2:$D$3548, 0)))</f>
        <v>Hot Chocolate</v>
      </c>
      <c r="H61" s="7">
        <f t="shared" si="1"/>
        <v>1</v>
      </c>
      <c r="I61" s="7">
        <f>MAX('working sheet'!$B$2:$B$3548)-C61</f>
        <v>373.30458859953796</v>
      </c>
      <c r="J61" s="4" t="str">
        <f t="array" ref="J61">IF(AND(I61&lt;=30, D61&gt;=10, E61&gt;=200), "VIP",  IF(AND(I61&lt;=60, D61&gt;=5, E61&gt;=100), "Loyal", IF(AND(I61&lt;=90, D61&gt;=3), "Regular", IF(I61&lt;=30, "Recent", IF(D61&gt;=3, "Occasional", "At Risk")))))</f>
        <v>At Risk</v>
      </c>
      <c r="K61" t="str">
        <f t="array" ref="K61">IF(OR(J61="VIP", J61="Loyal"), "HIGH",IF(OR(J61="Regular", J61="Recent"), "MEDIUM","LOW"))</f>
        <v>LOW</v>
      </c>
    </row>
    <row r="62" spans="1:11">
      <c r="A62" t="s">
        <v>75</v>
      </c>
      <c r="B62" s="14">
        <f>_xlfn.MINIFS('working sheet'!$B$2:$B$3548, 'working sheet'!$D$2:$D$3548, A62)</f>
        <v>45367.504805659722</v>
      </c>
      <c r="C62" s="17">
        <f>_xlfn.MAXIFS('working sheet'!$B$1:$B$3548,'working sheet'!$D$1:$D$3548,'Customer Portfolio'!A62)</f>
        <v>45367.505485127316</v>
      </c>
      <c r="D62">
        <f>COUNTIFS('working sheet'!$D$1:$D$3548,'Customer Portfolio'!A62)</f>
        <v>2</v>
      </c>
      <c r="E62" s="5">
        <f>SUMIFS('working sheet'!$E$2:$E$3548,'working sheet'!$D$2:$D$3548,'Customer Portfolio'!A62)</f>
        <v>62.699999999999996</v>
      </c>
      <c r="F62" s="6">
        <f t="shared" si="0"/>
        <v>31.349999999999998</v>
      </c>
      <c r="G62" t="str">
        <f t="array" ref="G62">IFERROR(INDEX('working sheet'!$F$2:$F$3548, MODE(IF('working sheet'!$D$2:$D$3548=A62, MATCH('working sheet'!$F$2:$F$3548, 'working sheet'!$F$2:$F$3548, 0)))),
         INDEX('working sheet'!$F$2:$F$3548, MATCH(A62, 'working sheet'!$D$2:$D$3548, 0)))</f>
        <v>Americano with Milk</v>
      </c>
      <c r="H62" s="7">
        <f t="shared" si="1"/>
        <v>1.0006794675937272</v>
      </c>
      <c r="I62" s="7">
        <f>MAX('working sheet'!$B$2:$B$3548)-C62</f>
        <v>372.25260092592362</v>
      </c>
      <c r="J62" s="4" t="str">
        <f t="array" ref="J62">IF(AND(I62&lt;=30, D62&gt;=10, E62&gt;=200), "VIP",  IF(AND(I62&lt;=60, D62&gt;=5, E62&gt;=100), "Loyal", IF(AND(I62&lt;=90, D62&gt;=3), "Regular", IF(I62&lt;=30, "Recent", IF(D62&gt;=3, "Occasional", "At Risk")))))</f>
        <v>At Risk</v>
      </c>
      <c r="K62" t="str">
        <f t="array" ref="K62">IF(OR(J62="VIP", J62="Loyal"), "HIGH",IF(OR(J62="Regular", J62="Recent"), "MEDIUM","LOW"))</f>
        <v>LOW</v>
      </c>
    </row>
    <row r="63" spans="1:11">
      <c r="A63" t="s">
        <v>76</v>
      </c>
      <c r="B63" s="14">
        <f>_xlfn.MINIFS('working sheet'!$B$2:$B$3548, 'working sheet'!$D$2:$D$3548, A63)</f>
        <v>45367.748694918984</v>
      </c>
      <c r="C63" s="17">
        <f>_xlfn.MAXIFS('working sheet'!$B$1:$B$3548,'working sheet'!$D$1:$D$3548,'Customer Portfolio'!A63)</f>
        <v>45367.748694918984</v>
      </c>
      <c r="D63">
        <f>COUNTIFS('working sheet'!$D$1:$D$3548,'Customer Portfolio'!A63)</f>
        <v>1</v>
      </c>
      <c r="E63" s="5">
        <f>SUMIFS('working sheet'!$E$2:$E$3548,'working sheet'!$D$2:$D$3548,'Customer Portfolio'!A63)</f>
        <v>33.799999999999997</v>
      </c>
      <c r="F63" s="6">
        <f t="shared" si="0"/>
        <v>33.799999999999997</v>
      </c>
      <c r="G63" t="str">
        <f t="array" ref="G63">IFERROR(INDEX('working sheet'!$F$2:$F$3548, MODE(IF('working sheet'!$D$2:$D$3548=A63, MATCH('working sheet'!$F$2:$F$3548, 'working sheet'!$F$2:$F$3548, 0)))),
         INDEX('working sheet'!$F$2:$F$3548, MATCH(A63, 'working sheet'!$D$2:$D$3548, 0)))</f>
        <v>Americano with Milk</v>
      </c>
      <c r="H63" s="7">
        <f t="shared" si="1"/>
        <v>1</v>
      </c>
      <c r="I63" s="7">
        <f>MAX('working sheet'!$B$2:$B$3548)-C63</f>
        <v>372.00939113425557</v>
      </c>
      <c r="J63" s="4" t="str">
        <f t="array" ref="J63">IF(AND(I63&lt;=30, D63&gt;=10, E63&gt;=200), "VIP",  IF(AND(I63&lt;=60, D63&gt;=5, E63&gt;=100), "Loyal", IF(AND(I63&lt;=90, D63&gt;=3), "Regular", IF(I63&lt;=30, "Recent", IF(D63&gt;=3, "Occasional", "At Risk")))))</f>
        <v>At Risk</v>
      </c>
      <c r="K63" t="str">
        <f t="array" ref="K63">IF(OR(J63="VIP", J63="Loyal"), "HIGH",IF(OR(J63="Regular", J63="Recent"), "MEDIUM","LOW"))</f>
        <v>LOW</v>
      </c>
    </row>
    <row r="64" spans="1:11">
      <c r="A64" t="s">
        <v>77</v>
      </c>
      <c r="B64" s="14">
        <f>_xlfn.MINIFS('working sheet'!$B$2:$B$3548, 'working sheet'!$D$2:$D$3548, A64)</f>
        <v>45368.538496122688</v>
      </c>
      <c r="C64" s="17">
        <f>_xlfn.MAXIFS('working sheet'!$B$1:$B$3548,'working sheet'!$D$1:$D$3548,'Customer Portfolio'!A64)</f>
        <v>45368.538496122688</v>
      </c>
      <c r="D64">
        <f>COUNTIFS('working sheet'!$D$1:$D$3548,'Customer Portfolio'!A64)</f>
        <v>1</v>
      </c>
      <c r="E64" s="5">
        <f>SUMIFS('working sheet'!$E$2:$E$3548,'working sheet'!$D$2:$D$3548,'Customer Portfolio'!A64)</f>
        <v>28.9</v>
      </c>
      <c r="F64" s="6">
        <f t="shared" si="0"/>
        <v>28.9</v>
      </c>
      <c r="G64" t="str">
        <f t="array" ref="G64">IFERROR(INDEX('working sheet'!$F$2:$F$3548, MODE(IF('working sheet'!$D$2:$D$3548=A64, MATCH('working sheet'!$F$2:$F$3548, 'working sheet'!$F$2:$F$3548, 0)))),
         INDEX('working sheet'!$F$2:$F$3548, MATCH(A64, 'working sheet'!$D$2:$D$3548, 0)))</f>
        <v>Cortado</v>
      </c>
      <c r="H64" s="7">
        <f t="shared" si="1"/>
        <v>1</v>
      </c>
      <c r="I64" s="7">
        <f>MAX('working sheet'!$B$2:$B$3548)-C64</f>
        <v>371.21958993055159</v>
      </c>
      <c r="J64" s="4" t="str">
        <f t="array" ref="J64">IF(AND(I64&lt;=30, D64&gt;=10, E64&gt;=200), "VIP",  IF(AND(I64&lt;=60, D64&gt;=5, E64&gt;=100), "Loyal", IF(AND(I64&lt;=90, D64&gt;=3), "Regular", IF(I64&lt;=30, "Recent", IF(D64&gt;=3, "Occasional", "At Risk")))))</f>
        <v>At Risk</v>
      </c>
      <c r="K64" t="str">
        <f t="array" ref="K64">IF(OR(J64="VIP", J64="Loyal"), "HIGH",IF(OR(J64="Regular", J64="Recent"), "MEDIUM","LOW"))</f>
        <v>LOW</v>
      </c>
    </row>
    <row r="65" spans="1:11">
      <c r="A65" t="s">
        <v>78</v>
      </c>
      <c r="B65" s="14">
        <f>_xlfn.MINIFS('working sheet'!$B$2:$B$3548, 'working sheet'!$D$2:$D$3548, A65)</f>
        <v>45369.47082952546</v>
      </c>
      <c r="C65" s="17">
        <f>_xlfn.MAXIFS('working sheet'!$B$1:$B$3548,'working sheet'!$D$1:$D$3548,'Customer Portfolio'!A65)</f>
        <v>45398.536200810187</v>
      </c>
      <c r="D65">
        <f>COUNTIFS('working sheet'!$D$1:$D$3548,'Customer Portfolio'!A65)</f>
        <v>3</v>
      </c>
      <c r="E65" s="5">
        <f>SUMIFS('working sheet'!$E$2:$E$3548,'working sheet'!$D$2:$D$3548,'Customer Portfolio'!A65)</f>
        <v>86.699999999999989</v>
      </c>
      <c r="F65" s="6">
        <f t="shared" si="0"/>
        <v>28.899999999999995</v>
      </c>
      <c r="G65" t="str">
        <f t="array" ref="G65">IFERROR(INDEX('working sheet'!$F$2:$F$3548, MODE(IF('working sheet'!$D$2:$D$3548=A65, MATCH('working sheet'!$F$2:$F$3548, 'working sheet'!$F$2:$F$3548, 0)))),
         INDEX('working sheet'!$F$2:$F$3548, MATCH(A65, 'working sheet'!$D$2:$D$3548, 0)))</f>
        <v>Cortado</v>
      </c>
      <c r="H65" s="7">
        <f t="shared" si="1"/>
        <v>30.065371284727007</v>
      </c>
      <c r="I65" s="7">
        <f>MAX('working sheet'!$B$2:$B$3548)-C65</f>
        <v>341.22188524305238</v>
      </c>
      <c r="J65" s="4" t="str">
        <f t="array" ref="J65">IF(AND(I65&lt;=30, D65&gt;=10, E65&gt;=200), "VIP",  IF(AND(I65&lt;=60, D65&gt;=5, E65&gt;=100), "Loyal", IF(AND(I65&lt;=90, D65&gt;=3), "Regular", IF(I65&lt;=30, "Recent", IF(D65&gt;=3, "Occasional", "At Risk")))))</f>
        <v>Occasional</v>
      </c>
      <c r="K65" t="str">
        <f t="array" ref="K65">IF(OR(J65="VIP", J65="Loyal"), "HIGH",IF(OR(J65="Regular", J65="Recent"), "MEDIUM","LOW"))</f>
        <v>LOW</v>
      </c>
    </row>
    <row r="66" spans="1:11">
      <c r="A66" t="s">
        <v>79</v>
      </c>
      <c r="B66" s="14">
        <f>_xlfn.MINIFS('working sheet'!$B$2:$B$3548, 'working sheet'!$D$2:$D$3548, A66)</f>
        <v>45370.584971481483</v>
      </c>
      <c r="C66" s="17">
        <f>_xlfn.MAXIFS('working sheet'!$B$1:$B$3548,'working sheet'!$D$1:$D$3548,'Customer Portfolio'!A66)</f>
        <v>45370.58564542824</v>
      </c>
      <c r="D66">
        <f>COUNTIFS('working sheet'!$D$1:$D$3548,'Customer Portfolio'!A66)</f>
        <v>2</v>
      </c>
      <c r="E66" s="5">
        <f>SUMIFS('working sheet'!$E$2:$E$3548,'working sheet'!$D$2:$D$3548,'Customer Portfolio'!A66)</f>
        <v>77.400000000000006</v>
      </c>
      <c r="F66" s="6">
        <f t="shared" si="0"/>
        <v>38.700000000000003</v>
      </c>
      <c r="G66" t="str">
        <f t="array" ref="G66">IFERROR(INDEX('working sheet'!$F$2:$F$3548, MODE(IF('working sheet'!$D$2:$D$3548=A66, MATCH('working sheet'!$F$2:$F$3548, 'working sheet'!$F$2:$F$3548, 0)))),
         INDEX('working sheet'!$F$2:$F$3548, MATCH(A66, 'working sheet'!$D$2:$D$3548, 0)))</f>
        <v>Latte</v>
      </c>
      <c r="H66" s="7">
        <f t="shared" si="1"/>
        <v>1.0006739467571606</v>
      </c>
      <c r="I66" s="7">
        <f>MAX('working sheet'!$B$2:$B$3548)-C66</f>
        <v>369.17244062499958</v>
      </c>
      <c r="J66" s="4" t="str">
        <f t="array" ref="J66">IF(AND(I66&lt;=30, D66&gt;=10, E66&gt;=200), "VIP",  IF(AND(I66&lt;=60, D66&gt;=5, E66&gt;=100), "Loyal", IF(AND(I66&lt;=90, D66&gt;=3), "Regular", IF(I66&lt;=30, "Recent", IF(D66&gt;=3, "Occasional", "At Risk")))))</f>
        <v>At Risk</v>
      </c>
      <c r="K66" t="str">
        <f t="array" ref="K66">IF(OR(J66="VIP", J66="Loyal"), "HIGH",IF(OR(J66="Regular", J66="Recent"), "MEDIUM","LOW"))</f>
        <v>LOW</v>
      </c>
    </row>
    <row r="67" spans="1:11">
      <c r="A67" t="s">
        <v>80</v>
      </c>
      <c r="B67" s="14">
        <f>_xlfn.MINIFS('working sheet'!$B$2:$B$3548, 'working sheet'!$D$2:$D$3548, A67)</f>
        <v>45370.704035949071</v>
      </c>
      <c r="C67" s="17">
        <f>_xlfn.MAXIFS('working sheet'!$B$1:$B$3548,'working sheet'!$D$1:$D$3548,'Customer Portfolio'!A67)</f>
        <v>45370.704035949071</v>
      </c>
      <c r="D67">
        <f>COUNTIFS('working sheet'!$D$1:$D$3548,'Customer Portfolio'!A67)</f>
        <v>1</v>
      </c>
      <c r="E67" s="5">
        <f>SUMIFS('working sheet'!$E$2:$E$3548,'working sheet'!$D$2:$D$3548,'Customer Portfolio'!A67)</f>
        <v>33.799999999999997</v>
      </c>
      <c r="F67" s="6">
        <f t="shared" ref="F67:F130" si="2">E67/D67</f>
        <v>33.799999999999997</v>
      </c>
      <c r="G67" t="str">
        <f t="array" ref="G67">IFERROR(INDEX('working sheet'!$F$2:$F$3548, MODE(IF('working sheet'!$D$2:$D$3548=A67, MATCH('working sheet'!$F$2:$F$3548, 'working sheet'!$F$2:$F$3548, 0)))),
         INDEX('working sheet'!$F$2:$F$3548, MATCH(A67, 'working sheet'!$D$2:$D$3548, 0)))</f>
        <v>Americano with Milk</v>
      </c>
      <c r="H67" s="7">
        <f t="shared" ref="H67:H130" si="3">C67-B67+1</f>
        <v>1</v>
      </c>
      <c r="I67" s="7">
        <f>MAX('working sheet'!$B$2:$B$3548)-C67</f>
        <v>369.05405010416871</v>
      </c>
      <c r="J67" s="4" t="str">
        <f t="array" ref="J67">IF(AND(I67&lt;=30, D67&gt;=10, E67&gt;=200), "VIP",  IF(AND(I67&lt;=60, D67&gt;=5, E67&gt;=100), "Loyal", IF(AND(I67&lt;=90, D67&gt;=3), "Regular", IF(I67&lt;=30, "Recent", IF(D67&gt;=3, "Occasional", "At Risk")))))</f>
        <v>At Risk</v>
      </c>
      <c r="K67" t="str">
        <f t="array" ref="K67">IF(OR(J67="VIP", J67="Loyal"), "HIGH",IF(OR(J67="Regular", J67="Recent"), "MEDIUM","LOW"))</f>
        <v>LOW</v>
      </c>
    </row>
    <row r="68" spans="1:11">
      <c r="A68" t="s">
        <v>81</v>
      </c>
      <c r="B68" s="14">
        <f>_xlfn.MINIFS('working sheet'!$B$2:$B$3548, 'working sheet'!$D$2:$D$3548, A68)</f>
        <v>45371.553326319445</v>
      </c>
      <c r="C68" s="17">
        <f>_xlfn.MAXIFS('working sheet'!$B$1:$B$3548,'working sheet'!$D$1:$D$3548,'Customer Portfolio'!A68)</f>
        <v>45371.553326319445</v>
      </c>
      <c r="D68">
        <f>COUNTIFS('working sheet'!$D$1:$D$3548,'Customer Portfolio'!A68)</f>
        <v>1</v>
      </c>
      <c r="E68" s="5">
        <f>SUMIFS('working sheet'!$E$2:$E$3548,'working sheet'!$D$2:$D$3548,'Customer Portfolio'!A68)</f>
        <v>38.700000000000003</v>
      </c>
      <c r="F68" s="6">
        <f t="shared" si="2"/>
        <v>38.700000000000003</v>
      </c>
      <c r="G68" t="str">
        <f t="array" ref="G68">IFERROR(INDEX('working sheet'!$F$2:$F$3548, MODE(IF('working sheet'!$D$2:$D$3548=A68, MATCH('working sheet'!$F$2:$F$3548, 'working sheet'!$F$2:$F$3548, 0)))),
         INDEX('working sheet'!$F$2:$F$3548, MATCH(A68, 'working sheet'!$D$2:$D$3548, 0)))</f>
        <v>Cappuccino</v>
      </c>
      <c r="H68" s="7">
        <f t="shared" si="3"/>
        <v>1</v>
      </c>
      <c r="I68" s="7">
        <f>MAX('working sheet'!$B$2:$B$3548)-C68</f>
        <v>368.20475973379507</v>
      </c>
      <c r="J68" s="4" t="str">
        <f t="array" ref="J68">IF(AND(I68&lt;=30, D68&gt;=10, E68&gt;=200), "VIP",  IF(AND(I68&lt;=60, D68&gt;=5, E68&gt;=100), "Loyal", IF(AND(I68&lt;=90, D68&gt;=3), "Regular", IF(I68&lt;=30, "Recent", IF(D68&gt;=3, "Occasional", "At Risk")))))</f>
        <v>At Risk</v>
      </c>
      <c r="K68" t="str">
        <f t="array" ref="K68">IF(OR(J68="VIP", J68="Loyal"), "HIGH",IF(OR(J68="Regular", J68="Recent"), "MEDIUM","LOW"))</f>
        <v>LOW</v>
      </c>
    </row>
    <row r="69" spans="1:11">
      <c r="A69" t="s">
        <v>82</v>
      </c>
      <c r="B69" s="14">
        <f>_xlfn.MINIFS('working sheet'!$B$2:$B$3548, 'working sheet'!$D$2:$D$3548, A69)</f>
        <v>45371.743388668983</v>
      </c>
      <c r="C69" s="17">
        <f>_xlfn.MAXIFS('working sheet'!$B$1:$B$3548,'working sheet'!$D$1:$D$3548,'Customer Portfolio'!A69)</f>
        <v>45371.743388668983</v>
      </c>
      <c r="D69">
        <f>COUNTIFS('working sheet'!$D$1:$D$3548,'Customer Portfolio'!A69)</f>
        <v>1</v>
      </c>
      <c r="E69" s="5">
        <f>SUMIFS('working sheet'!$E$2:$E$3548,'working sheet'!$D$2:$D$3548,'Customer Portfolio'!A69)</f>
        <v>38.700000000000003</v>
      </c>
      <c r="F69" s="6">
        <f t="shared" si="2"/>
        <v>38.700000000000003</v>
      </c>
      <c r="G69" t="str">
        <f t="array" ref="G69">IFERROR(INDEX('working sheet'!$F$2:$F$3548, MODE(IF('working sheet'!$D$2:$D$3548=A69, MATCH('working sheet'!$F$2:$F$3548, 'working sheet'!$F$2:$F$3548, 0)))),
         INDEX('working sheet'!$F$2:$F$3548, MATCH(A69, 'working sheet'!$D$2:$D$3548, 0)))</f>
        <v>Latte</v>
      </c>
      <c r="H69" s="7">
        <f t="shared" si="3"/>
        <v>1</v>
      </c>
      <c r="I69" s="7">
        <f>MAX('working sheet'!$B$2:$B$3548)-C69</f>
        <v>368.01469738425658</v>
      </c>
      <c r="J69" s="4" t="str">
        <f t="array" ref="J69">IF(AND(I69&lt;=30, D69&gt;=10, E69&gt;=200), "VIP",  IF(AND(I69&lt;=60, D69&gt;=5, E69&gt;=100), "Loyal", IF(AND(I69&lt;=90, D69&gt;=3), "Regular", IF(I69&lt;=30, "Recent", IF(D69&gt;=3, "Occasional", "At Risk")))))</f>
        <v>At Risk</v>
      </c>
      <c r="K69" t="str">
        <f t="array" ref="K69">IF(OR(J69="VIP", J69="Loyal"), "HIGH",IF(OR(J69="Regular", J69="Recent"), "MEDIUM","LOW"))</f>
        <v>LOW</v>
      </c>
    </row>
    <row r="70" spans="1:11">
      <c r="A70" t="s">
        <v>83</v>
      </c>
      <c r="B70" s="14">
        <f>_xlfn.MINIFS('working sheet'!$B$2:$B$3548, 'working sheet'!$D$2:$D$3548, A70)</f>
        <v>45372.805978101853</v>
      </c>
      <c r="C70" s="17">
        <f>_xlfn.MAXIFS('working sheet'!$B$1:$B$3548,'working sheet'!$D$1:$D$3548,'Customer Portfolio'!A70)</f>
        <v>45428.73925402778</v>
      </c>
      <c r="D70">
        <f>COUNTIFS('working sheet'!$D$1:$D$3548,'Customer Portfolio'!A70)</f>
        <v>5</v>
      </c>
      <c r="E70" s="5">
        <f>SUMIFS('working sheet'!$E$2:$E$3548,'working sheet'!$D$2:$D$3548,'Customer Portfolio'!A70)</f>
        <v>191.54</v>
      </c>
      <c r="F70" s="6">
        <f t="shared" si="2"/>
        <v>38.308</v>
      </c>
      <c r="G70" t="str">
        <f t="array" ref="G70">IFERROR(INDEX('working sheet'!$F$2:$F$3548, MODE(IF('working sheet'!$D$2:$D$3548=A70, MATCH('working sheet'!$F$2:$F$3548, 'working sheet'!$F$2:$F$3548, 0)))),
         INDEX('working sheet'!$F$2:$F$3548, MATCH(A70, 'working sheet'!$D$2:$D$3548, 0)))</f>
        <v>Latte</v>
      </c>
      <c r="H70" s="7">
        <f t="shared" si="3"/>
        <v>56.933275925926864</v>
      </c>
      <c r="I70" s="7">
        <f>MAX('working sheet'!$B$2:$B$3548)-C70</f>
        <v>311.01883202546014</v>
      </c>
      <c r="J70" s="4" t="str">
        <f t="array" ref="J70">IF(AND(I70&lt;=30, D70&gt;=10, E70&gt;=200), "VIP",  IF(AND(I70&lt;=60, D70&gt;=5, E70&gt;=100), "Loyal", IF(AND(I70&lt;=90, D70&gt;=3), "Regular", IF(I70&lt;=30, "Recent", IF(D70&gt;=3, "Occasional", "At Risk")))))</f>
        <v>Occasional</v>
      </c>
      <c r="K70" t="str">
        <f t="array" ref="K70">IF(OR(J70="VIP", J70="Loyal"), "HIGH",IF(OR(J70="Regular", J70="Recent"), "MEDIUM","LOW"))</f>
        <v>LOW</v>
      </c>
    </row>
    <row r="71" spans="1:11">
      <c r="A71" t="s">
        <v>84</v>
      </c>
      <c r="B71" s="14">
        <f>_xlfn.MINIFS('working sheet'!$B$2:$B$3548, 'working sheet'!$D$2:$D$3548, A71)</f>
        <v>45373.441592812502</v>
      </c>
      <c r="C71" s="17">
        <f>_xlfn.MAXIFS('working sheet'!$B$1:$B$3548,'working sheet'!$D$1:$D$3548,'Customer Portfolio'!A71)</f>
        <v>45373.441592812502</v>
      </c>
      <c r="D71">
        <f>COUNTIFS('working sheet'!$D$1:$D$3548,'Customer Portfolio'!A71)</f>
        <v>1</v>
      </c>
      <c r="E71" s="5">
        <f>SUMIFS('working sheet'!$E$2:$E$3548,'working sheet'!$D$2:$D$3548,'Customer Portfolio'!A71)</f>
        <v>33.799999999999997</v>
      </c>
      <c r="F71" s="6">
        <f t="shared" si="2"/>
        <v>33.799999999999997</v>
      </c>
      <c r="G71" t="str">
        <f t="array" ref="G71">IFERROR(INDEX('working sheet'!$F$2:$F$3548, MODE(IF('working sheet'!$D$2:$D$3548=A71, MATCH('working sheet'!$F$2:$F$3548, 'working sheet'!$F$2:$F$3548, 0)))),
         INDEX('working sheet'!$F$2:$F$3548, MATCH(A71, 'working sheet'!$D$2:$D$3548, 0)))</f>
        <v>Americano with Milk</v>
      </c>
      <c r="H71" s="7">
        <f t="shared" si="3"/>
        <v>1</v>
      </c>
      <c r="I71" s="7">
        <f>MAX('working sheet'!$B$2:$B$3548)-C71</f>
        <v>366.31649324073805</v>
      </c>
      <c r="J71" s="4" t="str">
        <f t="array" ref="J71">IF(AND(I71&lt;=30, D71&gt;=10, E71&gt;=200), "VIP",  IF(AND(I71&lt;=60, D71&gt;=5, E71&gt;=100), "Loyal", IF(AND(I71&lt;=90, D71&gt;=3), "Regular", IF(I71&lt;=30, "Recent", IF(D71&gt;=3, "Occasional", "At Risk")))))</f>
        <v>At Risk</v>
      </c>
      <c r="K71" t="str">
        <f t="array" ref="K71">IF(OR(J71="VIP", J71="Loyal"), "HIGH",IF(OR(J71="Regular", J71="Recent"), "MEDIUM","LOW"))</f>
        <v>LOW</v>
      </c>
    </row>
    <row r="72" spans="1:11">
      <c r="A72" t="s">
        <v>85</v>
      </c>
      <c r="B72" s="14">
        <f>_xlfn.MINIFS('working sheet'!$B$2:$B$3548, 'working sheet'!$D$2:$D$3548, A72)</f>
        <v>45373.562041006946</v>
      </c>
      <c r="C72" s="17">
        <f>_xlfn.MAXIFS('working sheet'!$B$1:$B$3548,'working sheet'!$D$1:$D$3548,'Customer Portfolio'!A72)</f>
        <v>45373.562041006946</v>
      </c>
      <c r="D72">
        <f>COUNTIFS('working sheet'!$D$1:$D$3548,'Customer Portfolio'!A72)</f>
        <v>1</v>
      </c>
      <c r="E72" s="5">
        <f>SUMIFS('working sheet'!$E$2:$E$3548,'working sheet'!$D$2:$D$3548,'Customer Portfolio'!A72)</f>
        <v>33.799999999999997</v>
      </c>
      <c r="F72" s="6">
        <f t="shared" si="2"/>
        <v>33.799999999999997</v>
      </c>
      <c r="G72" t="str">
        <f t="array" ref="G72">IFERROR(INDEX('working sheet'!$F$2:$F$3548, MODE(IF('working sheet'!$D$2:$D$3548=A72, MATCH('working sheet'!$F$2:$F$3548, 'working sheet'!$F$2:$F$3548, 0)))),
         INDEX('working sheet'!$F$2:$F$3548, MATCH(A72, 'working sheet'!$D$2:$D$3548, 0)))</f>
        <v>Americano with Milk</v>
      </c>
      <c r="H72" s="7">
        <f t="shared" si="3"/>
        <v>1</v>
      </c>
      <c r="I72" s="7">
        <f>MAX('working sheet'!$B$2:$B$3548)-C72</f>
        <v>366.19604504629388</v>
      </c>
      <c r="J72" s="4" t="str">
        <f t="array" ref="J72">IF(AND(I72&lt;=30, D72&gt;=10, E72&gt;=200), "VIP",  IF(AND(I72&lt;=60, D72&gt;=5, E72&gt;=100), "Loyal", IF(AND(I72&lt;=90, D72&gt;=3), "Regular", IF(I72&lt;=30, "Recent", IF(D72&gt;=3, "Occasional", "At Risk")))))</f>
        <v>At Risk</v>
      </c>
      <c r="K72" t="str">
        <f t="array" ref="K72">IF(OR(J72="VIP", J72="Loyal"), "HIGH",IF(OR(J72="Regular", J72="Recent"), "MEDIUM","LOW"))</f>
        <v>LOW</v>
      </c>
    </row>
    <row r="73" spans="1:11">
      <c r="A73" t="s">
        <v>86</v>
      </c>
      <c r="B73" s="14">
        <f>_xlfn.MINIFS('working sheet'!$B$2:$B$3548, 'working sheet'!$D$2:$D$3548, A73)</f>
        <v>45374.447217118053</v>
      </c>
      <c r="C73" s="17">
        <f>_xlfn.MAXIFS('working sheet'!$B$1:$B$3548,'working sheet'!$D$1:$D$3548,'Customer Portfolio'!A73)</f>
        <v>45374.447217118053</v>
      </c>
      <c r="D73">
        <f>COUNTIFS('working sheet'!$D$1:$D$3548,'Customer Portfolio'!A73)</f>
        <v>1</v>
      </c>
      <c r="E73" s="5">
        <f>SUMIFS('working sheet'!$E$2:$E$3548,'working sheet'!$D$2:$D$3548,'Customer Portfolio'!A73)</f>
        <v>38.700000000000003</v>
      </c>
      <c r="F73" s="6">
        <f t="shared" si="2"/>
        <v>38.700000000000003</v>
      </c>
      <c r="G73" t="str">
        <f t="array" ref="G73">IFERROR(INDEX('working sheet'!$F$2:$F$3548, MODE(IF('working sheet'!$D$2:$D$3548=A73, MATCH('working sheet'!$F$2:$F$3548, 'working sheet'!$F$2:$F$3548, 0)))),
         INDEX('working sheet'!$F$2:$F$3548, MATCH(A73, 'working sheet'!$D$2:$D$3548, 0)))</f>
        <v>Latte</v>
      </c>
      <c r="H73" s="7">
        <f t="shared" si="3"/>
        <v>1</v>
      </c>
      <c r="I73" s="7">
        <f>MAX('working sheet'!$B$2:$B$3548)-C73</f>
        <v>365.31086893518659</v>
      </c>
      <c r="J73" s="4" t="str">
        <f t="array" ref="J73">IF(AND(I73&lt;=30, D73&gt;=10, E73&gt;=200), "VIP",  IF(AND(I73&lt;=60, D73&gt;=5, E73&gt;=100), "Loyal", IF(AND(I73&lt;=90, D73&gt;=3), "Regular", IF(I73&lt;=30, "Recent", IF(D73&gt;=3, "Occasional", "At Risk")))))</f>
        <v>At Risk</v>
      </c>
      <c r="K73" t="str">
        <f t="array" ref="K73">IF(OR(J73="VIP", J73="Loyal"), "HIGH",IF(OR(J73="Regular", J73="Recent"), "MEDIUM","LOW"))</f>
        <v>LOW</v>
      </c>
    </row>
    <row r="74" spans="1:11">
      <c r="A74" t="s">
        <v>87</v>
      </c>
      <c r="B74" s="14">
        <f>_xlfn.MINIFS('working sheet'!$B$2:$B$3548, 'working sheet'!$D$2:$D$3548, A74)</f>
        <v>45374.447999502314</v>
      </c>
      <c r="C74" s="17">
        <f>_xlfn.MAXIFS('working sheet'!$B$1:$B$3548,'working sheet'!$D$1:$D$3548,'Customer Portfolio'!A74)</f>
        <v>45374.447999502314</v>
      </c>
      <c r="D74">
        <f>COUNTIFS('working sheet'!$D$1:$D$3548,'Customer Portfolio'!A74)</f>
        <v>1</v>
      </c>
      <c r="E74" s="5">
        <f>SUMIFS('working sheet'!$E$2:$E$3548,'working sheet'!$D$2:$D$3548,'Customer Portfolio'!A74)</f>
        <v>33.799999999999997</v>
      </c>
      <c r="F74" s="6">
        <f t="shared" si="2"/>
        <v>33.799999999999997</v>
      </c>
      <c r="G74" t="str">
        <f t="array" ref="G74">IFERROR(INDEX('working sheet'!$F$2:$F$3548, MODE(IF('working sheet'!$D$2:$D$3548=A74, MATCH('working sheet'!$F$2:$F$3548, 'working sheet'!$F$2:$F$3548, 0)))),
         INDEX('working sheet'!$F$2:$F$3548, MATCH(A74, 'working sheet'!$D$2:$D$3548, 0)))</f>
        <v>Americano with Milk</v>
      </c>
      <c r="H74" s="7">
        <f t="shared" si="3"/>
        <v>1</v>
      </c>
      <c r="I74" s="7">
        <f>MAX('working sheet'!$B$2:$B$3548)-C74</f>
        <v>365.31008655092592</v>
      </c>
      <c r="J74" s="4" t="str">
        <f t="array" ref="J74">IF(AND(I74&lt;=30, D74&gt;=10, E74&gt;=200), "VIP",  IF(AND(I74&lt;=60, D74&gt;=5, E74&gt;=100), "Loyal", IF(AND(I74&lt;=90, D74&gt;=3), "Regular", IF(I74&lt;=30, "Recent", IF(D74&gt;=3, "Occasional", "At Risk")))))</f>
        <v>At Risk</v>
      </c>
      <c r="K74" t="str">
        <f t="array" ref="K74">IF(OR(J74="VIP", J74="Loyal"), "HIGH",IF(OR(J74="Regular", J74="Recent"), "MEDIUM","LOW"))</f>
        <v>LOW</v>
      </c>
    </row>
    <row r="75" spans="1:11">
      <c r="A75" t="s">
        <v>88</v>
      </c>
      <c r="B75" s="14">
        <f>_xlfn.MINIFS('working sheet'!$B$2:$B$3548, 'working sheet'!$D$2:$D$3548, A75)</f>
        <v>45374.548699780091</v>
      </c>
      <c r="C75" s="17">
        <f>_xlfn.MAXIFS('working sheet'!$B$1:$B$3548,'working sheet'!$D$1:$D$3548,'Customer Portfolio'!A75)</f>
        <v>45374.549447106481</v>
      </c>
      <c r="D75">
        <f>COUNTIFS('working sheet'!$D$1:$D$3548,'Customer Portfolio'!A75)</f>
        <v>2</v>
      </c>
      <c r="E75" s="5">
        <f>SUMIFS('working sheet'!$E$2:$E$3548,'working sheet'!$D$2:$D$3548,'Customer Portfolio'!A75)</f>
        <v>77.400000000000006</v>
      </c>
      <c r="F75" s="6">
        <f t="shared" si="2"/>
        <v>38.700000000000003</v>
      </c>
      <c r="G75" t="str">
        <f t="array" ref="G75">IFERROR(INDEX('working sheet'!$F$2:$F$3548, MODE(IF('working sheet'!$D$2:$D$3548=A75, MATCH('working sheet'!$F$2:$F$3548, 'working sheet'!$F$2:$F$3548, 0)))),
         INDEX('working sheet'!$F$2:$F$3548, MATCH(A75, 'working sheet'!$D$2:$D$3548, 0)))</f>
        <v>Cappuccino</v>
      </c>
      <c r="H75" s="7">
        <f t="shared" si="3"/>
        <v>1.0007473263904103</v>
      </c>
      <c r="I75" s="7">
        <f>MAX('working sheet'!$B$2:$B$3548)-C75</f>
        <v>365.20863894675858</v>
      </c>
      <c r="J75" s="4" t="str">
        <f t="array" ref="J75">IF(AND(I75&lt;=30, D75&gt;=10, E75&gt;=200), "VIP",  IF(AND(I75&lt;=60, D75&gt;=5, E75&gt;=100), "Loyal", IF(AND(I75&lt;=90, D75&gt;=3), "Regular", IF(I75&lt;=30, "Recent", IF(D75&gt;=3, "Occasional", "At Risk")))))</f>
        <v>At Risk</v>
      </c>
      <c r="K75" t="str">
        <f t="array" ref="K75">IF(OR(J75="VIP", J75="Loyal"), "HIGH",IF(OR(J75="Regular", J75="Recent"), "MEDIUM","LOW"))</f>
        <v>LOW</v>
      </c>
    </row>
    <row r="76" spans="1:11">
      <c r="A76" t="s">
        <v>89</v>
      </c>
      <c r="B76" s="14">
        <f>_xlfn.MINIFS('working sheet'!$B$2:$B$3548, 'working sheet'!$D$2:$D$3548, A76)</f>
        <v>45374.614366620372</v>
      </c>
      <c r="C76" s="17">
        <f>_xlfn.MAXIFS('working sheet'!$B$1:$B$3548,'working sheet'!$D$1:$D$3548,'Customer Portfolio'!A76)</f>
        <v>45374.614366620372</v>
      </c>
      <c r="D76">
        <f>COUNTIFS('working sheet'!$D$1:$D$3548,'Customer Portfolio'!A76)</f>
        <v>1</v>
      </c>
      <c r="E76" s="5">
        <f>SUMIFS('working sheet'!$E$2:$E$3548,'working sheet'!$D$2:$D$3548,'Customer Portfolio'!A76)</f>
        <v>33.799999999999997</v>
      </c>
      <c r="F76" s="6">
        <f t="shared" si="2"/>
        <v>33.799999999999997</v>
      </c>
      <c r="G76" t="str">
        <f t="array" ref="G76">IFERROR(INDEX('working sheet'!$F$2:$F$3548, MODE(IF('working sheet'!$D$2:$D$3548=A76, MATCH('working sheet'!$F$2:$F$3548, 'working sheet'!$F$2:$F$3548, 0)))),
         INDEX('working sheet'!$F$2:$F$3548, MATCH(A76, 'working sheet'!$D$2:$D$3548, 0)))</f>
        <v>Americano with Milk</v>
      </c>
      <c r="H76" s="7">
        <f t="shared" si="3"/>
        <v>1</v>
      </c>
      <c r="I76" s="7">
        <f>MAX('working sheet'!$B$2:$B$3548)-C76</f>
        <v>365.14371943286824</v>
      </c>
      <c r="J76" s="4" t="str">
        <f t="array" ref="J76">IF(AND(I76&lt;=30, D76&gt;=10, E76&gt;=200), "VIP",  IF(AND(I76&lt;=60, D76&gt;=5, E76&gt;=100), "Loyal", IF(AND(I76&lt;=90, D76&gt;=3), "Regular", IF(I76&lt;=30, "Recent", IF(D76&gt;=3, "Occasional", "At Risk")))))</f>
        <v>At Risk</v>
      </c>
      <c r="K76" t="str">
        <f t="array" ref="K76">IF(OR(J76="VIP", J76="Loyal"), "HIGH",IF(OR(J76="Regular", J76="Recent"), "MEDIUM","LOW"))</f>
        <v>LOW</v>
      </c>
    </row>
    <row r="77" spans="1:11">
      <c r="A77" t="s">
        <v>90</v>
      </c>
      <c r="B77" s="14">
        <f>_xlfn.MINIFS('working sheet'!$B$2:$B$3548, 'working sheet'!$D$2:$D$3548, A77)</f>
        <v>45374.657859513885</v>
      </c>
      <c r="C77" s="17">
        <f>_xlfn.MAXIFS('working sheet'!$B$1:$B$3548,'working sheet'!$D$1:$D$3548,'Customer Portfolio'!A77)</f>
        <v>45374.659419131945</v>
      </c>
      <c r="D77">
        <f>COUNTIFS('working sheet'!$D$1:$D$3548,'Customer Portfolio'!A77)</f>
        <v>2</v>
      </c>
      <c r="E77" s="5">
        <f>SUMIFS('working sheet'!$E$2:$E$3548,'working sheet'!$D$2:$D$3548,'Customer Portfolio'!A77)</f>
        <v>72.5</v>
      </c>
      <c r="F77" s="6">
        <f t="shared" si="2"/>
        <v>36.25</v>
      </c>
      <c r="G77" t="str">
        <f t="array" ref="G77">IFERROR(INDEX('working sheet'!$F$2:$F$3548, MODE(IF('working sheet'!$D$2:$D$3548=A77, MATCH('working sheet'!$F$2:$F$3548, 'working sheet'!$F$2:$F$3548, 0)))),
         INDEX('working sheet'!$F$2:$F$3548, MATCH(A77, 'working sheet'!$D$2:$D$3548, 0)))</f>
        <v>Latte</v>
      </c>
      <c r="H77" s="7">
        <f t="shared" si="3"/>
        <v>1.0015596180601278</v>
      </c>
      <c r="I77" s="7">
        <f>MAX('working sheet'!$B$2:$B$3548)-C77</f>
        <v>365.09866692129435</v>
      </c>
      <c r="J77" s="4" t="str">
        <f t="array" ref="J77">IF(AND(I77&lt;=30, D77&gt;=10, E77&gt;=200), "VIP",  IF(AND(I77&lt;=60, D77&gt;=5, E77&gt;=100), "Loyal", IF(AND(I77&lt;=90, D77&gt;=3), "Regular", IF(I77&lt;=30, "Recent", IF(D77&gt;=3, "Occasional", "At Risk")))))</f>
        <v>At Risk</v>
      </c>
      <c r="K77" t="str">
        <f t="array" ref="K77">IF(OR(J77="VIP", J77="Loyal"), "HIGH",IF(OR(J77="Regular", J77="Recent"), "MEDIUM","LOW"))</f>
        <v>LOW</v>
      </c>
    </row>
    <row r="78" spans="1:11">
      <c r="A78" t="s">
        <v>91</v>
      </c>
      <c r="B78" s="14">
        <f>_xlfn.MINIFS('working sheet'!$B$2:$B$3548, 'working sheet'!$D$2:$D$3548, A78)</f>
        <v>45375.781347187498</v>
      </c>
      <c r="C78" s="17">
        <f>_xlfn.MAXIFS('working sheet'!$B$1:$B$3548,'working sheet'!$D$1:$D$3548,'Customer Portfolio'!A78)</f>
        <v>45529.620170127317</v>
      </c>
      <c r="D78">
        <f>COUNTIFS('working sheet'!$D$1:$D$3548,'Customer Portfolio'!A78)</f>
        <v>6</v>
      </c>
      <c r="E78" s="5">
        <f>SUMIFS('working sheet'!$E$2:$E$3548,'working sheet'!$D$2:$D$3548,'Customer Portfolio'!A78)</f>
        <v>207.7</v>
      </c>
      <c r="F78" s="6">
        <f t="shared" si="2"/>
        <v>34.616666666666667</v>
      </c>
      <c r="G78" t="str">
        <f t="array" ref="G78">IFERROR(INDEX('working sheet'!$F$2:$F$3548, MODE(IF('working sheet'!$D$2:$D$3548=A78, MATCH('working sheet'!$F$2:$F$3548, 'working sheet'!$F$2:$F$3548, 0)))),
         INDEX('working sheet'!$F$2:$F$3548, MATCH(A78, 'working sheet'!$D$2:$D$3548, 0)))</f>
        <v>Latte</v>
      </c>
      <c r="H78" s="7">
        <f t="shared" si="3"/>
        <v>154.83882293981878</v>
      </c>
      <c r="I78" s="7">
        <f>MAX('working sheet'!$B$2:$B$3548)-C78</f>
        <v>210.13791592592315</v>
      </c>
      <c r="J78" s="4" t="str">
        <f t="array" ref="J78">IF(AND(I78&lt;=30, D78&gt;=10, E78&gt;=200), "VIP",  IF(AND(I78&lt;=60, D78&gt;=5, E78&gt;=100), "Loyal", IF(AND(I78&lt;=90, D78&gt;=3), "Regular", IF(I78&lt;=30, "Recent", IF(D78&gt;=3, "Occasional", "At Risk")))))</f>
        <v>Occasional</v>
      </c>
      <c r="K78" t="str">
        <f t="array" ref="K78">IF(OR(J78="VIP", J78="Loyal"), "HIGH",IF(OR(J78="Regular", J78="Recent"), "MEDIUM","LOW"))</f>
        <v>LOW</v>
      </c>
    </row>
    <row r="79" spans="1:11">
      <c r="A79" t="s">
        <v>92</v>
      </c>
      <c r="B79" s="14">
        <f>_xlfn.MINIFS('working sheet'!$B$2:$B$3548, 'working sheet'!$D$2:$D$3548, A79)</f>
        <v>45376.602189386576</v>
      </c>
      <c r="C79" s="17">
        <f>_xlfn.MAXIFS('working sheet'!$B$1:$B$3548,'working sheet'!$D$1:$D$3548,'Customer Portfolio'!A79)</f>
        <v>45376.602189386576</v>
      </c>
      <c r="D79">
        <f>COUNTIFS('working sheet'!$D$1:$D$3548,'Customer Portfolio'!A79)</f>
        <v>1</v>
      </c>
      <c r="E79" s="5">
        <f>SUMIFS('working sheet'!$E$2:$E$3548,'working sheet'!$D$2:$D$3548,'Customer Portfolio'!A79)</f>
        <v>38.700000000000003</v>
      </c>
      <c r="F79" s="6">
        <f t="shared" si="2"/>
        <v>38.700000000000003</v>
      </c>
      <c r="G79" t="str">
        <f t="array" ref="G79">IFERROR(INDEX('working sheet'!$F$2:$F$3548, MODE(IF('working sheet'!$D$2:$D$3548=A79, MATCH('working sheet'!$F$2:$F$3548, 'working sheet'!$F$2:$F$3548, 0)))),
         INDEX('working sheet'!$F$2:$F$3548, MATCH(A79, 'working sheet'!$D$2:$D$3548, 0)))</f>
        <v>Latte</v>
      </c>
      <c r="H79" s="7">
        <f t="shared" si="3"/>
        <v>1</v>
      </c>
      <c r="I79" s="7">
        <f>MAX('working sheet'!$B$2:$B$3548)-C79</f>
        <v>363.15589666666347</v>
      </c>
      <c r="J79" s="4" t="str">
        <f t="array" ref="J79">IF(AND(I79&lt;=30, D79&gt;=10, E79&gt;=200), "VIP",  IF(AND(I79&lt;=60, D79&gt;=5, E79&gt;=100), "Loyal", IF(AND(I79&lt;=90, D79&gt;=3), "Regular", IF(I79&lt;=30, "Recent", IF(D79&gt;=3, "Occasional", "At Risk")))))</f>
        <v>At Risk</v>
      </c>
      <c r="K79" t="str">
        <f t="array" ref="K79">IF(OR(J79="VIP", J79="Loyal"), "HIGH",IF(OR(J79="Regular", J79="Recent"), "MEDIUM","LOW"))</f>
        <v>LOW</v>
      </c>
    </row>
    <row r="80" spans="1:11">
      <c r="A80" t="s">
        <v>93</v>
      </c>
      <c r="B80" s="14">
        <f>_xlfn.MINIFS('working sheet'!$B$2:$B$3548, 'working sheet'!$D$2:$D$3548, A80)</f>
        <v>45376.815561828706</v>
      </c>
      <c r="C80" s="17">
        <f>_xlfn.MAXIFS('working sheet'!$B$1:$B$3548,'working sheet'!$D$1:$D$3548,'Customer Portfolio'!A80)</f>
        <v>45376.815561828706</v>
      </c>
      <c r="D80">
        <f>COUNTIFS('working sheet'!$D$1:$D$3548,'Customer Portfolio'!A80)</f>
        <v>1</v>
      </c>
      <c r="E80" s="5">
        <f>SUMIFS('working sheet'!$E$2:$E$3548,'working sheet'!$D$2:$D$3548,'Customer Portfolio'!A80)</f>
        <v>38.700000000000003</v>
      </c>
      <c r="F80" s="6">
        <f t="shared" si="2"/>
        <v>38.700000000000003</v>
      </c>
      <c r="G80" t="str">
        <f t="array" ref="G80">IFERROR(INDEX('working sheet'!$F$2:$F$3548, MODE(IF('working sheet'!$D$2:$D$3548=A80, MATCH('working sheet'!$F$2:$F$3548, 'working sheet'!$F$2:$F$3548, 0)))),
         INDEX('working sheet'!$F$2:$F$3548, MATCH(A80, 'working sheet'!$D$2:$D$3548, 0)))</f>
        <v>Cappuccino</v>
      </c>
      <c r="H80" s="7">
        <f t="shared" si="3"/>
        <v>1</v>
      </c>
      <c r="I80" s="7">
        <f>MAX('working sheet'!$B$2:$B$3548)-C80</f>
        <v>362.94252422453428</v>
      </c>
      <c r="J80" s="4" t="str">
        <f t="array" ref="J80">IF(AND(I80&lt;=30, D80&gt;=10, E80&gt;=200), "VIP",  IF(AND(I80&lt;=60, D80&gt;=5, E80&gt;=100), "Loyal", IF(AND(I80&lt;=90, D80&gt;=3), "Regular", IF(I80&lt;=30, "Recent", IF(D80&gt;=3, "Occasional", "At Risk")))))</f>
        <v>At Risk</v>
      </c>
      <c r="K80" t="str">
        <f t="array" ref="K80">IF(OR(J80="VIP", J80="Loyal"), "HIGH",IF(OR(J80="Regular", J80="Recent"), "MEDIUM","LOW"))</f>
        <v>LOW</v>
      </c>
    </row>
    <row r="81" spans="1:11">
      <c r="A81" t="s">
        <v>94</v>
      </c>
      <c r="B81" s="14">
        <f>_xlfn.MINIFS('working sheet'!$B$2:$B$3548, 'working sheet'!$D$2:$D$3548, A81)</f>
        <v>45377.446182523148</v>
      </c>
      <c r="C81" s="17">
        <f>_xlfn.MAXIFS('working sheet'!$B$1:$B$3548,'working sheet'!$D$1:$D$3548,'Customer Portfolio'!A81)</f>
        <v>45377.446182523148</v>
      </c>
      <c r="D81">
        <f>COUNTIFS('working sheet'!$D$1:$D$3548,'Customer Portfolio'!A81)</f>
        <v>1</v>
      </c>
      <c r="E81" s="5">
        <f>SUMIFS('working sheet'!$E$2:$E$3548,'working sheet'!$D$2:$D$3548,'Customer Portfolio'!A81)</f>
        <v>38.700000000000003</v>
      </c>
      <c r="F81" s="6">
        <f t="shared" si="2"/>
        <v>38.700000000000003</v>
      </c>
      <c r="G81" t="str">
        <f t="array" ref="G81">IFERROR(INDEX('working sheet'!$F$2:$F$3548, MODE(IF('working sheet'!$D$2:$D$3548=A81, MATCH('working sheet'!$F$2:$F$3548, 'working sheet'!$F$2:$F$3548, 0)))),
         INDEX('working sheet'!$F$2:$F$3548, MATCH(A81, 'working sheet'!$D$2:$D$3548, 0)))</f>
        <v>Latte</v>
      </c>
      <c r="H81" s="7">
        <f t="shared" si="3"/>
        <v>1</v>
      </c>
      <c r="I81" s="7">
        <f>MAX('working sheet'!$B$2:$B$3548)-C81</f>
        <v>362.31190353009151</v>
      </c>
      <c r="J81" s="4" t="str">
        <f t="array" ref="J81">IF(AND(I81&lt;=30, D81&gt;=10, E81&gt;=200), "VIP",  IF(AND(I81&lt;=60, D81&gt;=5, E81&gt;=100), "Loyal", IF(AND(I81&lt;=90, D81&gt;=3), "Regular", IF(I81&lt;=30, "Recent", IF(D81&gt;=3, "Occasional", "At Risk")))))</f>
        <v>At Risk</v>
      </c>
      <c r="K81" t="str">
        <f t="array" ref="K81">IF(OR(J81="VIP", J81="Loyal"), "HIGH",IF(OR(J81="Regular", J81="Recent"), "MEDIUM","LOW"))</f>
        <v>LOW</v>
      </c>
    </row>
    <row r="82" spans="1:11">
      <c r="A82" t="s">
        <v>95</v>
      </c>
      <c r="B82" s="14">
        <f>_xlfn.MINIFS('working sheet'!$B$2:$B$3548, 'working sheet'!$D$2:$D$3548, A82)</f>
        <v>45377.658359606481</v>
      </c>
      <c r="C82" s="17">
        <f>_xlfn.MAXIFS('working sheet'!$B$1:$B$3548,'working sheet'!$D$1:$D$3548,'Customer Portfolio'!A82)</f>
        <v>45436.671757129632</v>
      </c>
      <c r="D82">
        <f>COUNTIFS('working sheet'!$D$1:$D$3548,'Customer Portfolio'!A82)</f>
        <v>2</v>
      </c>
      <c r="E82" s="5">
        <f>SUMIFS('working sheet'!$E$2:$E$3548,'working sheet'!$D$2:$D$3548,'Customer Portfolio'!A82)</f>
        <v>76.42</v>
      </c>
      <c r="F82" s="6">
        <f t="shared" si="2"/>
        <v>38.21</v>
      </c>
      <c r="G82" t="str">
        <f t="array" ref="G82">IFERROR(INDEX('working sheet'!$F$2:$F$3548, MODE(IF('working sheet'!$D$2:$D$3548=A82, MATCH('working sheet'!$F$2:$F$3548, 'working sheet'!$F$2:$F$3548, 0)))),
         INDEX('working sheet'!$F$2:$F$3548, MATCH(A82, 'working sheet'!$D$2:$D$3548, 0)))</f>
        <v>Latte</v>
      </c>
      <c r="H82" s="7">
        <f t="shared" si="3"/>
        <v>60.01339752315107</v>
      </c>
      <c r="I82" s="7">
        <f>MAX('working sheet'!$B$2:$B$3548)-C82</f>
        <v>303.08632892360765</v>
      </c>
      <c r="J82" s="4" t="str">
        <f t="array" ref="J82">IF(AND(I82&lt;=30, D82&gt;=10, E82&gt;=200), "VIP",  IF(AND(I82&lt;=60, D82&gt;=5, E82&gt;=100), "Loyal", IF(AND(I82&lt;=90, D82&gt;=3), "Regular", IF(I82&lt;=30, "Recent", IF(D82&gt;=3, "Occasional", "At Risk")))))</f>
        <v>At Risk</v>
      </c>
      <c r="K82" t="str">
        <f t="array" ref="K82">IF(OR(J82="VIP", J82="Loyal"), "HIGH",IF(OR(J82="Regular", J82="Recent"), "MEDIUM","LOW"))</f>
        <v>LOW</v>
      </c>
    </row>
    <row r="83" spans="1:11">
      <c r="A83" t="s">
        <v>96</v>
      </c>
      <c r="B83" s="14">
        <f>_xlfn.MINIFS('working sheet'!$B$2:$B$3548, 'working sheet'!$D$2:$D$3548, A83)</f>
        <v>45378.539588680556</v>
      </c>
      <c r="C83" s="17">
        <f>_xlfn.MAXIFS('working sheet'!$B$1:$B$3548,'working sheet'!$D$1:$D$3548,'Customer Portfolio'!A83)</f>
        <v>45378.539588680556</v>
      </c>
      <c r="D83">
        <f>COUNTIFS('working sheet'!$D$1:$D$3548,'Customer Portfolio'!A83)</f>
        <v>1</v>
      </c>
      <c r="E83" s="5">
        <f>SUMIFS('working sheet'!$E$2:$E$3548,'working sheet'!$D$2:$D$3548,'Customer Portfolio'!A83)</f>
        <v>33.799999999999997</v>
      </c>
      <c r="F83" s="6">
        <f t="shared" si="2"/>
        <v>33.799999999999997</v>
      </c>
      <c r="G83" t="str">
        <f t="array" ref="G83">IFERROR(INDEX('working sheet'!$F$2:$F$3548, MODE(IF('working sheet'!$D$2:$D$3548=A83, MATCH('working sheet'!$F$2:$F$3548, 'working sheet'!$F$2:$F$3548, 0)))),
         INDEX('working sheet'!$F$2:$F$3548, MATCH(A83, 'working sheet'!$D$2:$D$3548, 0)))</f>
        <v>Americano with Milk</v>
      </c>
      <c r="H83" s="7">
        <f t="shared" si="3"/>
        <v>1</v>
      </c>
      <c r="I83" s="7">
        <f>MAX('working sheet'!$B$2:$B$3548)-C83</f>
        <v>361.21849737268349</v>
      </c>
      <c r="J83" s="4" t="str">
        <f t="array" ref="J83">IF(AND(I83&lt;=30, D83&gt;=10, E83&gt;=200), "VIP",  IF(AND(I83&lt;=60, D83&gt;=5, E83&gt;=100), "Loyal", IF(AND(I83&lt;=90, D83&gt;=3), "Regular", IF(I83&lt;=30, "Recent", IF(D83&gt;=3, "Occasional", "At Risk")))))</f>
        <v>At Risk</v>
      </c>
      <c r="K83" t="str">
        <f t="array" ref="K83">IF(OR(J83="VIP", J83="Loyal"), "HIGH",IF(OR(J83="Regular", J83="Recent"), "MEDIUM","LOW"))</f>
        <v>LOW</v>
      </c>
    </row>
    <row r="84" spans="1:11">
      <c r="A84" t="s">
        <v>97</v>
      </c>
      <c r="B84" s="14">
        <f>_xlfn.MINIFS('working sheet'!$B$2:$B$3548, 'working sheet'!$D$2:$D$3548, A84)</f>
        <v>45378.56620415509</v>
      </c>
      <c r="C84" s="17">
        <f>_xlfn.MAXIFS('working sheet'!$B$1:$B$3548,'working sheet'!$D$1:$D$3548,'Customer Portfolio'!A84)</f>
        <v>45378.56620415509</v>
      </c>
      <c r="D84">
        <f>COUNTIFS('working sheet'!$D$1:$D$3548,'Customer Portfolio'!A84)</f>
        <v>1</v>
      </c>
      <c r="E84" s="5">
        <f>SUMIFS('working sheet'!$E$2:$E$3548,'working sheet'!$D$2:$D$3548,'Customer Portfolio'!A84)</f>
        <v>38.700000000000003</v>
      </c>
      <c r="F84" s="6">
        <f t="shared" si="2"/>
        <v>38.700000000000003</v>
      </c>
      <c r="G84" t="str">
        <f t="array" ref="G84">IFERROR(INDEX('working sheet'!$F$2:$F$3548, MODE(IF('working sheet'!$D$2:$D$3548=A84, MATCH('working sheet'!$F$2:$F$3548, 'working sheet'!$F$2:$F$3548, 0)))),
         INDEX('working sheet'!$F$2:$F$3548, MATCH(A84, 'working sheet'!$D$2:$D$3548, 0)))</f>
        <v>Hot Chocolate</v>
      </c>
      <c r="H84" s="7">
        <f t="shared" si="3"/>
        <v>1</v>
      </c>
      <c r="I84" s="7">
        <f>MAX('working sheet'!$B$2:$B$3548)-C84</f>
        <v>361.19188189815031</v>
      </c>
      <c r="J84" s="4" t="str">
        <f t="array" ref="J84">IF(AND(I84&lt;=30, D84&gt;=10, E84&gt;=200), "VIP",  IF(AND(I84&lt;=60, D84&gt;=5, E84&gt;=100), "Loyal", IF(AND(I84&lt;=90, D84&gt;=3), "Regular", IF(I84&lt;=30, "Recent", IF(D84&gt;=3, "Occasional", "At Risk")))))</f>
        <v>At Risk</v>
      </c>
      <c r="K84" t="str">
        <f t="array" ref="K84">IF(OR(J84="VIP", J84="Loyal"), "HIGH",IF(OR(J84="Regular", J84="Recent"), "MEDIUM","LOW"))</f>
        <v>LOW</v>
      </c>
    </row>
    <row r="85" spans="1:11">
      <c r="A85" t="s">
        <v>98</v>
      </c>
      <c r="B85" s="14">
        <f>_xlfn.MINIFS('working sheet'!$B$2:$B$3548, 'working sheet'!$D$2:$D$3548, A85)</f>
        <v>45378.770970289355</v>
      </c>
      <c r="C85" s="17">
        <f>_xlfn.MAXIFS('working sheet'!$B$1:$B$3548,'working sheet'!$D$1:$D$3548,'Customer Portfolio'!A85)</f>
        <v>45590.346409490739</v>
      </c>
      <c r="D85">
        <f>COUNTIFS('working sheet'!$D$1:$D$3548,'Customer Portfolio'!A85)</f>
        <v>2</v>
      </c>
      <c r="E85" s="5">
        <f>SUMIFS('working sheet'!$E$2:$E$3548,'working sheet'!$D$2:$D$3548,'Customer Portfolio'!A85)</f>
        <v>64.66</v>
      </c>
      <c r="F85" s="6">
        <f t="shared" si="2"/>
        <v>32.33</v>
      </c>
      <c r="G85" t="str">
        <f t="array" ref="G85">IFERROR(INDEX('working sheet'!$F$2:$F$3548, MODE(IF('working sheet'!$D$2:$D$3548=A85, MATCH('working sheet'!$F$2:$F$3548, 'working sheet'!$F$2:$F$3548, 0)))),
         INDEX('working sheet'!$F$2:$F$3548, MATCH(A85, 'working sheet'!$D$2:$D$3548, 0)))</f>
        <v>Cortado</v>
      </c>
      <c r="H85" s="7">
        <f t="shared" si="3"/>
        <v>212.57543920138414</v>
      </c>
      <c r="I85" s="7">
        <f>MAX('working sheet'!$B$2:$B$3548)-C85</f>
        <v>149.41167656250036</v>
      </c>
      <c r="J85" s="4" t="str">
        <f t="array" ref="J85">IF(AND(I85&lt;=30, D85&gt;=10, E85&gt;=200), "VIP",  IF(AND(I85&lt;=60, D85&gt;=5, E85&gt;=100), "Loyal", IF(AND(I85&lt;=90, D85&gt;=3), "Regular", IF(I85&lt;=30, "Recent", IF(D85&gt;=3, "Occasional", "At Risk")))))</f>
        <v>At Risk</v>
      </c>
      <c r="K85" t="str">
        <f t="array" ref="K85">IF(OR(J85="VIP", J85="Loyal"), "HIGH",IF(OR(J85="Regular", J85="Recent"), "MEDIUM","LOW"))</f>
        <v>LOW</v>
      </c>
    </row>
    <row r="86" spans="1:11">
      <c r="A86" t="s">
        <v>99</v>
      </c>
      <c r="B86" s="14">
        <f>_xlfn.MINIFS('working sheet'!$B$2:$B$3548, 'working sheet'!$D$2:$D$3548, A86)</f>
        <v>45379.600545046298</v>
      </c>
      <c r="C86" s="17">
        <f>_xlfn.MAXIFS('working sheet'!$B$1:$B$3548,'working sheet'!$D$1:$D$3548,'Customer Portfolio'!A86)</f>
        <v>45400.764652141203</v>
      </c>
      <c r="D86">
        <f>COUNTIFS('working sheet'!$D$1:$D$3548,'Customer Portfolio'!A86)</f>
        <v>2</v>
      </c>
      <c r="E86" s="5">
        <f>SUMIFS('working sheet'!$E$2:$E$3548,'working sheet'!$D$2:$D$3548,'Customer Portfolio'!A86)</f>
        <v>67.599999999999994</v>
      </c>
      <c r="F86" s="6">
        <f t="shared" si="2"/>
        <v>33.799999999999997</v>
      </c>
      <c r="G86" t="str">
        <f t="array" ref="G86">IFERROR(INDEX('working sheet'!$F$2:$F$3548, MODE(IF('working sheet'!$D$2:$D$3548=A86, MATCH('working sheet'!$F$2:$F$3548, 'working sheet'!$F$2:$F$3548, 0)))),
         INDEX('working sheet'!$F$2:$F$3548, MATCH(A86, 'working sheet'!$D$2:$D$3548, 0)))</f>
        <v>Cortado</v>
      </c>
      <c r="H86" s="7">
        <f t="shared" si="3"/>
        <v>22.164107094904466</v>
      </c>
      <c r="I86" s="7">
        <f>MAX('working sheet'!$B$2:$B$3548)-C86</f>
        <v>338.99343391203729</v>
      </c>
      <c r="J86" s="4" t="str">
        <f t="array" ref="J86">IF(AND(I86&lt;=30, D86&gt;=10, E86&gt;=200), "VIP",  IF(AND(I86&lt;=60, D86&gt;=5, E86&gt;=100), "Loyal", IF(AND(I86&lt;=90, D86&gt;=3), "Regular", IF(I86&lt;=30, "Recent", IF(D86&gt;=3, "Occasional", "At Risk")))))</f>
        <v>At Risk</v>
      </c>
      <c r="K86" t="str">
        <f t="array" ref="K86">IF(OR(J86="VIP", J86="Loyal"), "HIGH",IF(OR(J86="Regular", J86="Recent"), "MEDIUM","LOW"))</f>
        <v>LOW</v>
      </c>
    </row>
    <row r="87" spans="1:11">
      <c r="A87" t="s">
        <v>100</v>
      </c>
      <c r="B87" s="14">
        <f>_xlfn.MINIFS('working sheet'!$B$2:$B$3548, 'working sheet'!$D$2:$D$3548, A87)</f>
        <v>45379.731072361108</v>
      </c>
      <c r="C87" s="17">
        <f>_xlfn.MAXIFS('working sheet'!$B$1:$B$3548,'working sheet'!$D$1:$D$3548,'Customer Portfolio'!A87)</f>
        <v>45379.731072361108</v>
      </c>
      <c r="D87">
        <f>COUNTIFS('working sheet'!$D$1:$D$3548,'Customer Portfolio'!A87)</f>
        <v>1</v>
      </c>
      <c r="E87" s="5">
        <f>SUMIFS('working sheet'!$E$2:$E$3548,'working sheet'!$D$2:$D$3548,'Customer Portfolio'!A87)</f>
        <v>38.700000000000003</v>
      </c>
      <c r="F87" s="6">
        <f t="shared" si="2"/>
        <v>38.700000000000003</v>
      </c>
      <c r="G87" t="str">
        <f t="array" ref="G87">IFERROR(INDEX('working sheet'!$F$2:$F$3548, MODE(IF('working sheet'!$D$2:$D$3548=A87, MATCH('working sheet'!$F$2:$F$3548, 'working sheet'!$F$2:$F$3548, 0)))),
         INDEX('working sheet'!$F$2:$F$3548, MATCH(A87, 'working sheet'!$D$2:$D$3548, 0)))</f>
        <v>Latte</v>
      </c>
      <c r="H87" s="7">
        <f t="shared" si="3"/>
        <v>1</v>
      </c>
      <c r="I87" s="7">
        <f>MAX('working sheet'!$B$2:$B$3548)-C87</f>
        <v>360.02701369213173</v>
      </c>
      <c r="J87" s="4" t="str">
        <f t="array" ref="J87">IF(AND(I87&lt;=30, D87&gt;=10, E87&gt;=200), "VIP",  IF(AND(I87&lt;=60, D87&gt;=5, E87&gt;=100), "Loyal", IF(AND(I87&lt;=90, D87&gt;=3), "Regular", IF(I87&lt;=30, "Recent", IF(D87&gt;=3, "Occasional", "At Risk")))))</f>
        <v>At Risk</v>
      </c>
      <c r="K87" t="str">
        <f t="array" ref="K87">IF(OR(J87="VIP", J87="Loyal"), "HIGH",IF(OR(J87="Regular", J87="Recent"), "MEDIUM","LOW"))</f>
        <v>LOW</v>
      </c>
    </row>
    <row r="88" spans="1:11">
      <c r="A88" t="s">
        <v>101</v>
      </c>
      <c r="B88" s="14">
        <f>_xlfn.MINIFS('working sheet'!$B$2:$B$3548, 'working sheet'!$D$2:$D$3548, A88)</f>
        <v>45380.455781192133</v>
      </c>
      <c r="C88" s="17">
        <f>_xlfn.MAXIFS('working sheet'!$B$1:$B$3548,'working sheet'!$D$1:$D$3548,'Customer Portfolio'!A88)</f>
        <v>45380.455781192133</v>
      </c>
      <c r="D88">
        <f>COUNTIFS('working sheet'!$D$1:$D$3548,'Customer Portfolio'!A88)</f>
        <v>1</v>
      </c>
      <c r="E88" s="5">
        <f>SUMIFS('working sheet'!$E$2:$E$3548,'working sheet'!$D$2:$D$3548,'Customer Portfolio'!A88)</f>
        <v>38.700000000000003</v>
      </c>
      <c r="F88" s="6">
        <f t="shared" si="2"/>
        <v>38.700000000000003</v>
      </c>
      <c r="G88" t="str">
        <f t="array" ref="G88">IFERROR(INDEX('working sheet'!$F$2:$F$3548, MODE(IF('working sheet'!$D$2:$D$3548=A88, MATCH('working sheet'!$F$2:$F$3548, 'working sheet'!$F$2:$F$3548, 0)))),
         INDEX('working sheet'!$F$2:$F$3548, MATCH(A88, 'working sheet'!$D$2:$D$3548, 0)))</f>
        <v>Latte</v>
      </c>
      <c r="H88" s="7">
        <f t="shared" si="3"/>
        <v>1</v>
      </c>
      <c r="I88" s="7">
        <f>MAX('working sheet'!$B$2:$B$3548)-C88</f>
        <v>359.30230486110668</v>
      </c>
      <c r="J88" s="4" t="str">
        <f t="array" ref="J88">IF(AND(I88&lt;=30, D88&gt;=10, E88&gt;=200), "VIP",  IF(AND(I88&lt;=60, D88&gt;=5, E88&gt;=100), "Loyal", IF(AND(I88&lt;=90, D88&gt;=3), "Regular", IF(I88&lt;=30, "Recent", IF(D88&gt;=3, "Occasional", "At Risk")))))</f>
        <v>At Risk</v>
      </c>
      <c r="K88" t="str">
        <f t="array" ref="K88">IF(OR(J88="VIP", J88="Loyal"), "HIGH",IF(OR(J88="Regular", J88="Recent"), "MEDIUM","LOW"))</f>
        <v>LOW</v>
      </c>
    </row>
    <row r="89" spans="1:11">
      <c r="A89" t="s">
        <v>102</v>
      </c>
      <c r="B89" s="14">
        <f>_xlfn.MINIFS('working sheet'!$B$2:$B$3548, 'working sheet'!$D$2:$D$3548, A89)</f>
        <v>45380.52381230324</v>
      </c>
      <c r="C89" s="17">
        <f>_xlfn.MAXIFS('working sheet'!$B$1:$B$3548,'working sheet'!$D$1:$D$3548,'Customer Portfolio'!A89)</f>
        <v>45380.528844039349</v>
      </c>
      <c r="D89">
        <f>COUNTIFS('working sheet'!$D$1:$D$3548,'Customer Portfolio'!A89)</f>
        <v>2</v>
      </c>
      <c r="E89" s="5">
        <f>SUMIFS('working sheet'!$E$2:$E$3548,'working sheet'!$D$2:$D$3548,'Customer Portfolio'!A89)</f>
        <v>77.400000000000006</v>
      </c>
      <c r="F89" s="6">
        <f t="shared" si="2"/>
        <v>38.700000000000003</v>
      </c>
      <c r="G89" t="str">
        <f t="array" ref="G89">IFERROR(INDEX('working sheet'!$F$2:$F$3548, MODE(IF('working sheet'!$D$2:$D$3548=A89, MATCH('working sheet'!$F$2:$F$3548, 'working sheet'!$F$2:$F$3548, 0)))),
         INDEX('working sheet'!$F$2:$F$3548, MATCH(A89, 'working sheet'!$D$2:$D$3548, 0)))</f>
        <v>Cappuccino</v>
      </c>
      <c r="H89" s="7">
        <f t="shared" si="3"/>
        <v>1.0050317361092311</v>
      </c>
      <c r="I89" s="7">
        <f>MAX('working sheet'!$B$2:$B$3548)-C89</f>
        <v>359.22924201389105</v>
      </c>
      <c r="J89" s="4" t="str">
        <f t="array" ref="J89">IF(AND(I89&lt;=30, D89&gt;=10, E89&gt;=200), "VIP",  IF(AND(I89&lt;=60, D89&gt;=5, E89&gt;=100), "Loyal", IF(AND(I89&lt;=90, D89&gt;=3), "Regular", IF(I89&lt;=30, "Recent", IF(D89&gt;=3, "Occasional", "At Risk")))))</f>
        <v>At Risk</v>
      </c>
      <c r="K89" t="str">
        <f t="array" ref="K89">IF(OR(J89="VIP", J89="Loyal"), "HIGH",IF(OR(J89="Regular", J89="Recent"), "MEDIUM","LOW"))</f>
        <v>LOW</v>
      </c>
    </row>
    <row r="90" spans="1:11">
      <c r="A90" t="s">
        <v>103</v>
      </c>
      <c r="B90" s="14">
        <f>_xlfn.MINIFS('working sheet'!$B$2:$B$3548, 'working sheet'!$D$2:$D$3548, A90)</f>
        <v>45382.444496793978</v>
      </c>
      <c r="C90" s="17">
        <f>_xlfn.MAXIFS('working sheet'!$B$1:$B$3548,'working sheet'!$D$1:$D$3548,'Customer Portfolio'!A90)</f>
        <v>45382.444496793978</v>
      </c>
      <c r="D90">
        <f>COUNTIFS('working sheet'!$D$1:$D$3548,'Customer Portfolio'!A90)</f>
        <v>1</v>
      </c>
      <c r="E90" s="5">
        <f>SUMIFS('working sheet'!$E$2:$E$3548,'working sheet'!$D$2:$D$3548,'Customer Portfolio'!A90)</f>
        <v>38.700000000000003</v>
      </c>
      <c r="F90" s="6">
        <f t="shared" si="2"/>
        <v>38.700000000000003</v>
      </c>
      <c r="G90" t="str">
        <f t="array" ref="G90">IFERROR(INDEX('working sheet'!$F$2:$F$3548, MODE(IF('working sheet'!$D$2:$D$3548=A90, MATCH('working sheet'!$F$2:$F$3548, 'working sheet'!$F$2:$F$3548, 0)))),
         INDEX('working sheet'!$F$2:$F$3548, MATCH(A90, 'working sheet'!$D$2:$D$3548, 0)))</f>
        <v>Cappuccino</v>
      </c>
      <c r="H90" s="7">
        <f t="shared" si="3"/>
        <v>1</v>
      </c>
      <c r="I90" s="7">
        <f>MAX('working sheet'!$B$2:$B$3548)-C90</f>
        <v>357.31358925926179</v>
      </c>
      <c r="J90" s="4" t="str">
        <f t="array" ref="J90">IF(AND(I90&lt;=30, D90&gt;=10, E90&gt;=200), "VIP",  IF(AND(I90&lt;=60, D90&gt;=5, E90&gt;=100), "Loyal", IF(AND(I90&lt;=90, D90&gt;=3), "Regular", IF(I90&lt;=30, "Recent", IF(D90&gt;=3, "Occasional", "At Risk")))))</f>
        <v>At Risk</v>
      </c>
      <c r="K90" t="str">
        <f t="array" ref="K90">IF(OR(J90="VIP", J90="Loyal"), "HIGH",IF(OR(J90="Regular", J90="Recent"), "MEDIUM","LOW"))</f>
        <v>LOW</v>
      </c>
    </row>
    <row r="91" spans="1:11">
      <c r="A91" t="s">
        <v>104</v>
      </c>
      <c r="B91" s="14">
        <f>_xlfn.MINIFS('working sheet'!$B$2:$B$3548, 'working sheet'!$D$2:$D$3548, A91)</f>
        <v>45383.781567546299</v>
      </c>
      <c r="C91" s="17">
        <f>_xlfn.MAXIFS('working sheet'!$B$1:$B$3548,'working sheet'!$D$1:$D$3548,'Customer Portfolio'!A91)</f>
        <v>45383.781567546299</v>
      </c>
      <c r="D91">
        <f>COUNTIFS('working sheet'!$D$1:$D$3548,'Customer Portfolio'!A91)</f>
        <v>1</v>
      </c>
      <c r="E91" s="5">
        <f>SUMIFS('working sheet'!$E$2:$E$3548,'working sheet'!$D$2:$D$3548,'Customer Portfolio'!A91)</f>
        <v>38.700000000000003</v>
      </c>
      <c r="F91" s="6">
        <f t="shared" si="2"/>
        <v>38.700000000000003</v>
      </c>
      <c r="G91" t="str">
        <f t="array" ref="G91">IFERROR(INDEX('working sheet'!$F$2:$F$3548, MODE(IF('working sheet'!$D$2:$D$3548=A91, MATCH('working sheet'!$F$2:$F$3548, 'working sheet'!$F$2:$F$3548, 0)))),
         INDEX('working sheet'!$F$2:$F$3548, MATCH(A91, 'working sheet'!$D$2:$D$3548, 0)))</f>
        <v>Hot Chocolate</v>
      </c>
      <c r="H91" s="7">
        <f t="shared" si="3"/>
        <v>1</v>
      </c>
      <c r="I91" s="7">
        <f>MAX('working sheet'!$B$2:$B$3548)-C91</f>
        <v>355.97651850694092</v>
      </c>
      <c r="J91" s="4" t="str">
        <f t="array" ref="J91">IF(AND(I91&lt;=30, D91&gt;=10, E91&gt;=200), "VIP",  IF(AND(I91&lt;=60, D91&gt;=5, E91&gt;=100), "Loyal", IF(AND(I91&lt;=90, D91&gt;=3), "Regular", IF(I91&lt;=30, "Recent", IF(D91&gt;=3, "Occasional", "At Risk")))))</f>
        <v>At Risk</v>
      </c>
      <c r="K91" t="str">
        <f t="array" ref="K91">IF(OR(J91="VIP", J91="Loyal"), "HIGH",IF(OR(J91="Regular", J91="Recent"), "MEDIUM","LOW"))</f>
        <v>LOW</v>
      </c>
    </row>
    <row r="92" spans="1:11">
      <c r="A92" t="s">
        <v>105</v>
      </c>
      <c r="B92" s="14">
        <f>_xlfn.MINIFS('working sheet'!$B$2:$B$3548, 'working sheet'!$D$2:$D$3548, A92)</f>
        <v>45386.447870231481</v>
      </c>
      <c r="C92" s="17">
        <f>_xlfn.MAXIFS('working sheet'!$B$1:$B$3548,'working sheet'!$D$1:$D$3548,'Customer Portfolio'!A92)</f>
        <v>45391.487829490739</v>
      </c>
      <c r="D92">
        <f>COUNTIFS('working sheet'!$D$1:$D$3548,'Customer Portfolio'!A92)</f>
        <v>3</v>
      </c>
      <c r="E92" s="5">
        <f>SUMIFS('working sheet'!$E$2:$E$3548,'working sheet'!$D$2:$D$3548,'Customer Portfolio'!A92)</f>
        <v>116.10000000000001</v>
      </c>
      <c r="F92" s="6">
        <f t="shared" si="2"/>
        <v>38.700000000000003</v>
      </c>
      <c r="G92" t="str">
        <f t="array" ref="G92">IFERROR(INDEX('working sheet'!$F$2:$F$3548, MODE(IF('working sheet'!$D$2:$D$3548=A92, MATCH('working sheet'!$F$2:$F$3548, 'working sheet'!$F$2:$F$3548, 0)))),
         INDEX('working sheet'!$F$2:$F$3548, MATCH(A92, 'working sheet'!$D$2:$D$3548, 0)))</f>
        <v>Latte</v>
      </c>
      <c r="H92" s="7">
        <f t="shared" si="3"/>
        <v>6.0399592592584668</v>
      </c>
      <c r="I92" s="7">
        <f>MAX('working sheet'!$B$2:$B$3548)-C92</f>
        <v>348.27025656250044</v>
      </c>
      <c r="J92" s="4" t="str">
        <f t="array" ref="J92">IF(AND(I92&lt;=30, D92&gt;=10, E92&gt;=200), "VIP",  IF(AND(I92&lt;=60, D92&gt;=5, E92&gt;=100), "Loyal", IF(AND(I92&lt;=90, D92&gt;=3), "Regular", IF(I92&lt;=30, "Recent", IF(D92&gt;=3, "Occasional", "At Risk")))))</f>
        <v>Occasional</v>
      </c>
      <c r="K92" t="str">
        <f t="array" ref="K92">IF(OR(J92="VIP", J92="Loyal"), "HIGH",IF(OR(J92="Regular", J92="Recent"), "MEDIUM","LOW"))</f>
        <v>LOW</v>
      </c>
    </row>
    <row r="93" spans="1:11">
      <c r="A93" t="s">
        <v>106</v>
      </c>
      <c r="B93" s="14">
        <f>_xlfn.MINIFS('working sheet'!$B$2:$B$3548, 'working sheet'!$D$2:$D$3548, A93)</f>
        <v>45386.476829687497</v>
      </c>
      <c r="C93" s="17">
        <f>_xlfn.MAXIFS('working sheet'!$B$1:$B$3548,'working sheet'!$D$1:$D$3548,'Customer Portfolio'!A93)</f>
        <v>45386.476829687497</v>
      </c>
      <c r="D93">
        <f>COUNTIFS('working sheet'!$D$1:$D$3548,'Customer Portfolio'!A93)</f>
        <v>1</v>
      </c>
      <c r="E93" s="5">
        <f>SUMIFS('working sheet'!$E$2:$E$3548,'working sheet'!$D$2:$D$3548,'Customer Portfolio'!A93)</f>
        <v>38.700000000000003</v>
      </c>
      <c r="F93" s="6">
        <f t="shared" si="2"/>
        <v>38.700000000000003</v>
      </c>
      <c r="G93" t="str">
        <f t="array" ref="G93">IFERROR(INDEX('working sheet'!$F$2:$F$3548, MODE(IF('working sheet'!$D$2:$D$3548=A93, MATCH('working sheet'!$F$2:$F$3548, 'working sheet'!$F$2:$F$3548, 0)))),
         INDEX('working sheet'!$F$2:$F$3548, MATCH(A93, 'working sheet'!$D$2:$D$3548, 0)))</f>
        <v>Latte</v>
      </c>
      <c r="H93" s="7">
        <f t="shared" si="3"/>
        <v>1</v>
      </c>
      <c r="I93" s="7">
        <f>MAX('working sheet'!$B$2:$B$3548)-C93</f>
        <v>353.28125636574259</v>
      </c>
      <c r="J93" s="4" t="str">
        <f t="array" ref="J93">IF(AND(I93&lt;=30, D93&gt;=10, E93&gt;=200), "VIP",  IF(AND(I93&lt;=60, D93&gt;=5, E93&gt;=100), "Loyal", IF(AND(I93&lt;=90, D93&gt;=3), "Regular", IF(I93&lt;=30, "Recent", IF(D93&gt;=3, "Occasional", "At Risk")))))</f>
        <v>At Risk</v>
      </c>
      <c r="K93" t="str">
        <f t="array" ref="K93">IF(OR(J93="VIP", J93="Loyal"), "HIGH",IF(OR(J93="Regular", J93="Recent"), "MEDIUM","LOW"))</f>
        <v>LOW</v>
      </c>
    </row>
    <row r="94" spans="1:11">
      <c r="A94" t="s">
        <v>107</v>
      </c>
      <c r="B94" s="14">
        <f>_xlfn.MINIFS('working sheet'!$B$2:$B$3548, 'working sheet'!$D$2:$D$3548, A94)</f>
        <v>45386.477643645834</v>
      </c>
      <c r="C94" s="17">
        <f>_xlfn.MAXIFS('working sheet'!$B$1:$B$3548,'working sheet'!$D$1:$D$3548,'Customer Portfolio'!A94)</f>
        <v>45386.477643645834</v>
      </c>
      <c r="D94">
        <f>COUNTIFS('working sheet'!$D$1:$D$3548,'Customer Portfolio'!A94)</f>
        <v>1</v>
      </c>
      <c r="E94" s="5">
        <f>SUMIFS('working sheet'!$E$2:$E$3548,'working sheet'!$D$2:$D$3548,'Customer Portfolio'!A94)</f>
        <v>38.700000000000003</v>
      </c>
      <c r="F94" s="6">
        <f t="shared" si="2"/>
        <v>38.700000000000003</v>
      </c>
      <c r="G94" t="str">
        <f t="array" ref="G94">IFERROR(INDEX('working sheet'!$F$2:$F$3548, MODE(IF('working sheet'!$D$2:$D$3548=A94, MATCH('working sheet'!$F$2:$F$3548, 'working sheet'!$F$2:$F$3548, 0)))),
         INDEX('working sheet'!$F$2:$F$3548, MATCH(A94, 'working sheet'!$D$2:$D$3548, 0)))</f>
        <v>Cappuccino</v>
      </c>
      <c r="H94" s="7">
        <f t="shared" si="3"/>
        <v>1</v>
      </c>
      <c r="I94" s="7">
        <f>MAX('working sheet'!$B$2:$B$3548)-C94</f>
        <v>353.28044240740564</v>
      </c>
      <c r="J94" s="4" t="str">
        <f t="array" ref="J94">IF(AND(I94&lt;=30, D94&gt;=10, E94&gt;=200), "VIP",  IF(AND(I94&lt;=60, D94&gt;=5, E94&gt;=100), "Loyal", IF(AND(I94&lt;=90, D94&gt;=3), "Regular", IF(I94&lt;=30, "Recent", IF(D94&gt;=3, "Occasional", "At Risk")))))</f>
        <v>At Risk</v>
      </c>
      <c r="K94" t="str">
        <f t="array" ref="K94">IF(OR(J94="VIP", J94="Loyal"), "HIGH",IF(OR(J94="Regular", J94="Recent"), "MEDIUM","LOW"))</f>
        <v>LOW</v>
      </c>
    </row>
    <row r="95" spans="1:11">
      <c r="A95" t="s">
        <v>108</v>
      </c>
      <c r="B95" s="14">
        <f>_xlfn.MINIFS('working sheet'!$B$2:$B$3548, 'working sheet'!$D$2:$D$3548, A95)</f>
        <v>45386.515997870367</v>
      </c>
      <c r="C95" s="17">
        <f>_xlfn.MAXIFS('working sheet'!$B$1:$B$3548,'working sheet'!$D$1:$D$3548,'Customer Portfolio'!A95)</f>
        <v>45386.515997870367</v>
      </c>
      <c r="D95">
        <f>COUNTIFS('working sheet'!$D$1:$D$3548,'Customer Portfolio'!A95)</f>
        <v>1</v>
      </c>
      <c r="E95" s="5">
        <f>SUMIFS('working sheet'!$E$2:$E$3548,'working sheet'!$D$2:$D$3548,'Customer Portfolio'!A95)</f>
        <v>28.9</v>
      </c>
      <c r="F95" s="6">
        <f t="shared" si="2"/>
        <v>28.9</v>
      </c>
      <c r="G95" t="str">
        <f t="array" ref="G95">IFERROR(INDEX('working sheet'!$F$2:$F$3548, MODE(IF('working sheet'!$D$2:$D$3548=A95, MATCH('working sheet'!$F$2:$F$3548, 'working sheet'!$F$2:$F$3548, 0)))),
         INDEX('working sheet'!$F$2:$F$3548, MATCH(A95, 'working sheet'!$D$2:$D$3548, 0)))</f>
        <v>Cortado</v>
      </c>
      <c r="H95" s="7">
        <f t="shared" si="3"/>
        <v>1</v>
      </c>
      <c r="I95" s="7">
        <f>MAX('working sheet'!$B$2:$B$3548)-C95</f>
        <v>353.24208818287298</v>
      </c>
      <c r="J95" s="4" t="str">
        <f t="array" ref="J95">IF(AND(I95&lt;=30, D95&gt;=10, E95&gt;=200), "VIP",  IF(AND(I95&lt;=60, D95&gt;=5, E95&gt;=100), "Loyal", IF(AND(I95&lt;=90, D95&gt;=3), "Regular", IF(I95&lt;=30, "Recent", IF(D95&gt;=3, "Occasional", "At Risk")))))</f>
        <v>At Risk</v>
      </c>
      <c r="K95" t="str">
        <f t="array" ref="K95">IF(OR(J95="VIP", J95="Loyal"), "HIGH",IF(OR(J95="Regular", J95="Recent"), "MEDIUM","LOW"))</f>
        <v>LOW</v>
      </c>
    </row>
    <row r="96" spans="1:11">
      <c r="A96" t="s">
        <v>109</v>
      </c>
      <c r="B96" s="14">
        <f>_xlfn.MINIFS('working sheet'!$B$2:$B$3548, 'working sheet'!$D$2:$D$3548, A96)</f>
        <v>45387.444938981484</v>
      </c>
      <c r="C96" s="17">
        <f>_xlfn.MAXIFS('working sheet'!$B$1:$B$3548,'working sheet'!$D$1:$D$3548,'Customer Portfolio'!A96)</f>
        <v>45710.541456631945</v>
      </c>
      <c r="D96">
        <f>COUNTIFS('working sheet'!$D$1:$D$3548,'Customer Portfolio'!A96)</f>
        <v>4</v>
      </c>
      <c r="E96" s="5">
        <f>SUMIFS('working sheet'!$E$2:$E$3548,'working sheet'!$D$2:$D$3548,'Customer Portfolio'!A96)</f>
        <v>86.2</v>
      </c>
      <c r="F96" s="6">
        <f t="shared" si="2"/>
        <v>21.55</v>
      </c>
      <c r="G96" t="str">
        <f t="array" ref="G96">IFERROR(INDEX('working sheet'!$F$2:$F$3548, MODE(IF('working sheet'!$D$2:$D$3548=A96, MATCH('working sheet'!$F$2:$F$3548, 'working sheet'!$F$2:$F$3548, 0)))),
         INDEX('working sheet'!$F$2:$F$3548, MATCH(A96, 'working sheet'!$D$2:$D$3548, 0)))</f>
        <v>Espresso</v>
      </c>
      <c r="H96" s="7">
        <f t="shared" si="3"/>
        <v>324.09651765046146</v>
      </c>
      <c r="I96" s="7">
        <f>MAX('working sheet'!$B$2:$B$3548)-C96</f>
        <v>29.216629421294783</v>
      </c>
      <c r="J96" s="4" t="str">
        <f t="array" ref="J96">IF(AND(I96&lt;=30, D96&gt;=10, E96&gt;=200), "VIP",  IF(AND(I96&lt;=60, D96&gt;=5, E96&gt;=100), "Loyal", IF(AND(I96&lt;=90, D96&gt;=3), "Regular", IF(I96&lt;=30, "Recent", IF(D96&gt;=3, "Occasional", "At Risk")))))</f>
        <v>Regular</v>
      </c>
      <c r="K96" t="str">
        <f t="array" ref="K96">IF(OR(J96="VIP", J96="Loyal"), "HIGH",IF(OR(J96="Regular", J96="Recent"), "MEDIUM","LOW"))</f>
        <v>MEDIUM</v>
      </c>
    </row>
    <row r="97" spans="1:11">
      <c r="A97" t="s">
        <v>110</v>
      </c>
      <c r="B97" s="14">
        <f>_xlfn.MINIFS('working sheet'!$B$2:$B$3548, 'working sheet'!$D$2:$D$3548, A97)</f>
        <v>45387.462669479166</v>
      </c>
      <c r="C97" s="17">
        <f>_xlfn.MAXIFS('working sheet'!$B$1:$B$3548,'working sheet'!$D$1:$D$3548,'Customer Portfolio'!A97)</f>
        <v>45387.462669479166</v>
      </c>
      <c r="D97">
        <f>COUNTIFS('working sheet'!$D$1:$D$3548,'Customer Portfolio'!A97)</f>
        <v>1</v>
      </c>
      <c r="E97" s="5">
        <f>SUMIFS('working sheet'!$E$2:$E$3548,'working sheet'!$D$2:$D$3548,'Customer Portfolio'!A97)</f>
        <v>28.9</v>
      </c>
      <c r="F97" s="6">
        <f t="shared" si="2"/>
        <v>28.9</v>
      </c>
      <c r="G97" t="str">
        <f t="array" ref="G97">IFERROR(INDEX('working sheet'!$F$2:$F$3548, MODE(IF('working sheet'!$D$2:$D$3548=A97, MATCH('working sheet'!$F$2:$F$3548, 'working sheet'!$F$2:$F$3548, 0)))),
         INDEX('working sheet'!$F$2:$F$3548, MATCH(A97, 'working sheet'!$D$2:$D$3548, 0)))</f>
        <v>Cortado</v>
      </c>
      <c r="H97" s="7">
        <f t="shared" si="3"/>
        <v>1</v>
      </c>
      <c r="I97" s="7">
        <f>MAX('working sheet'!$B$2:$B$3548)-C97</f>
        <v>352.2954165740739</v>
      </c>
      <c r="J97" s="4" t="str">
        <f t="array" ref="J97">IF(AND(I97&lt;=30, D97&gt;=10, E97&gt;=200), "VIP",  IF(AND(I97&lt;=60, D97&gt;=5, E97&gt;=100), "Loyal", IF(AND(I97&lt;=90, D97&gt;=3), "Regular", IF(I97&lt;=30, "Recent", IF(D97&gt;=3, "Occasional", "At Risk")))))</f>
        <v>At Risk</v>
      </c>
      <c r="K97" t="str">
        <f t="array" ref="K97">IF(OR(J97="VIP", J97="Loyal"), "HIGH",IF(OR(J97="Regular", J97="Recent"), "MEDIUM","LOW"))</f>
        <v>LOW</v>
      </c>
    </row>
    <row r="98" spans="1:11">
      <c r="A98" t="s">
        <v>111</v>
      </c>
      <c r="B98" s="14">
        <f>_xlfn.MINIFS('working sheet'!$B$2:$B$3548, 'working sheet'!$D$2:$D$3548, A98)</f>
        <v>45387.510046006944</v>
      </c>
      <c r="C98" s="17">
        <f>_xlfn.MAXIFS('working sheet'!$B$1:$B$3548,'working sheet'!$D$1:$D$3548,'Customer Portfolio'!A98)</f>
        <v>45651.835189016201</v>
      </c>
      <c r="D98">
        <f>COUNTIFS('working sheet'!$D$1:$D$3548,'Customer Portfolio'!A98)</f>
        <v>47</v>
      </c>
      <c r="E98" s="5">
        <f>SUMIFS('working sheet'!$E$2:$E$3548,'working sheet'!$D$2:$D$3548,'Customer Portfolio'!A98)</f>
        <v>1477.8600000000001</v>
      </c>
      <c r="F98" s="6">
        <f t="shared" si="2"/>
        <v>31.443829787234044</v>
      </c>
      <c r="G98" t="str">
        <f t="array" ref="G98">IFERROR(INDEX('working sheet'!$F$2:$F$3548, MODE(IF('working sheet'!$D$2:$D$3548=A98, MATCH('working sheet'!$F$2:$F$3548, 'working sheet'!$F$2:$F$3548, 0)))),
         INDEX('working sheet'!$F$2:$F$3548, MATCH(A98, 'working sheet'!$D$2:$D$3548, 0)))</f>
        <v>Americano with Milk</v>
      </c>
      <c r="H98" s="7">
        <f t="shared" si="3"/>
        <v>265.32514300925686</v>
      </c>
      <c r="I98" s="7">
        <f>MAX('working sheet'!$B$2:$B$3548)-C98</f>
        <v>87.922897037038638</v>
      </c>
      <c r="J98" s="4" t="str">
        <f t="array" ref="J98">IF(AND(I98&lt;=30, D98&gt;=10, E98&gt;=200), "VIP",  IF(AND(I98&lt;=60, D98&gt;=5, E98&gt;=100), "Loyal", IF(AND(I98&lt;=90, D98&gt;=3), "Regular", IF(I98&lt;=30, "Recent", IF(D98&gt;=3, "Occasional", "At Risk")))))</f>
        <v>Regular</v>
      </c>
      <c r="K98" t="str">
        <f t="array" ref="K98">IF(OR(J98="VIP", J98="Loyal"), "HIGH",IF(OR(J98="Regular", J98="Recent"), "MEDIUM","LOW"))</f>
        <v>MEDIUM</v>
      </c>
    </row>
    <row r="99" spans="1:11">
      <c r="A99" t="s">
        <v>112</v>
      </c>
      <c r="B99" s="14">
        <f>_xlfn.MINIFS('working sheet'!$B$2:$B$3548, 'working sheet'!$D$2:$D$3548, A99)</f>
        <v>45387.599772997688</v>
      </c>
      <c r="C99" s="17">
        <f>_xlfn.MAXIFS('working sheet'!$B$1:$B$3548,'working sheet'!$D$1:$D$3548,'Customer Portfolio'!A99)</f>
        <v>45387.600583530089</v>
      </c>
      <c r="D99">
        <f>COUNTIFS('working sheet'!$D$1:$D$3548,'Customer Portfolio'!A99)</f>
        <v>2</v>
      </c>
      <c r="E99" s="5">
        <f>SUMIFS('working sheet'!$E$2:$E$3548,'working sheet'!$D$2:$D$3548,'Customer Portfolio'!A99)</f>
        <v>67.599999999999994</v>
      </c>
      <c r="F99" s="6">
        <f t="shared" si="2"/>
        <v>33.799999999999997</v>
      </c>
      <c r="G99" t="str">
        <f t="array" ref="G99">IFERROR(INDEX('working sheet'!$F$2:$F$3548, MODE(IF('working sheet'!$D$2:$D$3548=A99, MATCH('working sheet'!$F$2:$F$3548, 'working sheet'!$F$2:$F$3548, 0)))),
         INDEX('working sheet'!$F$2:$F$3548, MATCH(A99, 'working sheet'!$D$2:$D$3548, 0)))</f>
        <v>Latte</v>
      </c>
      <c r="H99" s="7">
        <f t="shared" si="3"/>
        <v>1.0008105324013741</v>
      </c>
      <c r="I99" s="7">
        <f>MAX('working sheet'!$B$2:$B$3548)-C99</f>
        <v>352.15750252315047</v>
      </c>
      <c r="J99" s="4" t="str">
        <f t="array" ref="J99">IF(AND(I99&lt;=30, D99&gt;=10, E99&gt;=200), "VIP",  IF(AND(I99&lt;=60, D99&gt;=5, E99&gt;=100), "Loyal", IF(AND(I99&lt;=90, D99&gt;=3), "Regular", IF(I99&lt;=30, "Recent", IF(D99&gt;=3, "Occasional", "At Risk")))))</f>
        <v>At Risk</v>
      </c>
      <c r="K99" t="str">
        <f t="array" ref="K99">IF(OR(J99="VIP", J99="Loyal"), "HIGH",IF(OR(J99="Regular", J99="Recent"), "MEDIUM","LOW"))</f>
        <v>LOW</v>
      </c>
    </row>
    <row r="100" spans="1:11">
      <c r="A100" t="s">
        <v>113</v>
      </c>
      <c r="B100" s="14">
        <f>_xlfn.MINIFS('working sheet'!$B$2:$B$3548, 'working sheet'!$D$2:$D$3548, A100)</f>
        <v>45388.522585625004</v>
      </c>
      <c r="C100" s="17">
        <f>_xlfn.MAXIFS('working sheet'!$B$1:$B$3548,'working sheet'!$D$1:$D$3548,'Customer Portfolio'!A100)</f>
        <v>45557.49667734954</v>
      </c>
      <c r="D100">
        <f>COUNTIFS('working sheet'!$D$1:$D$3548,'Customer Portfolio'!A100)</f>
        <v>5</v>
      </c>
      <c r="E100" s="5">
        <f>SUMIFS('working sheet'!$E$2:$E$3548,'working sheet'!$D$2:$D$3548,'Customer Portfolio'!A100)</f>
        <v>135.68</v>
      </c>
      <c r="F100" s="6">
        <f t="shared" si="2"/>
        <v>27.136000000000003</v>
      </c>
      <c r="G100" t="str">
        <f t="array" ref="G100">IFERROR(INDEX('working sheet'!$F$2:$F$3548, MODE(IF('working sheet'!$D$2:$D$3548=A100, MATCH('working sheet'!$F$2:$F$3548, 'working sheet'!$F$2:$F$3548, 0)))),
         INDEX('working sheet'!$F$2:$F$3548, MATCH(A100, 'working sheet'!$D$2:$D$3548, 0)))</f>
        <v>Americano</v>
      </c>
      <c r="H100" s="7">
        <f t="shared" si="3"/>
        <v>169.97409172453627</v>
      </c>
      <c r="I100" s="7">
        <f>MAX('working sheet'!$B$2:$B$3548)-C100</f>
        <v>182.2614087037</v>
      </c>
      <c r="J100" s="4" t="str">
        <f t="array" ref="J100">IF(AND(I100&lt;=30, D100&gt;=10, E100&gt;=200), "VIP",  IF(AND(I100&lt;=60, D100&gt;=5, E100&gt;=100), "Loyal", IF(AND(I100&lt;=90, D100&gt;=3), "Regular", IF(I100&lt;=30, "Recent", IF(D100&gt;=3, "Occasional", "At Risk")))))</f>
        <v>Occasional</v>
      </c>
      <c r="K100" t="str">
        <f t="array" ref="K100">IF(OR(J100="VIP", J100="Loyal"), "HIGH",IF(OR(J100="Regular", J100="Recent"), "MEDIUM","LOW"))</f>
        <v>LOW</v>
      </c>
    </row>
    <row r="101" spans="1:11">
      <c r="A101" t="s">
        <v>114</v>
      </c>
      <c r="B101" s="14">
        <f>_xlfn.MINIFS('working sheet'!$B$2:$B$3548, 'working sheet'!$D$2:$D$3548, A101)</f>
        <v>45389.594733206017</v>
      </c>
      <c r="C101" s="17">
        <f>_xlfn.MAXIFS('working sheet'!$B$1:$B$3548,'working sheet'!$D$1:$D$3548,'Customer Portfolio'!A101)</f>
        <v>45389.595493379631</v>
      </c>
      <c r="D101">
        <f>COUNTIFS('working sheet'!$D$1:$D$3548,'Customer Portfolio'!A101)</f>
        <v>2</v>
      </c>
      <c r="E101" s="5">
        <f>SUMIFS('working sheet'!$E$2:$E$3548,'working sheet'!$D$2:$D$3548,'Customer Portfolio'!A101)</f>
        <v>52.9</v>
      </c>
      <c r="F101" s="6">
        <f t="shared" si="2"/>
        <v>26.45</v>
      </c>
      <c r="G101" t="str">
        <f t="array" ref="G101">IFERROR(INDEX('working sheet'!$F$2:$F$3548, MODE(IF('working sheet'!$D$2:$D$3548=A101, MATCH('working sheet'!$F$2:$F$3548, 'working sheet'!$F$2:$F$3548, 0)))),
         INDEX('working sheet'!$F$2:$F$3548, MATCH(A101, 'working sheet'!$D$2:$D$3548, 0)))</f>
        <v>Cortado</v>
      </c>
      <c r="H101" s="7">
        <f t="shared" si="3"/>
        <v>1.0007601736142533</v>
      </c>
      <c r="I101" s="7">
        <f>MAX('working sheet'!$B$2:$B$3548)-C101</f>
        <v>350.16259267360874</v>
      </c>
      <c r="J101" s="4" t="str">
        <f t="array" ref="J101">IF(AND(I101&lt;=30, D101&gt;=10, E101&gt;=200), "VIP",  IF(AND(I101&lt;=60, D101&gt;=5, E101&gt;=100), "Loyal", IF(AND(I101&lt;=90, D101&gt;=3), "Regular", IF(I101&lt;=30, "Recent", IF(D101&gt;=3, "Occasional", "At Risk")))))</f>
        <v>At Risk</v>
      </c>
      <c r="K101" t="str">
        <f t="array" ref="K101">IF(OR(J101="VIP", J101="Loyal"), "HIGH",IF(OR(J101="Regular", J101="Recent"), "MEDIUM","LOW"))</f>
        <v>LOW</v>
      </c>
    </row>
    <row r="102" spans="1:11">
      <c r="A102" t="s">
        <v>115</v>
      </c>
      <c r="B102" s="14">
        <f>_xlfn.MINIFS('working sheet'!$B$2:$B$3548, 'working sheet'!$D$2:$D$3548, A102)</f>
        <v>45389.750886666669</v>
      </c>
      <c r="C102" s="17">
        <f>_xlfn.MAXIFS('working sheet'!$B$1:$B$3548,'working sheet'!$D$1:$D$3548,'Customer Portfolio'!A102)</f>
        <v>45389.751433773148</v>
      </c>
      <c r="D102">
        <f>COUNTIFS('working sheet'!$D$1:$D$3548,'Customer Portfolio'!A102)</f>
        <v>2</v>
      </c>
      <c r="E102" s="5">
        <f>SUMIFS('working sheet'!$E$2:$E$3548,'working sheet'!$D$2:$D$3548,'Customer Portfolio'!A102)</f>
        <v>72.5</v>
      </c>
      <c r="F102" s="6">
        <f t="shared" si="2"/>
        <v>36.25</v>
      </c>
      <c r="G102" t="str">
        <f t="array" ref="G102">IFERROR(INDEX('working sheet'!$F$2:$F$3548, MODE(IF('working sheet'!$D$2:$D$3548=A102, MATCH('working sheet'!$F$2:$F$3548, 'working sheet'!$F$2:$F$3548, 0)))),
         INDEX('working sheet'!$F$2:$F$3548, MATCH(A102, 'working sheet'!$D$2:$D$3548, 0)))</f>
        <v>Hot Chocolate</v>
      </c>
      <c r="H102" s="7">
        <f t="shared" si="3"/>
        <v>1.0005471064796438</v>
      </c>
      <c r="I102" s="7">
        <f>MAX('working sheet'!$B$2:$B$3548)-C102</f>
        <v>350.00665228009166</v>
      </c>
      <c r="J102" s="4" t="str">
        <f t="array" ref="J102">IF(AND(I102&lt;=30, D102&gt;=10, E102&gt;=200), "VIP",  IF(AND(I102&lt;=60, D102&gt;=5, E102&gt;=100), "Loyal", IF(AND(I102&lt;=90, D102&gt;=3), "Regular", IF(I102&lt;=30, "Recent", IF(D102&gt;=3, "Occasional", "At Risk")))))</f>
        <v>At Risk</v>
      </c>
      <c r="K102" t="str">
        <f t="array" ref="K102">IF(OR(J102="VIP", J102="Loyal"), "HIGH",IF(OR(J102="Regular", J102="Recent"), "MEDIUM","LOW"))</f>
        <v>LOW</v>
      </c>
    </row>
    <row r="103" spans="1:11">
      <c r="A103" t="s">
        <v>116</v>
      </c>
      <c r="B103" s="14">
        <f>_xlfn.MINIFS('working sheet'!$B$2:$B$3548, 'working sheet'!$D$2:$D$3548, A103)</f>
        <v>45390.457188726854</v>
      </c>
      <c r="C103" s="17">
        <f>_xlfn.MAXIFS('working sheet'!$B$1:$B$3548,'working sheet'!$D$1:$D$3548,'Customer Portfolio'!A103)</f>
        <v>45390.457188726854</v>
      </c>
      <c r="D103">
        <f>COUNTIFS('working sheet'!$D$1:$D$3548,'Customer Portfolio'!A103)</f>
        <v>1</v>
      </c>
      <c r="E103" s="5">
        <f>SUMIFS('working sheet'!$E$2:$E$3548,'working sheet'!$D$2:$D$3548,'Customer Portfolio'!A103)</f>
        <v>33.799999999999997</v>
      </c>
      <c r="F103" s="6">
        <f t="shared" si="2"/>
        <v>33.799999999999997</v>
      </c>
      <c r="G103" t="str">
        <f t="array" ref="G103">IFERROR(INDEX('working sheet'!$F$2:$F$3548, MODE(IF('working sheet'!$D$2:$D$3548=A103, MATCH('working sheet'!$F$2:$F$3548, 'working sheet'!$F$2:$F$3548, 0)))),
         INDEX('working sheet'!$F$2:$F$3548, MATCH(A103, 'working sheet'!$D$2:$D$3548, 0)))</f>
        <v>Americano with Milk</v>
      </c>
      <c r="H103" s="7">
        <f t="shared" si="3"/>
        <v>1</v>
      </c>
      <c r="I103" s="7">
        <f>MAX('working sheet'!$B$2:$B$3548)-C103</f>
        <v>349.30089732638589</v>
      </c>
      <c r="J103" s="4" t="str">
        <f t="array" ref="J103">IF(AND(I103&lt;=30, D103&gt;=10, E103&gt;=200), "VIP",  IF(AND(I103&lt;=60, D103&gt;=5, E103&gt;=100), "Loyal", IF(AND(I103&lt;=90, D103&gt;=3), "Regular", IF(I103&lt;=30, "Recent", IF(D103&gt;=3, "Occasional", "At Risk")))))</f>
        <v>At Risk</v>
      </c>
      <c r="K103" t="str">
        <f t="array" ref="K103">IF(OR(J103="VIP", J103="Loyal"), "HIGH",IF(OR(J103="Regular", J103="Recent"), "MEDIUM","LOW"))</f>
        <v>LOW</v>
      </c>
    </row>
    <row r="104" spans="1:11">
      <c r="A104" t="s">
        <v>117</v>
      </c>
      <c r="B104" s="14">
        <f>_xlfn.MINIFS('working sheet'!$B$2:$B$3548, 'working sheet'!$D$2:$D$3548, A104)</f>
        <v>45390.457957847226</v>
      </c>
      <c r="C104" s="17">
        <f>_xlfn.MAXIFS('working sheet'!$B$1:$B$3548,'working sheet'!$D$1:$D$3548,'Customer Portfolio'!A104)</f>
        <v>45390.457957847226</v>
      </c>
      <c r="D104">
        <f>COUNTIFS('working sheet'!$D$1:$D$3548,'Customer Portfolio'!A104)</f>
        <v>1</v>
      </c>
      <c r="E104" s="5">
        <f>SUMIFS('working sheet'!$E$2:$E$3548,'working sheet'!$D$2:$D$3548,'Customer Portfolio'!A104)</f>
        <v>38.700000000000003</v>
      </c>
      <c r="F104" s="6">
        <f t="shared" si="2"/>
        <v>38.700000000000003</v>
      </c>
      <c r="G104" t="str">
        <f t="array" ref="G104">IFERROR(INDEX('working sheet'!$F$2:$F$3548, MODE(IF('working sheet'!$D$2:$D$3548=A104, MATCH('working sheet'!$F$2:$F$3548, 'working sheet'!$F$2:$F$3548, 0)))),
         INDEX('working sheet'!$F$2:$F$3548, MATCH(A104, 'working sheet'!$D$2:$D$3548, 0)))</f>
        <v>Cappuccino</v>
      </c>
      <c r="H104" s="7">
        <f t="shared" si="3"/>
        <v>1</v>
      </c>
      <c r="I104" s="7">
        <f>MAX('working sheet'!$B$2:$B$3548)-C104</f>
        <v>349.30012820601405</v>
      </c>
      <c r="J104" s="4" t="str">
        <f t="array" ref="J104">IF(AND(I104&lt;=30, D104&gt;=10, E104&gt;=200), "VIP",  IF(AND(I104&lt;=60, D104&gt;=5, E104&gt;=100), "Loyal", IF(AND(I104&lt;=90, D104&gt;=3), "Regular", IF(I104&lt;=30, "Recent", IF(D104&gt;=3, "Occasional", "At Risk")))))</f>
        <v>At Risk</v>
      </c>
      <c r="K104" t="str">
        <f t="array" ref="K104">IF(OR(J104="VIP", J104="Loyal"), "HIGH",IF(OR(J104="Regular", J104="Recent"), "MEDIUM","LOW"))</f>
        <v>LOW</v>
      </c>
    </row>
    <row r="105" spans="1:11">
      <c r="A105" t="s">
        <v>118</v>
      </c>
      <c r="B105" s="14">
        <f>_xlfn.MINIFS('working sheet'!$B$2:$B$3548, 'working sheet'!$D$2:$D$3548, A105)</f>
        <v>45390.461655439816</v>
      </c>
      <c r="C105" s="17">
        <f>_xlfn.MAXIFS('working sheet'!$B$1:$B$3548,'working sheet'!$D$1:$D$3548,'Customer Portfolio'!A105)</f>
        <v>45390.461655439816</v>
      </c>
      <c r="D105">
        <f>COUNTIFS('working sheet'!$D$1:$D$3548,'Customer Portfolio'!A105)</f>
        <v>1</v>
      </c>
      <c r="E105" s="5">
        <f>SUMIFS('working sheet'!$E$2:$E$3548,'working sheet'!$D$2:$D$3548,'Customer Portfolio'!A105)</f>
        <v>38.700000000000003</v>
      </c>
      <c r="F105" s="6">
        <f t="shared" si="2"/>
        <v>38.700000000000003</v>
      </c>
      <c r="G105" t="str">
        <f t="array" ref="G105">IFERROR(INDEX('working sheet'!$F$2:$F$3548, MODE(IF('working sheet'!$D$2:$D$3548=A105, MATCH('working sheet'!$F$2:$F$3548, 'working sheet'!$F$2:$F$3548, 0)))),
         INDEX('working sheet'!$F$2:$F$3548, MATCH(A105, 'working sheet'!$D$2:$D$3548, 0)))</f>
        <v>Cappuccino</v>
      </c>
      <c r="H105" s="7">
        <f t="shared" si="3"/>
        <v>1</v>
      </c>
      <c r="I105" s="7">
        <f>MAX('working sheet'!$B$2:$B$3548)-C105</f>
        <v>349.29643061342358</v>
      </c>
      <c r="J105" s="4" t="str">
        <f t="array" ref="J105">IF(AND(I105&lt;=30, D105&gt;=10, E105&gt;=200), "VIP",  IF(AND(I105&lt;=60, D105&gt;=5, E105&gt;=100), "Loyal", IF(AND(I105&lt;=90, D105&gt;=3), "Regular", IF(I105&lt;=30, "Recent", IF(D105&gt;=3, "Occasional", "At Risk")))))</f>
        <v>At Risk</v>
      </c>
      <c r="K105" t="str">
        <f t="array" ref="K105">IF(OR(J105="VIP", J105="Loyal"), "HIGH",IF(OR(J105="Regular", J105="Recent"), "MEDIUM","LOW"))</f>
        <v>LOW</v>
      </c>
    </row>
    <row r="106" spans="1:11">
      <c r="A106" t="s">
        <v>119</v>
      </c>
      <c r="B106" s="14">
        <f>_xlfn.MINIFS('working sheet'!$B$2:$B$3548, 'working sheet'!$D$2:$D$3548, A106)</f>
        <v>45390.762612418985</v>
      </c>
      <c r="C106" s="17">
        <f>_xlfn.MAXIFS('working sheet'!$B$1:$B$3548,'working sheet'!$D$1:$D$3548,'Customer Portfolio'!A106)</f>
        <v>45390.762612418985</v>
      </c>
      <c r="D106">
        <f>COUNTIFS('working sheet'!$D$1:$D$3548,'Customer Portfolio'!A106)</f>
        <v>1</v>
      </c>
      <c r="E106" s="5">
        <f>SUMIFS('working sheet'!$E$2:$E$3548,'working sheet'!$D$2:$D$3548,'Customer Portfolio'!A106)</f>
        <v>28.9</v>
      </c>
      <c r="F106" s="6">
        <f t="shared" si="2"/>
        <v>28.9</v>
      </c>
      <c r="G106" t="str">
        <f t="array" ref="G106">IFERROR(INDEX('working sheet'!$F$2:$F$3548, MODE(IF('working sheet'!$D$2:$D$3548=A106, MATCH('working sheet'!$F$2:$F$3548, 'working sheet'!$F$2:$F$3548, 0)))),
         INDEX('working sheet'!$F$2:$F$3548, MATCH(A106, 'working sheet'!$D$2:$D$3548, 0)))</f>
        <v>Americano</v>
      </c>
      <c r="H106" s="7">
        <f t="shared" si="3"/>
        <v>1</v>
      </c>
      <c r="I106" s="7">
        <f>MAX('working sheet'!$B$2:$B$3548)-C106</f>
        <v>348.99547363425518</v>
      </c>
      <c r="J106" s="4" t="str">
        <f t="array" ref="J106">IF(AND(I106&lt;=30, D106&gt;=10, E106&gt;=200), "VIP",  IF(AND(I106&lt;=60, D106&gt;=5, E106&gt;=100), "Loyal", IF(AND(I106&lt;=90, D106&gt;=3), "Regular", IF(I106&lt;=30, "Recent", IF(D106&gt;=3, "Occasional", "At Risk")))))</f>
        <v>At Risk</v>
      </c>
      <c r="K106" t="str">
        <f t="array" ref="K106">IF(OR(J106="VIP", J106="Loyal"), "HIGH",IF(OR(J106="Regular", J106="Recent"), "MEDIUM","LOW"))</f>
        <v>LOW</v>
      </c>
    </row>
    <row r="107" spans="1:11">
      <c r="A107" t="s">
        <v>120</v>
      </c>
      <c r="B107" s="14">
        <f>_xlfn.MINIFS('working sheet'!$B$2:$B$3548, 'working sheet'!$D$2:$D$3548, A107)</f>
        <v>45390.808324861115</v>
      </c>
      <c r="C107" s="17">
        <f>_xlfn.MAXIFS('working sheet'!$B$1:$B$3548,'working sheet'!$D$1:$D$3548,'Customer Portfolio'!A107)</f>
        <v>45393.803432731482</v>
      </c>
      <c r="D107">
        <f>COUNTIFS('working sheet'!$D$1:$D$3548,'Customer Portfolio'!A107)</f>
        <v>2</v>
      </c>
      <c r="E107" s="5">
        <f>SUMIFS('working sheet'!$E$2:$E$3548,'working sheet'!$D$2:$D$3548,'Customer Portfolio'!A107)</f>
        <v>77.400000000000006</v>
      </c>
      <c r="F107" s="6">
        <f t="shared" si="2"/>
        <v>38.700000000000003</v>
      </c>
      <c r="G107" t="str">
        <f t="array" ref="G107">IFERROR(INDEX('working sheet'!$F$2:$F$3548, MODE(IF('working sheet'!$D$2:$D$3548=A107, MATCH('working sheet'!$F$2:$F$3548, 'working sheet'!$F$2:$F$3548, 0)))),
         INDEX('working sheet'!$F$2:$F$3548, MATCH(A107, 'working sheet'!$D$2:$D$3548, 0)))</f>
        <v>Cappuccino</v>
      </c>
      <c r="H107" s="7">
        <f t="shared" si="3"/>
        <v>3.9951078703670646</v>
      </c>
      <c r="I107" s="7">
        <f>MAX('working sheet'!$B$2:$B$3548)-C107</f>
        <v>345.95465332175809</v>
      </c>
      <c r="J107" s="4" t="str">
        <f t="array" ref="J107">IF(AND(I107&lt;=30, D107&gt;=10, E107&gt;=200), "VIP",  IF(AND(I107&lt;=60, D107&gt;=5, E107&gt;=100), "Loyal", IF(AND(I107&lt;=90, D107&gt;=3), "Regular", IF(I107&lt;=30, "Recent", IF(D107&gt;=3, "Occasional", "At Risk")))))</f>
        <v>At Risk</v>
      </c>
      <c r="K107" t="str">
        <f t="array" ref="K107">IF(OR(J107="VIP", J107="Loyal"), "HIGH",IF(OR(J107="Regular", J107="Recent"), "MEDIUM","LOW"))</f>
        <v>LOW</v>
      </c>
    </row>
    <row r="108" spans="1:11">
      <c r="A108" t="s">
        <v>121</v>
      </c>
      <c r="B108" s="14">
        <f>_xlfn.MINIFS('working sheet'!$B$2:$B$3548, 'working sheet'!$D$2:$D$3548, A108)</f>
        <v>45391.633202777775</v>
      </c>
      <c r="C108" s="17">
        <f>_xlfn.MAXIFS('working sheet'!$B$1:$B$3548,'working sheet'!$D$1:$D$3548,'Customer Portfolio'!A108)</f>
        <v>45391.633202777775</v>
      </c>
      <c r="D108">
        <f>COUNTIFS('working sheet'!$D$1:$D$3548,'Customer Portfolio'!A108)</f>
        <v>1</v>
      </c>
      <c r="E108" s="5">
        <f>SUMIFS('working sheet'!$E$2:$E$3548,'working sheet'!$D$2:$D$3548,'Customer Portfolio'!A108)</f>
        <v>38.700000000000003</v>
      </c>
      <c r="F108" s="6">
        <f t="shared" si="2"/>
        <v>38.700000000000003</v>
      </c>
      <c r="G108" t="str">
        <f t="array" ref="G108">IFERROR(INDEX('working sheet'!$F$2:$F$3548, MODE(IF('working sheet'!$D$2:$D$3548=A108, MATCH('working sheet'!$F$2:$F$3548, 'working sheet'!$F$2:$F$3548, 0)))),
         INDEX('working sheet'!$F$2:$F$3548, MATCH(A108, 'working sheet'!$D$2:$D$3548, 0)))</f>
        <v>Hot Chocolate</v>
      </c>
      <c r="H108" s="7">
        <f t="shared" si="3"/>
        <v>1</v>
      </c>
      <c r="I108" s="7">
        <f>MAX('working sheet'!$B$2:$B$3548)-C108</f>
        <v>348.12488327546453</v>
      </c>
      <c r="J108" s="4" t="str">
        <f t="array" ref="J108">IF(AND(I108&lt;=30, D108&gt;=10, E108&gt;=200), "VIP",  IF(AND(I108&lt;=60, D108&gt;=5, E108&gt;=100), "Loyal", IF(AND(I108&lt;=90, D108&gt;=3), "Regular", IF(I108&lt;=30, "Recent", IF(D108&gt;=3, "Occasional", "At Risk")))))</f>
        <v>At Risk</v>
      </c>
      <c r="K108" t="str">
        <f t="array" ref="K108">IF(OR(J108="VIP", J108="Loyal"), "HIGH",IF(OR(J108="Regular", J108="Recent"), "MEDIUM","LOW"))</f>
        <v>LOW</v>
      </c>
    </row>
    <row r="109" spans="1:11">
      <c r="A109" t="s">
        <v>122</v>
      </c>
      <c r="B109" s="14">
        <f>_xlfn.MINIFS('working sheet'!$B$2:$B$3548, 'working sheet'!$D$2:$D$3548, A109)</f>
        <v>45392.74688939815</v>
      </c>
      <c r="C109" s="17">
        <f>_xlfn.MAXIFS('working sheet'!$B$1:$B$3548,'working sheet'!$D$1:$D$3548,'Customer Portfolio'!A109)</f>
        <v>45392.74688939815</v>
      </c>
      <c r="D109">
        <f>COUNTIFS('working sheet'!$D$1:$D$3548,'Customer Portfolio'!A109)</f>
        <v>1</v>
      </c>
      <c r="E109" s="5">
        <f>SUMIFS('working sheet'!$E$2:$E$3548,'working sheet'!$D$2:$D$3548,'Customer Portfolio'!A109)</f>
        <v>24</v>
      </c>
      <c r="F109" s="6">
        <f t="shared" si="2"/>
        <v>24</v>
      </c>
      <c r="G109" t="str">
        <f t="array" ref="G109">IFERROR(INDEX('working sheet'!$F$2:$F$3548, MODE(IF('working sheet'!$D$2:$D$3548=A109, MATCH('working sheet'!$F$2:$F$3548, 'working sheet'!$F$2:$F$3548, 0)))),
         INDEX('working sheet'!$F$2:$F$3548, MATCH(A109, 'working sheet'!$D$2:$D$3548, 0)))</f>
        <v>Espresso</v>
      </c>
      <c r="H109" s="7">
        <f t="shared" si="3"/>
        <v>1</v>
      </c>
      <c r="I109" s="7">
        <f>MAX('working sheet'!$B$2:$B$3548)-C109</f>
        <v>347.01119665509032</v>
      </c>
      <c r="J109" s="4" t="str">
        <f t="array" ref="J109">IF(AND(I109&lt;=30, D109&gt;=10, E109&gt;=200), "VIP",  IF(AND(I109&lt;=60, D109&gt;=5, E109&gt;=100), "Loyal", IF(AND(I109&lt;=90, D109&gt;=3), "Regular", IF(I109&lt;=30, "Recent", IF(D109&gt;=3, "Occasional", "At Risk")))))</f>
        <v>At Risk</v>
      </c>
      <c r="K109" t="str">
        <f t="array" ref="K109">IF(OR(J109="VIP", J109="Loyal"), "HIGH",IF(OR(J109="Regular", J109="Recent"), "MEDIUM","LOW"))</f>
        <v>LOW</v>
      </c>
    </row>
    <row r="110" spans="1:11">
      <c r="A110" t="s">
        <v>123</v>
      </c>
      <c r="B110" s="14">
        <f>_xlfn.MINIFS('working sheet'!$B$2:$B$3548, 'working sheet'!$D$2:$D$3548, A110)</f>
        <v>45392.836173449075</v>
      </c>
      <c r="C110" s="17">
        <f>_xlfn.MAXIFS('working sheet'!$B$1:$B$3548,'working sheet'!$D$1:$D$3548,'Customer Portfolio'!A110)</f>
        <v>45392.836173449075</v>
      </c>
      <c r="D110">
        <f>COUNTIFS('working sheet'!$D$1:$D$3548,'Customer Portfolio'!A110)</f>
        <v>1</v>
      </c>
      <c r="E110" s="5">
        <f>SUMIFS('working sheet'!$E$2:$E$3548,'working sheet'!$D$2:$D$3548,'Customer Portfolio'!A110)</f>
        <v>38.700000000000003</v>
      </c>
      <c r="F110" s="6">
        <f t="shared" si="2"/>
        <v>38.700000000000003</v>
      </c>
      <c r="G110" t="str">
        <f t="array" ref="G110">IFERROR(INDEX('working sheet'!$F$2:$F$3548, MODE(IF('working sheet'!$D$2:$D$3548=A110, MATCH('working sheet'!$F$2:$F$3548, 'working sheet'!$F$2:$F$3548, 0)))),
         INDEX('working sheet'!$F$2:$F$3548, MATCH(A110, 'working sheet'!$D$2:$D$3548, 0)))</f>
        <v>Latte</v>
      </c>
      <c r="H110" s="7">
        <f t="shared" si="3"/>
        <v>1</v>
      </c>
      <c r="I110" s="7">
        <f>MAX('working sheet'!$B$2:$B$3548)-C110</f>
        <v>346.92191260416439</v>
      </c>
      <c r="J110" s="4" t="str">
        <f t="array" ref="J110">IF(AND(I110&lt;=30, D110&gt;=10, E110&gt;=200), "VIP",  IF(AND(I110&lt;=60, D110&gt;=5, E110&gt;=100), "Loyal", IF(AND(I110&lt;=90, D110&gt;=3), "Regular", IF(I110&lt;=30, "Recent", IF(D110&gt;=3, "Occasional", "At Risk")))))</f>
        <v>At Risk</v>
      </c>
      <c r="K110" t="str">
        <f t="array" ref="K110">IF(OR(J110="VIP", J110="Loyal"), "HIGH",IF(OR(J110="Regular", J110="Recent"), "MEDIUM","LOW"))</f>
        <v>LOW</v>
      </c>
    </row>
    <row r="111" spans="1:11">
      <c r="A111" t="s">
        <v>124</v>
      </c>
      <c r="B111" s="14">
        <f>_xlfn.MINIFS('working sheet'!$B$2:$B$3548, 'working sheet'!$D$2:$D$3548, A111)</f>
        <v>45393.445406886574</v>
      </c>
      <c r="C111" s="17">
        <f>_xlfn.MAXIFS('working sheet'!$B$1:$B$3548,'working sheet'!$D$1:$D$3548,'Customer Portfolio'!A111)</f>
        <v>45393.446520428239</v>
      </c>
      <c r="D111">
        <f>COUNTIFS('working sheet'!$D$1:$D$3548,'Customer Portfolio'!A111)</f>
        <v>2</v>
      </c>
      <c r="E111" s="5">
        <f>SUMIFS('working sheet'!$E$2:$E$3548,'working sheet'!$D$2:$D$3548,'Customer Portfolio'!A111)</f>
        <v>57.8</v>
      </c>
      <c r="F111" s="6">
        <f t="shared" si="2"/>
        <v>28.9</v>
      </c>
      <c r="G111" t="str">
        <f t="array" ref="G111">IFERROR(INDEX('working sheet'!$F$2:$F$3548, MODE(IF('working sheet'!$D$2:$D$3548=A111, MATCH('working sheet'!$F$2:$F$3548, 'working sheet'!$F$2:$F$3548, 0)))),
         INDEX('working sheet'!$F$2:$F$3548, MATCH(A111, 'working sheet'!$D$2:$D$3548, 0)))</f>
        <v>Americano</v>
      </c>
      <c r="H111" s="7">
        <f t="shared" si="3"/>
        <v>1.001113541664381</v>
      </c>
      <c r="I111" s="7">
        <f>MAX('working sheet'!$B$2:$B$3548)-C111</f>
        <v>346.31156562500109</v>
      </c>
      <c r="J111" s="4" t="str">
        <f t="array" ref="J111">IF(AND(I111&lt;=30, D111&gt;=10, E111&gt;=200), "VIP",  IF(AND(I111&lt;=60, D111&gt;=5, E111&gt;=100), "Loyal", IF(AND(I111&lt;=90, D111&gt;=3), "Regular", IF(I111&lt;=30, "Recent", IF(D111&gt;=3, "Occasional", "At Risk")))))</f>
        <v>At Risk</v>
      </c>
      <c r="K111" t="str">
        <f t="array" ref="K111">IF(OR(J111="VIP", J111="Loyal"), "HIGH",IF(OR(J111="Regular", J111="Recent"), "MEDIUM","LOW"))</f>
        <v>LOW</v>
      </c>
    </row>
    <row r="112" spans="1:11">
      <c r="A112" t="s">
        <v>125</v>
      </c>
      <c r="B112" s="14">
        <f>_xlfn.MINIFS('working sheet'!$B$2:$B$3548, 'working sheet'!$D$2:$D$3548, A112)</f>
        <v>45395.67921224537</v>
      </c>
      <c r="C112" s="17">
        <f>_xlfn.MAXIFS('working sheet'!$B$1:$B$3548,'working sheet'!$D$1:$D$3548,'Customer Portfolio'!A112)</f>
        <v>45395.680321747685</v>
      </c>
      <c r="D112">
        <f>COUNTIFS('working sheet'!$D$1:$D$3548,'Customer Portfolio'!A112)</f>
        <v>2</v>
      </c>
      <c r="E112" s="5">
        <f>SUMIFS('working sheet'!$E$2:$E$3548,'working sheet'!$D$2:$D$3548,'Customer Portfolio'!A112)</f>
        <v>77.400000000000006</v>
      </c>
      <c r="F112" s="6">
        <f t="shared" si="2"/>
        <v>38.700000000000003</v>
      </c>
      <c r="G112" t="str">
        <f t="array" ref="G112">IFERROR(INDEX('working sheet'!$F$2:$F$3548, MODE(IF('working sheet'!$D$2:$D$3548=A112, MATCH('working sheet'!$F$2:$F$3548, 'working sheet'!$F$2:$F$3548, 0)))),
         INDEX('working sheet'!$F$2:$F$3548, MATCH(A112, 'working sheet'!$D$2:$D$3548, 0)))</f>
        <v>Cappuccino</v>
      </c>
      <c r="H112" s="7">
        <f t="shared" si="3"/>
        <v>1.0011095023146481</v>
      </c>
      <c r="I112" s="7">
        <f>MAX('working sheet'!$B$2:$B$3548)-C112</f>
        <v>344.07776430555532</v>
      </c>
      <c r="J112" s="4" t="str">
        <f t="array" ref="J112">IF(AND(I112&lt;=30, D112&gt;=10, E112&gt;=200), "VIP",  IF(AND(I112&lt;=60, D112&gt;=5, E112&gt;=100), "Loyal", IF(AND(I112&lt;=90, D112&gt;=3), "Regular", IF(I112&lt;=30, "Recent", IF(D112&gt;=3, "Occasional", "At Risk")))))</f>
        <v>At Risk</v>
      </c>
      <c r="K112" t="str">
        <f t="array" ref="K112">IF(OR(J112="VIP", J112="Loyal"), "HIGH",IF(OR(J112="Regular", J112="Recent"), "MEDIUM","LOW"))</f>
        <v>LOW</v>
      </c>
    </row>
    <row r="113" spans="1:11">
      <c r="A113" t="s">
        <v>126</v>
      </c>
      <c r="B113" s="14">
        <f>_xlfn.MINIFS('working sheet'!$B$2:$B$3548, 'working sheet'!$D$2:$D$3548, A113)</f>
        <v>45395.744051226851</v>
      </c>
      <c r="C113" s="17">
        <f>_xlfn.MAXIFS('working sheet'!$B$1:$B$3548,'working sheet'!$D$1:$D$3548,'Customer Portfolio'!A113)</f>
        <v>45395.744051226851</v>
      </c>
      <c r="D113">
        <f>COUNTIFS('working sheet'!$D$1:$D$3548,'Customer Portfolio'!A113)</f>
        <v>1</v>
      </c>
      <c r="E113" s="5">
        <f>SUMIFS('working sheet'!$E$2:$E$3548,'working sheet'!$D$2:$D$3548,'Customer Portfolio'!A113)</f>
        <v>38.700000000000003</v>
      </c>
      <c r="F113" s="6">
        <f t="shared" si="2"/>
        <v>38.700000000000003</v>
      </c>
      <c r="G113" t="str">
        <f t="array" ref="G113">IFERROR(INDEX('working sheet'!$F$2:$F$3548, MODE(IF('working sheet'!$D$2:$D$3548=A113, MATCH('working sheet'!$F$2:$F$3548, 'working sheet'!$F$2:$F$3548, 0)))),
         INDEX('working sheet'!$F$2:$F$3548, MATCH(A113, 'working sheet'!$D$2:$D$3548, 0)))</f>
        <v>Cappuccino</v>
      </c>
      <c r="H113" s="7">
        <f t="shared" si="3"/>
        <v>1</v>
      </c>
      <c r="I113" s="7">
        <f>MAX('working sheet'!$B$2:$B$3548)-C113</f>
        <v>344.01403482638852</v>
      </c>
      <c r="J113" s="4" t="str">
        <f t="array" ref="J113">IF(AND(I113&lt;=30, D113&gt;=10, E113&gt;=200), "VIP",  IF(AND(I113&lt;=60, D113&gt;=5, E113&gt;=100), "Loyal", IF(AND(I113&lt;=90, D113&gt;=3), "Regular", IF(I113&lt;=30, "Recent", IF(D113&gt;=3, "Occasional", "At Risk")))))</f>
        <v>At Risk</v>
      </c>
      <c r="K113" t="str">
        <f t="array" ref="K113">IF(OR(J113="VIP", J113="Loyal"), "HIGH",IF(OR(J113="Regular", J113="Recent"), "MEDIUM","LOW"))</f>
        <v>LOW</v>
      </c>
    </row>
    <row r="114" spans="1:11">
      <c r="A114" t="s">
        <v>127</v>
      </c>
      <c r="B114" s="14">
        <f>_xlfn.MINIFS('working sheet'!$B$2:$B$3548, 'working sheet'!$D$2:$D$3548, A114)</f>
        <v>45396.517118379626</v>
      </c>
      <c r="C114" s="17">
        <f>_xlfn.MAXIFS('working sheet'!$B$1:$B$3548,'working sheet'!$D$1:$D$3548,'Customer Portfolio'!A114)</f>
        <v>45396.517118379626</v>
      </c>
      <c r="D114">
        <f>COUNTIFS('working sheet'!$D$1:$D$3548,'Customer Portfolio'!A114)</f>
        <v>1</v>
      </c>
      <c r="E114" s="5">
        <f>SUMIFS('working sheet'!$E$2:$E$3548,'working sheet'!$D$2:$D$3548,'Customer Portfolio'!A114)</f>
        <v>38.700000000000003</v>
      </c>
      <c r="F114" s="6">
        <f t="shared" si="2"/>
        <v>38.700000000000003</v>
      </c>
      <c r="G114" t="str">
        <f t="array" ref="G114">IFERROR(INDEX('working sheet'!$F$2:$F$3548, MODE(IF('working sheet'!$D$2:$D$3548=A114, MATCH('working sheet'!$F$2:$F$3548, 'working sheet'!$F$2:$F$3548, 0)))),
         INDEX('working sheet'!$F$2:$F$3548, MATCH(A114, 'working sheet'!$D$2:$D$3548, 0)))</f>
        <v>Cappuccino</v>
      </c>
      <c r="H114" s="7">
        <f t="shared" si="3"/>
        <v>1</v>
      </c>
      <c r="I114" s="7">
        <f>MAX('working sheet'!$B$2:$B$3548)-C114</f>
        <v>343.24096767361334</v>
      </c>
      <c r="J114" s="4" t="str">
        <f t="array" ref="J114">IF(AND(I114&lt;=30, D114&gt;=10, E114&gt;=200), "VIP",  IF(AND(I114&lt;=60, D114&gt;=5, E114&gt;=100), "Loyal", IF(AND(I114&lt;=90, D114&gt;=3), "Regular", IF(I114&lt;=30, "Recent", IF(D114&gt;=3, "Occasional", "At Risk")))))</f>
        <v>At Risk</v>
      </c>
      <c r="K114" t="str">
        <f t="array" ref="K114">IF(OR(J114="VIP", J114="Loyal"), "HIGH",IF(OR(J114="Regular", J114="Recent"), "MEDIUM","LOW"))</f>
        <v>LOW</v>
      </c>
    </row>
    <row r="115" spans="1:11">
      <c r="A115" t="s">
        <v>128</v>
      </c>
      <c r="B115" s="14">
        <f>_xlfn.MINIFS('working sheet'!$B$2:$B$3548, 'working sheet'!$D$2:$D$3548, A115)</f>
        <v>45396.556826481479</v>
      </c>
      <c r="C115" s="17">
        <f>_xlfn.MAXIFS('working sheet'!$B$1:$B$3548,'working sheet'!$D$1:$D$3548,'Customer Portfolio'!A115)</f>
        <v>45396.556826481479</v>
      </c>
      <c r="D115">
        <f>COUNTIFS('working sheet'!$D$1:$D$3548,'Customer Portfolio'!A115)</f>
        <v>1</v>
      </c>
      <c r="E115" s="5">
        <f>SUMIFS('working sheet'!$E$2:$E$3548,'working sheet'!$D$2:$D$3548,'Customer Portfolio'!A115)</f>
        <v>28.9</v>
      </c>
      <c r="F115" s="6">
        <f t="shared" si="2"/>
        <v>28.9</v>
      </c>
      <c r="G115" t="str">
        <f t="array" ref="G115">IFERROR(INDEX('working sheet'!$F$2:$F$3548, MODE(IF('working sheet'!$D$2:$D$3548=A115, MATCH('working sheet'!$F$2:$F$3548, 'working sheet'!$F$2:$F$3548, 0)))),
         INDEX('working sheet'!$F$2:$F$3548, MATCH(A115, 'working sheet'!$D$2:$D$3548, 0)))</f>
        <v>Cortado</v>
      </c>
      <c r="H115" s="7">
        <f t="shared" si="3"/>
        <v>1</v>
      </c>
      <c r="I115" s="7">
        <f>MAX('working sheet'!$B$2:$B$3548)-C115</f>
        <v>343.2012595717606</v>
      </c>
      <c r="J115" s="4" t="str">
        <f t="array" ref="J115">IF(AND(I115&lt;=30, D115&gt;=10, E115&gt;=200), "VIP",  IF(AND(I115&lt;=60, D115&gt;=5, E115&gt;=100), "Loyal", IF(AND(I115&lt;=90, D115&gt;=3), "Regular", IF(I115&lt;=30, "Recent", IF(D115&gt;=3, "Occasional", "At Risk")))))</f>
        <v>At Risk</v>
      </c>
      <c r="K115" t="str">
        <f t="array" ref="K115">IF(OR(J115="VIP", J115="Loyal"), "HIGH",IF(OR(J115="Regular", J115="Recent"), "MEDIUM","LOW"))</f>
        <v>LOW</v>
      </c>
    </row>
    <row r="116" spans="1:11">
      <c r="A116" t="s">
        <v>129</v>
      </c>
      <c r="B116" s="14">
        <f>_xlfn.MINIFS('working sheet'!$B$2:$B$3548, 'working sheet'!$D$2:$D$3548, A116)</f>
        <v>45396.77661630787</v>
      </c>
      <c r="C116" s="17">
        <f>_xlfn.MAXIFS('working sheet'!$B$1:$B$3548,'working sheet'!$D$1:$D$3548,'Customer Portfolio'!A116)</f>
        <v>45423.774771493052</v>
      </c>
      <c r="D116">
        <f>COUNTIFS('working sheet'!$D$1:$D$3548,'Customer Portfolio'!A116)</f>
        <v>2</v>
      </c>
      <c r="E116" s="5">
        <f>SUMIFS('working sheet'!$E$2:$E$3548,'working sheet'!$D$2:$D$3548,'Customer Portfolio'!A116)</f>
        <v>76.42</v>
      </c>
      <c r="F116" s="6">
        <f t="shared" si="2"/>
        <v>38.21</v>
      </c>
      <c r="G116" t="str">
        <f t="array" ref="G116">IFERROR(INDEX('working sheet'!$F$2:$F$3548, MODE(IF('working sheet'!$D$2:$D$3548=A116, MATCH('working sheet'!$F$2:$F$3548, 'working sheet'!$F$2:$F$3548, 0)))),
         INDEX('working sheet'!$F$2:$F$3548, MATCH(A116, 'working sheet'!$D$2:$D$3548, 0)))</f>
        <v>Cappuccino</v>
      </c>
      <c r="H116" s="7">
        <f t="shared" si="3"/>
        <v>27.998155185181531</v>
      </c>
      <c r="I116" s="7">
        <f>MAX('working sheet'!$B$2:$B$3548)-C116</f>
        <v>315.98331456018786</v>
      </c>
      <c r="J116" s="4" t="str">
        <f t="array" ref="J116">IF(AND(I116&lt;=30, D116&gt;=10, E116&gt;=200), "VIP",  IF(AND(I116&lt;=60, D116&gt;=5, E116&gt;=100), "Loyal", IF(AND(I116&lt;=90, D116&gt;=3), "Regular", IF(I116&lt;=30, "Recent", IF(D116&gt;=3, "Occasional", "At Risk")))))</f>
        <v>At Risk</v>
      </c>
      <c r="K116" t="str">
        <f t="array" ref="K116">IF(OR(J116="VIP", J116="Loyal"), "HIGH",IF(OR(J116="Regular", J116="Recent"), "MEDIUM","LOW"))</f>
        <v>LOW</v>
      </c>
    </row>
    <row r="117" spans="1:11">
      <c r="A117" t="s">
        <v>130</v>
      </c>
      <c r="B117" s="14">
        <f>_xlfn.MINIFS('working sheet'!$B$2:$B$3548, 'working sheet'!$D$2:$D$3548, A117)</f>
        <v>45398.448908634258</v>
      </c>
      <c r="C117" s="17">
        <f>_xlfn.MAXIFS('working sheet'!$B$1:$B$3548,'working sheet'!$D$1:$D$3548,'Customer Portfolio'!A117)</f>
        <v>45398.448908634258</v>
      </c>
      <c r="D117">
        <f>COUNTIFS('working sheet'!$D$1:$D$3548,'Customer Portfolio'!A117)</f>
        <v>1</v>
      </c>
      <c r="E117" s="5">
        <f>SUMIFS('working sheet'!$E$2:$E$3548,'working sheet'!$D$2:$D$3548,'Customer Portfolio'!A117)</f>
        <v>33.799999999999997</v>
      </c>
      <c r="F117" s="6">
        <f t="shared" si="2"/>
        <v>33.799999999999997</v>
      </c>
      <c r="G117" t="str">
        <f t="array" ref="G117">IFERROR(INDEX('working sheet'!$F$2:$F$3548, MODE(IF('working sheet'!$D$2:$D$3548=A117, MATCH('working sheet'!$F$2:$F$3548, 'working sheet'!$F$2:$F$3548, 0)))),
         INDEX('working sheet'!$F$2:$F$3548, MATCH(A117, 'working sheet'!$D$2:$D$3548, 0)))</f>
        <v>Americano with Milk</v>
      </c>
      <c r="H117" s="7">
        <f t="shared" si="3"/>
        <v>1</v>
      </c>
      <c r="I117" s="7">
        <f>MAX('working sheet'!$B$2:$B$3548)-C117</f>
        <v>341.30917741898156</v>
      </c>
      <c r="J117" s="4" t="str">
        <f t="array" ref="J117">IF(AND(I117&lt;=30, D117&gt;=10, E117&gt;=200), "VIP",  IF(AND(I117&lt;=60, D117&gt;=5, E117&gt;=100), "Loyal", IF(AND(I117&lt;=90, D117&gt;=3), "Regular", IF(I117&lt;=30, "Recent", IF(D117&gt;=3, "Occasional", "At Risk")))))</f>
        <v>At Risk</v>
      </c>
      <c r="K117" t="str">
        <f t="array" ref="K117">IF(OR(J117="VIP", J117="Loyal"), "HIGH",IF(OR(J117="Regular", J117="Recent"), "MEDIUM","LOW"))</f>
        <v>LOW</v>
      </c>
    </row>
    <row r="118" spans="1:11">
      <c r="A118" t="s">
        <v>131</v>
      </c>
      <c r="B118" s="14">
        <f>_xlfn.MINIFS('working sheet'!$B$2:$B$3548, 'working sheet'!$D$2:$D$3548, A118)</f>
        <v>45398.52832957176</v>
      </c>
      <c r="C118" s="17">
        <f>_xlfn.MAXIFS('working sheet'!$B$1:$B$3548,'working sheet'!$D$1:$D$3548,'Customer Portfolio'!A118)</f>
        <v>45398.52832957176</v>
      </c>
      <c r="D118">
        <f>COUNTIFS('working sheet'!$D$1:$D$3548,'Customer Portfolio'!A118)</f>
        <v>1</v>
      </c>
      <c r="E118" s="5">
        <f>SUMIFS('working sheet'!$E$2:$E$3548,'working sheet'!$D$2:$D$3548,'Customer Portfolio'!A118)</f>
        <v>38.700000000000003</v>
      </c>
      <c r="F118" s="6">
        <f t="shared" si="2"/>
        <v>38.700000000000003</v>
      </c>
      <c r="G118" t="str">
        <f t="array" ref="G118">IFERROR(INDEX('working sheet'!$F$2:$F$3548, MODE(IF('working sheet'!$D$2:$D$3548=A118, MATCH('working sheet'!$F$2:$F$3548, 'working sheet'!$F$2:$F$3548, 0)))),
         INDEX('working sheet'!$F$2:$F$3548, MATCH(A118, 'working sheet'!$D$2:$D$3548, 0)))</f>
        <v>Cocoa</v>
      </c>
      <c r="H118" s="7">
        <f t="shared" si="3"/>
        <v>1</v>
      </c>
      <c r="I118" s="7">
        <f>MAX('working sheet'!$B$2:$B$3548)-C118</f>
        <v>341.22975648147985</v>
      </c>
      <c r="J118" s="4" t="str">
        <f t="array" ref="J118">IF(AND(I118&lt;=30, D118&gt;=10, E118&gt;=200), "VIP",  IF(AND(I118&lt;=60, D118&gt;=5, E118&gt;=100), "Loyal", IF(AND(I118&lt;=90, D118&gt;=3), "Regular", IF(I118&lt;=30, "Recent", IF(D118&gt;=3, "Occasional", "At Risk")))))</f>
        <v>At Risk</v>
      </c>
      <c r="K118" t="str">
        <f t="array" ref="K118">IF(OR(J118="VIP", J118="Loyal"), "HIGH",IF(OR(J118="Regular", J118="Recent"), "MEDIUM","LOW"))</f>
        <v>LOW</v>
      </c>
    </row>
    <row r="119" spans="1:11">
      <c r="A119" t="s">
        <v>132</v>
      </c>
      <c r="B119" s="14">
        <f>_xlfn.MINIFS('working sheet'!$B$2:$B$3548, 'working sheet'!$D$2:$D$3548, A119)</f>
        <v>45398.627278807871</v>
      </c>
      <c r="C119" s="17">
        <f>_xlfn.MAXIFS('working sheet'!$B$1:$B$3548,'working sheet'!$D$1:$D$3548,'Customer Portfolio'!A119)</f>
        <v>45421.70572903935</v>
      </c>
      <c r="D119">
        <f>COUNTIFS('working sheet'!$D$1:$D$3548,'Customer Portfolio'!A119)</f>
        <v>6</v>
      </c>
      <c r="E119" s="5">
        <f>SUMIFS('working sheet'!$E$2:$E$3548,'working sheet'!$D$2:$D$3548,'Customer Portfolio'!A119)</f>
        <v>186.14000000000004</v>
      </c>
      <c r="F119" s="6">
        <f t="shared" si="2"/>
        <v>31.023333333333341</v>
      </c>
      <c r="G119" t="str">
        <f t="array" ref="G119">IFERROR(INDEX('working sheet'!$F$2:$F$3548, MODE(IF('working sheet'!$D$2:$D$3548=A119, MATCH('working sheet'!$F$2:$F$3548, 'working sheet'!$F$2:$F$3548, 0)))),
         INDEX('working sheet'!$F$2:$F$3548, MATCH(A119, 'working sheet'!$D$2:$D$3548, 0)))</f>
        <v>Americano</v>
      </c>
      <c r="H119" s="7">
        <f t="shared" si="3"/>
        <v>24.0784502314782</v>
      </c>
      <c r="I119" s="7">
        <f>MAX('working sheet'!$B$2:$B$3548)-C119</f>
        <v>318.05235701389029</v>
      </c>
      <c r="J119" s="4" t="str">
        <f t="array" ref="J119">IF(AND(I119&lt;=30, D119&gt;=10, E119&gt;=200), "VIP",  IF(AND(I119&lt;=60, D119&gt;=5, E119&gt;=100), "Loyal", IF(AND(I119&lt;=90, D119&gt;=3), "Regular", IF(I119&lt;=30, "Recent", IF(D119&gt;=3, "Occasional", "At Risk")))))</f>
        <v>Occasional</v>
      </c>
      <c r="K119" t="str">
        <f t="array" ref="K119">IF(OR(J119="VIP", J119="Loyal"), "HIGH",IF(OR(J119="Regular", J119="Recent"), "MEDIUM","LOW"))</f>
        <v>LOW</v>
      </c>
    </row>
    <row r="120" spans="1:11">
      <c r="A120" t="s">
        <v>133</v>
      </c>
      <c r="B120" s="14">
        <f>_xlfn.MINIFS('working sheet'!$B$2:$B$3548, 'working sheet'!$D$2:$D$3548, A120)</f>
        <v>45399.572224317133</v>
      </c>
      <c r="C120" s="17">
        <f>_xlfn.MAXIFS('working sheet'!$B$1:$B$3548,'working sheet'!$D$1:$D$3548,'Customer Portfolio'!A120)</f>
        <v>45399.572224317133</v>
      </c>
      <c r="D120">
        <f>COUNTIFS('working sheet'!$D$1:$D$3548,'Customer Portfolio'!A120)</f>
        <v>1</v>
      </c>
      <c r="E120" s="5">
        <f>SUMIFS('working sheet'!$E$2:$E$3548,'working sheet'!$D$2:$D$3548,'Customer Portfolio'!A120)</f>
        <v>24</v>
      </c>
      <c r="F120" s="6">
        <f t="shared" si="2"/>
        <v>24</v>
      </c>
      <c r="G120" t="str">
        <f t="array" ref="G120">IFERROR(INDEX('working sheet'!$F$2:$F$3548, MODE(IF('working sheet'!$D$2:$D$3548=A120, MATCH('working sheet'!$F$2:$F$3548, 'working sheet'!$F$2:$F$3548, 0)))),
         INDEX('working sheet'!$F$2:$F$3548, MATCH(A120, 'working sheet'!$D$2:$D$3548, 0)))</f>
        <v>Espresso</v>
      </c>
      <c r="H120" s="7">
        <f t="shared" si="3"/>
        <v>1</v>
      </c>
      <c r="I120" s="7">
        <f>MAX('working sheet'!$B$2:$B$3548)-C120</f>
        <v>340.18586173610674</v>
      </c>
      <c r="J120" s="4" t="str">
        <f t="array" ref="J120">IF(AND(I120&lt;=30, D120&gt;=10, E120&gt;=200), "VIP",  IF(AND(I120&lt;=60, D120&gt;=5, E120&gt;=100), "Loyal", IF(AND(I120&lt;=90, D120&gt;=3), "Regular", IF(I120&lt;=30, "Recent", IF(D120&gt;=3, "Occasional", "At Risk")))))</f>
        <v>At Risk</v>
      </c>
      <c r="K120" t="str">
        <f t="array" ref="K120">IF(OR(J120="VIP", J120="Loyal"), "HIGH",IF(OR(J120="Regular", J120="Recent"), "MEDIUM","LOW"))</f>
        <v>LOW</v>
      </c>
    </row>
    <row r="121" spans="1:11">
      <c r="A121" t="s">
        <v>134</v>
      </c>
      <c r="B121" s="14">
        <f>_xlfn.MINIFS('working sheet'!$B$2:$B$3548, 'working sheet'!$D$2:$D$3548, A121)</f>
        <v>45399.709434594908</v>
      </c>
      <c r="C121" s="17">
        <f>_xlfn.MAXIFS('working sheet'!$B$1:$B$3548,'working sheet'!$D$1:$D$3548,'Customer Portfolio'!A121)</f>
        <v>45432.717258344906</v>
      </c>
      <c r="D121">
        <f>COUNTIFS('working sheet'!$D$1:$D$3548,'Customer Portfolio'!A121)</f>
        <v>3</v>
      </c>
      <c r="E121" s="5">
        <f>SUMIFS('working sheet'!$E$2:$E$3548,'working sheet'!$D$2:$D$3548,'Customer Portfolio'!A121)</f>
        <v>115.12</v>
      </c>
      <c r="F121" s="6">
        <f t="shared" si="2"/>
        <v>38.373333333333335</v>
      </c>
      <c r="G121" t="str">
        <f t="array" ref="G121">IFERROR(INDEX('working sheet'!$F$2:$F$3548, MODE(IF('working sheet'!$D$2:$D$3548=A121, MATCH('working sheet'!$F$2:$F$3548, 'working sheet'!$F$2:$F$3548, 0)))),
         INDEX('working sheet'!$F$2:$F$3548, MATCH(A121, 'working sheet'!$D$2:$D$3548, 0)))</f>
        <v>Cappuccino</v>
      </c>
      <c r="H121" s="7">
        <f t="shared" si="3"/>
        <v>34.007823749998352</v>
      </c>
      <c r="I121" s="7">
        <f>MAX('working sheet'!$B$2:$B$3548)-C121</f>
        <v>307.04082770833338</v>
      </c>
      <c r="J121" s="4" t="str">
        <f t="array" ref="J121">IF(AND(I121&lt;=30, D121&gt;=10, E121&gt;=200), "VIP",  IF(AND(I121&lt;=60, D121&gt;=5, E121&gt;=100), "Loyal", IF(AND(I121&lt;=90, D121&gt;=3), "Regular", IF(I121&lt;=30, "Recent", IF(D121&gt;=3, "Occasional", "At Risk")))))</f>
        <v>Occasional</v>
      </c>
      <c r="K121" t="str">
        <f t="array" ref="K121">IF(OR(J121="VIP", J121="Loyal"), "HIGH",IF(OR(J121="Regular", J121="Recent"), "MEDIUM","LOW"))</f>
        <v>LOW</v>
      </c>
    </row>
    <row r="122" spans="1:11">
      <c r="A122" t="s">
        <v>135</v>
      </c>
      <c r="B122" s="14">
        <f>_xlfn.MINIFS('working sheet'!$B$2:$B$3548, 'working sheet'!$D$2:$D$3548, A122)</f>
        <v>45399.759759594905</v>
      </c>
      <c r="C122" s="17">
        <f>_xlfn.MAXIFS('working sheet'!$B$1:$B$3548,'working sheet'!$D$1:$D$3548,'Customer Portfolio'!A122)</f>
        <v>45399.759759594905</v>
      </c>
      <c r="D122">
        <f>COUNTIFS('working sheet'!$D$1:$D$3548,'Customer Portfolio'!A122)</f>
        <v>1</v>
      </c>
      <c r="E122" s="5">
        <f>SUMIFS('working sheet'!$E$2:$E$3548,'working sheet'!$D$2:$D$3548,'Customer Portfolio'!A122)</f>
        <v>28.9</v>
      </c>
      <c r="F122" s="6">
        <f t="shared" si="2"/>
        <v>28.9</v>
      </c>
      <c r="G122" t="str">
        <f t="array" ref="G122">IFERROR(INDEX('working sheet'!$F$2:$F$3548, MODE(IF('working sheet'!$D$2:$D$3548=A122, MATCH('working sheet'!$F$2:$F$3548, 'working sheet'!$F$2:$F$3548, 0)))),
         INDEX('working sheet'!$F$2:$F$3548, MATCH(A122, 'working sheet'!$D$2:$D$3548, 0)))</f>
        <v>Cortado</v>
      </c>
      <c r="H122" s="7">
        <f t="shared" si="3"/>
        <v>1</v>
      </c>
      <c r="I122" s="7">
        <f>MAX('working sheet'!$B$2:$B$3548)-C122</f>
        <v>339.99832645833521</v>
      </c>
      <c r="J122" s="4" t="str">
        <f t="array" ref="J122">IF(AND(I122&lt;=30, D122&gt;=10, E122&gt;=200), "VIP",  IF(AND(I122&lt;=60, D122&gt;=5, E122&gt;=100), "Loyal", IF(AND(I122&lt;=90, D122&gt;=3), "Regular", IF(I122&lt;=30, "Recent", IF(D122&gt;=3, "Occasional", "At Risk")))))</f>
        <v>At Risk</v>
      </c>
      <c r="K122" t="str">
        <f t="array" ref="K122">IF(OR(J122="VIP", J122="Loyal"), "HIGH",IF(OR(J122="Regular", J122="Recent"), "MEDIUM","LOW"))</f>
        <v>LOW</v>
      </c>
    </row>
    <row r="123" spans="1:11">
      <c r="A123" t="s">
        <v>136</v>
      </c>
      <c r="B123" s="14">
        <f>_xlfn.MINIFS('working sheet'!$B$2:$B$3548, 'working sheet'!$D$2:$D$3548, A123)</f>
        <v>45400.575841666665</v>
      </c>
      <c r="C123" s="17">
        <f>_xlfn.MAXIFS('working sheet'!$B$1:$B$3548,'working sheet'!$D$1:$D$3548,'Customer Portfolio'!A123)</f>
        <v>45400.576588946758</v>
      </c>
      <c r="D123">
        <f>COUNTIFS('working sheet'!$D$1:$D$3548,'Customer Portfolio'!A123)</f>
        <v>2</v>
      </c>
      <c r="E123" s="5">
        <f>SUMIFS('working sheet'!$E$2:$E$3548,'working sheet'!$D$2:$D$3548,'Customer Portfolio'!A123)</f>
        <v>62.699999999999996</v>
      </c>
      <c r="F123" s="6">
        <f t="shared" si="2"/>
        <v>31.349999999999998</v>
      </c>
      <c r="G123" t="str">
        <f t="array" ref="G123">IFERROR(INDEX('working sheet'!$F$2:$F$3548, MODE(IF('working sheet'!$D$2:$D$3548=A123, MATCH('working sheet'!$F$2:$F$3548, 'working sheet'!$F$2:$F$3548, 0)))),
         INDEX('working sheet'!$F$2:$F$3548, MATCH(A123, 'working sheet'!$D$2:$D$3548, 0)))</f>
        <v>Americano with Milk</v>
      </c>
      <c r="H123" s="7">
        <f t="shared" si="3"/>
        <v>1.000747280093492</v>
      </c>
      <c r="I123" s="7">
        <f>MAX('working sheet'!$B$2:$B$3548)-C123</f>
        <v>339.1814971064814</v>
      </c>
      <c r="J123" s="4" t="str">
        <f t="array" ref="J123">IF(AND(I123&lt;=30, D123&gt;=10, E123&gt;=200), "VIP",  IF(AND(I123&lt;=60, D123&gt;=5, E123&gt;=100), "Loyal", IF(AND(I123&lt;=90, D123&gt;=3), "Regular", IF(I123&lt;=30, "Recent", IF(D123&gt;=3, "Occasional", "At Risk")))))</f>
        <v>At Risk</v>
      </c>
      <c r="K123" t="str">
        <f t="array" ref="K123">IF(OR(J123="VIP", J123="Loyal"), "HIGH",IF(OR(J123="Regular", J123="Recent"), "MEDIUM","LOW"))</f>
        <v>LOW</v>
      </c>
    </row>
    <row r="124" spans="1:11">
      <c r="A124" t="s">
        <v>137</v>
      </c>
      <c r="B124" s="14">
        <f>_xlfn.MINIFS('working sheet'!$B$2:$B$3548, 'working sheet'!$D$2:$D$3548, A124)</f>
        <v>45400.607173819444</v>
      </c>
      <c r="C124" s="17">
        <f>_xlfn.MAXIFS('working sheet'!$B$1:$B$3548,'working sheet'!$D$1:$D$3548,'Customer Portfolio'!A124)</f>
        <v>45400.608210115737</v>
      </c>
      <c r="D124">
        <f>COUNTIFS('working sheet'!$D$1:$D$3548,'Customer Portfolio'!A124)</f>
        <v>2</v>
      </c>
      <c r="E124" s="5">
        <f>SUMIFS('working sheet'!$E$2:$E$3548,'working sheet'!$D$2:$D$3548,'Customer Portfolio'!A124)</f>
        <v>77.400000000000006</v>
      </c>
      <c r="F124" s="6">
        <f t="shared" si="2"/>
        <v>38.700000000000003</v>
      </c>
      <c r="G124" t="str">
        <f t="array" ref="G124">IFERROR(INDEX('working sheet'!$F$2:$F$3548, MODE(IF('working sheet'!$D$2:$D$3548=A124, MATCH('working sheet'!$F$2:$F$3548, 'working sheet'!$F$2:$F$3548, 0)))),
         INDEX('working sheet'!$F$2:$F$3548, MATCH(A124, 'working sheet'!$D$2:$D$3548, 0)))</f>
        <v>Cappuccino</v>
      </c>
      <c r="H124" s="7">
        <f t="shared" si="3"/>
        <v>1.001036296293023</v>
      </c>
      <c r="I124" s="7">
        <f>MAX('working sheet'!$B$2:$B$3548)-C124</f>
        <v>339.14987593750266</v>
      </c>
      <c r="J124" s="4" t="str">
        <f t="array" ref="J124">IF(AND(I124&lt;=30, D124&gt;=10, E124&gt;=200), "VIP",  IF(AND(I124&lt;=60, D124&gt;=5, E124&gt;=100), "Loyal", IF(AND(I124&lt;=90, D124&gt;=3), "Regular", IF(I124&lt;=30, "Recent", IF(D124&gt;=3, "Occasional", "At Risk")))))</f>
        <v>At Risk</v>
      </c>
      <c r="K124" t="str">
        <f t="array" ref="K124">IF(OR(J124="VIP", J124="Loyal"), "HIGH",IF(OR(J124="Regular", J124="Recent"), "MEDIUM","LOW"))</f>
        <v>LOW</v>
      </c>
    </row>
    <row r="125" spans="1:11">
      <c r="A125" t="s">
        <v>138</v>
      </c>
      <c r="B125" s="14">
        <f>_xlfn.MINIFS('working sheet'!$B$2:$B$3548, 'working sheet'!$D$2:$D$3548, A125)</f>
        <v>45401.582570185186</v>
      </c>
      <c r="C125" s="17">
        <f>_xlfn.MAXIFS('working sheet'!$B$1:$B$3548,'working sheet'!$D$1:$D$3548,'Customer Portfolio'!A125)</f>
        <v>45401.583214004633</v>
      </c>
      <c r="D125">
        <f>COUNTIFS('working sheet'!$D$1:$D$3548,'Customer Portfolio'!A125)</f>
        <v>2</v>
      </c>
      <c r="E125" s="5">
        <f>SUMIFS('working sheet'!$E$2:$E$3548,'working sheet'!$D$2:$D$3548,'Customer Portfolio'!A125)</f>
        <v>77.400000000000006</v>
      </c>
      <c r="F125" s="6">
        <f t="shared" si="2"/>
        <v>38.700000000000003</v>
      </c>
      <c r="G125" t="str">
        <f t="array" ref="G125">IFERROR(INDEX('working sheet'!$F$2:$F$3548, MODE(IF('working sheet'!$D$2:$D$3548=A125, MATCH('working sheet'!$F$2:$F$3548, 'working sheet'!$F$2:$F$3548, 0)))),
         INDEX('working sheet'!$F$2:$F$3548, MATCH(A125, 'working sheet'!$D$2:$D$3548, 0)))</f>
        <v>Hot Chocolate</v>
      </c>
      <c r="H125" s="7">
        <f t="shared" si="3"/>
        <v>1.0006438194468501</v>
      </c>
      <c r="I125" s="7">
        <f>MAX('working sheet'!$B$2:$B$3548)-C125</f>
        <v>338.17487204860663</v>
      </c>
      <c r="J125" s="4" t="str">
        <f t="array" ref="J125">IF(AND(I125&lt;=30, D125&gt;=10, E125&gt;=200), "VIP",  IF(AND(I125&lt;=60, D125&gt;=5, E125&gt;=100), "Loyal", IF(AND(I125&lt;=90, D125&gt;=3), "Regular", IF(I125&lt;=30, "Recent", IF(D125&gt;=3, "Occasional", "At Risk")))))</f>
        <v>At Risk</v>
      </c>
      <c r="K125" t="str">
        <f t="array" ref="K125">IF(OR(J125="VIP", J125="Loyal"), "HIGH",IF(OR(J125="Regular", J125="Recent"), "MEDIUM","LOW"))</f>
        <v>LOW</v>
      </c>
    </row>
    <row r="126" spans="1:11">
      <c r="A126" t="s">
        <v>139</v>
      </c>
      <c r="B126" s="14">
        <f>_xlfn.MINIFS('working sheet'!$B$2:$B$3548, 'working sheet'!$D$2:$D$3548, A126)</f>
        <v>45402.505968761572</v>
      </c>
      <c r="C126" s="17">
        <f>_xlfn.MAXIFS('working sheet'!$B$1:$B$3548,'working sheet'!$D$1:$D$3548,'Customer Portfolio'!A126)</f>
        <v>45402.506743796293</v>
      </c>
      <c r="D126">
        <f>COUNTIFS('working sheet'!$D$1:$D$3548,'Customer Portfolio'!A126)</f>
        <v>2</v>
      </c>
      <c r="E126" s="5">
        <f>SUMIFS('working sheet'!$E$2:$E$3548,'working sheet'!$D$2:$D$3548,'Customer Portfolio'!A126)</f>
        <v>67.599999999999994</v>
      </c>
      <c r="F126" s="6">
        <f t="shared" si="2"/>
        <v>33.799999999999997</v>
      </c>
      <c r="G126" t="str">
        <f t="array" ref="G126">IFERROR(INDEX('working sheet'!$F$2:$F$3548, MODE(IF('working sheet'!$D$2:$D$3548=A126, MATCH('working sheet'!$F$2:$F$3548, 'working sheet'!$F$2:$F$3548, 0)))),
         INDEX('working sheet'!$F$2:$F$3548, MATCH(A126, 'working sheet'!$D$2:$D$3548, 0)))</f>
        <v>Americano with Milk</v>
      </c>
      <c r="H126" s="7">
        <f t="shared" si="3"/>
        <v>1.0007750347213005</v>
      </c>
      <c r="I126" s="7">
        <f>MAX('working sheet'!$B$2:$B$3548)-C126</f>
        <v>337.25134225694637</v>
      </c>
      <c r="J126" s="4" t="str">
        <f t="array" ref="J126">IF(AND(I126&lt;=30, D126&gt;=10, E126&gt;=200), "VIP",  IF(AND(I126&lt;=60, D126&gt;=5, E126&gt;=100), "Loyal", IF(AND(I126&lt;=90, D126&gt;=3), "Regular", IF(I126&lt;=30, "Recent", IF(D126&gt;=3, "Occasional", "At Risk")))))</f>
        <v>At Risk</v>
      </c>
      <c r="K126" t="str">
        <f t="array" ref="K126">IF(OR(J126="VIP", J126="Loyal"), "HIGH",IF(OR(J126="Regular", J126="Recent"), "MEDIUM","LOW"))</f>
        <v>LOW</v>
      </c>
    </row>
    <row r="127" spans="1:11">
      <c r="A127" t="s">
        <v>140</v>
      </c>
      <c r="B127" s="14">
        <f>_xlfn.MINIFS('working sheet'!$B$2:$B$3548, 'working sheet'!$D$2:$D$3548, A127)</f>
        <v>45402.65931884259</v>
      </c>
      <c r="C127" s="17">
        <f>_xlfn.MAXIFS('working sheet'!$B$1:$B$3548,'working sheet'!$D$1:$D$3548,'Customer Portfolio'!A127)</f>
        <v>45402.65931884259</v>
      </c>
      <c r="D127">
        <f>COUNTIFS('working sheet'!$D$1:$D$3548,'Customer Portfolio'!A127)</f>
        <v>1</v>
      </c>
      <c r="E127" s="5">
        <f>SUMIFS('working sheet'!$E$2:$E$3548,'working sheet'!$D$2:$D$3548,'Customer Portfolio'!A127)</f>
        <v>32.82</v>
      </c>
      <c r="F127" s="6">
        <f t="shared" si="2"/>
        <v>32.82</v>
      </c>
      <c r="G127" t="str">
        <f t="array" ref="G127">IFERROR(INDEX('working sheet'!$F$2:$F$3548, MODE(IF('working sheet'!$D$2:$D$3548=A127, MATCH('working sheet'!$F$2:$F$3548, 'working sheet'!$F$2:$F$3548, 0)))),
         INDEX('working sheet'!$F$2:$F$3548, MATCH(A127, 'working sheet'!$D$2:$D$3548, 0)))</f>
        <v>Americano with Milk</v>
      </c>
      <c r="H127" s="7">
        <f t="shared" si="3"/>
        <v>1</v>
      </c>
      <c r="I127" s="7">
        <f>MAX('working sheet'!$B$2:$B$3548)-C127</f>
        <v>337.09876721064938</v>
      </c>
      <c r="J127" s="4" t="str">
        <f t="array" ref="J127">IF(AND(I127&lt;=30, D127&gt;=10, E127&gt;=200), "VIP",  IF(AND(I127&lt;=60, D127&gt;=5, E127&gt;=100), "Loyal", IF(AND(I127&lt;=90, D127&gt;=3), "Regular", IF(I127&lt;=30, "Recent", IF(D127&gt;=3, "Occasional", "At Risk")))))</f>
        <v>At Risk</v>
      </c>
      <c r="K127" t="str">
        <f t="array" ref="K127">IF(OR(J127="VIP", J127="Loyal"), "HIGH",IF(OR(J127="Regular", J127="Recent"), "MEDIUM","LOW"))</f>
        <v>LOW</v>
      </c>
    </row>
    <row r="128" spans="1:11">
      <c r="A128" t="s">
        <v>141</v>
      </c>
      <c r="B128" s="14">
        <f>_xlfn.MINIFS('working sheet'!$B$2:$B$3548, 'working sheet'!$D$2:$D$3548, A128)</f>
        <v>45402.76923027778</v>
      </c>
      <c r="C128" s="17">
        <f>_xlfn.MAXIFS('working sheet'!$B$1:$B$3548,'working sheet'!$D$1:$D$3548,'Customer Portfolio'!A128)</f>
        <v>45402.769987268519</v>
      </c>
      <c r="D128">
        <f>COUNTIFS('working sheet'!$D$1:$D$3548,'Customer Portfolio'!A128)</f>
        <v>2</v>
      </c>
      <c r="E128" s="5">
        <f>SUMIFS('working sheet'!$E$2:$E$3548,'working sheet'!$D$2:$D$3548,'Customer Portfolio'!A128)</f>
        <v>75.44</v>
      </c>
      <c r="F128" s="6">
        <f t="shared" si="2"/>
        <v>37.72</v>
      </c>
      <c r="G128" t="str">
        <f t="array" ref="G128">IFERROR(INDEX('working sheet'!$F$2:$F$3548, MODE(IF('working sheet'!$D$2:$D$3548=A128, MATCH('working sheet'!$F$2:$F$3548, 'working sheet'!$F$2:$F$3548, 0)))),
         INDEX('working sheet'!$F$2:$F$3548, MATCH(A128, 'working sheet'!$D$2:$D$3548, 0)))</f>
        <v>Cappuccino</v>
      </c>
      <c r="H128" s="7">
        <f t="shared" si="3"/>
        <v>1.000756990739319</v>
      </c>
      <c r="I128" s="7">
        <f>MAX('working sheet'!$B$2:$B$3548)-C128</f>
        <v>336.98809878472093</v>
      </c>
      <c r="J128" s="4" t="str">
        <f t="array" ref="J128">IF(AND(I128&lt;=30, D128&gt;=10, E128&gt;=200), "VIP",  IF(AND(I128&lt;=60, D128&gt;=5, E128&gt;=100), "Loyal", IF(AND(I128&lt;=90, D128&gt;=3), "Regular", IF(I128&lt;=30, "Recent", IF(D128&gt;=3, "Occasional", "At Risk")))))</f>
        <v>At Risk</v>
      </c>
      <c r="K128" t="str">
        <f t="array" ref="K128">IF(OR(J128="VIP", J128="Loyal"), "HIGH",IF(OR(J128="Regular", J128="Recent"), "MEDIUM","LOW"))</f>
        <v>LOW</v>
      </c>
    </row>
    <row r="129" spans="1:11">
      <c r="A129" t="s">
        <v>142</v>
      </c>
      <c r="B129" s="14">
        <f>_xlfn.MINIFS('working sheet'!$B$2:$B$3548, 'working sheet'!$D$2:$D$3548, A129)</f>
        <v>45402.813140243059</v>
      </c>
      <c r="C129" s="17">
        <f>_xlfn.MAXIFS('working sheet'!$B$1:$B$3548,'working sheet'!$D$1:$D$3548,'Customer Portfolio'!A129)</f>
        <v>45402.813140243059</v>
      </c>
      <c r="D129">
        <f>COUNTIFS('working sheet'!$D$1:$D$3548,'Customer Portfolio'!A129)</f>
        <v>1</v>
      </c>
      <c r="E129" s="5">
        <f>SUMIFS('working sheet'!$E$2:$E$3548,'working sheet'!$D$2:$D$3548,'Customer Portfolio'!A129)</f>
        <v>37.72</v>
      </c>
      <c r="F129" s="6">
        <f t="shared" si="2"/>
        <v>37.72</v>
      </c>
      <c r="G129" t="str">
        <f t="array" ref="G129">IFERROR(INDEX('working sheet'!$F$2:$F$3548, MODE(IF('working sheet'!$D$2:$D$3548=A129, MATCH('working sheet'!$F$2:$F$3548, 'working sheet'!$F$2:$F$3548, 0)))),
         INDEX('working sheet'!$F$2:$F$3548, MATCH(A129, 'working sheet'!$D$2:$D$3548, 0)))</f>
        <v>Latte</v>
      </c>
      <c r="H129" s="7">
        <f t="shared" si="3"/>
        <v>1</v>
      </c>
      <c r="I129" s="7">
        <f>MAX('working sheet'!$B$2:$B$3548)-C129</f>
        <v>336.9449458101808</v>
      </c>
      <c r="J129" s="4" t="str">
        <f t="array" ref="J129">IF(AND(I129&lt;=30, D129&gt;=10, E129&gt;=200), "VIP",  IF(AND(I129&lt;=60, D129&gt;=5, E129&gt;=100), "Loyal", IF(AND(I129&lt;=90, D129&gt;=3), "Regular", IF(I129&lt;=30, "Recent", IF(D129&gt;=3, "Occasional", "At Risk")))))</f>
        <v>At Risk</v>
      </c>
      <c r="K129" t="str">
        <f t="array" ref="K129">IF(OR(J129="VIP", J129="Loyal"), "HIGH",IF(OR(J129="Regular", J129="Recent"), "MEDIUM","LOW"))</f>
        <v>LOW</v>
      </c>
    </row>
    <row r="130" spans="1:11">
      <c r="A130" t="s">
        <v>143</v>
      </c>
      <c r="B130" s="14">
        <f>_xlfn.MINIFS('working sheet'!$B$2:$B$3548, 'working sheet'!$D$2:$D$3548, A130)</f>
        <v>45404.478785868057</v>
      </c>
      <c r="C130" s="17">
        <f>_xlfn.MAXIFS('working sheet'!$B$1:$B$3548,'working sheet'!$D$1:$D$3548,'Customer Portfolio'!A130)</f>
        <v>45404.478785868057</v>
      </c>
      <c r="D130">
        <f>COUNTIFS('working sheet'!$D$1:$D$3548,'Customer Portfolio'!A130)</f>
        <v>1</v>
      </c>
      <c r="E130" s="5">
        <f>SUMIFS('working sheet'!$E$2:$E$3548,'working sheet'!$D$2:$D$3548,'Customer Portfolio'!A130)</f>
        <v>32.82</v>
      </c>
      <c r="F130" s="6">
        <f t="shared" si="2"/>
        <v>32.82</v>
      </c>
      <c r="G130" t="str">
        <f t="array" ref="G130">IFERROR(INDEX('working sheet'!$F$2:$F$3548, MODE(IF('working sheet'!$D$2:$D$3548=A130, MATCH('working sheet'!$F$2:$F$3548, 'working sheet'!$F$2:$F$3548, 0)))),
         INDEX('working sheet'!$F$2:$F$3548, MATCH(A130, 'working sheet'!$D$2:$D$3548, 0)))</f>
        <v>Americano with Milk</v>
      </c>
      <c r="H130" s="7">
        <f t="shared" si="3"/>
        <v>1</v>
      </c>
      <c r="I130" s="7">
        <f>MAX('working sheet'!$B$2:$B$3548)-C130</f>
        <v>335.27930018518236</v>
      </c>
      <c r="J130" s="4" t="str">
        <f t="array" ref="J130">IF(AND(I130&lt;=30, D130&gt;=10, E130&gt;=200), "VIP",  IF(AND(I130&lt;=60, D130&gt;=5, E130&gt;=100), "Loyal", IF(AND(I130&lt;=90, D130&gt;=3), "Regular", IF(I130&lt;=30, "Recent", IF(D130&gt;=3, "Occasional", "At Risk")))))</f>
        <v>At Risk</v>
      </c>
      <c r="K130" t="str">
        <f t="array" ref="K130">IF(OR(J130="VIP", J130="Loyal"), "HIGH",IF(OR(J130="Regular", J130="Recent"), "MEDIUM","LOW"))</f>
        <v>LOW</v>
      </c>
    </row>
    <row r="131" spans="1:11">
      <c r="A131" t="s">
        <v>144</v>
      </c>
      <c r="B131" s="14">
        <f>_xlfn.MINIFS('working sheet'!$B$2:$B$3548, 'working sheet'!$D$2:$D$3548, A131)</f>
        <v>45405.821154687503</v>
      </c>
      <c r="C131" s="17">
        <f>_xlfn.MAXIFS('working sheet'!$B$1:$B$3548,'working sheet'!$D$1:$D$3548,'Customer Portfolio'!A131)</f>
        <v>45405.821831412039</v>
      </c>
      <c r="D131">
        <f>COUNTIFS('working sheet'!$D$1:$D$3548,'Customer Portfolio'!A131)</f>
        <v>2</v>
      </c>
      <c r="E131" s="5">
        <f>SUMIFS('working sheet'!$E$2:$E$3548,'working sheet'!$D$2:$D$3548,'Customer Portfolio'!A131)</f>
        <v>65.64</v>
      </c>
      <c r="F131" s="6">
        <f t="shared" ref="F131:F194" si="4">E131/D131</f>
        <v>32.82</v>
      </c>
      <c r="G131" t="str">
        <f t="array" ref="G131">IFERROR(INDEX('working sheet'!$F$2:$F$3548, MODE(IF('working sheet'!$D$2:$D$3548=A131, MATCH('working sheet'!$F$2:$F$3548, 'working sheet'!$F$2:$F$3548, 0)))),
         INDEX('working sheet'!$F$2:$F$3548, MATCH(A131, 'working sheet'!$D$2:$D$3548, 0)))</f>
        <v>Americano with Milk</v>
      </c>
      <c r="H131" s="7">
        <f t="shared" ref="H131:H194" si="5">C131-B131+1</f>
        <v>1.0006767245358787</v>
      </c>
      <c r="I131" s="7">
        <f>MAX('working sheet'!$B$2:$B$3548)-C131</f>
        <v>333.93625464120123</v>
      </c>
      <c r="J131" s="4" t="str">
        <f t="array" ref="J131">IF(AND(I131&lt;=30, D131&gt;=10, E131&gt;=200), "VIP",  IF(AND(I131&lt;=60, D131&gt;=5, E131&gt;=100), "Loyal", IF(AND(I131&lt;=90, D131&gt;=3), "Regular", IF(I131&lt;=30, "Recent", IF(D131&gt;=3, "Occasional", "At Risk")))))</f>
        <v>At Risk</v>
      </c>
      <c r="K131" t="str">
        <f t="array" ref="K131">IF(OR(J131="VIP", J131="Loyal"), "HIGH",IF(OR(J131="Regular", J131="Recent"), "MEDIUM","LOW"))</f>
        <v>LOW</v>
      </c>
    </row>
    <row r="132" spans="1:11">
      <c r="A132" t="s">
        <v>145</v>
      </c>
      <c r="B132" s="14">
        <f>_xlfn.MINIFS('working sheet'!$B$2:$B$3548, 'working sheet'!$D$2:$D$3548, A132)</f>
        <v>45406.43156582176</v>
      </c>
      <c r="C132" s="17">
        <f>_xlfn.MAXIFS('working sheet'!$B$1:$B$3548,'working sheet'!$D$1:$D$3548,'Customer Portfolio'!A132)</f>
        <v>45406.43156582176</v>
      </c>
      <c r="D132">
        <f>COUNTIFS('working sheet'!$D$1:$D$3548,'Customer Portfolio'!A132)</f>
        <v>1</v>
      </c>
      <c r="E132" s="5">
        <f>SUMIFS('working sheet'!$E$2:$E$3548,'working sheet'!$D$2:$D$3548,'Customer Portfolio'!A132)</f>
        <v>32.82</v>
      </c>
      <c r="F132" s="6">
        <f t="shared" si="4"/>
        <v>32.82</v>
      </c>
      <c r="G132" t="str">
        <f t="array" ref="G132">IFERROR(INDEX('working sheet'!$F$2:$F$3548, MODE(IF('working sheet'!$D$2:$D$3548=A132, MATCH('working sheet'!$F$2:$F$3548, 'working sheet'!$F$2:$F$3548, 0)))),
         INDEX('working sheet'!$F$2:$F$3548, MATCH(A132, 'working sheet'!$D$2:$D$3548, 0)))</f>
        <v>Americano with Milk</v>
      </c>
      <c r="H132" s="7">
        <f t="shared" si="5"/>
        <v>1</v>
      </c>
      <c r="I132" s="7">
        <f>MAX('working sheet'!$B$2:$B$3548)-C132</f>
        <v>333.32652023147966</v>
      </c>
      <c r="J132" s="4" t="str">
        <f t="array" ref="J132">IF(AND(I132&lt;=30, D132&gt;=10, E132&gt;=200), "VIP",  IF(AND(I132&lt;=60, D132&gt;=5, E132&gt;=100), "Loyal", IF(AND(I132&lt;=90, D132&gt;=3), "Regular", IF(I132&lt;=30, "Recent", IF(D132&gt;=3, "Occasional", "At Risk")))))</f>
        <v>At Risk</v>
      </c>
      <c r="K132" t="str">
        <f t="array" ref="K132">IF(OR(J132="VIP", J132="Loyal"), "HIGH",IF(OR(J132="Regular", J132="Recent"), "MEDIUM","LOW"))</f>
        <v>LOW</v>
      </c>
    </row>
    <row r="133" spans="1:11">
      <c r="A133" t="s">
        <v>146</v>
      </c>
      <c r="B133" s="14">
        <f>_xlfn.MINIFS('working sheet'!$B$2:$B$3548, 'working sheet'!$D$2:$D$3548, A133)</f>
        <v>45406.474839143521</v>
      </c>
      <c r="C133" s="17">
        <f>_xlfn.MAXIFS('working sheet'!$B$1:$B$3548,'working sheet'!$D$1:$D$3548,'Customer Portfolio'!A133)</f>
        <v>45406.474839143521</v>
      </c>
      <c r="D133">
        <f>COUNTIFS('working sheet'!$D$1:$D$3548,'Customer Portfolio'!A133)</f>
        <v>1</v>
      </c>
      <c r="E133" s="5">
        <f>SUMIFS('working sheet'!$E$2:$E$3548,'working sheet'!$D$2:$D$3548,'Customer Portfolio'!A133)</f>
        <v>32.82</v>
      </c>
      <c r="F133" s="6">
        <f t="shared" si="4"/>
        <v>32.82</v>
      </c>
      <c r="G133" t="str">
        <f t="array" ref="G133">IFERROR(INDEX('working sheet'!$F$2:$F$3548, MODE(IF('working sheet'!$D$2:$D$3548=A133, MATCH('working sheet'!$F$2:$F$3548, 'working sheet'!$F$2:$F$3548, 0)))),
         INDEX('working sheet'!$F$2:$F$3548, MATCH(A133, 'working sheet'!$D$2:$D$3548, 0)))</f>
        <v>Americano with Milk</v>
      </c>
      <c r="H133" s="7">
        <f t="shared" si="5"/>
        <v>1</v>
      </c>
      <c r="I133" s="7">
        <f>MAX('working sheet'!$B$2:$B$3548)-C133</f>
        <v>333.28324690971931</v>
      </c>
      <c r="J133" s="4" t="str">
        <f t="array" ref="J133">IF(AND(I133&lt;=30, D133&gt;=10, E133&gt;=200), "VIP",  IF(AND(I133&lt;=60, D133&gt;=5, E133&gt;=100), "Loyal", IF(AND(I133&lt;=90, D133&gt;=3), "Regular", IF(I133&lt;=30, "Recent", IF(D133&gt;=3, "Occasional", "At Risk")))))</f>
        <v>At Risk</v>
      </c>
      <c r="K133" t="str">
        <f t="array" ref="K133">IF(OR(J133="VIP", J133="Loyal"), "HIGH",IF(OR(J133="Regular", J133="Recent"), "MEDIUM","LOW"))</f>
        <v>LOW</v>
      </c>
    </row>
    <row r="134" spans="1:11">
      <c r="A134" t="s">
        <v>147</v>
      </c>
      <c r="B134" s="14">
        <f>_xlfn.MINIFS('working sheet'!$B$2:$B$3548, 'working sheet'!$D$2:$D$3548, A134)</f>
        <v>45406.481554942133</v>
      </c>
      <c r="C134" s="17">
        <f>_xlfn.MAXIFS('working sheet'!$B$1:$B$3548,'working sheet'!$D$1:$D$3548,'Customer Portfolio'!A134)</f>
        <v>45414.576156226853</v>
      </c>
      <c r="D134">
        <f>COUNTIFS('working sheet'!$D$1:$D$3548,'Customer Portfolio'!A134)</f>
        <v>2</v>
      </c>
      <c r="E134" s="5">
        <f>SUMIFS('working sheet'!$E$2:$E$3548,'working sheet'!$D$2:$D$3548,'Customer Portfolio'!A134)</f>
        <v>65.64</v>
      </c>
      <c r="F134" s="6">
        <f t="shared" si="4"/>
        <v>32.82</v>
      </c>
      <c r="G134" t="str">
        <f t="array" ref="G134">IFERROR(INDEX('working sheet'!$F$2:$F$3548, MODE(IF('working sheet'!$D$2:$D$3548=A134, MATCH('working sheet'!$F$2:$F$3548, 'working sheet'!$F$2:$F$3548, 0)))),
         INDEX('working sheet'!$F$2:$F$3548, MATCH(A134, 'working sheet'!$D$2:$D$3548, 0)))</f>
        <v>Americano with Milk</v>
      </c>
      <c r="H134" s="7">
        <f t="shared" si="5"/>
        <v>9.094601284719829</v>
      </c>
      <c r="I134" s="7">
        <f>MAX('working sheet'!$B$2:$B$3548)-C134</f>
        <v>325.1819298263872</v>
      </c>
      <c r="J134" s="4" t="str">
        <f t="array" ref="J134">IF(AND(I134&lt;=30, D134&gt;=10, E134&gt;=200), "VIP",  IF(AND(I134&lt;=60, D134&gt;=5, E134&gt;=100), "Loyal", IF(AND(I134&lt;=90, D134&gt;=3), "Regular", IF(I134&lt;=30, "Recent", IF(D134&gt;=3, "Occasional", "At Risk")))))</f>
        <v>At Risk</v>
      </c>
      <c r="K134" t="str">
        <f t="array" ref="K134">IF(OR(J134="VIP", J134="Loyal"), "HIGH",IF(OR(J134="Regular", J134="Recent"), "MEDIUM","LOW"))</f>
        <v>LOW</v>
      </c>
    </row>
    <row r="135" spans="1:11">
      <c r="A135" t="s">
        <v>148</v>
      </c>
      <c r="B135" s="14">
        <f>_xlfn.MINIFS('working sheet'!$B$2:$B$3548, 'working sheet'!$D$2:$D$3548, A135)</f>
        <v>45406.819328506943</v>
      </c>
      <c r="C135" s="17">
        <f>_xlfn.MAXIFS('working sheet'!$B$1:$B$3548,'working sheet'!$D$1:$D$3548,'Customer Portfolio'!A135)</f>
        <v>45516.957853518521</v>
      </c>
      <c r="D135">
        <f>COUNTIFS('working sheet'!$D$1:$D$3548,'Customer Portfolio'!A135)</f>
        <v>13</v>
      </c>
      <c r="E135" s="5">
        <f>SUMIFS('working sheet'!$E$2:$E$3548,'working sheet'!$D$2:$D$3548,'Customer Portfolio'!A135)</f>
        <v>470.76</v>
      </c>
      <c r="F135" s="6">
        <f t="shared" si="4"/>
        <v>36.212307692307689</v>
      </c>
      <c r="G135" t="str">
        <f t="array" ref="G135">IFERROR(INDEX('working sheet'!$F$2:$F$3548, MODE(IF('working sheet'!$D$2:$D$3548=A135, MATCH('working sheet'!$F$2:$F$3548, 'working sheet'!$F$2:$F$3548, 0)))),
         INDEX('working sheet'!$F$2:$F$3548, MATCH(A135, 'working sheet'!$D$2:$D$3548, 0)))</f>
        <v>Cappuccino</v>
      </c>
      <c r="H135" s="7">
        <f t="shared" si="5"/>
        <v>111.13852501157817</v>
      </c>
      <c r="I135" s="7">
        <f>MAX('working sheet'!$B$2:$B$3548)-C135</f>
        <v>222.80023253471882</v>
      </c>
      <c r="J135" s="4" t="str">
        <f t="array" ref="J135">IF(AND(I135&lt;=30, D135&gt;=10, E135&gt;=200), "VIP",  IF(AND(I135&lt;=60, D135&gt;=5, E135&gt;=100), "Loyal", IF(AND(I135&lt;=90, D135&gt;=3), "Regular", IF(I135&lt;=30, "Recent", IF(D135&gt;=3, "Occasional", "At Risk")))))</f>
        <v>Occasional</v>
      </c>
      <c r="K135" t="str">
        <f t="array" ref="K135">IF(OR(J135="VIP", J135="Loyal"), "HIGH",IF(OR(J135="Regular", J135="Recent"), "MEDIUM","LOW"))</f>
        <v>LOW</v>
      </c>
    </row>
    <row r="136" spans="1:11">
      <c r="A136" t="s">
        <v>149</v>
      </c>
      <c r="B136" s="14">
        <f>_xlfn.MINIFS('working sheet'!$B$2:$B$3548, 'working sheet'!$D$2:$D$3548, A136)</f>
        <v>45407.448704363429</v>
      </c>
      <c r="C136" s="17">
        <f>_xlfn.MAXIFS('working sheet'!$B$1:$B$3548,'working sheet'!$D$1:$D$3548,'Customer Portfolio'!A136)</f>
        <v>45407.448704363429</v>
      </c>
      <c r="D136">
        <f>COUNTIFS('working sheet'!$D$1:$D$3548,'Customer Portfolio'!A136)</f>
        <v>1</v>
      </c>
      <c r="E136" s="5">
        <f>SUMIFS('working sheet'!$E$2:$E$3548,'working sheet'!$D$2:$D$3548,'Customer Portfolio'!A136)</f>
        <v>27.92</v>
      </c>
      <c r="F136" s="6">
        <f t="shared" si="4"/>
        <v>27.92</v>
      </c>
      <c r="G136" t="str">
        <f t="array" ref="G136">IFERROR(INDEX('working sheet'!$F$2:$F$3548, MODE(IF('working sheet'!$D$2:$D$3548=A136, MATCH('working sheet'!$F$2:$F$3548, 'working sheet'!$F$2:$F$3548, 0)))),
         INDEX('working sheet'!$F$2:$F$3548, MATCH(A136, 'working sheet'!$D$2:$D$3548, 0)))</f>
        <v>Americano</v>
      </c>
      <c r="H136" s="7">
        <f t="shared" si="5"/>
        <v>1</v>
      </c>
      <c r="I136" s="7">
        <f>MAX('working sheet'!$B$2:$B$3548)-C136</f>
        <v>332.30938168981083</v>
      </c>
      <c r="J136" s="4" t="str">
        <f t="array" ref="J136">IF(AND(I136&lt;=30, D136&gt;=10, E136&gt;=200), "VIP",  IF(AND(I136&lt;=60, D136&gt;=5, E136&gt;=100), "Loyal", IF(AND(I136&lt;=90, D136&gt;=3), "Regular", IF(I136&lt;=30, "Recent", IF(D136&gt;=3, "Occasional", "At Risk")))))</f>
        <v>At Risk</v>
      </c>
      <c r="K136" t="str">
        <f t="array" ref="K136">IF(OR(J136="VIP", J136="Loyal"), "HIGH",IF(OR(J136="Regular", J136="Recent"), "MEDIUM","LOW"))</f>
        <v>LOW</v>
      </c>
    </row>
    <row r="137" spans="1:11">
      <c r="A137" t="s">
        <v>150</v>
      </c>
      <c r="B137" s="14">
        <f>_xlfn.MINIFS('working sheet'!$B$2:$B$3548, 'working sheet'!$D$2:$D$3548, A137)</f>
        <v>45408.501048379629</v>
      </c>
      <c r="C137" s="17">
        <f>_xlfn.MAXIFS('working sheet'!$B$1:$B$3548,'working sheet'!$D$1:$D$3548,'Customer Portfolio'!A137)</f>
        <v>45408.501048379629</v>
      </c>
      <c r="D137">
        <f>COUNTIFS('working sheet'!$D$1:$D$3548,'Customer Portfolio'!A137)</f>
        <v>1</v>
      </c>
      <c r="E137" s="5">
        <f>SUMIFS('working sheet'!$E$2:$E$3548,'working sheet'!$D$2:$D$3548,'Customer Portfolio'!A137)</f>
        <v>37.72</v>
      </c>
      <c r="F137" s="6">
        <f t="shared" si="4"/>
        <v>37.72</v>
      </c>
      <c r="G137" t="str">
        <f t="array" ref="G137">IFERROR(INDEX('working sheet'!$F$2:$F$3548, MODE(IF('working sheet'!$D$2:$D$3548=A137, MATCH('working sheet'!$F$2:$F$3548, 'working sheet'!$F$2:$F$3548, 0)))),
         INDEX('working sheet'!$F$2:$F$3548, MATCH(A137, 'working sheet'!$D$2:$D$3548, 0)))</f>
        <v>Latte</v>
      </c>
      <c r="H137" s="7">
        <f t="shared" si="5"/>
        <v>1</v>
      </c>
      <c r="I137" s="7">
        <f>MAX('working sheet'!$B$2:$B$3548)-C137</f>
        <v>331.25703767361119</v>
      </c>
      <c r="J137" s="4" t="str">
        <f t="array" ref="J137">IF(AND(I137&lt;=30, D137&gt;=10, E137&gt;=200), "VIP",  IF(AND(I137&lt;=60, D137&gt;=5, E137&gt;=100), "Loyal", IF(AND(I137&lt;=90, D137&gt;=3), "Regular", IF(I137&lt;=30, "Recent", IF(D137&gt;=3, "Occasional", "At Risk")))))</f>
        <v>At Risk</v>
      </c>
      <c r="K137" t="str">
        <f t="array" ref="K137">IF(OR(J137="VIP", J137="Loyal"), "HIGH",IF(OR(J137="Regular", J137="Recent"), "MEDIUM","LOW"))</f>
        <v>LOW</v>
      </c>
    </row>
    <row r="138" spans="1:11">
      <c r="A138" t="s">
        <v>151</v>
      </c>
      <c r="B138" s="14">
        <f>_xlfn.MINIFS('working sheet'!$B$2:$B$3548, 'working sheet'!$D$2:$D$3548, A138)</f>
        <v>45408.563521956021</v>
      </c>
      <c r="C138" s="17">
        <f>_xlfn.MAXIFS('working sheet'!$B$1:$B$3548,'working sheet'!$D$1:$D$3548,'Customer Portfolio'!A138)</f>
        <v>45590.599497314812</v>
      </c>
      <c r="D138">
        <f>COUNTIFS('working sheet'!$D$1:$D$3548,'Customer Portfolio'!A138)</f>
        <v>2</v>
      </c>
      <c r="E138" s="5">
        <f>SUMIFS('working sheet'!$E$2:$E$3548,'working sheet'!$D$2:$D$3548,'Customer Portfolio'!A138)</f>
        <v>73.47999999999999</v>
      </c>
      <c r="F138" s="6">
        <f t="shared" si="4"/>
        <v>36.739999999999995</v>
      </c>
      <c r="G138" t="str">
        <f t="array" ref="G138">IFERROR(INDEX('working sheet'!$F$2:$F$3548, MODE(IF('working sheet'!$D$2:$D$3548=A138, MATCH('working sheet'!$F$2:$F$3548, 'working sheet'!$F$2:$F$3548, 0)))),
         INDEX('working sheet'!$F$2:$F$3548, MATCH(A138, 'working sheet'!$D$2:$D$3548, 0)))</f>
        <v>Cappuccino</v>
      </c>
      <c r="H138" s="7">
        <f t="shared" si="5"/>
        <v>183.03597535879089</v>
      </c>
      <c r="I138" s="7">
        <f>MAX('working sheet'!$B$2:$B$3548)-C138</f>
        <v>149.15858873842808</v>
      </c>
      <c r="J138" s="4" t="str">
        <f t="array" ref="J138">IF(AND(I138&lt;=30, D138&gt;=10, E138&gt;=200), "VIP",  IF(AND(I138&lt;=60, D138&gt;=5, E138&gt;=100), "Loyal", IF(AND(I138&lt;=90, D138&gt;=3), "Regular", IF(I138&lt;=30, "Recent", IF(D138&gt;=3, "Occasional", "At Risk")))))</f>
        <v>At Risk</v>
      </c>
      <c r="K138" t="str">
        <f t="array" ref="K138">IF(OR(J138="VIP", J138="Loyal"), "HIGH",IF(OR(J138="Regular", J138="Recent"), "MEDIUM","LOW"))</f>
        <v>LOW</v>
      </c>
    </row>
    <row r="139" spans="1:11">
      <c r="A139" t="s">
        <v>152</v>
      </c>
      <c r="B139" s="14">
        <f>_xlfn.MINIFS('working sheet'!$B$2:$B$3548, 'working sheet'!$D$2:$D$3548, A139)</f>
        <v>45408.682945763889</v>
      </c>
      <c r="C139" s="17">
        <f>_xlfn.MAXIFS('working sheet'!$B$1:$B$3548,'working sheet'!$D$1:$D$3548,'Customer Portfolio'!A139)</f>
        <v>45408.682945763889</v>
      </c>
      <c r="D139">
        <f>COUNTIFS('working sheet'!$D$1:$D$3548,'Customer Portfolio'!A139)</f>
        <v>1</v>
      </c>
      <c r="E139" s="5">
        <f>SUMIFS('working sheet'!$E$2:$E$3548,'working sheet'!$D$2:$D$3548,'Customer Portfolio'!A139)</f>
        <v>27.92</v>
      </c>
      <c r="F139" s="6">
        <f t="shared" si="4"/>
        <v>27.92</v>
      </c>
      <c r="G139" t="str">
        <f t="array" ref="G139">IFERROR(INDEX('working sheet'!$F$2:$F$3548, MODE(IF('working sheet'!$D$2:$D$3548=A139, MATCH('working sheet'!$F$2:$F$3548, 'working sheet'!$F$2:$F$3548, 0)))),
         INDEX('working sheet'!$F$2:$F$3548, MATCH(A139, 'working sheet'!$D$2:$D$3548, 0)))</f>
        <v>Cortado</v>
      </c>
      <c r="H139" s="7">
        <f t="shared" si="5"/>
        <v>1</v>
      </c>
      <c r="I139" s="7">
        <f>MAX('working sheet'!$B$2:$B$3548)-C139</f>
        <v>331.07514028935111</v>
      </c>
      <c r="J139" s="4" t="str">
        <f t="array" ref="J139">IF(AND(I139&lt;=30, D139&gt;=10, E139&gt;=200), "VIP",  IF(AND(I139&lt;=60, D139&gt;=5, E139&gt;=100), "Loyal", IF(AND(I139&lt;=90, D139&gt;=3), "Regular", IF(I139&lt;=30, "Recent", IF(D139&gt;=3, "Occasional", "At Risk")))))</f>
        <v>At Risk</v>
      </c>
      <c r="K139" t="str">
        <f t="array" ref="K139">IF(OR(J139="VIP", J139="Loyal"), "HIGH",IF(OR(J139="Regular", J139="Recent"), "MEDIUM","LOW"))</f>
        <v>LOW</v>
      </c>
    </row>
    <row r="140" spans="1:11">
      <c r="A140" t="s">
        <v>153</v>
      </c>
      <c r="B140" s="14">
        <f>_xlfn.MINIFS('working sheet'!$B$2:$B$3548, 'working sheet'!$D$2:$D$3548, A140)</f>
        <v>45408.683724537033</v>
      </c>
      <c r="C140" s="17">
        <f>_xlfn.MAXIFS('working sheet'!$B$1:$B$3548,'working sheet'!$D$1:$D$3548,'Customer Portfolio'!A140)</f>
        <v>45408.683724537033</v>
      </c>
      <c r="D140">
        <f>COUNTIFS('working sheet'!$D$1:$D$3548,'Customer Portfolio'!A140)</f>
        <v>1</v>
      </c>
      <c r="E140" s="5">
        <f>SUMIFS('working sheet'!$E$2:$E$3548,'working sheet'!$D$2:$D$3548,'Customer Portfolio'!A140)</f>
        <v>27.92</v>
      </c>
      <c r="F140" s="6">
        <f t="shared" si="4"/>
        <v>27.92</v>
      </c>
      <c r="G140" t="str">
        <f t="array" ref="G140">IFERROR(INDEX('working sheet'!$F$2:$F$3548, MODE(IF('working sheet'!$D$2:$D$3548=A140, MATCH('working sheet'!$F$2:$F$3548, 'working sheet'!$F$2:$F$3548, 0)))),
         INDEX('working sheet'!$F$2:$F$3548, MATCH(A140, 'working sheet'!$D$2:$D$3548, 0)))</f>
        <v>Americano</v>
      </c>
      <c r="H140" s="7">
        <f t="shared" si="5"/>
        <v>1</v>
      </c>
      <c r="I140" s="7">
        <f>MAX('working sheet'!$B$2:$B$3548)-C140</f>
        <v>331.07436151620641</v>
      </c>
      <c r="J140" s="4" t="str">
        <f t="array" ref="J140">IF(AND(I140&lt;=30, D140&gt;=10, E140&gt;=200), "VIP",  IF(AND(I140&lt;=60, D140&gt;=5, E140&gt;=100), "Loyal", IF(AND(I140&lt;=90, D140&gt;=3), "Regular", IF(I140&lt;=30, "Recent", IF(D140&gt;=3, "Occasional", "At Risk")))))</f>
        <v>At Risk</v>
      </c>
      <c r="K140" t="str">
        <f t="array" ref="K140">IF(OR(J140="VIP", J140="Loyal"), "HIGH",IF(OR(J140="Regular", J140="Recent"), "MEDIUM","LOW"))</f>
        <v>LOW</v>
      </c>
    </row>
    <row r="141" spans="1:11">
      <c r="A141" t="s">
        <v>154</v>
      </c>
      <c r="B141" s="14">
        <f>_xlfn.MINIFS('working sheet'!$B$2:$B$3548, 'working sheet'!$D$2:$D$3548, A141)</f>
        <v>45410.520946168981</v>
      </c>
      <c r="C141" s="17">
        <f>_xlfn.MAXIFS('working sheet'!$B$1:$B$3548,'working sheet'!$D$1:$D$3548,'Customer Portfolio'!A141)</f>
        <v>45411.776254699071</v>
      </c>
      <c r="D141">
        <f>COUNTIFS('working sheet'!$D$1:$D$3548,'Customer Portfolio'!A141)</f>
        <v>2</v>
      </c>
      <c r="E141" s="5">
        <f>SUMIFS('working sheet'!$E$2:$E$3548,'working sheet'!$D$2:$D$3548,'Customer Portfolio'!A141)</f>
        <v>75.44</v>
      </c>
      <c r="F141" s="6">
        <f t="shared" si="4"/>
        <v>37.72</v>
      </c>
      <c r="G141" t="str">
        <f t="array" ref="G141">IFERROR(INDEX('working sheet'!$F$2:$F$3548, MODE(IF('working sheet'!$D$2:$D$3548=A141, MATCH('working sheet'!$F$2:$F$3548, 'working sheet'!$F$2:$F$3548, 0)))),
         INDEX('working sheet'!$F$2:$F$3548, MATCH(A141, 'working sheet'!$D$2:$D$3548, 0)))</f>
        <v>Cappuccino</v>
      </c>
      <c r="H141" s="7">
        <f t="shared" si="5"/>
        <v>2.2553085300896782</v>
      </c>
      <c r="I141" s="7">
        <f>MAX('working sheet'!$B$2:$B$3548)-C141</f>
        <v>327.98183135416912</v>
      </c>
      <c r="J141" s="4" t="str">
        <f t="array" ref="J141">IF(AND(I141&lt;=30, D141&gt;=10, E141&gt;=200), "VIP",  IF(AND(I141&lt;=60, D141&gt;=5, E141&gt;=100), "Loyal", IF(AND(I141&lt;=90, D141&gt;=3), "Regular", IF(I141&lt;=30, "Recent", IF(D141&gt;=3, "Occasional", "At Risk")))))</f>
        <v>At Risk</v>
      </c>
      <c r="K141" t="str">
        <f t="array" ref="K141">IF(OR(J141="VIP", J141="Loyal"), "HIGH",IF(OR(J141="Regular", J141="Recent"), "MEDIUM","LOW"))</f>
        <v>LOW</v>
      </c>
    </row>
    <row r="142" spans="1:11">
      <c r="A142" t="s">
        <v>155</v>
      </c>
      <c r="B142" s="14">
        <f>_xlfn.MINIFS('working sheet'!$B$2:$B$3548, 'working sheet'!$D$2:$D$3548, A142)</f>
        <v>45411.476757766206</v>
      </c>
      <c r="C142" s="17">
        <f>_xlfn.MAXIFS('working sheet'!$B$1:$B$3548,'working sheet'!$D$1:$D$3548,'Customer Portfolio'!A142)</f>
        <v>45689.552421793982</v>
      </c>
      <c r="D142">
        <f>COUNTIFS('working sheet'!$D$1:$D$3548,'Customer Portfolio'!A142)</f>
        <v>108</v>
      </c>
      <c r="E142" s="5">
        <f>SUMIFS('working sheet'!$E$2:$E$3548,'working sheet'!$D$2:$D$3548,'Customer Portfolio'!A142)</f>
        <v>2749.7800000000016</v>
      </c>
      <c r="F142" s="6">
        <f t="shared" si="4"/>
        <v>25.460925925925942</v>
      </c>
      <c r="G142" t="str">
        <f t="array" ref="G142">IFERROR(INDEX('working sheet'!$F$2:$F$3548, MODE(IF('working sheet'!$D$2:$D$3548=A142, MATCH('working sheet'!$F$2:$F$3548, 'working sheet'!$F$2:$F$3548, 0)))),
         INDEX('working sheet'!$F$2:$F$3548, MATCH(A142, 'working sheet'!$D$2:$D$3548, 0)))</f>
        <v>Cortado</v>
      </c>
      <c r="H142" s="7">
        <f t="shared" si="5"/>
        <v>279.07566402777593</v>
      </c>
      <c r="I142" s="7">
        <f>MAX('working sheet'!$B$2:$B$3548)-C142</f>
        <v>50.205664259257901</v>
      </c>
      <c r="J142" s="4" t="str">
        <f t="array" ref="J142">IF(AND(I142&lt;=30, D142&gt;=10, E142&gt;=200), "VIP",  IF(AND(I142&lt;=60, D142&gt;=5, E142&gt;=100), "Loyal", IF(AND(I142&lt;=90, D142&gt;=3), "Regular", IF(I142&lt;=30, "Recent", IF(D142&gt;=3, "Occasional", "At Risk")))))</f>
        <v>Loyal</v>
      </c>
      <c r="K142" t="str">
        <f t="array" ref="K142">IF(OR(J142="VIP", J142="Loyal"), "HIGH",IF(OR(J142="Regular", J142="Recent"), "MEDIUM","LOW"))</f>
        <v>HIGH</v>
      </c>
    </row>
    <row r="143" spans="1:11">
      <c r="A143" t="s">
        <v>156</v>
      </c>
      <c r="B143" s="14">
        <f>_xlfn.MINIFS('working sheet'!$B$2:$B$3548, 'working sheet'!$D$2:$D$3548, A143)</f>
        <v>45412.428258020831</v>
      </c>
      <c r="C143" s="17">
        <f>_xlfn.MAXIFS('working sheet'!$B$1:$B$3548,'working sheet'!$D$1:$D$3548,'Customer Portfolio'!A143)</f>
        <v>45412.813436944445</v>
      </c>
      <c r="D143">
        <f>COUNTIFS('working sheet'!$D$1:$D$3548,'Customer Portfolio'!A143)</f>
        <v>8</v>
      </c>
      <c r="E143" s="5">
        <f>SUMIFS('working sheet'!$E$2:$E$3548,'working sheet'!$D$2:$D$3548,'Customer Portfolio'!A143)</f>
        <v>272.35999999999996</v>
      </c>
      <c r="F143" s="6">
        <f t="shared" si="4"/>
        <v>34.044999999999995</v>
      </c>
      <c r="G143" t="str">
        <f t="array" ref="G143">IFERROR(INDEX('working sheet'!$F$2:$F$3548, MODE(IF('working sheet'!$D$2:$D$3548=A143, MATCH('working sheet'!$F$2:$F$3548, 'working sheet'!$F$2:$F$3548, 0)))),
         INDEX('working sheet'!$F$2:$F$3548, MATCH(A143, 'working sheet'!$D$2:$D$3548, 0)))</f>
        <v>Americano with Milk</v>
      </c>
      <c r="H143" s="7">
        <f t="shared" si="5"/>
        <v>1.3851789236141485</v>
      </c>
      <c r="I143" s="7">
        <f>MAX('working sheet'!$B$2:$B$3548)-C143</f>
        <v>326.94464910879469</v>
      </c>
      <c r="J143" s="4" t="str">
        <f t="array" ref="J143">IF(AND(I143&lt;=30, D143&gt;=10, E143&gt;=200), "VIP",  IF(AND(I143&lt;=60, D143&gt;=5, E143&gt;=100), "Loyal", IF(AND(I143&lt;=90, D143&gt;=3), "Regular", IF(I143&lt;=30, "Recent", IF(D143&gt;=3, "Occasional", "At Risk")))))</f>
        <v>Occasional</v>
      </c>
      <c r="K143" t="str">
        <f t="array" ref="K143">IF(OR(J143="VIP", J143="Loyal"), "HIGH",IF(OR(J143="Regular", J143="Recent"), "MEDIUM","LOW"))</f>
        <v>LOW</v>
      </c>
    </row>
    <row r="144" spans="1:11">
      <c r="A144" t="s">
        <v>157</v>
      </c>
      <c r="B144" s="14">
        <f>_xlfn.MINIFS('working sheet'!$B$2:$B$3548, 'working sheet'!$D$2:$D$3548, A144)</f>
        <v>45414.440228541665</v>
      </c>
      <c r="C144" s="17">
        <f>_xlfn.MAXIFS('working sheet'!$B$1:$B$3548,'working sheet'!$D$1:$D$3548,'Customer Portfolio'!A144)</f>
        <v>45477.43499681713</v>
      </c>
      <c r="D144">
        <f>COUNTIFS('working sheet'!$D$1:$D$3548,'Customer Portfolio'!A144)</f>
        <v>5</v>
      </c>
      <c r="E144" s="5">
        <f>SUMIFS('working sheet'!$E$2:$E$3548,'working sheet'!$D$2:$D$3548,'Customer Portfolio'!A144)</f>
        <v>149.4</v>
      </c>
      <c r="F144" s="6">
        <f t="shared" si="4"/>
        <v>29.880000000000003</v>
      </c>
      <c r="G144" t="str">
        <f t="array" ref="G144">IFERROR(INDEX('working sheet'!$F$2:$F$3548, MODE(IF('working sheet'!$D$2:$D$3548=A144, MATCH('working sheet'!$F$2:$F$3548, 'working sheet'!$F$2:$F$3548, 0)))),
         INDEX('working sheet'!$F$2:$F$3548, MATCH(A144, 'working sheet'!$D$2:$D$3548, 0)))</f>
        <v>Americano</v>
      </c>
      <c r="H144" s="7">
        <f t="shared" si="5"/>
        <v>63.994768275464594</v>
      </c>
      <c r="I144" s="7">
        <f>MAX('working sheet'!$B$2:$B$3548)-C144</f>
        <v>262.32308923610981</v>
      </c>
      <c r="J144" s="4" t="str">
        <f t="array" ref="J144">IF(AND(I144&lt;=30, D144&gt;=10, E144&gt;=200), "VIP",  IF(AND(I144&lt;=60, D144&gt;=5, E144&gt;=100), "Loyal", IF(AND(I144&lt;=90, D144&gt;=3), "Regular", IF(I144&lt;=30, "Recent", IF(D144&gt;=3, "Occasional", "At Risk")))))</f>
        <v>Occasional</v>
      </c>
      <c r="K144" t="str">
        <f t="array" ref="K144">IF(OR(J144="VIP", J144="Loyal"), "HIGH",IF(OR(J144="Regular", J144="Recent"), "MEDIUM","LOW"))</f>
        <v>LOW</v>
      </c>
    </row>
    <row r="145" spans="1:11">
      <c r="A145" t="s">
        <v>158</v>
      </c>
      <c r="B145" s="14">
        <f>_xlfn.MINIFS('working sheet'!$B$2:$B$3548, 'working sheet'!$D$2:$D$3548, A145)</f>
        <v>45414.775256226851</v>
      </c>
      <c r="C145" s="17">
        <f>_xlfn.MAXIFS('working sheet'!$B$1:$B$3548,'working sheet'!$D$1:$D$3548,'Customer Portfolio'!A145)</f>
        <v>45414.775256226851</v>
      </c>
      <c r="D145">
        <f>COUNTIFS('working sheet'!$D$1:$D$3548,'Customer Portfolio'!A145)</f>
        <v>1</v>
      </c>
      <c r="E145" s="5">
        <f>SUMIFS('working sheet'!$E$2:$E$3548,'working sheet'!$D$2:$D$3548,'Customer Portfolio'!A145)</f>
        <v>37.72</v>
      </c>
      <c r="F145" s="6">
        <f t="shared" si="4"/>
        <v>37.72</v>
      </c>
      <c r="G145" t="str">
        <f t="array" ref="G145">IFERROR(INDEX('working sheet'!$F$2:$F$3548, MODE(IF('working sheet'!$D$2:$D$3548=A145, MATCH('working sheet'!$F$2:$F$3548, 'working sheet'!$F$2:$F$3548, 0)))),
         INDEX('working sheet'!$F$2:$F$3548, MATCH(A145, 'working sheet'!$D$2:$D$3548, 0)))</f>
        <v>Cappuccino</v>
      </c>
      <c r="H145" s="7">
        <f t="shared" si="5"/>
        <v>1</v>
      </c>
      <c r="I145" s="7">
        <f>MAX('working sheet'!$B$2:$B$3548)-C145</f>
        <v>324.98282982638921</v>
      </c>
      <c r="J145" s="4" t="str">
        <f t="array" ref="J145">IF(AND(I145&lt;=30, D145&gt;=10, E145&gt;=200), "VIP",  IF(AND(I145&lt;=60, D145&gt;=5, E145&gt;=100), "Loyal", IF(AND(I145&lt;=90, D145&gt;=3), "Regular", IF(I145&lt;=30, "Recent", IF(D145&gt;=3, "Occasional", "At Risk")))))</f>
        <v>At Risk</v>
      </c>
      <c r="K145" t="str">
        <f t="array" ref="K145">IF(OR(J145="VIP", J145="Loyal"), "HIGH",IF(OR(J145="Regular", J145="Recent"), "MEDIUM","LOW"))</f>
        <v>LOW</v>
      </c>
    </row>
    <row r="146" spans="1:11">
      <c r="A146" t="s">
        <v>159</v>
      </c>
      <c r="B146" s="14">
        <f>_xlfn.MINIFS('working sheet'!$B$2:$B$3548, 'working sheet'!$D$2:$D$3548, A146)</f>
        <v>45414.804549583336</v>
      </c>
      <c r="C146" s="17">
        <f>_xlfn.MAXIFS('working sheet'!$B$1:$B$3548,'working sheet'!$D$1:$D$3548,'Customer Portfolio'!A146)</f>
        <v>45414.805513414351</v>
      </c>
      <c r="D146">
        <f>COUNTIFS('working sheet'!$D$1:$D$3548,'Customer Portfolio'!A146)</f>
        <v>2</v>
      </c>
      <c r="E146" s="5">
        <f>SUMIFS('working sheet'!$E$2:$E$3548,'working sheet'!$D$2:$D$3548,'Customer Portfolio'!A146)</f>
        <v>75.44</v>
      </c>
      <c r="F146" s="6">
        <f t="shared" si="4"/>
        <v>37.72</v>
      </c>
      <c r="G146" t="str">
        <f t="array" ref="G146">IFERROR(INDEX('working sheet'!$F$2:$F$3548, MODE(IF('working sheet'!$D$2:$D$3548=A146, MATCH('working sheet'!$F$2:$F$3548, 'working sheet'!$F$2:$F$3548, 0)))),
         INDEX('working sheet'!$F$2:$F$3548, MATCH(A146, 'working sheet'!$D$2:$D$3548, 0)))</f>
        <v>Latte</v>
      </c>
      <c r="H146" s="7">
        <f t="shared" si="5"/>
        <v>1.0009638310148148</v>
      </c>
      <c r="I146" s="7">
        <f>MAX('working sheet'!$B$2:$B$3548)-C146</f>
        <v>324.95257263888925</v>
      </c>
      <c r="J146" s="4" t="str">
        <f t="array" ref="J146">IF(AND(I146&lt;=30, D146&gt;=10, E146&gt;=200), "VIP",  IF(AND(I146&lt;=60, D146&gt;=5, E146&gt;=100), "Loyal", IF(AND(I146&lt;=90, D146&gt;=3), "Regular", IF(I146&lt;=30, "Recent", IF(D146&gt;=3, "Occasional", "At Risk")))))</f>
        <v>At Risk</v>
      </c>
      <c r="K146" t="str">
        <f t="array" ref="K146">IF(OR(J146="VIP", J146="Loyal"), "HIGH",IF(OR(J146="Regular", J146="Recent"), "MEDIUM","LOW"))</f>
        <v>LOW</v>
      </c>
    </row>
    <row r="147" spans="1:11">
      <c r="A147" t="s">
        <v>160</v>
      </c>
      <c r="B147" s="14">
        <f>_xlfn.MINIFS('working sheet'!$B$2:$B$3548, 'working sheet'!$D$2:$D$3548, A147)</f>
        <v>45415.604177349538</v>
      </c>
      <c r="C147" s="17">
        <f>_xlfn.MAXIFS('working sheet'!$B$1:$B$3548,'working sheet'!$D$1:$D$3548,'Customer Portfolio'!A147)</f>
        <v>45415.604177349538</v>
      </c>
      <c r="D147">
        <f>COUNTIFS('working sheet'!$D$1:$D$3548,'Customer Portfolio'!A147)</f>
        <v>1</v>
      </c>
      <c r="E147" s="5">
        <f>SUMIFS('working sheet'!$E$2:$E$3548,'working sheet'!$D$2:$D$3548,'Customer Portfolio'!A147)</f>
        <v>37.72</v>
      </c>
      <c r="F147" s="6">
        <f t="shared" si="4"/>
        <v>37.72</v>
      </c>
      <c r="G147" t="str">
        <f t="array" ref="G147">IFERROR(INDEX('working sheet'!$F$2:$F$3548, MODE(IF('working sheet'!$D$2:$D$3548=A147, MATCH('working sheet'!$F$2:$F$3548, 'working sheet'!$F$2:$F$3548, 0)))),
         INDEX('working sheet'!$F$2:$F$3548, MATCH(A147, 'working sheet'!$D$2:$D$3548, 0)))</f>
        <v>Latte</v>
      </c>
      <c r="H147" s="7">
        <f t="shared" si="5"/>
        <v>1</v>
      </c>
      <c r="I147" s="7">
        <f>MAX('working sheet'!$B$2:$B$3548)-C147</f>
        <v>324.15390870370175</v>
      </c>
      <c r="J147" s="4" t="str">
        <f t="array" ref="J147">IF(AND(I147&lt;=30, D147&gt;=10, E147&gt;=200), "VIP",  IF(AND(I147&lt;=60, D147&gt;=5, E147&gt;=100), "Loyal", IF(AND(I147&lt;=90, D147&gt;=3), "Regular", IF(I147&lt;=30, "Recent", IF(D147&gt;=3, "Occasional", "At Risk")))))</f>
        <v>At Risk</v>
      </c>
      <c r="K147" t="str">
        <f t="array" ref="K147">IF(OR(J147="VIP", J147="Loyal"), "HIGH",IF(OR(J147="Regular", J147="Recent"), "MEDIUM","LOW"))</f>
        <v>LOW</v>
      </c>
    </row>
    <row r="148" spans="1:11">
      <c r="A148" t="s">
        <v>161</v>
      </c>
      <c r="B148" s="14">
        <f>_xlfn.MINIFS('working sheet'!$B$2:$B$3548, 'working sheet'!$D$2:$D$3548, A148)</f>
        <v>45415.71070491898</v>
      </c>
      <c r="C148" s="17">
        <f>_xlfn.MAXIFS('working sheet'!$B$1:$B$3548,'working sheet'!$D$1:$D$3548,'Customer Portfolio'!A148)</f>
        <v>45415.71070491898</v>
      </c>
      <c r="D148">
        <f>COUNTIFS('working sheet'!$D$1:$D$3548,'Customer Portfolio'!A148)</f>
        <v>1</v>
      </c>
      <c r="E148" s="5">
        <f>SUMIFS('working sheet'!$E$2:$E$3548,'working sheet'!$D$2:$D$3548,'Customer Portfolio'!A148)</f>
        <v>37.72</v>
      </c>
      <c r="F148" s="6">
        <f t="shared" si="4"/>
        <v>37.72</v>
      </c>
      <c r="G148" t="str">
        <f t="array" ref="G148">IFERROR(INDEX('working sheet'!$F$2:$F$3548, MODE(IF('working sheet'!$D$2:$D$3548=A148, MATCH('working sheet'!$F$2:$F$3548, 'working sheet'!$F$2:$F$3548, 0)))),
         INDEX('working sheet'!$F$2:$F$3548, MATCH(A148, 'working sheet'!$D$2:$D$3548, 0)))</f>
        <v>Latte</v>
      </c>
      <c r="H148" s="7">
        <f t="shared" si="5"/>
        <v>1</v>
      </c>
      <c r="I148" s="7">
        <f>MAX('working sheet'!$B$2:$B$3548)-C148</f>
        <v>324.04738113425992</v>
      </c>
      <c r="J148" s="4" t="str">
        <f t="array" ref="J148">IF(AND(I148&lt;=30, D148&gt;=10, E148&gt;=200), "VIP",  IF(AND(I148&lt;=60, D148&gt;=5, E148&gt;=100), "Loyal", IF(AND(I148&lt;=90, D148&gt;=3), "Regular", IF(I148&lt;=30, "Recent", IF(D148&gt;=3, "Occasional", "At Risk")))))</f>
        <v>At Risk</v>
      </c>
      <c r="K148" t="str">
        <f t="array" ref="K148">IF(OR(J148="VIP", J148="Loyal"), "HIGH",IF(OR(J148="Regular", J148="Recent"), "MEDIUM","LOW"))</f>
        <v>LOW</v>
      </c>
    </row>
    <row r="149" spans="1:11">
      <c r="A149" t="s">
        <v>162</v>
      </c>
      <c r="B149" s="14">
        <f>_xlfn.MINIFS('working sheet'!$B$2:$B$3548, 'working sheet'!$D$2:$D$3548, A149)</f>
        <v>45418.420346296298</v>
      </c>
      <c r="C149" s="17">
        <f>_xlfn.MAXIFS('working sheet'!$B$1:$B$3548,'working sheet'!$D$1:$D$3548,'Customer Portfolio'!A149)</f>
        <v>45419.695924768515</v>
      </c>
      <c r="D149">
        <f>COUNTIFS('working sheet'!$D$1:$D$3548,'Customer Portfolio'!A149)</f>
        <v>5</v>
      </c>
      <c r="E149" s="5">
        <f>SUMIFS('working sheet'!$E$2:$E$3548,'working sheet'!$D$2:$D$3548,'Customer Portfolio'!A149)</f>
        <v>159.19999999999999</v>
      </c>
      <c r="F149" s="6">
        <f t="shared" si="4"/>
        <v>31.839999999999996</v>
      </c>
      <c r="G149" t="str">
        <f t="array" ref="G149">IFERROR(INDEX('working sheet'!$F$2:$F$3548, MODE(IF('working sheet'!$D$2:$D$3548=A149, MATCH('working sheet'!$F$2:$F$3548, 'working sheet'!$F$2:$F$3548, 0)))),
         INDEX('working sheet'!$F$2:$F$3548, MATCH(A149, 'working sheet'!$D$2:$D$3548, 0)))</f>
        <v>Americano</v>
      </c>
      <c r="H149" s="7">
        <f t="shared" si="5"/>
        <v>2.2755784722176031</v>
      </c>
      <c r="I149" s="7">
        <f>MAX('working sheet'!$B$2:$B$3548)-C149</f>
        <v>320.06216128472443</v>
      </c>
      <c r="J149" s="4" t="str">
        <f t="array" ref="J149">IF(AND(I149&lt;=30, D149&gt;=10, E149&gt;=200), "VIP",  IF(AND(I149&lt;=60, D149&gt;=5, E149&gt;=100), "Loyal", IF(AND(I149&lt;=90, D149&gt;=3), "Regular", IF(I149&lt;=30, "Recent", IF(D149&gt;=3, "Occasional", "At Risk")))))</f>
        <v>Occasional</v>
      </c>
      <c r="K149" t="str">
        <f t="array" ref="K149">IF(OR(J149="VIP", J149="Loyal"), "HIGH",IF(OR(J149="Regular", J149="Recent"), "MEDIUM","LOW"))</f>
        <v>LOW</v>
      </c>
    </row>
    <row r="150" spans="1:11">
      <c r="A150" t="s">
        <v>163</v>
      </c>
      <c r="B150" s="14">
        <f>_xlfn.MINIFS('working sheet'!$B$2:$B$3548, 'working sheet'!$D$2:$D$3548, A150)</f>
        <v>45418.421430844908</v>
      </c>
      <c r="C150" s="17">
        <f>_xlfn.MAXIFS('working sheet'!$B$1:$B$3548,'working sheet'!$D$1:$D$3548,'Customer Portfolio'!A150)</f>
        <v>45418.42229008102</v>
      </c>
      <c r="D150">
        <f>COUNTIFS('working sheet'!$D$1:$D$3548,'Customer Portfolio'!A150)</f>
        <v>2</v>
      </c>
      <c r="E150" s="5">
        <f>SUMIFS('working sheet'!$E$2:$E$3548,'working sheet'!$D$2:$D$3548,'Customer Portfolio'!A150)</f>
        <v>70.539999999999992</v>
      </c>
      <c r="F150" s="6">
        <f t="shared" si="4"/>
        <v>35.269999999999996</v>
      </c>
      <c r="G150" t="str">
        <f t="array" ref="G150">IFERROR(INDEX('working sheet'!$F$2:$F$3548, MODE(IF('working sheet'!$D$2:$D$3548=A150, MATCH('working sheet'!$F$2:$F$3548, 'working sheet'!$F$2:$F$3548, 0)))),
         INDEX('working sheet'!$F$2:$F$3548, MATCH(A150, 'working sheet'!$D$2:$D$3548, 0)))</f>
        <v>Cappuccino</v>
      </c>
      <c r="H150" s="7">
        <f t="shared" si="5"/>
        <v>1.0008592361118644</v>
      </c>
      <c r="I150" s="7">
        <f>MAX('working sheet'!$B$2:$B$3548)-C150</f>
        <v>321.33579597221978</v>
      </c>
      <c r="J150" s="4" t="str">
        <f t="array" ref="J150">IF(AND(I150&lt;=30, D150&gt;=10, E150&gt;=200), "VIP",  IF(AND(I150&lt;=60, D150&gt;=5, E150&gt;=100), "Loyal", IF(AND(I150&lt;=90, D150&gt;=3), "Regular", IF(I150&lt;=30, "Recent", IF(D150&gt;=3, "Occasional", "At Risk")))))</f>
        <v>At Risk</v>
      </c>
      <c r="K150" t="str">
        <f t="array" ref="K150">IF(OR(J150="VIP", J150="Loyal"), "HIGH",IF(OR(J150="Regular", J150="Recent"), "MEDIUM","LOW"))</f>
        <v>LOW</v>
      </c>
    </row>
    <row r="151" spans="1:11">
      <c r="A151" t="s">
        <v>164</v>
      </c>
      <c r="B151" s="14">
        <f>_xlfn.MINIFS('working sheet'!$B$2:$B$3548, 'working sheet'!$D$2:$D$3548, A151)</f>
        <v>45418.423008993057</v>
      </c>
      <c r="C151" s="17">
        <f>_xlfn.MAXIFS('working sheet'!$B$1:$B$3548,'working sheet'!$D$1:$D$3548,'Customer Portfolio'!A151)</f>
        <v>45418.423008993057</v>
      </c>
      <c r="D151">
        <f>COUNTIFS('working sheet'!$D$1:$D$3548,'Customer Portfolio'!A151)</f>
        <v>1</v>
      </c>
      <c r="E151" s="5">
        <f>SUMIFS('working sheet'!$E$2:$E$3548,'working sheet'!$D$2:$D$3548,'Customer Portfolio'!A151)</f>
        <v>27.92</v>
      </c>
      <c r="F151" s="6">
        <f t="shared" si="4"/>
        <v>27.92</v>
      </c>
      <c r="G151" t="str">
        <f t="array" ref="G151">IFERROR(INDEX('working sheet'!$F$2:$F$3548, MODE(IF('working sheet'!$D$2:$D$3548=A151, MATCH('working sheet'!$F$2:$F$3548, 'working sheet'!$F$2:$F$3548, 0)))),
         INDEX('working sheet'!$F$2:$F$3548, MATCH(A151, 'working sheet'!$D$2:$D$3548, 0)))</f>
        <v>Americano</v>
      </c>
      <c r="H151" s="7">
        <f t="shared" si="5"/>
        <v>1</v>
      </c>
      <c r="I151" s="7">
        <f>MAX('working sheet'!$B$2:$B$3548)-C151</f>
        <v>321.33507706018281</v>
      </c>
      <c r="J151" s="4" t="str">
        <f t="array" ref="J151">IF(AND(I151&lt;=30, D151&gt;=10, E151&gt;=200), "VIP",  IF(AND(I151&lt;=60, D151&gt;=5, E151&gt;=100), "Loyal", IF(AND(I151&lt;=90, D151&gt;=3), "Regular", IF(I151&lt;=30, "Recent", IF(D151&gt;=3, "Occasional", "At Risk")))))</f>
        <v>At Risk</v>
      </c>
      <c r="K151" t="str">
        <f t="array" ref="K151">IF(OR(J151="VIP", J151="Loyal"), "HIGH",IF(OR(J151="Regular", J151="Recent"), "MEDIUM","LOW"))</f>
        <v>LOW</v>
      </c>
    </row>
    <row r="152" spans="1:11">
      <c r="A152" t="s">
        <v>165</v>
      </c>
      <c r="B152" s="14">
        <f>_xlfn.MINIFS('working sheet'!$B$2:$B$3548, 'working sheet'!$D$2:$D$3548, A152)</f>
        <v>45418.804317002316</v>
      </c>
      <c r="C152" s="17">
        <f>_xlfn.MAXIFS('working sheet'!$B$1:$B$3548,'working sheet'!$D$1:$D$3548,'Customer Portfolio'!A152)</f>
        <v>45418.80543458333</v>
      </c>
      <c r="D152">
        <f>COUNTIFS('working sheet'!$D$1:$D$3548,'Customer Portfolio'!A152)</f>
        <v>2</v>
      </c>
      <c r="E152" s="5">
        <f>SUMIFS('working sheet'!$E$2:$E$3548,'working sheet'!$D$2:$D$3548,'Customer Portfolio'!A152)</f>
        <v>75.44</v>
      </c>
      <c r="F152" s="6">
        <f t="shared" si="4"/>
        <v>37.72</v>
      </c>
      <c r="G152" t="str">
        <f t="array" ref="G152">IFERROR(INDEX('working sheet'!$F$2:$F$3548, MODE(IF('working sheet'!$D$2:$D$3548=A152, MATCH('working sheet'!$F$2:$F$3548, 'working sheet'!$F$2:$F$3548, 0)))),
         INDEX('working sheet'!$F$2:$F$3548, MATCH(A152, 'working sheet'!$D$2:$D$3548, 0)))</f>
        <v>Cappuccino</v>
      </c>
      <c r="H152" s="7">
        <f t="shared" si="5"/>
        <v>1.001117581014114</v>
      </c>
      <c r="I152" s="7">
        <f>MAX('working sheet'!$B$2:$B$3548)-C152</f>
        <v>320.95265146991005</v>
      </c>
      <c r="J152" s="4" t="str">
        <f t="array" ref="J152">IF(AND(I152&lt;=30, D152&gt;=10, E152&gt;=200), "VIP",  IF(AND(I152&lt;=60, D152&gt;=5, E152&gt;=100), "Loyal", IF(AND(I152&lt;=90, D152&gt;=3), "Regular", IF(I152&lt;=30, "Recent", IF(D152&gt;=3, "Occasional", "At Risk")))))</f>
        <v>At Risk</v>
      </c>
      <c r="K152" t="str">
        <f t="array" ref="K152">IF(OR(J152="VIP", J152="Loyal"), "HIGH",IF(OR(J152="Regular", J152="Recent"), "MEDIUM","LOW"))</f>
        <v>LOW</v>
      </c>
    </row>
    <row r="153" spans="1:11">
      <c r="A153" t="s">
        <v>166</v>
      </c>
      <c r="B153" s="14">
        <f>_xlfn.MINIFS('working sheet'!$B$2:$B$3548, 'working sheet'!$D$2:$D$3548, A153)</f>
        <v>45419.705310243058</v>
      </c>
      <c r="C153" s="17">
        <f>_xlfn.MAXIFS('working sheet'!$B$1:$B$3548,'working sheet'!$D$1:$D$3548,'Customer Portfolio'!A153)</f>
        <v>45419.705310243058</v>
      </c>
      <c r="D153">
        <f>COUNTIFS('working sheet'!$D$1:$D$3548,'Customer Portfolio'!A153)</f>
        <v>1</v>
      </c>
      <c r="E153" s="5">
        <f>SUMIFS('working sheet'!$E$2:$E$3548,'working sheet'!$D$2:$D$3548,'Customer Portfolio'!A153)</f>
        <v>27.92</v>
      </c>
      <c r="F153" s="6">
        <f t="shared" si="4"/>
        <v>27.92</v>
      </c>
      <c r="G153" t="str">
        <f t="array" ref="G153">IFERROR(INDEX('working sheet'!$F$2:$F$3548, MODE(IF('working sheet'!$D$2:$D$3548=A153, MATCH('working sheet'!$F$2:$F$3548, 'working sheet'!$F$2:$F$3548, 0)))),
         INDEX('working sheet'!$F$2:$F$3548, MATCH(A153, 'working sheet'!$D$2:$D$3548, 0)))</f>
        <v>Americano</v>
      </c>
      <c r="H153" s="7">
        <f t="shared" si="5"/>
        <v>1</v>
      </c>
      <c r="I153" s="7">
        <f>MAX('working sheet'!$B$2:$B$3548)-C153</f>
        <v>320.05277581018163</v>
      </c>
      <c r="J153" s="4" t="str">
        <f t="array" ref="J153">IF(AND(I153&lt;=30, D153&gt;=10, E153&gt;=200), "VIP",  IF(AND(I153&lt;=60, D153&gt;=5, E153&gt;=100), "Loyal", IF(AND(I153&lt;=90, D153&gt;=3), "Regular", IF(I153&lt;=30, "Recent", IF(D153&gt;=3, "Occasional", "At Risk")))))</f>
        <v>At Risk</v>
      </c>
      <c r="K153" t="str">
        <f t="array" ref="K153">IF(OR(J153="VIP", J153="Loyal"), "HIGH",IF(OR(J153="Regular", J153="Recent"), "MEDIUM","LOW"))</f>
        <v>LOW</v>
      </c>
    </row>
    <row r="154" spans="1:11">
      <c r="A154" t="s">
        <v>167</v>
      </c>
      <c r="B154" s="14">
        <f>_xlfn.MINIFS('working sheet'!$B$2:$B$3548, 'working sheet'!$D$2:$D$3548, A154)</f>
        <v>45419.734564953702</v>
      </c>
      <c r="C154" s="17">
        <f>_xlfn.MAXIFS('working sheet'!$B$1:$B$3548,'working sheet'!$D$1:$D$3548,'Customer Portfolio'!A154)</f>
        <v>45504.869615763891</v>
      </c>
      <c r="D154">
        <f>COUNTIFS('working sheet'!$D$1:$D$3548,'Customer Portfolio'!A154)</f>
        <v>7</v>
      </c>
      <c r="E154" s="5">
        <f>SUMIFS('working sheet'!$E$2:$E$3548,'working sheet'!$D$2:$D$3548,'Customer Portfolio'!A154)</f>
        <v>259.14</v>
      </c>
      <c r="F154" s="6">
        <f t="shared" si="4"/>
        <v>37.019999999999996</v>
      </c>
      <c r="G154" t="str">
        <f t="array" ref="G154">IFERROR(INDEX('working sheet'!$F$2:$F$3548, MODE(IF('working sheet'!$D$2:$D$3548=A154, MATCH('working sheet'!$F$2:$F$3548, 'working sheet'!$F$2:$F$3548, 0)))),
         INDEX('working sheet'!$F$2:$F$3548, MATCH(A154, 'working sheet'!$D$2:$D$3548, 0)))</f>
        <v>Cappuccino</v>
      </c>
      <c r="H154" s="7">
        <f t="shared" si="5"/>
        <v>86.135050810189568</v>
      </c>
      <c r="I154" s="7">
        <f>MAX('working sheet'!$B$2:$B$3548)-C154</f>
        <v>234.88847028934833</v>
      </c>
      <c r="J154" s="4" t="str">
        <f t="array" ref="J154">IF(AND(I154&lt;=30, D154&gt;=10, E154&gt;=200), "VIP",  IF(AND(I154&lt;=60, D154&gt;=5, E154&gt;=100), "Loyal", IF(AND(I154&lt;=90, D154&gt;=3), "Regular", IF(I154&lt;=30, "Recent", IF(D154&gt;=3, "Occasional", "At Risk")))))</f>
        <v>Occasional</v>
      </c>
      <c r="K154" t="str">
        <f t="array" ref="K154">IF(OR(J154="VIP", J154="Loyal"), "HIGH",IF(OR(J154="Regular", J154="Recent"), "MEDIUM","LOW"))</f>
        <v>LOW</v>
      </c>
    </row>
    <row r="155" spans="1:11">
      <c r="A155" t="s">
        <v>168</v>
      </c>
      <c r="B155" s="14">
        <f>_xlfn.MINIFS('working sheet'!$B$2:$B$3548, 'working sheet'!$D$2:$D$3548, A155)</f>
        <v>45419.800144953704</v>
      </c>
      <c r="C155" s="17">
        <f>_xlfn.MAXIFS('working sheet'!$B$1:$B$3548,'working sheet'!$D$1:$D$3548,'Customer Portfolio'!A155)</f>
        <v>45651.953546597222</v>
      </c>
      <c r="D155">
        <f>COUNTIFS('working sheet'!$D$1:$D$3548,'Customer Portfolio'!A155)</f>
        <v>10</v>
      </c>
      <c r="E155" s="5">
        <f>SUMIFS('working sheet'!$E$2:$E$3548,'working sheet'!$D$2:$D$3548,'Customer Portfolio'!A155)</f>
        <v>368.38</v>
      </c>
      <c r="F155" s="6">
        <f t="shared" si="4"/>
        <v>36.838000000000001</v>
      </c>
      <c r="G155" t="str">
        <f t="array" ref="G155">IFERROR(INDEX('working sheet'!$F$2:$F$3548, MODE(IF('working sheet'!$D$2:$D$3548=A155, MATCH('working sheet'!$F$2:$F$3548, 'working sheet'!$F$2:$F$3548, 0)))),
         INDEX('working sheet'!$F$2:$F$3548, MATCH(A155, 'working sheet'!$D$2:$D$3548, 0)))</f>
        <v>Cappuccino</v>
      </c>
      <c r="H155" s="7">
        <f t="shared" si="5"/>
        <v>233.15340164351801</v>
      </c>
      <c r="I155" s="7">
        <f>MAX('working sheet'!$B$2:$B$3548)-C155</f>
        <v>87.804539456017665</v>
      </c>
      <c r="J155" s="4" t="str">
        <f t="array" ref="J155">IF(AND(I155&lt;=30, D155&gt;=10, E155&gt;=200), "VIP",  IF(AND(I155&lt;=60, D155&gt;=5, E155&gt;=100), "Loyal", IF(AND(I155&lt;=90, D155&gt;=3), "Regular", IF(I155&lt;=30, "Recent", IF(D155&gt;=3, "Occasional", "At Risk")))))</f>
        <v>Regular</v>
      </c>
      <c r="K155" t="str">
        <f t="array" ref="K155">IF(OR(J155="VIP", J155="Loyal"), "HIGH",IF(OR(J155="Regular", J155="Recent"), "MEDIUM","LOW"))</f>
        <v>MEDIUM</v>
      </c>
    </row>
    <row r="156" spans="1:11">
      <c r="A156" t="s">
        <v>169</v>
      </c>
      <c r="B156" s="14">
        <f>_xlfn.MINIFS('working sheet'!$B$2:$B$3548, 'working sheet'!$D$2:$D$3548, A156)</f>
        <v>45421.537752453703</v>
      </c>
      <c r="C156" s="17">
        <f>_xlfn.MAXIFS('working sheet'!$B$1:$B$3548,'working sheet'!$D$1:$D$3548,'Customer Portfolio'!A156)</f>
        <v>45421.537752453703</v>
      </c>
      <c r="D156">
        <f>COUNTIFS('working sheet'!$D$1:$D$3548,'Customer Portfolio'!A156)</f>
        <v>1</v>
      </c>
      <c r="E156" s="5">
        <f>SUMIFS('working sheet'!$E$2:$E$3548,'working sheet'!$D$2:$D$3548,'Customer Portfolio'!A156)</f>
        <v>37.72</v>
      </c>
      <c r="F156" s="6">
        <f t="shared" si="4"/>
        <v>37.72</v>
      </c>
      <c r="G156" t="str">
        <f t="array" ref="G156">IFERROR(INDEX('working sheet'!$F$2:$F$3548, MODE(IF('working sheet'!$D$2:$D$3548=A156, MATCH('working sheet'!$F$2:$F$3548, 'working sheet'!$F$2:$F$3548, 0)))),
         INDEX('working sheet'!$F$2:$F$3548, MATCH(A156, 'working sheet'!$D$2:$D$3548, 0)))</f>
        <v>Cappuccino</v>
      </c>
      <c r="H156" s="7">
        <f t="shared" si="5"/>
        <v>1</v>
      </c>
      <c r="I156" s="7">
        <f>MAX('working sheet'!$B$2:$B$3548)-C156</f>
        <v>318.22033359953639</v>
      </c>
      <c r="J156" s="4" t="str">
        <f t="array" ref="J156">IF(AND(I156&lt;=30, D156&gt;=10, E156&gt;=200), "VIP",  IF(AND(I156&lt;=60, D156&gt;=5, E156&gt;=100), "Loyal", IF(AND(I156&lt;=90, D156&gt;=3), "Regular", IF(I156&lt;=30, "Recent", IF(D156&gt;=3, "Occasional", "At Risk")))))</f>
        <v>At Risk</v>
      </c>
      <c r="K156" t="str">
        <f t="array" ref="K156">IF(OR(J156="VIP", J156="Loyal"), "HIGH",IF(OR(J156="Regular", J156="Recent"), "MEDIUM","LOW"))</f>
        <v>LOW</v>
      </c>
    </row>
    <row r="157" spans="1:11">
      <c r="A157" t="s">
        <v>170</v>
      </c>
      <c r="B157" s="14">
        <f>_xlfn.MINIFS('working sheet'!$B$2:$B$3548, 'working sheet'!$D$2:$D$3548, A157)</f>
        <v>45421.544427731482</v>
      </c>
      <c r="C157" s="17">
        <f>_xlfn.MAXIFS('working sheet'!$B$1:$B$3548,'working sheet'!$D$1:$D$3548,'Customer Portfolio'!A157)</f>
        <v>45421.546717696758</v>
      </c>
      <c r="D157">
        <f>COUNTIFS('working sheet'!$D$1:$D$3548,'Customer Portfolio'!A157)</f>
        <v>4</v>
      </c>
      <c r="E157" s="5">
        <f>SUMIFS('working sheet'!$E$2:$E$3548,'working sheet'!$D$2:$D$3548,'Customer Portfolio'!A157)</f>
        <v>141.07999999999998</v>
      </c>
      <c r="F157" s="6">
        <f t="shared" si="4"/>
        <v>35.269999999999996</v>
      </c>
      <c r="G157" t="str">
        <f t="array" ref="G157">IFERROR(INDEX('working sheet'!$F$2:$F$3548, MODE(IF('working sheet'!$D$2:$D$3548=A157, MATCH('working sheet'!$F$2:$F$3548, 'working sheet'!$F$2:$F$3548, 0)))),
         INDEX('working sheet'!$F$2:$F$3548, MATCH(A157, 'working sheet'!$D$2:$D$3548, 0)))</f>
        <v>Latte</v>
      </c>
      <c r="H157" s="7">
        <f t="shared" si="5"/>
        <v>1.0022899652758497</v>
      </c>
      <c r="I157" s="7">
        <f>MAX('working sheet'!$B$2:$B$3548)-C157</f>
        <v>318.21136835648213</v>
      </c>
      <c r="J157" s="4" t="str">
        <f t="array" ref="J157">IF(AND(I157&lt;=30, D157&gt;=10, E157&gt;=200), "VIP",  IF(AND(I157&lt;=60, D157&gt;=5, E157&gt;=100), "Loyal", IF(AND(I157&lt;=90, D157&gt;=3), "Regular", IF(I157&lt;=30, "Recent", IF(D157&gt;=3, "Occasional", "At Risk")))))</f>
        <v>Occasional</v>
      </c>
      <c r="K157" t="str">
        <f t="array" ref="K157">IF(OR(J157="VIP", J157="Loyal"), "HIGH",IF(OR(J157="Regular", J157="Recent"), "MEDIUM","LOW"))</f>
        <v>LOW</v>
      </c>
    </row>
    <row r="158" spans="1:11">
      <c r="A158" t="s">
        <v>171</v>
      </c>
      <c r="B158" s="14">
        <f>_xlfn.MINIFS('working sheet'!$B$2:$B$3548, 'working sheet'!$D$2:$D$3548, A158)</f>
        <v>45421.751040451389</v>
      </c>
      <c r="C158" s="17">
        <f>_xlfn.MAXIFS('working sheet'!$B$1:$B$3548,'working sheet'!$D$1:$D$3548,'Customer Portfolio'!A158)</f>
        <v>45421.751040451389</v>
      </c>
      <c r="D158">
        <f>COUNTIFS('working sheet'!$D$1:$D$3548,'Customer Portfolio'!A158)</f>
        <v>1</v>
      </c>
      <c r="E158" s="5">
        <f>SUMIFS('working sheet'!$E$2:$E$3548,'working sheet'!$D$2:$D$3548,'Customer Portfolio'!A158)</f>
        <v>27.92</v>
      </c>
      <c r="F158" s="6">
        <f t="shared" si="4"/>
        <v>27.92</v>
      </c>
      <c r="G158" t="str">
        <f t="array" ref="G158">IFERROR(INDEX('working sheet'!$F$2:$F$3548, MODE(IF('working sheet'!$D$2:$D$3548=A158, MATCH('working sheet'!$F$2:$F$3548, 'working sheet'!$F$2:$F$3548, 0)))),
         INDEX('working sheet'!$F$2:$F$3548, MATCH(A158, 'working sheet'!$D$2:$D$3548, 0)))</f>
        <v>Americano</v>
      </c>
      <c r="H158" s="7">
        <f t="shared" si="5"/>
        <v>1</v>
      </c>
      <c r="I158" s="7">
        <f>MAX('working sheet'!$B$2:$B$3548)-C158</f>
        <v>318.00704560185113</v>
      </c>
      <c r="J158" s="4" t="str">
        <f t="array" ref="J158">IF(AND(I158&lt;=30, D158&gt;=10, E158&gt;=200), "VIP",  IF(AND(I158&lt;=60, D158&gt;=5, E158&gt;=100), "Loyal", IF(AND(I158&lt;=90, D158&gt;=3), "Regular", IF(I158&lt;=30, "Recent", IF(D158&gt;=3, "Occasional", "At Risk")))))</f>
        <v>At Risk</v>
      </c>
      <c r="K158" t="str">
        <f t="array" ref="K158">IF(OR(J158="VIP", J158="Loyal"), "HIGH",IF(OR(J158="Regular", J158="Recent"), "MEDIUM","LOW"))</f>
        <v>LOW</v>
      </c>
    </row>
    <row r="159" spans="1:11">
      <c r="A159" t="s">
        <v>172</v>
      </c>
      <c r="B159" s="14">
        <f>_xlfn.MINIFS('working sheet'!$B$2:$B$3548, 'working sheet'!$D$2:$D$3548, A159)</f>
        <v>45422.65719341435</v>
      </c>
      <c r="C159" s="17">
        <f>_xlfn.MAXIFS('working sheet'!$B$1:$B$3548,'working sheet'!$D$1:$D$3548,'Customer Portfolio'!A159)</f>
        <v>45422.658015138892</v>
      </c>
      <c r="D159">
        <f>COUNTIFS('working sheet'!$D$1:$D$3548,'Customer Portfolio'!A159)</f>
        <v>2</v>
      </c>
      <c r="E159" s="5">
        <f>SUMIFS('working sheet'!$E$2:$E$3548,'working sheet'!$D$2:$D$3548,'Customer Portfolio'!A159)</f>
        <v>75.44</v>
      </c>
      <c r="F159" s="6">
        <f t="shared" si="4"/>
        <v>37.72</v>
      </c>
      <c r="G159" t="str">
        <f t="array" ref="G159">IFERROR(INDEX('working sheet'!$F$2:$F$3548, MODE(IF('working sheet'!$D$2:$D$3548=A159, MATCH('working sheet'!$F$2:$F$3548, 'working sheet'!$F$2:$F$3548, 0)))),
         INDEX('working sheet'!$F$2:$F$3548, MATCH(A159, 'working sheet'!$D$2:$D$3548, 0)))</f>
        <v>Latte</v>
      </c>
      <c r="H159" s="7">
        <f t="shared" si="5"/>
        <v>1.0008217245413107</v>
      </c>
      <c r="I159" s="7">
        <f>MAX('working sheet'!$B$2:$B$3548)-C159</f>
        <v>317.10007091434818</v>
      </c>
      <c r="J159" s="4" t="str">
        <f t="array" ref="J159">IF(AND(I159&lt;=30, D159&gt;=10, E159&gt;=200), "VIP",  IF(AND(I159&lt;=60, D159&gt;=5, E159&gt;=100), "Loyal", IF(AND(I159&lt;=90, D159&gt;=3), "Regular", IF(I159&lt;=30, "Recent", IF(D159&gt;=3, "Occasional", "At Risk")))))</f>
        <v>At Risk</v>
      </c>
      <c r="K159" t="str">
        <f t="array" ref="K159">IF(OR(J159="VIP", J159="Loyal"), "HIGH",IF(OR(J159="Regular", J159="Recent"), "MEDIUM","LOW"))</f>
        <v>LOW</v>
      </c>
    </row>
    <row r="160" spans="1:11">
      <c r="A160" t="s">
        <v>173</v>
      </c>
      <c r="B160" s="14">
        <f>_xlfn.MINIFS('working sheet'!$B$2:$B$3548, 'working sheet'!$D$2:$D$3548, A160)</f>
        <v>45423.818241851855</v>
      </c>
      <c r="C160" s="17">
        <f>_xlfn.MAXIFS('working sheet'!$B$1:$B$3548,'working sheet'!$D$1:$D$3548,'Customer Portfolio'!A160)</f>
        <v>45593.667598460648</v>
      </c>
      <c r="D160">
        <f>COUNTIFS('working sheet'!$D$1:$D$3548,'Customer Portfolio'!A160)</f>
        <v>2</v>
      </c>
      <c r="E160" s="5">
        <f>SUMIFS('working sheet'!$E$2:$E$3548,'working sheet'!$D$2:$D$3548,'Customer Portfolio'!A160)</f>
        <v>73.47999999999999</v>
      </c>
      <c r="F160" s="6">
        <f t="shared" si="4"/>
        <v>36.739999999999995</v>
      </c>
      <c r="G160" t="str">
        <f t="array" ref="G160">IFERROR(INDEX('working sheet'!$F$2:$F$3548, MODE(IF('working sheet'!$D$2:$D$3548=A160, MATCH('working sheet'!$F$2:$F$3548, 'working sheet'!$F$2:$F$3548, 0)))),
         INDEX('working sheet'!$F$2:$F$3548, MATCH(A160, 'working sheet'!$D$2:$D$3548, 0)))</f>
        <v>Latte</v>
      </c>
      <c r="H160" s="7">
        <f t="shared" si="5"/>
        <v>170.84935660879273</v>
      </c>
      <c r="I160" s="7">
        <f>MAX('working sheet'!$B$2:$B$3548)-C160</f>
        <v>146.09048759259167</v>
      </c>
      <c r="J160" s="4" t="str">
        <f t="array" ref="J160">IF(AND(I160&lt;=30, D160&gt;=10, E160&gt;=200), "VIP",  IF(AND(I160&lt;=60, D160&gt;=5, E160&gt;=100), "Loyal", IF(AND(I160&lt;=90, D160&gt;=3), "Regular", IF(I160&lt;=30, "Recent", IF(D160&gt;=3, "Occasional", "At Risk")))))</f>
        <v>At Risk</v>
      </c>
      <c r="K160" t="str">
        <f t="array" ref="K160">IF(OR(J160="VIP", J160="Loyal"), "HIGH",IF(OR(J160="Regular", J160="Recent"), "MEDIUM","LOW"))</f>
        <v>LOW</v>
      </c>
    </row>
    <row r="161" spans="1:11">
      <c r="A161" t="s">
        <v>174</v>
      </c>
      <c r="B161" s="14">
        <f>_xlfn.MINIFS('working sheet'!$B$2:$B$3548, 'working sheet'!$D$2:$D$3548, A161)</f>
        <v>45424.558373437503</v>
      </c>
      <c r="C161" s="17">
        <f>_xlfn.MAXIFS('working sheet'!$B$1:$B$3548,'working sheet'!$D$1:$D$3548,'Customer Portfolio'!A161)</f>
        <v>45424.558373437503</v>
      </c>
      <c r="D161">
        <f>COUNTIFS('working sheet'!$D$1:$D$3548,'Customer Portfolio'!A161)</f>
        <v>1</v>
      </c>
      <c r="E161" s="5">
        <f>SUMIFS('working sheet'!$E$2:$E$3548,'working sheet'!$D$2:$D$3548,'Customer Portfolio'!A161)</f>
        <v>37.72</v>
      </c>
      <c r="F161" s="6">
        <f t="shared" si="4"/>
        <v>37.72</v>
      </c>
      <c r="G161" t="str">
        <f t="array" ref="G161">IFERROR(INDEX('working sheet'!$F$2:$F$3548, MODE(IF('working sheet'!$D$2:$D$3548=A161, MATCH('working sheet'!$F$2:$F$3548, 'working sheet'!$F$2:$F$3548, 0)))),
         INDEX('working sheet'!$F$2:$F$3548, MATCH(A161, 'working sheet'!$D$2:$D$3548, 0)))</f>
        <v>Latte</v>
      </c>
      <c r="H161" s="7">
        <f t="shared" si="5"/>
        <v>1</v>
      </c>
      <c r="I161" s="7">
        <f>MAX('working sheet'!$B$2:$B$3548)-C161</f>
        <v>315.19971261573664</v>
      </c>
      <c r="J161" s="4" t="str">
        <f t="array" ref="J161">IF(AND(I161&lt;=30, D161&gt;=10, E161&gt;=200), "VIP",  IF(AND(I161&lt;=60, D161&gt;=5, E161&gt;=100), "Loyal", IF(AND(I161&lt;=90, D161&gt;=3), "Regular", IF(I161&lt;=30, "Recent", IF(D161&gt;=3, "Occasional", "At Risk")))))</f>
        <v>At Risk</v>
      </c>
      <c r="K161" t="str">
        <f t="array" ref="K161">IF(OR(J161="VIP", J161="Loyal"), "HIGH",IF(OR(J161="Regular", J161="Recent"), "MEDIUM","LOW"))</f>
        <v>LOW</v>
      </c>
    </row>
    <row r="162" spans="1:11">
      <c r="A162" t="s">
        <v>175</v>
      </c>
      <c r="B162" s="14">
        <f>_xlfn.MINIFS('working sheet'!$B$2:$B$3548, 'working sheet'!$D$2:$D$3548, A162)</f>
        <v>45424.560868553242</v>
      </c>
      <c r="C162" s="17">
        <f>_xlfn.MAXIFS('working sheet'!$B$1:$B$3548,'working sheet'!$D$1:$D$3548,'Customer Portfolio'!A162)</f>
        <v>45424.560868553242</v>
      </c>
      <c r="D162">
        <f>COUNTIFS('working sheet'!$D$1:$D$3548,'Customer Portfolio'!A162)</f>
        <v>1</v>
      </c>
      <c r="E162" s="5">
        <f>SUMIFS('working sheet'!$E$2:$E$3548,'working sheet'!$D$2:$D$3548,'Customer Portfolio'!A162)</f>
        <v>27.92</v>
      </c>
      <c r="F162" s="6">
        <f t="shared" si="4"/>
        <v>27.92</v>
      </c>
      <c r="G162" t="str">
        <f t="array" ref="G162">IFERROR(INDEX('working sheet'!$F$2:$F$3548, MODE(IF('working sheet'!$D$2:$D$3548=A162, MATCH('working sheet'!$F$2:$F$3548, 'working sheet'!$F$2:$F$3548, 0)))),
         INDEX('working sheet'!$F$2:$F$3548, MATCH(A162, 'working sheet'!$D$2:$D$3548, 0)))</f>
        <v>Americano</v>
      </c>
      <c r="H162" s="7">
        <f t="shared" si="5"/>
        <v>1</v>
      </c>
      <c r="I162" s="7">
        <f>MAX('working sheet'!$B$2:$B$3548)-C162</f>
        <v>315.19721749999735</v>
      </c>
      <c r="J162" s="4" t="str">
        <f t="array" ref="J162">IF(AND(I162&lt;=30, D162&gt;=10, E162&gt;=200), "VIP",  IF(AND(I162&lt;=60, D162&gt;=5, E162&gt;=100), "Loyal", IF(AND(I162&lt;=90, D162&gt;=3), "Regular", IF(I162&lt;=30, "Recent", IF(D162&gt;=3, "Occasional", "At Risk")))))</f>
        <v>At Risk</v>
      </c>
      <c r="K162" t="str">
        <f t="array" ref="K162">IF(OR(J162="VIP", J162="Loyal"), "HIGH",IF(OR(J162="Regular", J162="Recent"), "MEDIUM","LOW"))</f>
        <v>LOW</v>
      </c>
    </row>
    <row r="163" spans="1:11">
      <c r="A163" t="s">
        <v>176</v>
      </c>
      <c r="B163" s="14">
        <f>_xlfn.MINIFS('working sheet'!$B$2:$B$3548, 'working sheet'!$D$2:$D$3548, A163)</f>
        <v>45424.651416921297</v>
      </c>
      <c r="C163" s="17">
        <f>_xlfn.MAXIFS('working sheet'!$B$1:$B$3548,'working sheet'!$D$1:$D$3548,'Customer Portfolio'!A163)</f>
        <v>45424.651416921297</v>
      </c>
      <c r="D163">
        <f>COUNTIFS('working sheet'!$D$1:$D$3548,'Customer Portfolio'!A163)</f>
        <v>1</v>
      </c>
      <c r="E163" s="5">
        <f>SUMIFS('working sheet'!$E$2:$E$3548,'working sheet'!$D$2:$D$3548,'Customer Portfolio'!A163)</f>
        <v>32.82</v>
      </c>
      <c r="F163" s="6">
        <f t="shared" si="4"/>
        <v>32.82</v>
      </c>
      <c r="G163" t="str">
        <f t="array" ref="G163">IFERROR(INDEX('working sheet'!$F$2:$F$3548, MODE(IF('working sheet'!$D$2:$D$3548=A163, MATCH('working sheet'!$F$2:$F$3548, 'working sheet'!$F$2:$F$3548, 0)))),
         INDEX('working sheet'!$F$2:$F$3548, MATCH(A163, 'working sheet'!$D$2:$D$3548, 0)))</f>
        <v>Americano with Milk</v>
      </c>
      <c r="H163" s="7">
        <f t="shared" si="5"/>
        <v>1</v>
      </c>
      <c r="I163" s="7">
        <f>MAX('working sheet'!$B$2:$B$3548)-C163</f>
        <v>315.10666913194291</v>
      </c>
      <c r="J163" s="4" t="str">
        <f t="array" ref="J163">IF(AND(I163&lt;=30, D163&gt;=10, E163&gt;=200), "VIP",  IF(AND(I163&lt;=60, D163&gt;=5, E163&gt;=100), "Loyal", IF(AND(I163&lt;=90, D163&gt;=3), "Regular", IF(I163&lt;=30, "Recent", IF(D163&gt;=3, "Occasional", "At Risk")))))</f>
        <v>At Risk</v>
      </c>
      <c r="K163" t="str">
        <f t="array" ref="K163">IF(OR(J163="VIP", J163="Loyal"), "HIGH",IF(OR(J163="Regular", J163="Recent"), "MEDIUM","LOW"))</f>
        <v>LOW</v>
      </c>
    </row>
    <row r="164" spans="1:11">
      <c r="A164" t="s">
        <v>177</v>
      </c>
      <c r="B164" s="14">
        <f>_xlfn.MINIFS('working sheet'!$B$2:$B$3548, 'working sheet'!$D$2:$D$3548, A164)</f>
        <v>45424.661283229165</v>
      </c>
      <c r="C164" s="17">
        <f>_xlfn.MAXIFS('working sheet'!$B$1:$B$3548,'working sheet'!$D$1:$D$3548,'Customer Portfolio'!A164)</f>
        <v>45424.661283229165</v>
      </c>
      <c r="D164">
        <f>COUNTIFS('working sheet'!$D$1:$D$3548,'Customer Portfolio'!A164)</f>
        <v>1</v>
      </c>
      <c r="E164" s="5">
        <f>SUMIFS('working sheet'!$E$2:$E$3548,'working sheet'!$D$2:$D$3548,'Customer Portfolio'!A164)</f>
        <v>32.82</v>
      </c>
      <c r="F164" s="6">
        <f t="shared" si="4"/>
        <v>32.82</v>
      </c>
      <c r="G164" t="str">
        <f t="array" ref="G164">IFERROR(INDEX('working sheet'!$F$2:$F$3548, MODE(IF('working sheet'!$D$2:$D$3548=A164, MATCH('working sheet'!$F$2:$F$3548, 'working sheet'!$F$2:$F$3548, 0)))),
         INDEX('working sheet'!$F$2:$F$3548, MATCH(A164, 'working sheet'!$D$2:$D$3548, 0)))</f>
        <v>Americano with Milk</v>
      </c>
      <c r="H164" s="7">
        <f t="shared" si="5"/>
        <v>1</v>
      </c>
      <c r="I164" s="7">
        <f>MAX('working sheet'!$B$2:$B$3548)-C164</f>
        <v>315.09680282407498</v>
      </c>
      <c r="J164" s="4" t="str">
        <f t="array" ref="J164">IF(AND(I164&lt;=30, D164&gt;=10, E164&gt;=200), "VIP",  IF(AND(I164&lt;=60, D164&gt;=5, E164&gt;=100), "Loyal", IF(AND(I164&lt;=90, D164&gt;=3), "Regular", IF(I164&lt;=30, "Recent", IF(D164&gt;=3, "Occasional", "At Risk")))))</f>
        <v>At Risk</v>
      </c>
      <c r="K164" t="str">
        <f t="array" ref="K164">IF(OR(J164="VIP", J164="Loyal"), "HIGH",IF(OR(J164="Regular", J164="Recent"), "MEDIUM","LOW"))</f>
        <v>LOW</v>
      </c>
    </row>
    <row r="165" spans="1:11">
      <c r="A165" t="s">
        <v>178</v>
      </c>
      <c r="B165" s="14">
        <f>_xlfn.MINIFS('working sheet'!$B$2:$B$3548, 'working sheet'!$D$2:$D$3548, A165)</f>
        <v>45425.461034120373</v>
      </c>
      <c r="C165" s="17">
        <f>_xlfn.MAXIFS('working sheet'!$B$1:$B$3548,'working sheet'!$D$1:$D$3548,'Customer Portfolio'!A165)</f>
        <v>45467.489351145836</v>
      </c>
      <c r="D165">
        <f>COUNTIFS('working sheet'!$D$1:$D$3548,'Customer Portfolio'!A165)</f>
        <v>7</v>
      </c>
      <c r="E165" s="5">
        <f>SUMIFS('working sheet'!$E$2:$E$3548,'working sheet'!$D$2:$D$3548,'Customer Portfolio'!A165)</f>
        <v>234.64</v>
      </c>
      <c r="F165" s="6">
        <f t="shared" si="4"/>
        <v>33.519999999999996</v>
      </c>
      <c r="G165" t="str">
        <f t="array" ref="G165">IFERROR(INDEX('working sheet'!$F$2:$F$3548, MODE(IF('working sheet'!$D$2:$D$3548=A165, MATCH('working sheet'!$F$2:$F$3548, 'working sheet'!$F$2:$F$3548, 0)))),
         INDEX('working sheet'!$F$2:$F$3548, MATCH(A165, 'working sheet'!$D$2:$D$3548, 0)))</f>
        <v>Americano with Milk</v>
      </c>
      <c r="H165" s="7">
        <f t="shared" si="5"/>
        <v>43.028317025462457</v>
      </c>
      <c r="I165" s="7">
        <f>MAX('working sheet'!$B$2:$B$3548)-C165</f>
        <v>272.268734907404</v>
      </c>
      <c r="J165" s="4" t="str">
        <f t="array" ref="J165">IF(AND(I165&lt;=30, D165&gt;=10, E165&gt;=200), "VIP",  IF(AND(I165&lt;=60, D165&gt;=5, E165&gt;=100), "Loyal", IF(AND(I165&lt;=90, D165&gt;=3), "Regular", IF(I165&lt;=30, "Recent", IF(D165&gt;=3, "Occasional", "At Risk")))))</f>
        <v>Occasional</v>
      </c>
      <c r="K165" t="str">
        <f t="array" ref="K165">IF(OR(J165="VIP", J165="Loyal"), "HIGH",IF(OR(J165="Regular", J165="Recent"), "MEDIUM","LOW"))</f>
        <v>LOW</v>
      </c>
    </row>
    <row r="166" spans="1:11">
      <c r="A166" t="s">
        <v>179</v>
      </c>
      <c r="B166" s="14">
        <f>_xlfn.MINIFS('working sheet'!$B$2:$B$3548, 'working sheet'!$D$2:$D$3548, A166)</f>
        <v>45426.480895509259</v>
      </c>
      <c r="C166" s="17">
        <f>_xlfn.MAXIFS('working sheet'!$B$1:$B$3548,'working sheet'!$D$1:$D$3548,'Customer Portfolio'!A166)</f>
        <v>45426.482093182873</v>
      </c>
      <c r="D166">
        <f>COUNTIFS('working sheet'!$D$1:$D$3548,'Customer Portfolio'!A166)</f>
        <v>2</v>
      </c>
      <c r="E166" s="5">
        <f>SUMIFS('working sheet'!$E$2:$E$3548,'working sheet'!$D$2:$D$3548,'Customer Portfolio'!A166)</f>
        <v>75.44</v>
      </c>
      <c r="F166" s="6">
        <f t="shared" si="4"/>
        <v>37.72</v>
      </c>
      <c r="G166" t="str">
        <f t="array" ref="G166">IFERROR(INDEX('working sheet'!$F$2:$F$3548, MODE(IF('working sheet'!$D$2:$D$3548=A166, MATCH('working sheet'!$F$2:$F$3548, 'working sheet'!$F$2:$F$3548, 0)))),
         INDEX('working sheet'!$F$2:$F$3548, MATCH(A166, 'working sheet'!$D$2:$D$3548, 0)))</f>
        <v>Latte</v>
      </c>
      <c r="H166" s="7">
        <f t="shared" si="5"/>
        <v>1.0011976736132056</v>
      </c>
      <c r="I166" s="7">
        <f>MAX('working sheet'!$B$2:$B$3548)-C166</f>
        <v>313.27599287036719</v>
      </c>
      <c r="J166" s="4" t="str">
        <f t="array" ref="J166">IF(AND(I166&lt;=30, D166&gt;=10, E166&gt;=200), "VIP",  IF(AND(I166&lt;=60, D166&gt;=5, E166&gt;=100), "Loyal", IF(AND(I166&lt;=90, D166&gt;=3), "Regular", IF(I166&lt;=30, "Recent", IF(D166&gt;=3, "Occasional", "At Risk")))))</f>
        <v>At Risk</v>
      </c>
      <c r="K166" t="str">
        <f t="array" ref="K166">IF(OR(J166="VIP", J166="Loyal"), "HIGH",IF(OR(J166="Regular", J166="Recent"), "MEDIUM","LOW"))</f>
        <v>LOW</v>
      </c>
    </row>
    <row r="167" spans="1:11">
      <c r="A167" t="s">
        <v>180</v>
      </c>
      <c r="B167" s="14">
        <f>_xlfn.MINIFS('working sheet'!$B$2:$B$3548, 'working sheet'!$D$2:$D$3548, A167)</f>
        <v>45426.706912314818</v>
      </c>
      <c r="C167" s="17">
        <f>_xlfn.MAXIFS('working sheet'!$B$1:$B$3548,'working sheet'!$D$1:$D$3548,'Customer Portfolio'!A167)</f>
        <v>45426.707756875003</v>
      </c>
      <c r="D167">
        <f>COUNTIFS('working sheet'!$D$1:$D$3548,'Customer Portfolio'!A167)</f>
        <v>2</v>
      </c>
      <c r="E167" s="5">
        <f>SUMIFS('working sheet'!$E$2:$E$3548,'working sheet'!$D$2:$D$3548,'Customer Portfolio'!A167)</f>
        <v>70.539999999999992</v>
      </c>
      <c r="F167" s="6">
        <f t="shared" si="4"/>
        <v>35.269999999999996</v>
      </c>
      <c r="G167" t="str">
        <f t="array" ref="G167">IFERROR(INDEX('working sheet'!$F$2:$F$3548, MODE(IF('working sheet'!$D$2:$D$3548=A167, MATCH('working sheet'!$F$2:$F$3548, 'working sheet'!$F$2:$F$3548, 0)))),
         INDEX('working sheet'!$F$2:$F$3548, MATCH(A167, 'working sheet'!$D$2:$D$3548, 0)))</f>
        <v>Americano with Milk</v>
      </c>
      <c r="H167" s="7">
        <f t="shared" si="5"/>
        <v>1.0008445601852145</v>
      </c>
      <c r="I167" s="7">
        <f>MAX('working sheet'!$B$2:$B$3548)-C167</f>
        <v>313.05032917823701</v>
      </c>
      <c r="J167" s="4" t="str">
        <f t="array" ref="J167">IF(AND(I167&lt;=30, D167&gt;=10, E167&gt;=200), "VIP",  IF(AND(I167&lt;=60, D167&gt;=5, E167&gt;=100), "Loyal", IF(AND(I167&lt;=90, D167&gt;=3), "Regular", IF(I167&lt;=30, "Recent", IF(D167&gt;=3, "Occasional", "At Risk")))))</f>
        <v>At Risk</v>
      </c>
      <c r="K167" t="str">
        <f t="array" ref="K167">IF(OR(J167="VIP", J167="Loyal"), "HIGH",IF(OR(J167="Regular", J167="Recent"), "MEDIUM","LOW"))</f>
        <v>LOW</v>
      </c>
    </row>
    <row r="168" spans="1:11">
      <c r="A168" t="s">
        <v>181</v>
      </c>
      <c r="B168" s="14">
        <f>_xlfn.MINIFS('working sheet'!$B$2:$B$3548, 'working sheet'!$D$2:$D$3548, A168)</f>
        <v>45426.952375312503</v>
      </c>
      <c r="C168" s="17">
        <f>_xlfn.MAXIFS('working sheet'!$B$1:$B$3548,'working sheet'!$D$1:$D$3548,'Customer Portfolio'!A168)</f>
        <v>45426.952375312503</v>
      </c>
      <c r="D168">
        <f>COUNTIFS('working sheet'!$D$1:$D$3548,'Customer Portfolio'!A168)</f>
        <v>1</v>
      </c>
      <c r="E168" s="5">
        <f>SUMIFS('working sheet'!$E$2:$E$3548,'working sheet'!$D$2:$D$3548,'Customer Portfolio'!A168)</f>
        <v>37.72</v>
      </c>
      <c r="F168" s="6">
        <f t="shared" si="4"/>
        <v>37.72</v>
      </c>
      <c r="G168" t="str">
        <f t="array" ref="G168">IFERROR(INDEX('working sheet'!$F$2:$F$3548, MODE(IF('working sheet'!$D$2:$D$3548=A168, MATCH('working sheet'!$F$2:$F$3548, 'working sheet'!$F$2:$F$3548, 0)))),
         INDEX('working sheet'!$F$2:$F$3548, MATCH(A168, 'working sheet'!$D$2:$D$3548, 0)))</f>
        <v>Hot Chocolate</v>
      </c>
      <c r="H168" s="7">
        <f t="shared" si="5"/>
        <v>1</v>
      </c>
      <c r="I168" s="7">
        <f>MAX('working sheet'!$B$2:$B$3548)-C168</f>
        <v>312.80571074073669</v>
      </c>
      <c r="J168" s="4" t="str">
        <f t="array" ref="J168">IF(AND(I168&lt;=30, D168&gt;=10, E168&gt;=200), "VIP",  IF(AND(I168&lt;=60, D168&gt;=5, E168&gt;=100), "Loyal", IF(AND(I168&lt;=90, D168&gt;=3), "Regular", IF(I168&lt;=30, "Recent", IF(D168&gt;=3, "Occasional", "At Risk")))))</f>
        <v>At Risk</v>
      </c>
      <c r="K168" t="str">
        <f t="array" ref="K168">IF(OR(J168="VIP", J168="Loyal"), "HIGH",IF(OR(J168="Regular", J168="Recent"), "MEDIUM","LOW"))</f>
        <v>LOW</v>
      </c>
    </row>
    <row r="169" spans="1:11">
      <c r="A169" t="s">
        <v>182</v>
      </c>
      <c r="B169" s="14">
        <f>_xlfn.MINIFS('working sheet'!$B$2:$B$3548, 'working sheet'!$D$2:$D$3548, A169)</f>
        <v>45427.361176631945</v>
      </c>
      <c r="C169" s="17">
        <f>_xlfn.MAXIFS('working sheet'!$B$1:$B$3548,'working sheet'!$D$1:$D$3548,'Customer Portfolio'!A169)</f>
        <v>45538.35292164352</v>
      </c>
      <c r="D169">
        <f>COUNTIFS('working sheet'!$D$1:$D$3548,'Customer Portfolio'!A169)</f>
        <v>2</v>
      </c>
      <c r="E169" s="5">
        <f>SUMIFS('working sheet'!$E$2:$E$3548,'working sheet'!$D$2:$D$3548,'Customer Portfolio'!A169)</f>
        <v>70.539999999999992</v>
      </c>
      <c r="F169" s="6">
        <f t="shared" si="4"/>
        <v>35.269999999999996</v>
      </c>
      <c r="G169" t="str">
        <f t="array" ref="G169">IFERROR(INDEX('working sheet'!$F$2:$F$3548, MODE(IF('working sheet'!$D$2:$D$3548=A169, MATCH('working sheet'!$F$2:$F$3548, 'working sheet'!$F$2:$F$3548, 0)))),
         INDEX('working sheet'!$F$2:$F$3548, MATCH(A169, 'working sheet'!$D$2:$D$3548, 0)))</f>
        <v>Latte</v>
      </c>
      <c r="H169" s="7">
        <f t="shared" si="5"/>
        <v>111.9917450115754</v>
      </c>
      <c r="I169" s="7">
        <f>MAX('working sheet'!$B$2:$B$3548)-C169</f>
        <v>201.40516440971987</v>
      </c>
      <c r="J169" s="4" t="str">
        <f t="array" ref="J169">IF(AND(I169&lt;=30, D169&gt;=10, E169&gt;=200), "VIP",  IF(AND(I169&lt;=60, D169&gt;=5, E169&gt;=100), "Loyal", IF(AND(I169&lt;=90, D169&gt;=3), "Regular", IF(I169&lt;=30, "Recent", IF(D169&gt;=3, "Occasional", "At Risk")))))</f>
        <v>At Risk</v>
      </c>
      <c r="K169" t="str">
        <f t="array" ref="K169">IF(OR(J169="VIP", J169="Loyal"), "HIGH",IF(OR(J169="Regular", J169="Recent"), "MEDIUM","LOW"))</f>
        <v>LOW</v>
      </c>
    </row>
    <row r="170" spans="1:11">
      <c r="A170" t="s">
        <v>183</v>
      </c>
      <c r="B170" s="14">
        <f>_xlfn.MINIFS('working sheet'!$B$2:$B$3548, 'working sheet'!$D$2:$D$3548, A170)</f>
        <v>45427.610328090275</v>
      </c>
      <c r="C170" s="17">
        <f>_xlfn.MAXIFS('working sheet'!$B$1:$B$3548,'working sheet'!$D$1:$D$3548,'Customer Portfolio'!A170)</f>
        <v>45427.610328090275</v>
      </c>
      <c r="D170">
        <f>COUNTIFS('working sheet'!$D$1:$D$3548,'Customer Portfolio'!A170)</f>
        <v>1</v>
      </c>
      <c r="E170" s="5">
        <f>SUMIFS('working sheet'!$E$2:$E$3548,'working sheet'!$D$2:$D$3548,'Customer Portfolio'!A170)</f>
        <v>27.92</v>
      </c>
      <c r="F170" s="6">
        <f t="shared" si="4"/>
        <v>27.92</v>
      </c>
      <c r="G170" t="str">
        <f t="array" ref="G170">IFERROR(INDEX('working sheet'!$F$2:$F$3548, MODE(IF('working sheet'!$D$2:$D$3548=A170, MATCH('working sheet'!$F$2:$F$3548, 'working sheet'!$F$2:$F$3548, 0)))),
         INDEX('working sheet'!$F$2:$F$3548, MATCH(A170, 'working sheet'!$D$2:$D$3548, 0)))</f>
        <v>Cortado</v>
      </c>
      <c r="H170" s="7">
        <f t="shared" si="5"/>
        <v>1</v>
      </c>
      <c r="I170" s="7">
        <f>MAX('working sheet'!$B$2:$B$3548)-C170</f>
        <v>312.14775796296453</v>
      </c>
      <c r="J170" s="4" t="str">
        <f t="array" ref="J170">IF(AND(I170&lt;=30, D170&gt;=10, E170&gt;=200), "VIP",  IF(AND(I170&lt;=60, D170&gt;=5, E170&gt;=100), "Loyal", IF(AND(I170&lt;=90, D170&gt;=3), "Regular", IF(I170&lt;=30, "Recent", IF(D170&gt;=3, "Occasional", "At Risk")))))</f>
        <v>At Risk</v>
      </c>
      <c r="K170" t="str">
        <f t="array" ref="K170">IF(OR(J170="VIP", J170="Loyal"), "HIGH",IF(OR(J170="Regular", J170="Recent"), "MEDIUM","LOW"))</f>
        <v>LOW</v>
      </c>
    </row>
    <row r="171" spans="1:11">
      <c r="A171" t="s">
        <v>184</v>
      </c>
      <c r="B171" s="14">
        <f>_xlfn.MINIFS('working sheet'!$B$2:$B$3548, 'working sheet'!$D$2:$D$3548, A171)</f>
        <v>45427.728456249999</v>
      </c>
      <c r="C171" s="17">
        <f>_xlfn.MAXIFS('working sheet'!$B$1:$B$3548,'working sheet'!$D$1:$D$3548,'Customer Portfolio'!A171)</f>
        <v>45427.728456249999</v>
      </c>
      <c r="D171">
        <f>COUNTIFS('working sheet'!$D$1:$D$3548,'Customer Portfolio'!A171)</f>
        <v>1</v>
      </c>
      <c r="E171" s="5">
        <f>SUMIFS('working sheet'!$E$2:$E$3548,'working sheet'!$D$2:$D$3548,'Customer Portfolio'!A171)</f>
        <v>23.02</v>
      </c>
      <c r="F171" s="6">
        <f t="shared" si="4"/>
        <v>23.02</v>
      </c>
      <c r="G171" t="str">
        <f t="array" ref="G171">IFERROR(INDEX('working sheet'!$F$2:$F$3548, MODE(IF('working sheet'!$D$2:$D$3548=A171, MATCH('working sheet'!$F$2:$F$3548, 'working sheet'!$F$2:$F$3548, 0)))),
         INDEX('working sheet'!$F$2:$F$3548, MATCH(A171, 'working sheet'!$D$2:$D$3548, 0)))</f>
        <v>Espresso</v>
      </c>
      <c r="H171" s="7">
        <f t="shared" si="5"/>
        <v>1</v>
      </c>
      <c r="I171" s="7">
        <f>MAX('working sheet'!$B$2:$B$3548)-C171</f>
        <v>312.02962980324082</v>
      </c>
      <c r="J171" s="4" t="str">
        <f t="array" ref="J171">IF(AND(I171&lt;=30, D171&gt;=10, E171&gt;=200), "VIP",  IF(AND(I171&lt;=60, D171&gt;=5, E171&gt;=100), "Loyal", IF(AND(I171&lt;=90, D171&gt;=3), "Regular", IF(I171&lt;=30, "Recent", IF(D171&gt;=3, "Occasional", "At Risk")))))</f>
        <v>At Risk</v>
      </c>
      <c r="K171" t="str">
        <f t="array" ref="K171">IF(OR(J171="VIP", J171="Loyal"), "HIGH",IF(OR(J171="Regular", J171="Recent"), "MEDIUM","LOW"))</f>
        <v>LOW</v>
      </c>
    </row>
    <row r="172" spans="1:11">
      <c r="A172" t="s">
        <v>185</v>
      </c>
      <c r="B172" s="14">
        <f>_xlfn.MINIFS('working sheet'!$B$2:$B$3548, 'working sheet'!$D$2:$D$3548, A172)</f>
        <v>45427.847624641203</v>
      </c>
      <c r="C172" s="17">
        <f>_xlfn.MAXIFS('working sheet'!$B$1:$B$3548,'working sheet'!$D$1:$D$3548,'Customer Portfolio'!A172)</f>
        <v>45427.847624641203</v>
      </c>
      <c r="D172">
        <f>COUNTIFS('working sheet'!$D$1:$D$3548,'Customer Portfolio'!A172)</f>
        <v>1</v>
      </c>
      <c r="E172" s="5">
        <f>SUMIFS('working sheet'!$E$2:$E$3548,'working sheet'!$D$2:$D$3548,'Customer Portfolio'!A172)</f>
        <v>37.72</v>
      </c>
      <c r="F172" s="6">
        <f t="shared" si="4"/>
        <v>37.72</v>
      </c>
      <c r="G172" t="str">
        <f t="array" ref="G172">IFERROR(INDEX('working sheet'!$F$2:$F$3548, MODE(IF('working sheet'!$D$2:$D$3548=A172, MATCH('working sheet'!$F$2:$F$3548, 'working sheet'!$F$2:$F$3548, 0)))),
         INDEX('working sheet'!$F$2:$F$3548, MATCH(A172, 'working sheet'!$D$2:$D$3548, 0)))</f>
        <v>Cappuccino</v>
      </c>
      <c r="H172" s="7">
        <f t="shared" si="5"/>
        <v>1</v>
      </c>
      <c r="I172" s="7">
        <f>MAX('working sheet'!$B$2:$B$3548)-C172</f>
        <v>311.91046141203697</v>
      </c>
      <c r="J172" s="4" t="str">
        <f t="array" ref="J172">IF(AND(I172&lt;=30, D172&gt;=10, E172&gt;=200), "VIP",  IF(AND(I172&lt;=60, D172&gt;=5, E172&gt;=100), "Loyal", IF(AND(I172&lt;=90, D172&gt;=3), "Regular", IF(I172&lt;=30, "Recent", IF(D172&gt;=3, "Occasional", "At Risk")))))</f>
        <v>At Risk</v>
      </c>
      <c r="K172" t="str">
        <f t="array" ref="K172">IF(OR(J172="VIP", J172="Loyal"), "HIGH",IF(OR(J172="Regular", J172="Recent"), "MEDIUM","LOW"))</f>
        <v>LOW</v>
      </c>
    </row>
    <row r="173" spans="1:11">
      <c r="A173" t="s">
        <v>186</v>
      </c>
      <c r="B173" s="14">
        <f>_xlfn.MINIFS('working sheet'!$B$2:$B$3548, 'working sheet'!$D$2:$D$3548, A173)</f>
        <v>45428.444322118055</v>
      </c>
      <c r="C173" s="17">
        <f>_xlfn.MAXIFS('working sheet'!$B$1:$B$3548,'working sheet'!$D$1:$D$3548,'Customer Portfolio'!A173)</f>
        <v>45619.460412523149</v>
      </c>
      <c r="D173">
        <f>COUNTIFS('working sheet'!$D$1:$D$3548,'Customer Portfolio'!A173)</f>
        <v>6</v>
      </c>
      <c r="E173" s="5">
        <f>SUMIFS('working sheet'!$E$2:$E$3548,'working sheet'!$D$2:$D$3548,'Customer Portfolio'!A173)</f>
        <v>208.67999999999998</v>
      </c>
      <c r="F173" s="6">
        <f t="shared" si="4"/>
        <v>34.779999999999994</v>
      </c>
      <c r="G173" t="str">
        <f t="array" ref="G173">IFERROR(INDEX('working sheet'!$F$2:$F$3548, MODE(IF('working sheet'!$D$2:$D$3548=A173, MATCH('working sheet'!$F$2:$F$3548, 'working sheet'!$F$2:$F$3548, 0)))),
         INDEX('working sheet'!$F$2:$F$3548, MATCH(A173, 'working sheet'!$D$2:$D$3548, 0)))</f>
        <v>Cappuccino</v>
      </c>
      <c r="H173" s="7">
        <f t="shared" si="5"/>
        <v>192.01609040509356</v>
      </c>
      <c r="I173" s="7">
        <f>MAX('working sheet'!$B$2:$B$3548)-C173</f>
        <v>120.29767353009083</v>
      </c>
      <c r="J173" s="4" t="str">
        <f t="array" ref="J173">IF(AND(I173&lt;=30, D173&gt;=10, E173&gt;=200), "VIP",  IF(AND(I173&lt;=60, D173&gt;=5, E173&gt;=100), "Loyal", IF(AND(I173&lt;=90, D173&gt;=3), "Regular", IF(I173&lt;=30, "Recent", IF(D173&gt;=3, "Occasional", "At Risk")))))</f>
        <v>Occasional</v>
      </c>
      <c r="K173" t="str">
        <f t="array" ref="K173">IF(OR(J173="VIP", J173="Loyal"), "HIGH",IF(OR(J173="Regular", J173="Recent"), "MEDIUM","LOW"))</f>
        <v>LOW</v>
      </c>
    </row>
    <row r="174" spans="1:11">
      <c r="A174" t="s">
        <v>187</v>
      </c>
      <c r="B174" s="14">
        <f>_xlfn.MINIFS('working sheet'!$B$2:$B$3548, 'working sheet'!$D$2:$D$3548, A174)</f>
        <v>45428.509723344905</v>
      </c>
      <c r="C174" s="17">
        <f>_xlfn.MAXIFS('working sheet'!$B$1:$B$3548,'working sheet'!$D$1:$D$3548,'Customer Portfolio'!A174)</f>
        <v>45428.509723344905</v>
      </c>
      <c r="D174">
        <f>COUNTIFS('working sheet'!$D$1:$D$3548,'Customer Portfolio'!A174)</f>
        <v>1</v>
      </c>
      <c r="E174" s="5">
        <f>SUMIFS('working sheet'!$E$2:$E$3548,'working sheet'!$D$2:$D$3548,'Customer Portfolio'!A174)</f>
        <v>32.82</v>
      </c>
      <c r="F174" s="6">
        <f t="shared" si="4"/>
        <v>32.82</v>
      </c>
      <c r="G174" t="str">
        <f t="array" ref="G174">IFERROR(INDEX('working sheet'!$F$2:$F$3548, MODE(IF('working sheet'!$D$2:$D$3548=A174, MATCH('working sheet'!$F$2:$F$3548, 'working sheet'!$F$2:$F$3548, 0)))),
         INDEX('working sheet'!$F$2:$F$3548, MATCH(A174, 'working sheet'!$D$2:$D$3548, 0)))</f>
        <v>Americano with Milk</v>
      </c>
      <c r="H174" s="7">
        <f t="shared" si="5"/>
        <v>1</v>
      </c>
      <c r="I174" s="7">
        <f>MAX('working sheet'!$B$2:$B$3548)-C174</f>
        <v>311.24836270833475</v>
      </c>
      <c r="J174" s="4" t="str">
        <f t="array" ref="J174">IF(AND(I174&lt;=30, D174&gt;=10, E174&gt;=200), "VIP",  IF(AND(I174&lt;=60, D174&gt;=5, E174&gt;=100), "Loyal", IF(AND(I174&lt;=90, D174&gt;=3), "Regular", IF(I174&lt;=30, "Recent", IF(D174&gt;=3, "Occasional", "At Risk")))))</f>
        <v>At Risk</v>
      </c>
      <c r="K174" t="str">
        <f t="array" ref="K174">IF(OR(J174="VIP", J174="Loyal"), "HIGH",IF(OR(J174="Regular", J174="Recent"), "MEDIUM","LOW"))</f>
        <v>LOW</v>
      </c>
    </row>
    <row r="175" spans="1:11">
      <c r="A175" t="s">
        <v>188</v>
      </c>
      <c r="B175" s="14">
        <f>_xlfn.MINIFS('working sheet'!$B$2:$B$3548, 'working sheet'!$D$2:$D$3548, A175)</f>
        <v>45428.635605497686</v>
      </c>
      <c r="C175" s="17">
        <f>_xlfn.MAXIFS('working sheet'!$B$1:$B$3548,'working sheet'!$D$1:$D$3548,'Customer Portfolio'!A175)</f>
        <v>45428.635605497686</v>
      </c>
      <c r="D175">
        <f>COUNTIFS('working sheet'!$D$1:$D$3548,'Customer Portfolio'!A175)</f>
        <v>1</v>
      </c>
      <c r="E175" s="5">
        <f>SUMIFS('working sheet'!$E$2:$E$3548,'working sheet'!$D$2:$D$3548,'Customer Portfolio'!A175)</f>
        <v>37.72</v>
      </c>
      <c r="F175" s="6">
        <f t="shared" si="4"/>
        <v>37.72</v>
      </c>
      <c r="G175" t="str">
        <f t="array" ref="G175">IFERROR(INDEX('working sheet'!$F$2:$F$3548, MODE(IF('working sheet'!$D$2:$D$3548=A175, MATCH('working sheet'!$F$2:$F$3548, 'working sheet'!$F$2:$F$3548, 0)))),
         INDEX('working sheet'!$F$2:$F$3548, MATCH(A175, 'working sheet'!$D$2:$D$3548, 0)))</f>
        <v>Hot Chocolate</v>
      </c>
      <c r="H175" s="7">
        <f t="shared" si="5"/>
        <v>1</v>
      </c>
      <c r="I175" s="7">
        <f>MAX('working sheet'!$B$2:$B$3548)-C175</f>
        <v>311.12248055555392</v>
      </c>
      <c r="J175" s="4" t="str">
        <f t="array" ref="J175">IF(AND(I175&lt;=30, D175&gt;=10, E175&gt;=200), "VIP",  IF(AND(I175&lt;=60, D175&gt;=5, E175&gt;=100), "Loyal", IF(AND(I175&lt;=90, D175&gt;=3), "Regular", IF(I175&lt;=30, "Recent", IF(D175&gt;=3, "Occasional", "At Risk")))))</f>
        <v>At Risk</v>
      </c>
      <c r="K175" t="str">
        <f t="array" ref="K175">IF(OR(J175="VIP", J175="Loyal"), "HIGH",IF(OR(J175="Regular", J175="Recent"), "MEDIUM","LOW"))</f>
        <v>LOW</v>
      </c>
    </row>
    <row r="176" spans="1:11">
      <c r="A176" t="s">
        <v>189</v>
      </c>
      <c r="B176" s="14">
        <f>_xlfn.MINIFS('working sheet'!$B$2:$B$3548, 'working sheet'!$D$2:$D$3548, A176)</f>
        <v>45428.758992291667</v>
      </c>
      <c r="C176" s="17">
        <f>_xlfn.MAXIFS('working sheet'!$B$1:$B$3548,'working sheet'!$D$1:$D$3548,'Customer Portfolio'!A176)</f>
        <v>45428.759701284725</v>
      </c>
      <c r="D176">
        <f>COUNTIFS('working sheet'!$D$1:$D$3548,'Customer Portfolio'!A176)</f>
        <v>2</v>
      </c>
      <c r="E176" s="5">
        <f>SUMIFS('working sheet'!$E$2:$E$3548,'working sheet'!$D$2:$D$3548,'Customer Portfolio'!A176)</f>
        <v>75.44</v>
      </c>
      <c r="F176" s="6">
        <f t="shared" si="4"/>
        <v>37.72</v>
      </c>
      <c r="G176" t="str">
        <f t="array" ref="G176">IFERROR(INDEX('working sheet'!$F$2:$F$3548, MODE(IF('working sheet'!$D$2:$D$3548=A176, MATCH('working sheet'!$F$2:$F$3548, 'working sheet'!$F$2:$F$3548, 0)))),
         INDEX('working sheet'!$F$2:$F$3548, MATCH(A176, 'working sheet'!$D$2:$D$3548, 0)))</f>
        <v>Hot Chocolate</v>
      </c>
      <c r="H176" s="7">
        <f t="shared" si="5"/>
        <v>1.0007089930586517</v>
      </c>
      <c r="I176" s="7">
        <f>MAX('working sheet'!$B$2:$B$3548)-C176</f>
        <v>310.99838476851437</v>
      </c>
      <c r="J176" s="4" t="str">
        <f t="array" ref="J176">IF(AND(I176&lt;=30, D176&gt;=10, E176&gt;=200), "VIP",  IF(AND(I176&lt;=60, D176&gt;=5, E176&gt;=100), "Loyal", IF(AND(I176&lt;=90, D176&gt;=3), "Regular", IF(I176&lt;=30, "Recent", IF(D176&gt;=3, "Occasional", "At Risk")))))</f>
        <v>At Risk</v>
      </c>
      <c r="K176" t="str">
        <f t="array" ref="K176">IF(OR(J176="VIP", J176="Loyal"), "HIGH",IF(OR(J176="Regular", J176="Recent"), "MEDIUM","LOW"))</f>
        <v>LOW</v>
      </c>
    </row>
    <row r="177" spans="1:11">
      <c r="A177" t="s">
        <v>190</v>
      </c>
      <c r="B177" s="14">
        <f>_xlfn.MINIFS('working sheet'!$B$2:$B$3548, 'working sheet'!$D$2:$D$3548, A177)</f>
        <v>45429.859640393515</v>
      </c>
      <c r="C177" s="17">
        <f>_xlfn.MAXIFS('working sheet'!$B$1:$B$3548,'working sheet'!$D$1:$D$3548,'Customer Portfolio'!A177)</f>
        <v>45429.859640393515</v>
      </c>
      <c r="D177">
        <f>COUNTIFS('working sheet'!$D$1:$D$3548,'Customer Portfolio'!A177)</f>
        <v>1</v>
      </c>
      <c r="E177" s="5">
        <f>SUMIFS('working sheet'!$E$2:$E$3548,'working sheet'!$D$2:$D$3548,'Customer Portfolio'!A177)</f>
        <v>37.72</v>
      </c>
      <c r="F177" s="6">
        <f t="shared" si="4"/>
        <v>37.72</v>
      </c>
      <c r="G177" t="str">
        <f t="array" ref="G177">IFERROR(INDEX('working sheet'!$F$2:$F$3548, MODE(IF('working sheet'!$D$2:$D$3548=A177, MATCH('working sheet'!$F$2:$F$3548, 'working sheet'!$F$2:$F$3548, 0)))),
         INDEX('working sheet'!$F$2:$F$3548, MATCH(A177, 'working sheet'!$D$2:$D$3548, 0)))</f>
        <v>Cappuccino</v>
      </c>
      <c r="H177" s="7">
        <f t="shared" si="5"/>
        <v>1</v>
      </c>
      <c r="I177" s="7">
        <f>MAX('working sheet'!$B$2:$B$3548)-C177</f>
        <v>309.89844565972453</v>
      </c>
      <c r="J177" s="4" t="str">
        <f t="array" ref="J177">IF(AND(I177&lt;=30, D177&gt;=10, E177&gt;=200), "VIP",  IF(AND(I177&lt;=60, D177&gt;=5, E177&gt;=100), "Loyal", IF(AND(I177&lt;=90, D177&gt;=3), "Regular", IF(I177&lt;=30, "Recent", IF(D177&gt;=3, "Occasional", "At Risk")))))</f>
        <v>At Risk</v>
      </c>
      <c r="K177" t="str">
        <f t="array" ref="K177">IF(OR(J177="VIP", J177="Loyal"), "HIGH",IF(OR(J177="Regular", J177="Recent"), "MEDIUM","LOW"))</f>
        <v>LOW</v>
      </c>
    </row>
    <row r="178" spans="1:11">
      <c r="A178" t="s">
        <v>191</v>
      </c>
      <c r="B178" s="14">
        <f>_xlfn.MINIFS('working sheet'!$B$2:$B$3548, 'working sheet'!$D$2:$D$3548, A178)</f>
        <v>45429.940865706019</v>
      </c>
      <c r="C178" s="17">
        <f>_xlfn.MAXIFS('working sheet'!$B$1:$B$3548,'working sheet'!$D$1:$D$3548,'Customer Portfolio'!A178)</f>
        <v>45485.940443368054</v>
      </c>
      <c r="D178">
        <f>COUNTIFS('working sheet'!$D$1:$D$3548,'Customer Portfolio'!A178)</f>
        <v>2</v>
      </c>
      <c r="E178" s="5">
        <f>SUMIFS('working sheet'!$E$2:$E$3548,'working sheet'!$D$2:$D$3548,'Customer Portfolio'!A178)</f>
        <v>60.74</v>
      </c>
      <c r="F178" s="6">
        <f t="shared" si="4"/>
        <v>30.37</v>
      </c>
      <c r="G178" t="str">
        <f t="array" ref="G178">IFERROR(INDEX('working sheet'!$F$2:$F$3548, MODE(IF('working sheet'!$D$2:$D$3548=A178, MATCH('working sheet'!$F$2:$F$3548, 'working sheet'!$F$2:$F$3548, 0)))),
         INDEX('working sheet'!$F$2:$F$3548, MATCH(A178, 'working sheet'!$D$2:$D$3548, 0)))</f>
        <v>Americano</v>
      </c>
      <c r="H178" s="7">
        <f t="shared" si="5"/>
        <v>56.999577662034426</v>
      </c>
      <c r="I178" s="7">
        <f>MAX('working sheet'!$B$2:$B$3548)-C178</f>
        <v>253.817642685186</v>
      </c>
      <c r="J178" s="4" t="str">
        <f t="array" ref="J178">IF(AND(I178&lt;=30, D178&gt;=10, E178&gt;=200), "VIP",  IF(AND(I178&lt;=60, D178&gt;=5, E178&gt;=100), "Loyal", IF(AND(I178&lt;=90, D178&gt;=3), "Regular", IF(I178&lt;=30, "Recent", IF(D178&gt;=3, "Occasional", "At Risk")))))</f>
        <v>At Risk</v>
      </c>
      <c r="K178" t="str">
        <f t="array" ref="K178">IF(OR(J178="VIP", J178="Loyal"), "HIGH",IF(OR(J178="Regular", J178="Recent"), "MEDIUM","LOW"))</f>
        <v>LOW</v>
      </c>
    </row>
    <row r="179" spans="1:11">
      <c r="A179" t="s">
        <v>192</v>
      </c>
      <c r="B179" s="14">
        <f>_xlfn.MINIFS('working sheet'!$B$2:$B$3548, 'working sheet'!$D$2:$D$3548, A179)</f>
        <v>45429.942052743056</v>
      </c>
      <c r="C179" s="17">
        <f>_xlfn.MAXIFS('working sheet'!$B$1:$B$3548,'working sheet'!$D$1:$D$3548,'Customer Portfolio'!A179)</f>
        <v>45485.939879502315</v>
      </c>
      <c r="D179">
        <f>COUNTIFS('working sheet'!$D$1:$D$3548,'Customer Portfolio'!A179)</f>
        <v>2</v>
      </c>
      <c r="E179" s="5">
        <f>SUMIFS('working sheet'!$E$2:$E$3548,'working sheet'!$D$2:$D$3548,'Customer Portfolio'!A179)</f>
        <v>70.539999999999992</v>
      </c>
      <c r="F179" s="6">
        <f t="shared" si="4"/>
        <v>35.269999999999996</v>
      </c>
      <c r="G179" t="str">
        <f t="array" ref="G179">IFERROR(INDEX('working sheet'!$F$2:$F$3548, MODE(IF('working sheet'!$D$2:$D$3548=A179, MATCH('working sheet'!$F$2:$F$3548, 'working sheet'!$F$2:$F$3548, 0)))),
         INDEX('working sheet'!$F$2:$F$3548, MATCH(A179, 'working sheet'!$D$2:$D$3548, 0)))</f>
        <v>Latte</v>
      </c>
      <c r="H179" s="7">
        <f t="shared" si="5"/>
        <v>56.997826759259624</v>
      </c>
      <c r="I179" s="7">
        <f>MAX('working sheet'!$B$2:$B$3548)-C179</f>
        <v>253.81820655092451</v>
      </c>
      <c r="J179" s="4" t="str">
        <f t="array" ref="J179">IF(AND(I179&lt;=30, D179&gt;=10, E179&gt;=200), "VIP",  IF(AND(I179&lt;=60, D179&gt;=5, E179&gt;=100), "Loyal", IF(AND(I179&lt;=90, D179&gt;=3), "Regular", IF(I179&lt;=30, "Recent", IF(D179&gt;=3, "Occasional", "At Risk")))))</f>
        <v>At Risk</v>
      </c>
      <c r="K179" t="str">
        <f t="array" ref="K179">IF(OR(J179="VIP", J179="Loyal"), "HIGH",IF(OR(J179="Regular", J179="Recent"), "MEDIUM","LOW"))</f>
        <v>LOW</v>
      </c>
    </row>
    <row r="180" spans="1:11">
      <c r="A180" t="s">
        <v>193</v>
      </c>
      <c r="B180" s="14">
        <f>_xlfn.MINIFS('working sheet'!$B$2:$B$3548, 'working sheet'!$D$2:$D$3548, A180)</f>
        <v>45429.942856724534</v>
      </c>
      <c r="C180" s="17">
        <f>_xlfn.MAXIFS('working sheet'!$B$1:$B$3548,'working sheet'!$D$1:$D$3548,'Customer Portfolio'!A180)</f>
        <v>45537.841179814815</v>
      </c>
      <c r="D180">
        <f>COUNTIFS('working sheet'!$D$1:$D$3548,'Customer Portfolio'!A180)</f>
        <v>3</v>
      </c>
      <c r="E180" s="5">
        <f>SUMIFS('working sheet'!$E$2:$E$3548,'working sheet'!$D$2:$D$3548,'Customer Portfolio'!A180)</f>
        <v>103.35999999999999</v>
      </c>
      <c r="F180" s="6">
        <f t="shared" si="4"/>
        <v>34.453333333333326</v>
      </c>
      <c r="G180" t="str">
        <f t="array" ref="G180">IFERROR(INDEX('working sheet'!$F$2:$F$3548, MODE(IF('working sheet'!$D$2:$D$3548=A180, MATCH('working sheet'!$F$2:$F$3548, 'working sheet'!$F$2:$F$3548, 0)))),
         INDEX('working sheet'!$F$2:$F$3548, MATCH(A180, 'working sheet'!$D$2:$D$3548, 0)))</f>
        <v>Latte</v>
      </c>
      <c r="H180" s="7">
        <f t="shared" si="5"/>
        <v>108.89832309028134</v>
      </c>
      <c r="I180" s="7">
        <f>MAX('working sheet'!$B$2:$B$3548)-C180</f>
        <v>201.91690623842442</v>
      </c>
      <c r="J180" s="4" t="str">
        <f t="array" ref="J180">IF(AND(I180&lt;=30, D180&gt;=10, E180&gt;=200), "VIP",  IF(AND(I180&lt;=60, D180&gt;=5, E180&gt;=100), "Loyal", IF(AND(I180&lt;=90, D180&gt;=3), "Regular", IF(I180&lt;=30, "Recent", IF(D180&gt;=3, "Occasional", "At Risk")))))</f>
        <v>Occasional</v>
      </c>
      <c r="K180" t="str">
        <f t="array" ref="K180">IF(OR(J180="VIP", J180="Loyal"), "HIGH",IF(OR(J180="Regular", J180="Recent"), "MEDIUM","LOW"))</f>
        <v>LOW</v>
      </c>
    </row>
    <row r="181" spans="1:11">
      <c r="A181" t="s">
        <v>194</v>
      </c>
      <c r="B181" s="14">
        <f>_xlfn.MINIFS('working sheet'!$B$2:$B$3548, 'working sheet'!$D$2:$D$3548, A181)</f>
        <v>45430.334466412038</v>
      </c>
      <c r="C181" s="17">
        <f>_xlfn.MAXIFS('working sheet'!$B$1:$B$3548,'working sheet'!$D$1:$D$3548,'Customer Portfolio'!A181)</f>
        <v>45467.49356574074</v>
      </c>
      <c r="D181">
        <f>COUNTIFS('working sheet'!$D$1:$D$3548,'Customer Portfolio'!A181)</f>
        <v>12</v>
      </c>
      <c r="E181" s="5">
        <f>SUMIFS('working sheet'!$E$2:$E$3548,'working sheet'!$D$2:$D$3548,'Customer Portfolio'!A181)</f>
        <v>442.84000000000003</v>
      </c>
      <c r="F181" s="6">
        <f t="shared" si="4"/>
        <v>36.903333333333336</v>
      </c>
      <c r="G181" t="str">
        <f t="array" ref="G181">IFERROR(INDEX('working sheet'!$F$2:$F$3548, MODE(IF('working sheet'!$D$2:$D$3548=A181, MATCH('working sheet'!$F$2:$F$3548, 'working sheet'!$F$2:$F$3548, 0)))),
         INDEX('working sheet'!$F$2:$F$3548, MATCH(A181, 'working sheet'!$D$2:$D$3548, 0)))</f>
        <v>Cappuccino</v>
      </c>
      <c r="H181" s="7">
        <f t="shared" si="5"/>
        <v>38.159099328702723</v>
      </c>
      <c r="I181" s="7">
        <f>MAX('working sheet'!$B$2:$B$3548)-C181</f>
        <v>272.26452031249937</v>
      </c>
      <c r="J181" s="4" t="str">
        <f t="array" ref="J181">IF(AND(I181&lt;=30, D181&gt;=10, E181&gt;=200), "VIP",  IF(AND(I181&lt;=60, D181&gt;=5, E181&gt;=100), "Loyal", IF(AND(I181&lt;=90, D181&gt;=3), "Regular", IF(I181&lt;=30, "Recent", IF(D181&gt;=3, "Occasional", "At Risk")))))</f>
        <v>Occasional</v>
      </c>
      <c r="K181" t="str">
        <f t="array" ref="K181">IF(OR(J181="VIP", J181="Loyal"), "HIGH",IF(OR(J181="Regular", J181="Recent"), "MEDIUM","LOW"))</f>
        <v>LOW</v>
      </c>
    </row>
    <row r="182" spans="1:11">
      <c r="A182" t="s">
        <v>195</v>
      </c>
      <c r="B182" s="14">
        <f>_xlfn.MINIFS('working sheet'!$B$2:$B$3548, 'working sheet'!$D$2:$D$3548, A182)</f>
        <v>45430.469399178241</v>
      </c>
      <c r="C182" s="17">
        <f>_xlfn.MAXIFS('working sheet'!$B$1:$B$3548,'working sheet'!$D$1:$D$3548,'Customer Portfolio'!A182)</f>
        <v>45536.522476932871</v>
      </c>
      <c r="D182">
        <f>COUNTIFS('working sheet'!$D$1:$D$3548,'Customer Portfolio'!A182)</f>
        <v>3</v>
      </c>
      <c r="E182" s="5">
        <f>SUMIFS('working sheet'!$E$2:$E$3548,'working sheet'!$D$2:$D$3548,'Customer Portfolio'!A182)</f>
        <v>83.76</v>
      </c>
      <c r="F182" s="6">
        <f t="shared" si="4"/>
        <v>27.92</v>
      </c>
      <c r="G182" t="str">
        <f t="array" ref="G182">IFERROR(INDEX('working sheet'!$F$2:$F$3548, MODE(IF('working sheet'!$D$2:$D$3548=A182, MATCH('working sheet'!$F$2:$F$3548, 'working sheet'!$F$2:$F$3548, 0)))),
         INDEX('working sheet'!$F$2:$F$3548, MATCH(A182, 'working sheet'!$D$2:$D$3548, 0)))</f>
        <v>Americano with Milk</v>
      </c>
      <c r="H182" s="7">
        <f t="shared" si="5"/>
        <v>107.05307775463007</v>
      </c>
      <c r="I182" s="7">
        <f>MAX('working sheet'!$B$2:$B$3548)-C182</f>
        <v>203.23560912036919</v>
      </c>
      <c r="J182" s="4" t="str">
        <f t="array" ref="J182">IF(AND(I182&lt;=30, D182&gt;=10, E182&gt;=200), "VIP",  IF(AND(I182&lt;=60, D182&gt;=5, E182&gt;=100), "Loyal", IF(AND(I182&lt;=90, D182&gt;=3), "Regular", IF(I182&lt;=30, "Recent", IF(D182&gt;=3, "Occasional", "At Risk")))))</f>
        <v>Occasional</v>
      </c>
      <c r="K182" t="str">
        <f t="array" ref="K182">IF(OR(J182="VIP", J182="Loyal"), "HIGH",IF(OR(J182="Regular", J182="Recent"), "MEDIUM","LOW"))</f>
        <v>LOW</v>
      </c>
    </row>
    <row r="183" spans="1:11">
      <c r="A183" t="s">
        <v>196</v>
      </c>
      <c r="B183" s="14">
        <f>_xlfn.MINIFS('working sheet'!$B$2:$B$3548, 'working sheet'!$D$2:$D$3548, A183)</f>
        <v>45431.332387870367</v>
      </c>
      <c r="C183" s="17">
        <f>_xlfn.MAXIFS('working sheet'!$B$1:$B$3548,'working sheet'!$D$1:$D$3548,'Customer Portfolio'!A183)</f>
        <v>45431.333027187502</v>
      </c>
      <c r="D183">
        <f>COUNTIFS('working sheet'!$D$1:$D$3548,'Customer Portfolio'!A183)</f>
        <v>2</v>
      </c>
      <c r="E183" s="5">
        <f>SUMIFS('working sheet'!$E$2:$E$3548,'working sheet'!$D$2:$D$3548,'Customer Portfolio'!A183)</f>
        <v>55.84</v>
      </c>
      <c r="F183" s="6">
        <f t="shared" si="4"/>
        <v>27.92</v>
      </c>
      <c r="G183" t="str">
        <f t="array" ref="G183">IFERROR(INDEX('working sheet'!$F$2:$F$3548, MODE(IF('working sheet'!$D$2:$D$3548=A183, MATCH('working sheet'!$F$2:$F$3548, 'working sheet'!$F$2:$F$3548, 0)))),
         INDEX('working sheet'!$F$2:$F$3548, MATCH(A183, 'working sheet'!$D$2:$D$3548, 0)))</f>
        <v>Americano</v>
      </c>
      <c r="H183" s="7">
        <f t="shared" si="5"/>
        <v>1.0006393171352101</v>
      </c>
      <c r="I183" s="7">
        <f>MAX('working sheet'!$B$2:$B$3548)-C183</f>
        <v>308.42505886573781</v>
      </c>
      <c r="J183" s="4" t="str">
        <f t="array" ref="J183">IF(AND(I183&lt;=30, D183&gt;=10, E183&gt;=200), "VIP",  IF(AND(I183&lt;=60, D183&gt;=5, E183&gt;=100), "Loyal", IF(AND(I183&lt;=90, D183&gt;=3), "Regular", IF(I183&lt;=30, "Recent", IF(D183&gt;=3, "Occasional", "At Risk")))))</f>
        <v>At Risk</v>
      </c>
      <c r="K183" t="str">
        <f t="array" ref="K183">IF(OR(J183="VIP", J183="Loyal"), "HIGH",IF(OR(J183="Regular", J183="Recent"), "MEDIUM","LOW"))</f>
        <v>LOW</v>
      </c>
    </row>
    <row r="184" spans="1:11">
      <c r="A184" t="s">
        <v>197</v>
      </c>
      <c r="B184" s="14">
        <f>_xlfn.MINIFS('working sheet'!$B$2:$B$3548, 'working sheet'!$D$2:$D$3548, A184)</f>
        <v>45431.333739131944</v>
      </c>
      <c r="C184" s="17">
        <f>_xlfn.MAXIFS('working sheet'!$B$1:$B$3548,'working sheet'!$D$1:$D$3548,'Customer Portfolio'!A184)</f>
        <v>45431.333739131944</v>
      </c>
      <c r="D184">
        <f>COUNTIFS('working sheet'!$D$1:$D$3548,'Customer Portfolio'!A184)</f>
        <v>1</v>
      </c>
      <c r="E184" s="5">
        <f>SUMIFS('working sheet'!$E$2:$E$3548,'working sheet'!$D$2:$D$3548,'Customer Portfolio'!A184)</f>
        <v>37.72</v>
      </c>
      <c r="F184" s="6">
        <f t="shared" si="4"/>
        <v>37.72</v>
      </c>
      <c r="G184" t="str">
        <f t="array" ref="G184">IFERROR(INDEX('working sheet'!$F$2:$F$3548, MODE(IF('working sheet'!$D$2:$D$3548=A184, MATCH('working sheet'!$F$2:$F$3548, 'working sheet'!$F$2:$F$3548, 0)))),
         INDEX('working sheet'!$F$2:$F$3548, MATCH(A184, 'working sheet'!$D$2:$D$3548, 0)))</f>
        <v>Cappuccino</v>
      </c>
      <c r="H184" s="7">
        <f t="shared" si="5"/>
        <v>1</v>
      </c>
      <c r="I184" s="7">
        <f>MAX('working sheet'!$B$2:$B$3548)-C184</f>
        <v>308.42434692129609</v>
      </c>
      <c r="J184" s="4" t="str">
        <f t="array" ref="J184">IF(AND(I184&lt;=30, D184&gt;=10, E184&gt;=200), "VIP",  IF(AND(I184&lt;=60, D184&gt;=5, E184&gt;=100), "Loyal", IF(AND(I184&lt;=90, D184&gt;=3), "Regular", IF(I184&lt;=30, "Recent", IF(D184&gt;=3, "Occasional", "At Risk")))))</f>
        <v>At Risk</v>
      </c>
      <c r="K184" t="str">
        <f t="array" ref="K184">IF(OR(J184="VIP", J184="Loyal"), "HIGH",IF(OR(J184="Regular", J184="Recent"), "MEDIUM","LOW"))</f>
        <v>LOW</v>
      </c>
    </row>
    <row r="185" spans="1:11">
      <c r="A185" t="s">
        <v>198</v>
      </c>
      <c r="B185" s="14">
        <f>_xlfn.MINIFS('working sheet'!$B$2:$B$3548, 'working sheet'!$D$2:$D$3548, A185)</f>
        <v>45431.510030972226</v>
      </c>
      <c r="C185" s="17">
        <f>_xlfn.MAXIFS('working sheet'!$B$1:$B$3548,'working sheet'!$D$1:$D$3548,'Customer Portfolio'!A185)</f>
        <v>45431.510030972226</v>
      </c>
      <c r="D185">
        <f>COUNTIFS('working sheet'!$D$1:$D$3548,'Customer Portfolio'!A185)</f>
        <v>1</v>
      </c>
      <c r="E185" s="5">
        <f>SUMIFS('working sheet'!$E$2:$E$3548,'working sheet'!$D$2:$D$3548,'Customer Portfolio'!A185)</f>
        <v>32.82</v>
      </c>
      <c r="F185" s="6">
        <f t="shared" si="4"/>
        <v>32.82</v>
      </c>
      <c r="G185" t="str">
        <f t="array" ref="G185">IFERROR(INDEX('working sheet'!$F$2:$F$3548, MODE(IF('working sheet'!$D$2:$D$3548=A185, MATCH('working sheet'!$F$2:$F$3548, 'working sheet'!$F$2:$F$3548, 0)))),
         INDEX('working sheet'!$F$2:$F$3548, MATCH(A185, 'working sheet'!$D$2:$D$3548, 0)))</f>
        <v>Americano with Milk</v>
      </c>
      <c r="H185" s="7">
        <f t="shared" si="5"/>
        <v>1</v>
      </c>
      <c r="I185" s="7">
        <f>MAX('working sheet'!$B$2:$B$3548)-C185</f>
        <v>308.24805508101417</v>
      </c>
      <c r="J185" s="4" t="str">
        <f t="array" ref="J185">IF(AND(I185&lt;=30, D185&gt;=10, E185&gt;=200), "VIP",  IF(AND(I185&lt;=60, D185&gt;=5, E185&gt;=100), "Loyal", IF(AND(I185&lt;=90, D185&gt;=3), "Regular", IF(I185&lt;=30, "Recent", IF(D185&gt;=3, "Occasional", "At Risk")))))</f>
        <v>At Risk</v>
      </c>
      <c r="K185" t="str">
        <f t="array" ref="K185">IF(OR(J185="VIP", J185="Loyal"), "HIGH",IF(OR(J185="Regular", J185="Recent"), "MEDIUM","LOW"))</f>
        <v>LOW</v>
      </c>
    </row>
    <row r="186" spans="1:11">
      <c r="A186" t="s">
        <v>199</v>
      </c>
      <c r="B186" s="14">
        <f>_xlfn.MINIFS('working sheet'!$B$2:$B$3548, 'working sheet'!$D$2:$D$3548, A186)</f>
        <v>45431.665951296294</v>
      </c>
      <c r="C186" s="17">
        <f>_xlfn.MAXIFS('working sheet'!$B$1:$B$3548,'working sheet'!$D$1:$D$3548,'Customer Portfolio'!A186)</f>
        <v>45431.665951296294</v>
      </c>
      <c r="D186">
        <f>COUNTIFS('working sheet'!$D$1:$D$3548,'Customer Portfolio'!A186)</f>
        <v>1</v>
      </c>
      <c r="E186" s="5">
        <f>SUMIFS('working sheet'!$E$2:$E$3548,'working sheet'!$D$2:$D$3548,'Customer Portfolio'!A186)</f>
        <v>32.82</v>
      </c>
      <c r="F186" s="6">
        <f t="shared" si="4"/>
        <v>32.82</v>
      </c>
      <c r="G186" t="str">
        <f t="array" ref="G186">IFERROR(INDEX('working sheet'!$F$2:$F$3548, MODE(IF('working sheet'!$D$2:$D$3548=A186, MATCH('working sheet'!$F$2:$F$3548, 'working sheet'!$F$2:$F$3548, 0)))),
         INDEX('working sheet'!$F$2:$F$3548, MATCH(A186, 'working sheet'!$D$2:$D$3548, 0)))</f>
        <v>Americano with Milk</v>
      </c>
      <c r="H186" s="7">
        <f t="shared" si="5"/>
        <v>1</v>
      </c>
      <c r="I186" s="7">
        <f>MAX('working sheet'!$B$2:$B$3548)-C186</f>
        <v>308.0921347569456</v>
      </c>
      <c r="J186" s="4" t="str">
        <f t="array" ref="J186">IF(AND(I186&lt;=30, D186&gt;=10, E186&gt;=200), "VIP",  IF(AND(I186&lt;=60, D186&gt;=5, E186&gt;=100), "Loyal", IF(AND(I186&lt;=90, D186&gt;=3), "Regular", IF(I186&lt;=30, "Recent", IF(D186&gt;=3, "Occasional", "At Risk")))))</f>
        <v>At Risk</v>
      </c>
      <c r="K186" t="str">
        <f t="array" ref="K186">IF(OR(J186="VIP", J186="Loyal"), "HIGH",IF(OR(J186="Regular", J186="Recent"), "MEDIUM","LOW"))</f>
        <v>LOW</v>
      </c>
    </row>
    <row r="187" spans="1:11">
      <c r="A187" t="s">
        <v>200</v>
      </c>
      <c r="B187" s="14">
        <f>_xlfn.MINIFS('working sheet'!$B$2:$B$3548, 'working sheet'!$D$2:$D$3548, A187)</f>
        <v>45431.758753518516</v>
      </c>
      <c r="C187" s="17">
        <f>_xlfn.MAXIFS('working sheet'!$B$1:$B$3548,'working sheet'!$D$1:$D$3548,'Customer Portfolio'!A187)</f>
        <v>45431.761458587964</v>
      </c>
      <c r="D187">
        <f>COUNTIFS('working sheet'!$D$1:$D$3548,'Customer Portfolio'!A187)</f>
        <v>3</v>
      </c>
      <c r="E187" s="5">
        <f>SUMIFS('working sheet'!$E$2:$E$3548,'working sheet'!$D$2:$D$3548,'Customer Portfolio'!A187)</f>
        <v>93.56</v>
      </c>
      <c r="F187" s="6">
        <f t="shared" si="4"/>
        <v>31.186666666666667</v>
      </c>
      <c r="G187" t="str">
        <f t="array" ref="G187">IFERROR(INDEX('working sheet'!$F$2:$F$3548, MODE(IF('working sheet'!$D$2:$D$3548=A187, MATCH('working sheet'!$F$2:$F$3548, 'working sheet'!$F$2:$F$3548, 0)))),
         INDEX('working sheet'!$F$2:$F$3548, MATCH(A187, 'working sheet'!$D$2:$D$3548, 0)))</f>
        <v>Americano with Milk</v>
      </c>
      <c r="H187" s="7">
        <f t="shared" si="5"/>
        <v>1.002705069447984</v>
      </c>
      <c r="I187" s="7">
        <f>MAX('working sheet'!$B$2:$B$3548)-C187</f>
        <v>307.99662746527611</v>
      </c>
      <c r="J187" s="4" t="str">
        <f t="array" ref="J187">IF(AND(I187&lt;=30, D187&gt;=10, E187&gt;=200), "VIP",  IF(AND(I187&lt;=60, D187&gt;=5, E187&gt;=100), "Loyal", IF(AND(I187&lt;=90, D187&gt;=3), "Regular", IF(I187&lt;=30, "Recent", IF(D187&gt;=3, "Occasional", "At Risk")))))</f>
        <v>Occasional</v>
      </c>
      <c r="K187" t="str">
        <f t="array" ref="K187">IF(OR(J187="VIP", J187="Loyal"), "HIGH",IF(OR(J187="Regular", J187="Recent"), "MEDIUM","LOW"))</f>
        <v>LOW</v>
      </c>
    </row>
    <row r="188" spans="1:11">
      <c r="A188" t="s">
        <v>201</v>
      </c>
      <c r="B188" s="14">
        <f>_xlfn.MINIFS('working sheet'!$B$2:$B$3548, 'working sheet'!$D$2:$D$3548, A188)</f>
        <v>45431.827164108799</v>
      </c>
      <c r="C188" s="17">
        <f>_xlfn.MAXIFS('working sheet'!$B$1:$B$3548,'working sheet'!$D$1:$D$3548,'Customer Portfolio'!A188)</f>
        <v>45431.827164108799</v>
      </c>
      <c r="D188">
        <f>COUNTIFS('working sheet'!$D$1:$D$3548,'Customer Portfolio'!A188)</f>
        <v>1</v>
      </c>
      <c r="E188" s="5">
        <f>SUMIFS('working sheet'!$E$2:$E$3548,'working sheet'!$D$2:$D$3548,'Customer Portfolio'!A188)</f>
        <v>37.72</v>
      </c>
      <c r="F188" s="6">
        <f t="shared" si="4"/>
        <v>37.72</v>
      </c>
      <c r="G188" t="str">
        <f t="array" ref="G188">IFERROR(INDEX('working sheet'!$F$2:$F$3548, MODE(IF('working sheet'!$D$2:$D$3548=A188, MATCH('working sheet'!$F$2:$F$3548, 'working sheet'!$F$2:$F$3548, 0)))),
         INDEX('working sheet'!$F$2:$F$3548, MATCH(A188, 'working sheet'!$D$2:$D$3548, 0)))</f>
        <v>Cappuccino</v>
      </c>
      <c r="H188" s="7">
        <f t="shared" si="5"/>
        <v>1</v>
      </c>
      <c r="I188" s="7">
        <f>MAX('working sheet'!$B$2:$B$3548)-C188</f>
        <v>307.93092194444034</v>
      </c>
      <c r="J188" s="4" t="str">
        <f t="array" ref="J188">IF(AND(I188&lt;=30, D188&gt;=10, E188&gt;=200), "VIP",  IF(AND(I188&lt;=60, D188&gt;=5, E188&gt;=100), "Loyal", IF(AND(I188&lt;=90, D188&gt;=3), "Regular", IF(I188&lt;=30, "Recent", IF(D188&gt;=3, "Occasional", "At Risk")))))</f>
        <v>At Risk</v>
      </c>
      <c r="K188" t="str">
        <f t="array" ref="K188">IF(OR(J188="VIP", J188="Loyal"), "HIGH",IF(OR(J188="Regular", J188="Recent"), "MEDIUM","LOW"))</f>
        <v>LOW</v>
      </c>
    </row>
    <row r="189" spans="1:11">
      <c r="A189" t="s">
        <v>202</v>
      </c>
      <c r="B189" s="14">
        <f>_xlfn.MINIFS('working sheet'!$B$2:$B$3548, 'working sheet'!$D$2:$D$3548, A189)</f>
        <v>45431.885900011577</v>
      </c>
      <c r="C189" s="17">
        <f>_xlfn.MAXIFS('working sheet'!$B$1:$B$3548,'working sheet'!$D$1:$D$3548,'Customer Portfolio'!A189)</f>
        <v>45431.885900011577</v>
      </c>
      <c r="D189">
        <f>COUNTIFS('working sheet'!$D$1:$D$3548,'Customer Portfolio'!A189)</f>
        <v>1</v>
      </c>
      <c r="E189" s="5">
        <f>SUMIFS('working sheet'!$E$2:$E$3548,'working sheet'!$D$2:$D$3548,'Customer Portfolio'!A189)</f>
        <v>37.72</v>
      </c>
      <c r="F189" s="6">
        <f t="shared" si="4"/>
        <v>37.72</v>
      </c>
      <c r="G189" t="str">
        <f t="array" ref="G189">IFERROR(INDEX('working sheet'!$F$2:$F$3548, MODE(IF('working sheet'!$D$2:$D$3548=A189, MATCH('working sheet'!$F$2:$F$3548, 'working sheet'!$F$2:$F$3548, 0)))),
         INDEX('working sheet'!$F$2:$F$3548, MATCH(A189, 'working sheet'!$D$2:$D$3548, 0)))</f>
        <v>Cappuccino</v>
      </c>
      <c r="H189" s="7">
        <f t="shared" si="5"/>
        <v>1</v>
      </c>
      <c r="I189" s="7">
        <f>MAX('working sheet'!$B$2:$B$3548)-C189</f>
        <v>307.87218604166264</v>
      </c>
      <c r="J189" s="4" t="str">
        <f t="array" ref="J189">IF(AND(I189&lt;=30, D189&gt;=10, E189&gt;=200), "VIP",  IF(AND(I189&lt;=60, D189&gt;=5, E189&gt;=100), "Loyal", IF(AND(I189&lt;=90, D189&gt;=3), "Regular", IF(I189&lt;=30, "Recent", IF(D189&gt;=3, "Occasional", "At Risk")))))</f>
        <v>At Risk</v>
      </c>
      <c r="K189" t="str">
        <f t="array" ref="K189">IF(OR(J189="VIP", J189="Loyal"), "HIGH",IF(OR(J189="Regular", J189="Recent"), "MEDIUM","LOW"))</f>
        <v>LOW</v>
      </c>
    </row>
    <row r="190" spans="1:11">
      <c r="A190" t="s">
        <v>203</v>
      </c>
      <c r="B190" s="14">
        <f>_xlfn.MINIFS('working sheet'!$B$2:$B$3548, 'working sheet'!$D$2:$D$3548, A190)</f>
        <v>45431.887917835651</v>
      </c>
      <c r="C190" s="17">
        <f>_xlfn.MAXIFS('working sheet'!$B$1:$B$3548,'working sheet'!$D$1:$D$3548,'Customer Portfolio'!A190)</f>
        <v>45431.887917835651</v>
      </c>
      <c r="D190">
        <f>COUNTIFS('working sheet'!$D$1:$D$3548,'Customer Portfolio'!A190)</f>
        <v>1</v>
      </c>
      <c r="E190" s="5">
        <f>SUMIFS('working sheet'!$E$2:$E$3548,'working sheet'!$D$2:$D$3548,'Customer Portfolio'!A190)</f>
        <v>37.72</v>
      </c>
      <c r="F190" s="6">
        <f t="shared" si="4"/>
        <v>37.72</v>
      </c>
      <c r="G190" t="str">
        <f t="array" ref="G190">IFERROR(INDEX('working sheet'!$F$2:$F$3548, MODE(IF('working sheet'!$D$2:$D$3548=A190, MATCH('working sheet'!$F$2:$F$3548, 'working sheet'!$F$2:$F$3548, 0)))),
         INDEX('working sheet'!$F$2:$F$3548, MATCH(A190, 'working sheet'!$D$2:$D$3548, 0)))</f>
        <v>Cappuccino</v>
      </c>
      <c r="H190" s="7">
        <f t="shared" si="5"/>
        <v>1</v>
      </c>
      <c r="I190" s="7">
        <f>MAX('working sheet'!$B$2:$B$3548)-C190</f>
        <v>307.8701682175888</v>
      </c>
      <c r="J190" s="4" t="str">
        <f t="array" ref="J190">IF(AND(I190&lt;=30, D190&gt;=10, E190&gt;=200), "VIP",  IF(AND(I190&lt;=60, D190&gt;=5, E190&gt;=100), "Loyal", IF(AND(I190&lt;=90, D190&gt;=3), "Regular", IF(I190&lt;=30, "Recent", IF(D190&gt;=3, "Occasional", "At Risk")))))</f>
        <v>At Risk</v>
      </c>
      <c r="K190" t="str">
        <f t="array" ref="K190">IF(OR(J190="VIP", J190="Loyal"), "HIGH",IF(OR(J190="Regular", J190="Recent"), "MEDIUM","LOW"))</f>
        <v>LOW</v>
      </c>
    </row>
    <row r="191" spans="1:11">
      <c r="A191" t="s">
        <v>204</v>
      </c>
      <c r="B191" s="14">
        <f>_xlfn.MINIFS('working sheet'!$B$2:$B$3548, 'working sheet'!$D$2:$D$3548, A191)</f>
        <v>45432.420823645836</v>
      </c>
      <c r="C191" s="17">
        <f>_xlfn.MAXIFS('working sheet'!$B$1:$B$3548,'working sheet'!$D$1:$D$3548,'Customer Portfolio'!A191)</f>
        <v>45432.420823645836</v>
      </c>
      <c r="D191">
        <f>COUNTIFS('working sheet'!$D$1:$D$3548,'Customer Portfolio'!A191)</f>
        <v>1</v>
      </c>
      <c r="E191" s="5">
        <f>SUMIFS('working sheet'!$E$2:$E$3548,'working sheet'!$D$2:$D$3548,'Customer Portfolio'!A191)</f>
        <v>32.82</v>
      </c>
      <c r="F191" s="6">
        <f t="shared" si="4"/>
        <v>32.82</v>
      </c>
      <c r="G191" t="str">
        <f t="array" ref="G191">IFERROR(INDEX('working sheet'!$F$2:$F$3548, MODE(IF('working sheet'!$D$2:$D$3548=A191, MATCH('working sheet'!$F$2:$F$3548, 'working sheet'!$F$2:$F$3548, 0)))),
         INDEX('working sheet'!$F$2:$F$3548, MATCH(A191, 'working sheet'!$D$2:$D$3548, 0)))</f>
        <v>Americano with Milk</v>
      </c>
      <c r="H191" s="7">
        <f t="shared" si="5"/>
        <v>1</v>
      </c>
      <c r="I191" s="7">
        <f>MAX('working sheet'!$B$2:$B$3548)-C191</f>
        <v>307.33726240740361</v>
      </c>
      <c r="J191" s="4" t="str">
        <f t="array" ref="J191">IF(AND(I191&lt;=30, D191&gt;=10, E191&gt;=200), "VIP",  IF(AND(I191&lt;=60, D191&gt;=5, E191&gt;=100), "Loyal", IF(AND(I191&lt;=90, D191&gt;=3), "Regular", IF(I191&lt;=30, "Recent", IF(D191&gt;=3, "Occasional", "At Risk")))))</f>
        <v>At Risk</v>
      </c>
      <c r="K191" t="str">
        <f t="array" ref="K191">IF(OR(J191="VIP", J191="Loyal"), "HIGH",IF(OR(J191="Regular", J191="Recent"), "MEDIUM","LOW"))</f>
        <v>LOW</v>
      </c>
    </row>
    <row r="192" spans="1:11">
      <c r="A192" t="s">
        <v>205</v>
      </c>
      <c r="B192" s="14">
        <f>_xlfn.MINIFS('working sheet'!$B$2:$B$3548, 'working sheet'!$D$2:$D$3548, A192)</f>
        <v>45432.429072534724</v>
      </c>
      <c r="C192" s="17">
        <f>_xlfn.MAXIFS('working sheet'!$B$1:$B$3548,'working sheet'!$D$1:$D$3548,'Customer Portfolio'!A192)</f>
        <v>45446.43599302083</v>
      </c>
      <c r="D192">
        <f>COUNTIFS('working sheet'!$D$1:$D$3548,'Customer Portfolio'!A192)</f>
        <v>3</v>
      </c>
      <c r="E192" s="5">
        <f>SUMIFS('working sheet'!$E$2:$E$3548,'working sheet'!$D$2:$D$3548,'Customer Portfolio'!A192)</f>
        <v>108.25999999999999</v>
      </c>
      <c r="F192" s="6">
        <f t="shared" si="4"/>
        <v>36.086666666666666</v>
      </c>
      <c r="G192" t="str">
        <f t="array" ref="G192">IFERROR(INDEX('working sheet'!$F$2:$F$3548, MODE(IF('working sheet'!$D$2:$D$3548=A192, MATCH('working sheet'!$F$2:$F$3548, 'working sheet'!$F$2:$F$3548, 0)))),
         INDEX('working sheet'!$F$2:$F$3548, MATCH(A192, 'working sheet'!$D$2:$D$3548, 0)))</f>
        <v>Latte</v>
      </c>
      <c r="H192" s="7">
        <f t="shared" si="5"/>
        <v>15.006920486106537</v>
      </c>
      <c r="I192" s="7">
        <f>MAX('working sheet'!$B$2:$B$3548)-C192</f>
        <v>293.32209303240961</v>
      </c>
      <c r="J192" s="4" t="str">
        <f t="array" ref="J192">IF(AND(I192&lt;=30, D192&gt;=10, E192&gt;=200), "VIP",  IF(AND(I192&lt;=60, D192&gt;=5, E192&gt;=100), "Loyal", IF(AND(I192&lt;=90, D192&gt;=3), "Regular", IF(I192&lt;=30, "Recent", IF(D192&gt;=3, "Occasional", "At Risk")))))</f>
        <v>Occasional</v>
      </c>
      <c r="K192" t="str">
        <f t="array" ref="K192">IF(OR(J192="VIP", J192="Loyal"), "HIGH",IF(OR(J192="Regular", J192="Recent"), "MEDIUM","LOW"))</f>
        <v>LOW</v>
      </c>
    </row>
    <row r="193" spans="1:11">
      <c r="A193" t="s">
        <v>206</v>
      </c>
      <c r="B193" s="14">
        <f>_xlfn.MINIFS('working sheet'!$B$2:$B$3548, 'working sheet'!$D$2:$D$3548, A193)</f>
        <v>45432.592581215278</v>
      </c>
      <c r="C193" s="17">
        <f>_xlfn.MAXIFS('working sheet'!$B$1:$B$3548,'working sheet'!$D$1:$D$3548,'Customer Portfolio'!A193)</f>
        <v>45521.690150196759</v>
      </c>
      <c r="D193">
        <f>COUNTIFS('working sheet'!$D$1:$D$3548,'Customer Portfolio'!A193)</f>
        <v>8</v>
      </c>
      <c r="E193" s="5">
        <f>SUMIFS('working sheet'!$E$2:$E$3548,'working sheet'!$D$2:$D$3548,'Customer Portfolio'!A193)</f>
        <v>272.35999999999996</v>
      </c>
      <c r="F193" s="6">
        <f t="shared" si="4"/>
        <v>34.044999999999995</v>
      </c>
      <c r="G193" t="str">
        <f t="array" ref="G193">IFERROR(INDEX('working sheet'!$F$2:$F$3548, MODE(IF('working sheet'!$D$2:$D$3548=A193, MATCH('working sheet'!$F$2:$F$3548, 'working sheet'!$F$2:$F$3548, 0)))),
         INDEX('working sheet'!$F$2:$F$3548, MATCH(A193, 'working sheet'!$D$2:$D$3548, 0)))</f>
        <v>Americano with Milk</v>
      </c>
      <c r="H193" s="7">
        <f t="shared" si="5"/>
        <v>90.097568981480435</v>
      </c>
      <c r="I193" s="7">
        <f>MAX('working sheet'!$B$2:$B$3548)-C193</f>
        <v>218.0679358564812</v>
      </c>
      <c r="J193" s="4" t="str">
        <f t="array" ref="J193">IF(AND(I193&lt;=30, D193&gt;=10, E193&gt;=200), "VIP",  IF(AND(I193&lt;=60, D193&gt;=5, E193&gt;=100), "Loyal", IF(AND(I193&lt;=90, D193&gt;=3), "Regular", IF(I193&lt;=30, "Recent", IF(D193&gt;=3, "Occasional", "At Risk")))))</f>
        <v>Occasional</v>
      </c>
      <c r="K193" t="str">
        <f t="array" ref="K193">IF(OR(J193="VIP", J193="Loyal"), "HIGH",IF(OR(J193="Regular", J193="Recent"), "MEDIUM","LOW"))</f>
        <v>LOW</v>
      </c>
    </row>
    <row r="194" spans="1:11">
      <c r="A194" t="s">
        <v>207</v>
      </c>
      <c r="B194" s="14">
        <f>_xlfn.MINIFS('working sheet'!$B$2:$B$3548, 'working sheet'!$D$2:$D$3548, A194)</f>
        <v>45432.718019641201</v>
      </c>
      <c r="C194" s="17">
        <f>_xlfn.MAXIFS('working sheet'!$B$1:$B$3548,'working sheet'!$D$1:$D$3548,'Customer Portfolio'!A194)</f>
        <v>45432.718019641201</v>
      </c>
      <c r="D194">
        <f>COUNTIFS('working sheet'!$D$1:$D$3548,'Customer Portfolio'!A194)</f>
        <v>1</v>
      </c>
      <c r="E194" s="5">
        <f>SUMIFS('working sheet'!$E$2:$E$3548,'working sheet'!$D$2:$D$3548,'Customer Portfolio'!A194)</f>
        <v>37.72</v>
      </c>
      <c r="F194" s="6">
        <f t="shared" si="4"/>
        <v>37.72</v>
      </c>
      <c r="G194" t="str">
        <f t="array" ref="G194">IFERROR(INDEX('working sheet'!$F$2:$F$3548, MODE(IF('working sheet'!$D$2:$D$3548=A194, MATCH('working sheet'!$F$2:$F$3548, 'working sheet'!$F$2:$F$3548, 0)))),
         INDEX('working sheet'!$F$2:$F$3548, MATCH(A194, 'working sheet'!$D$2:$D$3548, 0)))</f>
        <v>Latte</v>
      </c>
      <c r="H194" s="7">
        <f t="shared" si="5"/>
        <v>1</v>
      </c>
      <c r="I194" s="7">
        <f>MAX('working sheet'!$B$2:$B$3548)-C194</f>
        <v>307.04006641203887</v>
      </c>
      <c r="J194" s="4" t="str">
        <f t="array" ref="J194">IF(AND(I194&lt;=30, D194&gt;=10, E194&gt;=200), "VIP",  IF(AND(I194&lt;=60, D194&gt;=5, E194&gt;=100), "Loyal", IF(AND(I194&lt;=90, D194&gt;=3), "Regular", IF(I194&lt;=30, "Recent", IF(D194&gt;=3, "Occasional", "At Risk")))))</f>
        <v>At Risk</v>
      </c>
      <c r="K194" t="str">
        <f t="array" ref="K194">IF(OR(J194="VIP", J194="Loyal"), "HIGH",IF(OR(J194="Regular", J194="Recent"), "MEDIUM","LOW"))</f>
        <v>LOW</v>
      </c>
    </row>
    <row r="195" spans="1:11">
      <c r="A195" t="s">
        <v>208</v>
      </c>
      <c r="B195" s="14">
        <f>_xlfn.MINIFS('working sheet'!$B$2:$B$3548, 'working sheet'!$D$2:$D$3548, A195)</f>
        <v>45432.858892592594</v>
      </c>
      <c r="C195" s="17">
        <f>_xlfn.MAXIFS('working sheet'!$B$1:$B$3548,'working sheet'!$D$1:$D$3548,'Customer Portfolio'!A195)</f>
        <v>45482.474188703702</v>
      </c>
      <c r="D195">
        <f>COUNTIFS('working sheet'!$D$1:$D$3548,'Customer Portfolio'!A195)</f>
        <v>5</v>
      </c>
      <c r="E195" s="5">
        <f>SUMIFS('working sheet'!$E$2:$E$3548,'working sheet'!$D$2:$D$3548,'Customer Portfolio'!A195)</f>
        <v>169</v>
      </c>
      <c r="F195" s="6">
        <f t="shared" ref="F195:F258" si="6">E195/D195</f>
        <v>33.799999999999997</v>
      </c>
      <c r="G195" t="str">
        <f t="array" ref="G195">IFERROR(INDEX('working sheet'!$F$2:$F$3548, MODE(IF('working sheet'!$D$2:$D$3548=A195, MATCH('working sheet'!$F$2:$F$3548, 'working sheet'!$F$2:$F$3548, 0)))),
         INDEX('working sheet'!$F$2:$F$3548, MATCH(A195, 'working sheet'!$D$2:$D$3548, 0)))</f>
        <v>Americano with Milk</v>
      </c>
      <c r="H195" s="7">
        <f t="shared" ref="H195:H258" si="7">C195-B195+1</f>
        <v>50.615296111107455</v>
      </c>
      <c r="I195" s="7">
        <f>MAX('working sheet'!$B$2:$B$3548)-C195</f>
        <v>257.28389734953817</v>
      </c>
      <c r="J195" s="4" t="str">
        <f t="array" ref="J195">IF(AND(I195&lt;=30, D195&gt;=10, E195&gt;=200), "VIP",  IF(AND(I195&lt;=60, D195&gt;=5, E195&gt;=100), "Loyal", IF(AND(I195&lt;=90, D195&gt;=3), "Regular", IF(I195&lt;=30, "Recent", IF(D195&gt;=3, "Occasional", "At Risk")))))</f>
        <v>Occasional</v>
      </c>
      <c r="K195" t="str">
        <f t="array" ref="K195">IF(OR(J195="VIP", J195="Loyal"), "HIGH",IF(OR(J195="Regular", J195="Recent"), "MEDIUM","LOW"))</f>
        <v>LOW</v>
      </c>
    </row>
    <row r="196" spans="1:11">
      <c r="A196" t="s">
        <v>209</v>
      </c>
      <c r="B196" s="14">
        <f>_xlfn.MINIFS('working sheet'!$B$2:$B$3548, 'working sheet'!$D$2:$D$3548, A196)</f>
        <v>45432.865880613426</v>
      </c>
      <c r="C196" s="17">
        <f>_xlfn.MAXIFS('working sheet'!$B$1:$B$3548,'working sheet'!$D$1:$D$3548,'Customer Portfolio'!A196)</f>
        <v>45657.467153391204</v>
      </c>
      <c r="D196">
        <f>COUNTIFS('working sheet'!$D$1:$D$3548,'Customer Portfolio'!A196)</f>
        <v>5</v>
      </c>
      <c r="E196" s="5">
        <f>SUMIFS('working sheet'!$E$2:$E$3548,'working sheet'!$D$2:$D$3548,'Customer Portfolio'!A196)</f>
        <v>156.26</v>
      </c>
      <c r="F196" s="6">
        <f t="shared" si="6"/>
        <v>31.251999999999999</v>
      </c>
      <c r="G196" t="str">
        <f t="array" ref="G196">IFERROR(INDEX('working sheet'!$F$2:$F$3548, MODE(IF('working sheet'!$D$2:$D$3548=A196, MATCH('working sheet'!$F$2:$F$3548, 'working sheet'!$F$2:$F$3548, 0)))),
         INDEX('working sheet'!$F$2:$F$3548, MATCH(A196, 'working sheet'!$D$2:$D$3548, 0)))</f>
        <v>Cortado</v>
      </c>
      <c r="H196" s="7">
        <f t="shared" si="7"/>
        <v>225.60127277777792</v>
      </c>
      <c r="I196" s="7">
        <f>MAX('working sheet'!$B$2:$B$3548)-C196</f>
        <v>82.29093266203563</v>
      </c>
      <c r="J196" s="4" t="str">
        <f t="array" ref="J196">IF(AND(I196&lt;=30, D196&gt;=10, E196&gt;=200), "VIP",  IF(AND(I196&lt;=60, D196&gt;=5, E196&gt;=100), "Loyal", IF(AND(I196&lt;=90, D196&gt;=3), "Regular", IF(I196&lt;=30, "Recent", IF(D196&gt;=3, "Occasional", "At Risk")))))</f>
        <v>Regular</v>
      </c>
      <c r="K196" t="str">
        <f t="array" ref="K196">IF(OR(J196="VIP", J196="Loyal"), "HIGH",IF(OR(J196="Regular", J196="Recent"), "MEDIUM","LOW"))</f>
        <v>MEDIUM</v>
      </c>
    </row>
    <row r="197" spans="1:11">
      <c r="A197" t="s">
        <v>210</v>
      </c>
      <c r="B197" s="14">
        <f>_xlfn.MINIFS('working sheet'!$B$2:$B$3548, 'working sheet'!$D$2:$D$3548, A197)</f>
        <v>45433.352525810187</v>
      </c>
      <c r="C197" s="17">
        <f>_xlfn.MAXIFS('working sheet'!$B$1:$B$3548,'working sheet'!$D$1:$D$3548,'Customer Portfolio'!A197)</f>
        <v>45433.352525810187</v>
      </c>
      <c r="D197">
        <f>COUNTIFS('working sheet'!$D$1:$D$3548,'Customer Portfolio'!A197)</f>
        <v>1</v>
      </c>
      <c r="E197" s="5">
        <f>SUMIFS('working sheet'!$E$2:$E$3548,'working sheet'!$D$2:$D$3548,'Customer Portfolio'!A197)</f>
        <v>37.72</v>
      </c>
      <c r="F197" s="6">
        <f t="shared" si="6"/>
        <v>37.72</v>
      </c>
      <c r="G197" t="str">
        <f t="array" ref="G197">IFERROR(INDEX('working sheet'!$F$2:$F$3548, MODE(IF('working sheet'!$D$2:$D$3548=A197, MATCH('working sheet'!$F$2:$F$3548, 'working sheet'!$F$2:$F$3548, 0)))),
         INDEX('working sheet'!$F$2:$F$3548, MATCH(A197, 'working sheet'!$D$2:$D$3548, 0)))</f>
        <v>Latte</v>
      </c>
      <c r="H197" s="7">
        <f t="shared" si="7"/>
        <v>1</v>
      </c>
      <c r="I197" s="7">
        <f>MAX('working sheet'!$B$2:$B$3548)-C197</f>
        <v>306.40556024305261</v>
      </c>
      <c r="J197" s="4" t="str">
        <f t="array" ref="J197">IF(AND(I197&lt;=30, D197&gt;=10, E197&gt;=200), "VIP",  IF(AND(I197&lt;=60, D197&gt;=5, E197&gt;=100), "Loyal", IF(AND(I197&lt;=90, D197&gt;=3), "Regular", IF(I197&lt;=30, "Recent", IF(D197&gt;=3, "Occasional", "At Risk")))))</f>
        <v>At Risk</v>
      </c>
      <c r="K197" t="str">
        <f t="array" ref="K197">IF(OR(J197="VIP", J197="Loyal"), "HIGH",IF(OR(J197="Regular", J197="Recent"), "MEDIUM","LOW"))</f>
        <v>LOW</v>
      </c>
    </row>
    <row r="198" spans="1:11">
      <c r="A198" t="s">
        <v>211</v>
      </c>
      <c r="B198" s="14">
        <f>_xlfn.MINIFS('working sheet'!$B$2:$B$3548, 'working sheet'!$D$2:$D$3548, A198)</f>
        <v>45433.673842083335</v>
      </c>
      <c r="C198" s="17">
        <f>_xlfn.MAXIFS('working sheet'!$B$1:$B$3548,'working sheet'!$D$1:$D$3548,'Customer Portfolio'!A198)</f>
        <v>45685.351814756941</v>
      </c>
      <c r="D198">
        <f>COUNTIFS('working sheet'!$D$1:$D$3548,'Customer Portfolio'!A198)</f>
        <v>3</v>
      </c>
      <c r="E198" s="5">
        <f>SUMIFS('working sheet'!$E$2:$E$3548,'working sheet'!$D$2:$D$3548,'Customer Portfolio'!A198)</f>
        <v>106.29999999999998</v>
      </c>
      <c r="F198" s="6">
        <f t="shared" si="6"/>
        <v>35.43333333333333</v>
      </c>
      <c r="G198" t="str">
        <f t="array" ref="G198">IFERROR(INDEX('working sheet'!$F$2:$F$3548, MODE(IF('working sheet'!$D$2:$D$3548=A198, MATCH('working sheet'!$F$2:$F$3548, 'working sheet'!$F$2:$F$3548, 0)))),
         INDEX('working sheet'!$F$2:$F$3548, MATCH(A198, 'working sheet'!$D$2:$D$3548, 0)))</f>
        <v>Latte</v>
      </c>
      <c r="H198" s="7">
        <f t="shared" si="7"/>
        <v>252.67797267360584</v>
      </c>
      <c r="I198" s="7">
        <f>MAX('working sheet'!$B$2:$B$3548)-C198</f>
        <v>54.406271296298655</v>
      </c>
      <c r="J198" s="4" t="str">
        <f t="array" ref="J198">IF(AND(I198&lt;=30, D198&gt;=10, E198&gt;=200), "VIP",  IF(AND(I198&lt;=60, D198&gt;=5, E198&gt;=100), "Loyal", IF(AND(I198&lt;=90, D198&gt;=3), "Regular", IF(I198&lt;=30, "Recent", IF(D198&gt;=3, "Occasional", "At Risk")))))</f>
        <v>Regular</v>
      </c>
      <c r="K198" t="str">
        <f t="array" ref="K198">IF(OR(J198="VIP", J198="Loyal"), "HIGH",IF(OR(J198="Regular", J198="Recent"), "MEDIUM","LOW"))</f>
        <v>MEDIUM</v>
      </c>
    </row>
    <row r="199" spans="1:11">
      <c r="A199" t="s">
        <v>212</v>
      </c>
      <c r="B199" s="14">
        <f>_xlfn.MINIFS('working sheet'!$B$2:$B$3548, 'working sheet'!$D$2:$D$3548, A199)</f>
        <v>45433.799412175926</v>
      </c>
      <c r="C199" s="17">
        <f>_xlfn.MAXIFS('working sheet'!$B$1:$B$3548,'working sheet'!$D$1:$D$3548,'Customer Portfolio'!A199)</f>
        <v>45433.799412175926</v>
      </c>
      <c r="D199">
        <f>COUNTIFS('working sheet'!$D$1:$D$3548,'Customer Portfolio'!A199)</f>
        <v>1</v>
      </c>
      <c r="E199" s="5">
        <f>SUMIFS('working sheet'!$E$2:$E$3548,'working sheet'!$D$2:$D$3548,'Customer Portfolio'!A199)</f>
        <v>37.72</v>
      </c>
      <c r="F199" s="6">
        <f t="shared" si="6"/>
        <v>37.72</v>
      </c>
      <c r="G199" t="str">
        <f t="array" ref="G199">IFERROR(INDEX('working sheet'!$F$2:$F$3548, MODE(IF('working sheet'!$D$2:$D$3548=A199, MATCH('working sheet'!$F$2:$F$3548, 'working sheet'!$F$2:$F$3548, 0)))),
         INDEX('working sheet'!$F$2:$F$3548, MATCH(A199, 'working sheet'!$D$2:$D$3548, 0)))</f>
        <v>Cappuccino</v>
      </c>
      <c r="H199" s="7">
        <f t="shared" si="7"/>
        <v>1</v>
      </c>
      <c r="I199" s="7">
        <f>MAX('working sheet'!$B$2:$B$3548)-C199</f>
        <v>305.95867387731414</v>
      </c>
      <c r="J199" s="4" t="str">
        <f t="array" ref="J199">IF(AND(I199&lt;=30, D199&gt;=10, E199&gt;=200), "VIP",  IF(AND(I199&lt;=60, D199&gt;=5, E199&gt;=100), "Loyal", IF(AND(I199&lt;=90, D199&gt;=3), "Regular", IF(I199&lt;=30, "Recent", IF(D199&gt;=3, "Occasional", "At Risk")))))</f>
        <v>At Risk</v>
      </c>
      <c r="K199" t="str">
        <f t="array" ref="K199">IF(OR(J199="VIP", J199="Loyal"), "HIGH",IF(OR(J199="Regular", J199="Recent"), "MEDIUM","LOW"))</f>
        <v>LOW</v>
      </c>
    </row>
    <row r="200" spans="1:11">
      <c r="A200" t="s">
        <v>213</v>
      </c>
      <c r="B200" s="14">
        <f>_xlfn.MINIFS('working sheet'!$B$2:$B$3548, 'working sheet'!$D$2:$D$3548, A200)</f>
        <v>45433.842920810188</v>
      </c>
      <c r="C200" s="17">
        <f>_xlfn.MAXIFS('working sheet'!$B$1:$B$3548,'working sheet'!$D$1:$D$3548,'Customer Portfolio'!A200)</f>
        <v>45433.842920810188</v>
      </c>
      <c r="D200">
        <f>COUNTIFS('working sheet'!$D$1:$D$3548,'Customer Portfolio'!A200)</f>
        <v>1</v>
      </c>
      <c r="E200" s="5">
        <f>SUMIFS('working sheet'!$E$2:$E$3548,'working sheet'!$D$2:$D$3548,'Customer Portfolio'!A200)</f>
        <v>37.72</v>
      </c>
      <c r="F200" s="6">
        <f t="shared" si="6"/>
        <v>37.72</v>
      </c>
      <c r="G200" t="str">
        <f t="array" ref="G200">IFERROR(INDEX('working sheet'!$F$2:$F$3548, MODE(IF('working sheet'!$D$2:$D$3548=A200, MATCH('working sheet'!$F$2:$F$3548, 'working sheet'!$F$2:$F$3548, 0)))),
         INDEX('working sheet'!$F$2:$F$3548, MATCH(A200, 'working sheet'!$D$2:$D$3548, 0)))</f>
        <v>Cappuccino</v>
      </c>
      <c r="H200" s="7">
        <f t="shared" si="7"/>
        <v>1</v>
      </c>
      <c r="I200" s="7">
        <f>MAX('working sheet'!$B$2:$B$3548)-C200</f>
        <v>305.91516524305189</v>
      </c>
      <c r="J200" s="4" t="str">
        <f t="array" ref="J200">IF(AND(I200&lt;=30, D200&gt;=10, E200&gt;=200), "VIP",  IF(AND(I200&lt;=60, D200&gt;=5, E200&gt;=100), "Loyal", IF(AND(I200&lt;=90, D200&gt;=3), "Regular", IF(I200&lt;=30, "Recent", IF(D200&gt;=3, "Occasional", "At Risk")))))</f>
        <v>At Risk</v>
      </c>
      <c r="K200" t="str">
        <f t="array" ref="K200">IF(OR(J200="VIP", J200="Loyal"), "HIGH",IF(OR(J200="Regular", J200="Recent"), "MEDIUM","LOW"))</f>
        <v>LOW</v>
      </c>
    </row>
    <row r="201" spans="1:11">
      <c r="A201" t="s">
        <v>214</v>
      </c>
      <c r="B201" s="14">
        <f>_xlfn.MINIFS('working sheet'!$B$2:$B$3548, 'working sheet'!$D$2:$D$3548, A201)</f>
        <v>45434.399095115739</v>
      </c>
      <c r="C201" s="17">
        <f>_xlfn.MAXIFS('working sheet'!$B$1:$B$3548,'working sheet'!$D$1:$D$3548,'Customer Portfolio'!A201)</f>
        <v>45434.399095115739</v>
      </c>
      <c r="D201">
        <f>COUNTIFS('working sheet'!$D$1:$D$3548,'Customer Portfolio'!A201)</f>
        <v>1</v>
      </c>
      <c r="E201" s="5">
        <f>SUMIFS('working sheet'!$E$2:$E$3548,'working sheet'!$D$2:$D$3548,'Customer Portfolio'!A201)</f>
        <v>37.72</v>
      </c>
      <c r="F201" s="6">
        <f t="shared" si="6"/>
        <v>37.72</v>
      </c>
      <c r="G201" t="str">
        <f t="array" ref="G201">IFERROR(INDEX('working sheet'!$F$2:$F$3548, MODE(IF('working sheet'!$D$2:$D$3548=A201, MATCH('working sheet'!$F$2:$F$3548, 'working sheet'!$F$2:$F$3548, 0)))),
         INDEX('working sheet'!$F$2:$F$3548, MATCH(A201, 'working sheet'!$D$2:$D$3548, 0)))</f>
        <v>Cappuccino</v>
      </c>
      <c r="H201" s="7">
        <f t="shared" si="7"/>
        <v>1</v>
      </c>
      <c r="I201" s="7">
        <f>MAX('working sheet'!$B$2:$B$3548)-C201</f>
        <v>305.35899093750049</v>
      </c>
      <c r="J201" s="4" t="str">
        <f t="array" ref="J201">IF(AND(I201&lt;=30, D201&gt;=10, E201&gt;=200), "VIP",  IF(AND(I201&lt;=60, D201&gt;=5, E201&gt;=100), "Loyal", IF(AND(I201&lt;=90, D201&gt;=3), "Regular", IF(I201&lt;=30, "Recent", IF(D201&gt;=3, "Occasional", "At Risk")))))</f>
        <v>At Risk</v>
      </c>
      <c r="K201" t="str">
        <f t="array" ref="K201">IF(OR(J201="VIP", J201="Loyal"), "HIGH",IF(OR(J201="Regular", J201="Recent"), "MEDIUM","LOW"))</f>
        <v>LOW</v>
      </c>
    </row>
    <row r="202" spans="1:11">
      <c r="A202" t="s">
        <v>215</v>
      </c>
      <c r="B202" s="14">
        <f>_xlfn.MINIFS('working sheet'!$B$2:$B$3548, 'working sheet'!$D$2:$D$3548, A202)</f>
        <v>45435.423838425922</v>
      </c>
      <c r="C202" s="17">
        <f>_xlfn.MAXIFS('working sheet'!$B$1:$B$3548,'working sheet'!$D$1:$D$3548,'Customer Portfolio'!A202)</f>
        <v>45435.423838425922</v>
      </c>
      <c r="D202">
        <f>COUNTIFS('working sheet'!$D$1:$D$3548,'Customer Portfolio'!A202)</f>
        <v>1</v>
      </c>
      <c r="E202" s="5">
        <f>SUMIFS('working sheet'!$E$2:$E$3548,'working sheet'!$D$2:$D$3548,'Customer Portfolio'!A202)</f>
        <v>37.72</v>
      </c>
      <c r="F202" s="6">
        <f t="shared" si="6"/>
        <v>37.72</v>
      </c>
      <c r="G202" t="str">
        <f t="array" ref="G202">IFERROR(INDEX('working sheet'!$F$2:$F$3548, MODE(IF('working sheet'!$D$2:$D$3548=A202, MATCH('working sheet'!$F$2:$F$3548, 'working sheet'!$F$2:$F$3548, 0)))),
         INDEX('working sheet'!$F$2:$F$3548, MATCH(A202, 'working sheet'!$D$2:$D$3548, 0)))</f>
        <v>Cappuccino</v>
      </c>
      <c r="H202" s="7">
        <f t="shared" si="7"/>
        <v>1</v>
      </c>
      <c r="I202" s="7">
        <f>MAX('working sheet'!$B$2:$B$3548)-C202</f>
        <v>304.33424762731738</v>
      </c>
      <c r="J202" s="4" t="str">
        <f t="array" ref="J202">IF(AND(I202&lt;=30, D202&gt;=10, E202&gt;=200), "VIP",  IF(AND(I202&lt;=60, D202&gt;=5, E202&gt;=100), "Loyal", IF(AND(I202&lt;=90, D202&gt;=3), "Regular", IF(I202&lt;=30, "Recent", IF(D202&gt;=3, "Occasional", "At Risk")))))</f>
        <v>At Risk</v>
      </c>
      <c r="K202" t="str">
        <f t="array" ref="K202">IF(OR(J202="VIP", J202="Loyal"), "HIGH",IF(OR(J202="Regular", J202="Recent"), "MEDIUM","LOW"))</f>
        <v>LOW</v>
      </c>
    </row>
    <row r="203" spans="1:11">
      <c r="A203" t="s">
        <v>216</v>
      </c>
      <c r="B203" s="14">
        <f>_xlfn.MINIFS('working sheet'!$B$2:$B$3548, 'working sheet'!$D$2:$D$3548, A203)</f>
        <v>45435.515354224539</v>
      </c>
      <c r="C203" s="17">
        <f>_xlfn.MAXIFS('working sheet'!$B$1:$B$3548,'working sheet'!$D$1:$D$3548,'Customer Portfolio'!A203)</f>
        <v>45435.515354224539</v>
      </c>
      <c r="D203">
        <f>COUNTIFS('working sheet'!$D$1:$D$3548,'Customer Portfolio'!A203)</f>
        <v>1</v>
      </c>
      <c r="E203" s="5">
        <f>SUMIFS('working sheet'!$E$2:$E$3548,'working sheet'!$D$2:$D$3548,'Customer Portfolio'!A203)</f>
        <v>23.02</v>
      </c>
      <c r="F203" s="6">
        <f t="shared" si="6"/>
        <v>23.02</v>
      </c>
      <c r="G203" t="str">
        <f t="array" ref="G203">IFERROR(INDEX('working sheet'!$F$2:$F$3548, MODE(IF('working sheet'!$D$2:$D$3548=A203, MATCH('working sheet'!$F$2:$F$3548, 'working sheet'!$F$2:$F$3548, 0)))),
         INDEX('working sheet'!$F$2:$F$3548, MATCH(A203, 'working sheet'!$D$2:$D$3548, 0)))</f>
        <v>Espresso</v>
      </c>
      <c r="H203" s="7">
        <f t="shared" si="7"/>
        <v>1</v>
      </c>
      <c r="I203" s="7">
        <f>MAX('working sheet'!$B$2:$B$3548)-C203</f>
        <v>304.24273182870093</v>
      </c>
      <c r="J203" s="4" t="str">
        <f t="array" ref="J203">IF(AND(I203&lt;=30, D203&gt;=10, E203&gt;=200), "VIP",  IF(AND(I203&lt;=60, D203&gt;=5, E203&gt;=100), "Loyal", IF(AND(I203&lt;=90, D203&gt;=3), "Regular", IF(I203&lt;=30, "Recent", IF(D203&gt;=3, "Occasional", "At Risk")))))</f>
        <v>At Risk</v>
      </c>
      <c r="K203" t="str">
        <f t="array" ref="K203">IF(OR(J203="VIP", J203="Loyal"), "HIGH",IF(OR(J203="Regular", J203="Recent"), "MEDIUM","LOW"))</f>
        <v>LOW</v>
      </c>
    </row>
    <row r="204" spans="1:11">
      <c r="A204" t="s">
        <v>217</v>
      </c>
      <c r="B204" s="14">
        <f>_xlfn.MINIFS('working sheet'!$B$2:$B$3548, 'working sheet'!$D$2:$D$3548, A204)</f>
        <v>45435.664204131943</v>
      </c>
      <c r="C204" s="17">
        <f>_xlfn.MAXIFS('working sheet'!$B$1:$B$3548,'working sheet'!$D$1:$D$3548,'Customer Portfolio'!A204)</f>
        <v>45468.482549722219</v>
      </c>
      <c r="D204">
        <f>COUNTIFS('working sheet'!$D$1:$D$3548,'Customer Portfolio'!A204)</f>
        <v>5</v>
      </c>
      <c r="E204" s="5">
        <f>SUMIFS('working sheet'!$E$2:$E$3548,'working sheet'!$D$2:$D$3548,'Customer Portfolio'!A204)</f>
        <v>188.6</v>
      </c>
      <c r="F204" s="6">
        <f t="shared" si="6"/>
        <v>37.72</v>
      </c>
      <c r="G204" t="str">
        <f t="array" ref="G204">IFERROR(INDEX('working sheet'!$F$2:$F$3548, MODE(IF('working sheet'!$D$2:$D$3548=A204, MATCH('working sheet'!$F$2:$F$3548, 'working sheet'!$F$2:$F$3548, 0)))),
         INDEX('working sheet'!$F$2:$F$3548, MATCH(A204, 'working sheet'!$D$2:$D$3548, 0)))</f>
        <v>Cappuccino</v>
      </c>
      <c r="H204" s="7">
        <f t="shared" si="7"/>
        <v>33.818345590276294</v>
      </c>
      <c r="I204" s="7">
        <f>MAX('working sheet'!$B$2:$B$3548)-C204</f>
        <v>271.2755363310207</v>
      </c>
      <c r="J204" s="4" t="str">
        <f t="array" ref="J204">IF(AND(I204&lt;=30, D204&gt;=10, E204&gt;=200), "VIP",  IF(AND(I204&lt;=60, D204&gt;=5, E204&gt;=100), "Loyal", IF(AND(I204&lt;=90, D204&gt;=3), "Regular", IF(I204&lt;=30, "Recent", IF(D204&gt;=3, "Occasional", "At Risk")))))</f>
        <v>Occasional</v>
      </c>
      <c r="K204" t="str">
        <f t="array" ref="K204">IF(OR(J204="VIP", J204="Loyal"), "HIGH",IF(OR(J204="Regular", J204="Recent"), "MEDIUM","LOW"))</f>
        <v>LOW</v>
      </c>
    </row>
    <row r="205" spans="1:11">
      <c r="A205" t="s">
        <v>218</v>
      </c>
      <c r="B205" s="14">
        <f>_xlfn.MINIFS('working sheet'!$B$2:$B$3548, 'working sheet'!$D$2:$D$3548, A205)</f>
        <v>45435.79437333333</v>
      </c>
      <c r="C205" s="17">
        <f>_xlfn.MAXIFS('working sheet'!$B$1:$B$3548,'working sheet'!$D$1:$D$3548,'Customer Portfolio'!A205)</f>
        <v>45435.79437333333</v>
      </c>
      <c r="D205">
        <f>COUNTIFS('working sheet'!$D$1:$D$3548,'Customer Portfolio'!A205)</f>
        <v>1</v>
      </c>
      <c r="E205" s="5">
        <f>SUMIFS('working sheet'!$E$2:$E$3548,'working sheet'!$D$2:$D$3548,'Customer Portfolio'!A205)</f>
        <v>27.92</v>
      </c>
      <c r="F205" s="6">
        <f t="shared" si="6"/>
        <v>27.92</v>
      </c>
      <c r="G205" t="str">
        <f t="array" ref="G205">IFERROR(INDEX('working sheet'!$F$2:$F$3548, MODE(IF('working sheet'!$D$2:$D$3548=A205, MATCH('working sheet'!$F$2:$F$3548, 'working sheet'!$F$2:$F$3548, 0)))),
         INDEX('working sheet'!$F$2:$F$3548, MATCH(A205, 'working sheet'!$D$2:$D$3548, 0)))</f>
        <v>Cortado</v>
      </c>
      <c r="H205" s="7">
        <f t="shared" si="7"/>
        <v>1</v>
      </c>
      <c r="I205" s="7">
        <f>MAX('working sheet'!$B$2:$B$3548)-C205</f>
        <v>303.96371271990938</v>
      </c>
      <c r="J205" s="4" t="str">
        <f t="array" ref="J205">IF(AND(I205&lt;=30, D205&gt;=10, E205&gt;=200), "VIP",  IF(AND(I205&lt;=60, D205&gt;=5, E205&gt;=100), "Loyal", IF(AND(I205&lt;=90, D205&gt;=3), "Regular", IF(I205&lt;=30, "Recent", IF(D205&gt;=3, "Occasional", "At Risk")))))</f>
        <v>At Risk</v>
      </c>
      <c r="K205" t="str">
        <f t="array" ref="K205">IF(OR(J205="VIP", J205="Loyal"), "HIGH",IF(OR(J205="Regular", J205="Recent"), "MEDIUM","LOW"))</f>
        <v>LOW</v>
      </c>
    </row>
    <row r="206" spans="1:11">
      <c r="A206" t="s">
        <v>219</v>
      </c>
      <c r="B206" s="14">
        <f>_xlfn.MINIFS('working sheet'!$B$2:$B$3548, 'working sheet'!$D$2:$D$3548, A206)</f>
        <v>45435.804472430558</v>
      </c>
      <c r="C206" s="17">
        <f>_xlfn.MAXIFS('working sheet'!$B$1:$B$3548,'working sheet'!$D$1:$D$3548,'Customer Portfolio'!A206)</f>
        <v>45497.803469664352</v>
      </c>
      <c r="D206">
        <f>COUNTIFS('working sheet'!$D$1:$D$3548,'Customer Portfolio'!A206)</f>
        <v>3</v>
      </c>
      <c r="E206" s="5">
        <f>SUMIFS('working sheet'!$E$2:$E$3548,'working sheet'!$D$2:$D$3548,'Customer Portfolio'!A206)</f>
        <v>103.35999999999999</v>
      </c>
      <c r="F206" s="6">
        <f t="shared" si="6"/>
        <v>34.453333333333326</v>
      </c>
      <c r="G206" t="str">
        <f t="array" ref="G206">IFERROR(INDEX('working sheet'!$F$2:$F$3548, MODE(IF('working sheet'!$D$2:$D$3548=A206, MATCH('working sheet'!$F$2:$F$3548, 'working sheet'!$F$2:$F$3548, 0)))),
         INDEX('working sheet'!$F$2:$F$3548, MATCH(A206, 'working sheet'!$D$2:$D$3548, 0)))</f>
        <v>Cappuccino</v>
      </c>
      <c r="H206" s="7">
        <f t="shared" si="7"/>
        <v>62.998997233793489</v>
      </c>
      <c r="I206" s="7">
        <f>MAX('working sheet'!$B$2:$B$3548)-C206</f>
        <v>241.9546163888881</v>
      </c>
      <c r="J206" s="4" t="str">
        <f t="array" ref="J206">IF(AND(I206&lt;=30, D206&gt;=10, E206&gt;=200), "VIP",  IF(AND(I206&lt;=60, D206&gt;=5, E206&gt;=100), "Loyal", IF(AND(I206&lt;=90, D206&gt;=3), "Regular", IF(I206&lt;=30, "Recent", IF(D206&gt;=3, "Occasional", "At Risk")))))</f>
        <v>Occasional</v>
      </c>
      <c r="K206" t="str">
        <f t="array" ref="K206">IF(OR(J206="VIP", J206="Loyal"), "HIGH",IF(OR(J206="Regular", J206="Recent"), "MEDIUM","LOW"))</f>
        <v>LOW</v>
      </c>
    </row>
    <row r="207" spans="1:11">
      <c r="A207" t="s">
        <v>220</v>
      </c>
      <c r="B207" s="14">
        <f>_xlfn.MINIFS('working sheet'!$B$2:$B$3548, 'working sheet'!$D$2:$D$3548, A207)</f>
        <v>45435.821198449077</v>
      </c>
      <c r="C207" s="17">
        <f>_xlfn.MAXIFS('working sheet'!$B$1:$B$3548,'working sheet'!$D$1:$D$3548,'Customer Portfolio'!A207)</f>
        <v>45671.820785833334</v>
      </c>
      <c r="D207">
        <f>COUNTIFS('working sheet'!$D$1:$D$3548,'Customer Portfolio'!A207)</f>
        <v>23</v>
      </c>
      <c r="E207" s="5">
        <f>SUMIFS('working sheet'!$E$2:$E$3548,'working sheet'!$D$2:$D$3548,'Customer Portfolio'!A207)</f>
        <v>812.68</v>
      </c>
      <c r="F207" s="6">
        <f t="shared" si="6"/>
        <v>35.333913043478262</v>
      </c>
      <c r="G207" t="str">
        <f t="array" ref="G207">IFERROR(INDEX('working sheet'!$F$2:$F$3548, MODE(IF('working sheet'!$D$2:$D$3548=A207, MATCH('working sheet'!$F$2:$F$3548, 'working sheet'!$F$2:$F$3548, 0)))),
         INDEX('working sheet'!$F$2:$F$3548, MATCH(A207, 'working sheet'!$D$2:$D$3548, 0)))</f>
        <v>Cappuccino</v>
      </c>
      <c r="H207" s="7">
        <f t="shared" si="7"/>
        <v>236.9995873842563</v>
      </c>
      <c r="I207" s="7">
        <f>MAX('working sheet'!$B$2:$B$3548)-C207</f>
        <v>67.937300219906319</v>
      </c>
      <c r="J207" s="4" t="str">
        <f t="array" ref="J207">IF(AND(I207&lt;=30, D207&gt;=10, E207&gt;=200), "VIP",  IF(AND(I207&lt;=60, D207&gt;=5, E207&gt;=100), "Loyal", IF(AND(I207&lt;=90, D207&gt;=3), "Regular", IF(I207&lt;=30, "Recent", IF(D207&gt;=3, "Occasional", "At Risk")))))</f>
        <v>Regular</v>
      </c>
      <c r="K207" t="str">
        <f t="array" ref="K207">IF(OR(J207="VIP", J207="Loyal"), "HIGH",IF(OR(J207="Regular", J207="Recent"), "MEDIUM","LOW"))</f>
        <v>MEDIUM</v>
      </c>
    </row>
    <row r="208" spans="1:11">
      <c r="A208" t="s">
        <v>221</v>
      </c>
      <c r="B208" s="14">
        <f>_xlfn.MINIFS('working sheet'!$B$2:$B$3548, 'working sheet'!$D$2:$D$3548, A208)</f>
        <v>45435.84376653935</v>
      </c>
      <c r="C208" s="17">
        <f>_xlfn.MAXIFS('working sheet'!$B$1:$B$3548,'working sheet'!$D$1:$D$3548,'Customer Portfolio'!A208)</f>
        <v>45435.844724594906</v>
      </c>
      <c r="D208">
        <f>COUNTIFS('working sheet'!$D$1:$D$3548,'Customer Portfolio'!A208)</f>
        <v>2</v>
      </c>
      <c r="E208" s="5">
        <f>SUMIFS('working sheet'!$E$2:$E$3548,'working sheet'!$D$2:$D$3548,'Customer Portfolio'!A208)</f>
        <v>75.44</v>
      </c>
      <c r="F208" s="6">
        <f t="shared" si="6"/>
        <v>37.72</v>
      </c>
      <c r="G208" t="str">
        <f t="array" ref="G208">IFERROR(INDEX('working sheet'!$F$2:$F$3548, MODE(IF('working sheet'!$D$2:$D$3548=A208, MATCH('working sheet'!$F$2:$F$3548, 'working sheet'!$F$2:$F$3548, 0)))),
         INDEX('working sheet'!$F$2:$F$3548, MATCH(A208, 'working sheet'!$D$2:$D$3548, 0)))</f>
        <v>Cappuccino</v>
      </c>
      <c r="H208" s="7">
        <f t="shared" si="7"/>
        <v>1.0009580555561115</v>
      </c>
      <c r="I208" s="7">
        <f>MAX('working sheet'!$B$2:$B$3548)-C208</f>
        <v>303.91336145833338</v>
      </c>
      <c r="J208" s="4" t="str">
        <f t="array" ref="J208">IF(AND(I208&lt;=30, D208&gt;=10, E208&gt;=200), "VIP",  IF(AND(I208&lt;=60, D208&gt;=5, E208&gt;=100), "Loyal", IF(AND(I208&lt;=90, D208&gt;=3), "Regular", IF(I208&lt;=30, "Recent", IF(D208&gt;=3, "Occasional", "At Risk")))))</f>
        <v>At Risk</v>
      </c>
      <c r="K208" t="str">
        <f t="array" ref="K208">IF(OR(J208="VIP", J208="Loyal"), "HIGH",IF(OR(J208="Regular", J208="Recent"), "MEDIUM","LOW"))</f>
        <v>LOW</v>
      </c>
    </row>
    <row r="209" spans="1:11">
      <c r="A209" t="s">
        <v>222</v>
      </c>
      <c r="B209" s="14">
        <f>_xlfn.MINIFS('working sheet'!$B$2:$B$3548, 'working sheet'!$D$2:$D$3548, A209)</f>
        <v>45435.950125150463</v>
      </c>
      <c r="C209" s="17">
        <f>_xlfn.MAXIFS('working sheet'!$B$1:$B$3548,'working sheet'!$D$1:$D$3548,'Customer Portfolio'!A209)</f>
        <v>45435.950125150463</v>
      </c>
      <c r="D209">
        <f>COUNTIFS('working sheet'!$D$1:$D$3548,'Customer Portfolio'!A209)</f>
        <v>1</v>
      </c>
      <c r="E209" s="5">
        <f>SUMIFS('working sheet'!$E$2:$E$3548,'working sheet'!$D$2:$D$3548,'Customer Portfolio'!A209)</f>
        <v>32.82</v>
      </c>
      <c r="F209" s="6">
        <f t="shared" si="6"/>
        <v>32.82</v>
      </c>
      <c r="G209" t="str">
        <f t="array" ref="G209">IFERROR(INDEX('working sheet'!$F$2:$F$3548, MODE(IF('working sheet'!$D$2:$D$3548=A209, MATCH('working sheet'!$F$2:$F$3548, 'working sheet'!$F$2:$F$3548, 0)))),
         INDEX('working sheet'!$F$2:$F$3548, MATCH(A209, 'working sheet'!$D$2:$D$3548, 0)))</f>
        <v>Americano with Milk</v>
      </c>
      <c r="H209" s="7">
        <f t="shared" si="7"/>
        <v>1</v>
      </c>
      <c r="I209" s="7">
        <f>MAX('working sheet'!$B$2:$B$3548)-C209</f>
        <v>303.80796090277727</v>
      </c>
      <c r="J209" s="4" t="str">
        <f t="array" ref="J209">IF(AND(I209&lt;=30, D209&gt;=10, E209&gt;=200), "VIP",  IF(AND(I209&lt;=60, D209&gt;=5, E209&gt;=100), "Loyal", IF(AND(I209&lt;=90, D209&gt;=3), "Regular", IF(I209&lt;=30, "Recent", IF(D209&gt;=3, "Occasional", "At Risk")))))</f>
        <v>At Risk</v>
      </c>
      <c r="K209" t="str">
        <f t="array" ref="K209">IF(OR(J209="VIP", J209="Loyal"), "HIGH",IF(OR(J209="Regular", J209="Recent"), "MEDIUM","LOW"))</f>
        <v>LOW</v>
      </c>
    </row>
    <row r="210" spans="1:11">
      <c r="A210" t="s">
        <v>223</v>
      </c>
      <c r="B210" s="14">
        <f>_xlfn.MINIFS('working sheet'!$B$2:$B$3548, 'working sheet'!$D$2:$D$3548, A210)</f>
        <v>45436.762272337961</v>
      </c>
      <c r="C210" s="17">
        <f>_xlfn.MAXIFS('working sheet'!$B$1:$B$3548,'working sheet'!$D$1:$D$3548,'Customer Portfolio'!A210)</f>
        <v>45436.762924745373</v>
      </c>
      <c r="D210">
        <f>COUNTIFS('working sheet'!$D$1:$D$3548,'Customer Portfolio'!A210)</f>
        <v>2</v>
      </c>
      <c r="E210" s="5">
        <f>SUMIFS('working sheet'!$E$2:$E$3548,'working sheet'!$D$2:$D$3548,'Customer Portfolio'!A210)</f>
        <v>55.84</v>
      </c>
      <c r="F210" s="6">
        <f t="shared" si="6"/>
        <v>27.92</v>
      </c>
      <c r="G210" t="str">
        <f t="array" ref="G210">IFERROR(INDEX('working sheet'!$F$2:$F$3548, MODE(IF('working sheet'!$D$2:$D$3548=A210, MATCH('working sheet'!$F$2:$F$3548, 'working sheet'!$F$2:$F$3548, 0)))),
         INDEX('working sheet'!$F$2:$F$3548, MATCH(A210, 'working sheet'!$D$2:$D$3548, 0)))</f>
        <v>Cortado</v>
      </c>
      <c r="H210" s="7">
        <f t="shared" si="7"/>
        <v>1.0006524074124172</v>
      </c>
      <c r="I210" s="7">
        <f>MAX('working sheet'!$B$2:$B$3548)-C210</f>
        <v>302.99516130786651</v>
      </c>
      <c r="J210" s="4" t="str">
        <f t="array" ref="J210">IF(AND(I210&lt;=30, D210&gt;=10, E210&gt;=200), "VIP",  IF(AND(I210&lt;=60, D210&gt;=5, E210&gt;=100), "Loyal", IF(AND(I210&lt;=90, D210&gt;=3), "Regular", IF(I210&lt;=30, "Recent", IF(D210&gt;=3, "Occasional", "At Risk")))))</f>
        <v>At Risk</v>
      </c>
      <c r="K210" t="str">
        <f t="array" ref="K210">IF(OR(J210="VIP", J210="Loyal"), "HIGH",IF(OR(J210="Regular", J210="Recent"), "MEDIUM","LOW"))</f>
        <v>LOW</v>
      </c>
    </row>
    <row r="211" spans="1:11">
      <c r="A211" t="s">
        <v>224</v>
      </c>
      <c r="B211" s="14">
        <f>_xlfn.MINIFS('working sheet'!$B$2:$B$3548, 'working sheet'!$D$2:$D$3548, A211)</f>
        <v>45436.937965254627</v>
      </c>
      <c r="C211" s="17">
        <f>_xlfn.MAXIFS('working sheet'!$B$1:$B$3548,'working sheet'!$D$1:$D$3548,'Customer Portfolio'!A211)</f>
        <v>45436.937965254627</v>
      </c>
      <c r="D211">
        <f>COUNTIFS('working sheet'!$D$1:$D$3548,'Customer Portfolio'!A211)</f>
        <v>1</v>
      </c>
      <c r="E211" s="5">
        <f>SUMIFS('working sheet'!$E$2:$E$3548,'working sheet'!$D$2:$D$3548,'Customer Portfolio'!A211)</f>
        <v>32.82</v>
      </c>
      <c r="F211" s="6">
        <f t="shared" si="6"/>
        <v>32.82</v>
      </c>
      <c r="G211" t="str">
        <f t="array" ref="G211">IFERROR(INDEX('working sheet'!$F$2:$F$3548, MODE(IF('working sheet'!$D$2:$D$3548=A211, MATCH('working sheet'!$F$2:$F$3548, 'working sheet'!$F$2:$F$3548, 0)))),
         INDEX('working sheet'!$F$2:$F$3548, MATCH(A211, 'working sheet'!$D$2:$D$3548, 0)))</f>
        <v>Americano with Milk</v>
      </c>
      <c r="H211" s="7">
        <f t="shared" si="7"/>
        <v>1</v>
      </c>
      <c r="I211" s="7">
        <f>MAX('working sheet'!$B$2:$B$3548)-C211</f>
        <v>302.82012079861306</v>
      </c>
      <c r="J211" s="4" t="str">
        <f t="array" ref="J211">IF(AND(I211&lt;=30, D211&gt;=10, E211&gt;=200), "VIP",  IF(AND(I211&lt;=60, D211&gt;=5, E211&gt;=100), "Loyal", IF(AND(I211&lt;=90, D211&gt;=3), "Regular", IF(I211&lt;=30, "Recent", IF(D211&gt;=3, "Occasional", "At Risk")))))</f>
        <v>At Risk</v>
      </c>
      <c r="K211" t="str">
        <f t="array" ref="K211">IF(OR(J211="VIP", J211="Loyal"), "HIGH",IF(OR(J211="Regular", J211="Recent"), "MEDIUM","LOW"))</f>
        <v>LOW</v>
      </c>
    </row>
    <row r="212" spans="1:11">
      <c r="A212" t="s">
        <v>225</v>
      </c>
      <c r="B212" s="14">
        <f>_xlfn.MINIFS('working sheet'!$B$2:$B$3548, 'working sheet'!$D$2:$D$3548, A212)</f>
        <v>45437.509645694445</v>
      </c>
      <c r="C212" s="17">
        <f>_xlfn.MAXIFS('working sheet'!$B$1:$B$3548,'working sheet'!$D$1:$D$3548,'Customer Portfolio'!A212)</f>
        <v>45437.509645694445</v>
      </c>
      <c r="D212">
        <f>COUNTIFS('working sheet'!$D$1:$D$3548,'Customer Portfolio'!A212)</f>
        <v>1</v>
      </c>
      <c r="E212" s="5">
        <f>SUMIFS('working sheet'!$E$2:$E$3548,'working sheet'!$D$2:$D$3548,'Customer Portfolio'!A212)</f>
        <v>37.72</v>
      </c>
      <c r="F212" s="6">
        <f t="shared" si="6"/>
        <v>37.72</v>
      </c>
      <c r="G212" t="str">
        <f t="array" ref="G212">IFERROR(INDEX('working sheet'!$F$2:$F$3548, MODE(IF('working sheet'!$D$2:$D$3548=A212, MATCH('working sheet'!$F$2:$F$3548, 'working sheet'!$F$2:$F$3548, 0)))),
         INDEX('working sheet'!$F$2:$F$3548, MATCH(A212, 'working sheet'!$D$2:$D$3548, 0)))</f>
        <v>Latte</v>
      </c>
      <c r="H212" s="7">
        <f t="shared" si="7"/>
        <v>1</v>
      </c>
      <c r="I212" s="7">
        <f>MAX('working sheet'!$B$2:$B$3548)-C212</f>
        <v>302.24844035879505</v>
      </c>
      <c r="J212" s="4" t="str">
        <f t="array" ref="J212">IF(AND(I212&lt;=30, D212&gt;=10, E212&gt;=200), "VIP",  IF(AND(I212&lt;=60, D212&gt;=5, E212&gt;=100), "Loyal", IF(AND(I212&lt;=90, D212&gt;=3), "Regular", IF(I212&lt;=30, "Recent", IF(D212&gt;=3, "Occasional", "At Risk")))))</f>
        <v>At Risk</v>
      </c>
      <c r="K212" t="str">
        <f t="array" ref="K212">IF(OR(J212="VIP", J212="Loyal"), "HIGH",IF(OR(J212="Regular", J212="Recent"), "MEDIUM","LOW"))</f>
        <v>LOW</v>
      </c>
    </row>
    <row r="213" spans="1:11">
      <c r="A213" t="s">
        <v>226</v>
      </c>
      <c r="B213" s="14">
        <f>_xlfn.MINIFS('working sheet'!$B$2:$B$3548, 'working sheet'!$D$2:$D$3548, A213)</f>
        <v>45437.529285393517</v>
      </c>
      <c r="C213" s="17">
        <f>_xlfn.MAXIFS('working sheet'!$B$1:$B$3548,'working sheet'!$D$1:$D$3548,'Customer Portfolio'!A213)</f>
        <v>45437.530014756943</v>
      </c>
      <c r="D213">
        <f>COUNTIFS('working sheet'!$D$1:$D$3548,'Customer Portfolio'!A213)</f>
        <v>2</v>
      </c>
      <c r="E213" s="5">
        <f>SUMIFS('working sheet'!$E$2:$E$3548,'working sheet'!$D$2:$D$3548,'Customer Portfolio'!A213)</f>
        <v>65.64</v>
      </c>
      <c r="F213" s="6">
        <f t="shared" si="6"/>
        <v>32.82</v>
      </c>
      <c r="G213" t="str">
        <f t="array" ref="G213">IFERROR(INDEX('working sheet'!$F$2:$F$3548, MODE(IF('working sheet'!$D$2:$D$3548=A213, MATCH('working sheet'!$F$2:$F$3548, 'working sheet'!$F$2:$F$3548, 0)))),
         INDEX('working sheet'!$F$2:$F$3548, MATCH(A213, 'working sheet'!$D$2:$D$3548, 0)))</f>
        <v>Americano with Milk</v>
      </c>
      <c r="H213" s="7">
        <f t="shared" si="7"/>
        <v>1.0007293634262169</v>
      </c>
      <c r="I213" s="7">
        <f>MAX('working sheet'!$B$2:$B$3548)-C213</f>
        <v>302.22807129629655</v>
      </c>
      <c r="J213" s="4" t="str">
        <f t="array" ref="J213">IF(AND(I213&lt;=30, D213&gt;=10, E213&gt;=200), "VIP",  IF(AND(I213&lt;=60, D213&gt;=5, E213&gt;=100), "Loyal", IF(AND(I213&lt;=90, D213&gt;=3), "Regular", IF(I213&lt;=30, "Recent", IF(D213&gt;=3, "Occasional", "At Risk")))))</f>
        <v>At Risk</v>
      </c>
      <c r="K213" t="str">
        <f t="array" ref="K213">IF(OR(J213="VIP", J213="Loyal"), "HIGH",IF(OR(J213="Regular", J213="Recent"), "MEDIUM","LOW"))</f>
        <v>LOW</v>
      </c>
    </row>
    <row r="214" spans="1:11">
      <c r="A214" t="s">
        <v>227</v>
      </c>
      <c r="B214" s="14">
        <f>_xlfn.MINIFS('working sheet'!$B$2:$B$3548, 'working sheet'!$D$2:$D$3548, A214)</f>
        <v>45437.540417233795</v>
      </c>
      <c r="C214" s="17">
        <f>_xlfn.MAXIFS('working sheet'!$B$1:$B$3548,'working sheet'!$D$1:$D$3548,'Customer Portfolio'!A214)</f>
        <v>45437.540417233795</v>
      </c>
      <c r="D214">
        <f>COUNTIFS('working sheet'!$D$1:$D$3548,'Customer Portfolio'!A214)</f>
        <v>1</v>
      </c>
      <c r="E214" s="5">
        <f>SUMIFS('working sheet'!$E$2:$E$3548,'working sheet'!$D$2:$D$3548,'Customer Portfolio'!A214)</f>
        <v>32.82</v>
      </c>
      <c r="F214" s="6">
        <f t="shared" si="6"/>
        <v>32.82</v>
      </c>
      <c r="G214" t="str">
        <f t="array" ref="G214">IFERROR(INDEX('working sheet'!$F$2:$F$3548, MODE(IF('working sheet'!$D$2:$D$3548=A214, MATCH('working sheet'!$F$2:$F$3548, 'working sheet'!$F$2:$F$3548, 0)))),
         INDEX('working sheet'!$F$2:$F$3548, MATCH(A214, 'working sheet'!$D$2:$D$3548, 0)))</f>
        <v>Americano with Milk</v>
      </c>
      <c r="H214" s="7">
        <f t="shared" si="7"/>
        <v>1</v>
      </c>
      <c r="I214" s="7">
        <f>MAX('working sheet'!$B$2:$B$3548)-C214</f>
        <v>302.21766881944495</v>
      </c>
      <c r="J214" s="4" t="str">
        <f t="array" ref="J214">IF(AND(I214&lt;=30, D214&gt;=10, E214&gt;=200), "VIP",  IF(AND(I214&lt;=60, D214&gt;=5, E214&gt;=100), "Loyal", IF(AND(I214&lt;=90, D214&gt;=3), "Regular", IF(I214&lt;=30, "Recent", IF(D214&gt;=3, "Occasional", "At Risk")))))</f>
        <v>At Risk</v>
      </c>
      <c r="K214" t="str">
        <f t="array" ref="K214">IF(OR(J214="VIP", J214="Loyal"), "HIGH",IF(OR(J214="Regular", J214="Recent"), "MEDIUM","LOW"))</f>
        <v>LOW</v>
      </c>
    </row>
    <row r="215" spans="1:11">
      <c r="A215" t="s">
        <v>228</v>
      </c>
      <c r="B215" s="14">
        <f>_xlfn.MINIFS('working sheet'!$B$2:$B$3548, 'working sheet'!$D$2:$D$3548, A215)</f>
        <v>45438.600576527781</v>
      </c>
      <c r="C215" s="17">
        <f>_xlfn.MAXIFS('working sheet'!$B$1:$B$3548,'working sheet'!$D$1:$D$3548,'Customer Portfolio'!A215)</f>
        <v>45438.600576527781</v>
      </c>
      <c r="D215">
        <f>COUNTIFS('working sheet'!$D$1:$D$3548,'Customer Portfolio'!A215)</f>
        <v>1</v>
      </c>
      <c r="E215" s="5">
        <f>SUMIFS('working sheet'!$E$2:$E$3548,'working sheet'!$D$2:$D$3548,'Customer Portfolio'!A215)</f>
        <v>32.82</v>
      </c>
      <c r="F215" s="6">
        <f t="shared" si="6"/>
        <v>32.82</v>
      </c>
      <c r="G215" t="str">
        <f t="array" ref="G215">IFERROR(INDEX('working sheet'!$F$2:$F$3548, MODE(IF('working sheet'!$D$2:$D$3548=A215, MATCH('working sheet'!$F$2:$F$3548, 'working sheet'!$F$2:$F$3548, 0)))),
         INDEX('working sheet'!$F$2:$F$3548, MATCH(A215, 'working sheet'!$D$2:$D$3548, 0)))</f>
        <v>Americano with Milk</v>
      </c>
      <c r="H215" s="7">
        <f t="shared" si="7"/>
        <v>1</v>
      </c>
      <c r="I215" s="7">
        <f>MAX('working sheet'!$B$2:$B$3548)-C215</f>
        <v>301.15750952545932</v>
      </c>
      <c r="J215" s="4" t="str">
        <f t="array" ref="J215">IF(AND(I215&lt;=30, D215&gt;=10, E215&gt;=200), "VIP",  IF(AND(I215&lt;=60, D215&gt;=5, E215&gt;=100), "Loyal", IF(AND(I215&lt;=90, D215&gt;=3), "Regular", IF(I215&lt;=30, "Recent", IF(D215&gt;=3, "Occasional", "At Risk")))))</f>
        <v>At Risk</v>
      </c>
      <c r="K215" t="str">
        <f t="array" ref="K215">IF(OR(J215="VIP", J215="Loyal"), "HIGH",IF(OR(J215="Regular", J215="Recent"), "MEDIUM","LOW"))</f>
        <v>LOW</v>
      </c>
    </row>
    <row r="216" spans="1:11">
      <c r="A216" t="s">
        <v>229</v>
      </c>
      <c r="B216" s="14">
        <f>_xlfn.MINIFS('working sheet'!$B$2:$B$3548, 'working sheet'!$D$2:$D$3548, A216)</f>
        <v>45438.601449629627</v>
      </c>
      <c r="C216" s="17">
        <f>_xlfn.MAXIFS('working sheet'!$B$1:$B$3548,'working sheet'!$D$1:$D$3548,'Customer Portfolio'!A216)</f>
        <v>45438.601449629627</v>
      </c>
      <c r="D216">
        <f>COUNTIFS('working sheet'!$D$1:$D$3548,'Customer Portfolio'!A216)</f>
        <v>1</v>
      </c>
      <c r="E216" s="5">
        <f>SUMIFS('working sheet'!$E$2:$E$3548,'working sheet'!$D$2:$D$3548,'Customer Portfolio'!A216)</f>
        <v>27.92</v>
      </c>
      <c r="F216" s="6">
        <f t="shared" si="6"/>
        <v>27.92</v>
      </c>
      <c r="G216" t="str">
        <f t="array" ref="G216">IFERROR(INDEX('working sheet'!$F$2:$F$3548, MODE(IF('working sheet'!$D$2:$D$3548=A216, MATCH('working sheet'!$F$2:$F$3548, 'working sheet'!$F$2:$F$3548, 0)))),
         INDEX('working sheet'!$F$2:$F$3548, MATCH(A216, 'working sheet'!$D$2:$D$3548, 0)))</f>
        <v>Cortado</v>
      </c>
      <c r="H216" s="7">
        <f t="shared" si="7"/>
        <v>1</v>
      </c>
      <c r="I216" s="7">
        <f>MAX('working sheet'!$B$2:$B$3548)-C216</f>
        <v>301.15663642361324</v>
      </c>
      <c r="J216" s="4" t="str">
        <f t="array" ref="J216">IF(AND(I216&lt;=30, D216&gt;=10, E216&gt;=200), "VIP",  IF(AND(I216&lt;=60, D216&gt;=5, E216&gt;=100), "Loyal", IF(AND(I216&lt;=90, D216&gt;=3), "Regular", IF(I216&lt;=30, "Recent", IF(D216&gt;=3, "Occasional", "At Risk")))))</f>
        <v>At Risk</v>
      </c>
      <c r="K216" t="str">
        <f t="array" ref="K216">IF(OR(J216="VIP", J216="Loyal"), "HIGH",IF(OR(J216="Regular", J216="Recent"), "MEDIUM","LOW"))</f>
        <v>LOW</v>
      </c>
    </row>
    <row r="217" spans="1:11">
      <c r="A217" t="s">
        <v>230</v>
      </c>
      <c r="B217" s="14">
        <f>_xlfn.MINIFS('working sheet'!$B$2:$B$3548, 'working sheet'!$D$2:$D$3548, A217)</f>
        <v>45438.611792615739</v>
      </c>
      <c r="C217" s="17">
        <f>_xlfn.MAXIFS('working sheet'!$B$1:$B$3548,'working sheet'!$D$1:$D$3548,'Customer Portfolio'!A217)</f>
        <v>45438.611792615739</v>
      </c>
      <c r="D217">
        <f>COUNTIFS('working sheet'!$D$1:$D$3548,'Customer Portfolio'!A217)</f>
        <v>1</v>
      </c>
      <c r="E217" s="5">
        <f>SUMIFS('working sheet'!$E$2:$E$3548,'working sheet'!$D$2:$D$3548,'Customer Portfolio'!A217)</f>
        <v>32.82</v>
      </c>
      <c r="F217" s="6">
        <f t="shared" si="6"/>
        <v>32.82</v>
      </c>
      <c r="G217" t="str">
        <f t="array" ref="G217">IFERROR(INDEX('working sheet'!$F$2:$F$3548, MODE(IF('working sheet'!$D$2:$D$3548=A217, MATCH('working sheet'!$F$2:$F$3548, 'working sheet'!$F$2:$F$3548, 0)))),
         INDEX('working sheet'!$F$2:$F$3548, MATCH(A217, 'working sheet'!$D$2:$D$3548, 0)))</f>
        <v>Americano with Milk</v>
      </c>
      <c r="H217" s="7">
        <f t="shared" si="7"/>
        <v>1</v>
      </c>
      <c r="I217" s="7">
        <f>MAX('working sheet'!$B$2:$B$3548)-C217</f>
        <v>301.1462934375013</v>
      </c>
      <c r="J217" s="4" t="str">
        <f t="array" ref="J217">IF(AND(I217&lt;=30, D217&gt;=10, E217&gt;=200), "VIP",  IF(AND(I217&lt;=60, D217&gt;=5, E217&gt;=100), "Loyal", IF(AND(I217&lt;=90, D217&gt;=3), "Regular", IF(I217&lt;=30, "Recent", IF(D217&gt;=3, "Occasional", "At Risk")))))</f>
        <v>At Risk</v>
      </c>
      <c r="K217" t="str">
        <f t="array" ref="K217">IF(OR(J217="VIP", J217="Loyal"), "HIGH",IF(OR(J217="Regular", J217="Recent"), "MEDIUM","LOW"))</f>
        <v>LOW</v>
      </c>
    </row>
    <row r="218" spans="1:11">
      <c r="A218" t="s">
        <v>231</v>
      </c>
      <c r="B218" s="14">
        <f>_xlfn.MINIFS('working sheet'!$B$2:$B$3548, 'working sheet'!$D$2:$D$3548, A218)</f>
        <v>45438.721707418983</v>
      </c>
      <c r="C218" s="17">
        <f>_xlfn.MAXIFS('working sheet'!$B$1:$B$3548,'working sheet'!$D$1:$D$3548,'Customer Portfolio'!A218)</f>
        <v>45438.721707418983</v>
      </c>
      <c r="D218">
        <f>COUNTIFS('working sheet'!$D$1:$D$3548,'Customer Portfolio'!A218)</f>
        <v>1</v>
      </c>
      <c r="E218" s="5">
        <f>SUMIFS('working sheet'!$E$2:$E$3548,'working sheet'!$D$2:$D$3548,'Customer Portfolio'!A218)</f>
        <v>37.72</v>
      </c>
      <c r="F218" s="6">
        <f t="shared" si="6"/>
        <v>37.72</v>
      </c>
      <c r="G218" t="str">
        <f t="array" ref="G218">IFERROR(INDEX('working sheet'!$F$2:$F$3548, MODE(IF('working sheet'!$D$2:$D$3548=A218, MATCH('working sheet'!$F$2:$F$3548, 'working sheet'!$F$2:$F$3548, 0)))),
         INDEX('working sheet'!$F$2:$F$3548, MATCH(A218, 'working sheet'!$D$2:$D$3548, 0)))</f>
        <v>Cappuccino</v>
      </c>
      <c r="H218" s="7">
        <f t="shared" si="7"/>
        <v>1</v>
      </c>
      <c r="I218" s="7">
        <f>MAX('working sheet'!$B$2:$B$3548)-C218</f>
        <v>301.03637863425683</v>
      </c>
      <c r="J218" s="4" t="str">
        <f t="array" ref="J218">IF(AND(I218&lt;=30, D218&gt;=10, E218&gt;=200), "VIP",  IF(AND(I218&lt;=60, D218&gt;=5, E218&gt;=100), "Loyal", IF(AND(I218&lt;=90, D218&gt;=3), "Regular", IF(I218&lt;=30, "Recent", IF(D218&gt;=3, "Occasional", "At Risk")))))</f>
        <v>At Risk</v>
      </c>
      <c r="K218" t="str">
        <f t="array" ref="K218">IF(OR(J218="VIP", J218="Loyal"), "HIGH",IF(OR(J218="Regular", J218="Recent"), "MEDIUM","LOW"))</f>
        <v>LOW</v>
      </c>
    </row>
    <row r="219" spans="1:11">
      <c r="A219" t="s">
        <v>232</v>
      </c>
      <c r="B219" s="14">
        <f>_xlfn.MINIFS('working sheet'!$B$2:$B$3548, 'working sheet'!$D$2:$D$3548, A219)</f>
        <v>45438.756861608796</v>
      </c>
      <c r="C219" s="17">
        <f>_xlfn.MAXIFS('working sheet'!$B$1:$B$3548,'working sheet'!$D$1:$D$3548,'Customer Portfolio'!A219)</f>
        <v>45438.759193275466</v>
      </c>
      <c r="D219">
        <f>COUNTIFS('working sheet'!$D$1:$D$3548,'Customer Portfolio'!A219)</f>
        <v>3</v>
      </c>
      <c r="E219" s="5">
        <f>SUMIFS('working sheet'!$E$2:$E$3548,'working sheet'!$D$2:$D$3548,'Customer Portfolio'!A219)</f>
        <v>103.36</v>
      </c>
      <c r="F219" s="6">
        <f t="shared" si="6"/>
        <v>34.453333333333333</v>
      </c>
      <c r="G219" t="str">
        <f t="array" ref="G219">IFERROR(INDEX('working sheet'!$F$2:$F$3548, MODE(IF('working sheet'!$D$2:$D$3548=A219, MATCH('working sheet'!$F$2:$F$3548, 'working sheet'!$F$2:$F$3548, 0)))),
         INDEX('working sheet'!$F$2:$F$3548, MATCH(A219, 'working sheet'!$D$2:$D$3548, 0)))</f>
        <v>Hot Chocolate</v>
      </c>
      <c r="H219" s="7">
        <f t="shared" si="7"/>
        <v>1.0023316666702158</v>
      </c>
      <c r="I219" s="7">
        <f>MAX('working sheet'!$B$2:$B$3548)-C219</f>
        <v>300.99889277777402</v>
      </c>
      <c r="J219" s="4" t="str">
        <f t="array" ref="J219">IF(AND(I219&lt;=30, D219&gt;=10, E219&gt;=200), "VIP",  IF(AND(I219&lt;=60, D219&gt;=5, E219&gt;=100), "Loyal", IF(AND(I219&lt;=90, D219&gt;=3), "Regular", IF(I219&lt;=30, "Recent", IF(D219&gt;=3, "Occasional", "At Risk")))))</f>
        <v>Occasional</v>
      </c>
      <c r="K219" t="str">
        <f t="array" ref="K219">IF(OR(J219="VIP", J219="Loyal"), "HIGH",IF(OR(J219="Regular", J219="Recent"), "MEDIUM","LOW"))</f>
        <v>LOW</v>
      </c>
    </row>
    <row r="220" spans="1:11">
      <c r="A220" t="s">
        <v>233</v>
      </c>
      <c r="B220" s="14">
        <f>_xlfn.MINIFS('working sheet'!$B$2:$B$3548, 'working sheet'!$D$2:$D$3548, A220)</f>
        <v>45438.777300856484</v>
      </c>
      <c r="C220" s="17">
        <f>_xlfn.MAXIFS('working sheet'!$B$1:$B$3548,'working sheet'!$D$1:$D$3548,'Customer Portfolio'!A220)</f>
        <v>45438.777300856484</v>
      </c>
      <c r="D220">
        <f>COUNTIFS('working sheet'!$D$1:$D$3548,'Customer Portfolio'!A220)</f>
        <v>1</v>
      </c>
      <c r="E220" s="5">
        <f>SUMIFS('working sheet'!$E$2:$E$3548,'working sheet'!$D$2:$D$3548,'Customer Portfolio'!A220)</f>
        <v>37.72</v>
      </c>
      <c r="F220" s="6">
        <f t="shared" si="6"/>
        <v>37.72</v>
      </c>
      <c r="G220" t="str">
        <f t="array" ref="G220">IFERROR(INDEX('working sheet'!$F$2:$F$3548, MODE(IF('working sheet'!$D$2:$D$3548=A220, MATCH('working sheet'!$F$2:$F$3548, 'working sheet'!$F$2:$F$3548, 0)))),
         INDEX('working sheet'!$F$2:$F$3548, MATCH(A220, 'working sheet'!$D$2:$D$3548, 0)))</f>
        <v>Latte</v>
      </c>
      <c r="H220" s="7">
        <f t="shared" si="7"/>
        <v>1</v>
      </c>
      <c r="I220" s="7">
        <f>MAX('working sheet'!$B$2:$B$3548)-C220</f>
        <v>300.98078519675619</v>
      </c>
      <c r="J220" s="4" t="str">
        <f t="array" ref="J220">IF(AND(I220&lt;=30, D220&gt;=10, E220&gt;=200), "VIP",  IF(AND(I220&lt;=60, D220&gt;=5, E220&gt;=100), "Loyal", IF(AND(I220&lt;=90, D220&gt;=3), "Regular", IF(I220&lt;=30, "Recent", IF(D220&gt;=3, "Occasional", "At Risk")))))</f>
        <v>At Risk</v>
      </c>
      <c r="K220" t="str">
        <f t="array" ref="K220">IF(OR(J220="VIP", J220="Loyal"), "HIGH",IF(OR(J220="Regular", J220="Recent"), "MEDIUM","LOW"))</f>
        <v>LOW</v>
      </c>
    </row>
    <row r="221" spans="1:11">
      <c r="A221" t="s">
        <v>234</v>
      </c>
      <c r="B221" s="14">
        <f>_xlfn.MINIFS('working sheet'!$B$2:$B$3548, 'working sheet'!$D$2:$D$3548, A221)</f>
        <v>45438.874478634258</v>
      </c>
      <c r="C221" s="17">
        <f>_xlfn.MAXIFS('working sheet'!$B$1:$B$3548,'working sheet'!$D$1:$D$3548,'Customer Portfolio'!A221)</f>
        <v>45448.841685856481</v>
      </c>
      <c r="D221">
        <f>COUNTIFS('working sheet'!$D$1:$D$3548,'Customer Portfolio'!A221)</f>
        <v>4</v>
      </c>
      <c r="E221" s="5">
        <f>SUMIFS('working sheet'!$E$2:$E$3548,'working sheet'!$D$2:$D$3548,'Customer Portfolio'!A221)</f>
        <v>141.07999999999998</v>
      </c>
      <c r="F221" s="6">
        <f t="shared" si="6"/>
        <v>35.269999999999996</v>
      </c>
      <c r="G221" t="str">
        <f t="array" ref="G221">IFERROR(INDEX('working sheet'!$F$2:$F$3548, MODE(IF('working sheet'!$D$2:$D$3548=A221, MATCH('working sheet'!$F$2:$F$3548, 'working sheet'!$F$2:$F$3548, 0)))),
         INDEX('working sheet'!$F$2:$F$3548, MATCH(A221, 'working sheet'!$D$2:$D$3548, 0)))</f>
        <v>Hot Chocolate</v>
      </c>
      <c r="H221" s="7">
        <f t="shared" si="7"/>
        <v>10.967207222223806</v>
      </c>
      <c r="I221" s="7">
        <f>MAX('working sheet'!$B$2:$B$3548)-C221</f>
        <v>290.91640019675833</v>
      </c>
      <c r="J221" s="4" t="str">
        <f t="array" ref="J221">IF(AND(I221&lt;=30, D221&gt;=10, E221&gt;=200), "VIP",  IF(AND(I221&lt;=60, D221&gt;=5, E221&gt;=100), "Loyal", IF(AND(I221&lt;=90, D221&gt;=3), "Regular", IF(I221&lt;=30, "Recent", IF(D221&gt;=3, "Occasional", "At Risk")))))</f>
        <v>Occasional</v>
      </c>
      <c r="K221" t="str">
        <f t="array" ref="K221">IF(OR(J221="VIP", J221="Loyal"), "HIGH",IF(OR(J221="Regular", J221="Recent"), "MEDIUM","LOW"))</f>
        <v>LOW</v>
      </c>
    </row>
    <row r="222" spans="1:11">
      <c r="A222" t="s">
        <v>235</v>
      </c>
      <c r="B222" s="14">
        <f>_xlfn.MINIFS('working sheet'!$B$2:$B$3548, 'working sheet'!$D$2:$D$3548, A222)</f>
        <v>45438.876816377313</v>
      </c>
      <c r="C222" s="17">
        <f>_xlfn.MAXIFS('working sheet'!$B$1:$B$3548,'working sheet'!$D$1:$D$3548,'Customer Portfolio'!A222)</f>
        <v>45438.878458611114</v>
      </c>
      <c r="D222">
        <f>COUNTIFS('working sheet'!$D$1:$D$3548,'Customer Portfolio'!A222)</f>
        <v>2</v>
      </c>
      <c r="E222" s="5">
        <f>SUMIFS('working sheet'!$E$2:$E$3548,'working sheet'!$D$2:$D$3548,'Customer Portfolio'!A222)</f>
        <v>65.64</v>
      </c>
      <c r="F222" s="6">
        <f t="shared" si="6"/>
        <v>32.82</v>
      </c>
      <c r="G222" t="str">
        <f t="array" ref="G222">IFERROR(INDEX('working sheet'!$F$2:$F$3548, MODE(IF('working sheet'!$D$2:$D$3548=A222, MATCH('working sheet'!$F$2:$F$3548, 'working sheet'!$F$2:$F$3548, 0)))),
         INDEX('working sheet'!$F$2:$F$3548, MATCH(A222, 'working sheet'!$D$2:$D$3548, 0)))</f>
        <v>Cortado</v>
      </c>
      <c r="H222" s="7">
        <f t="shared" si="7"/>
        <v>1.0016422338012489</v>
      </c>
      <c r="I222" s="7">
        <f>MAX('working sheet'!$B$2:$B$3548)-C222</f>
        <v>300.87962744212564</v>
      </c>
      <c r="J222" s="4" t="str">
        <f t="array" ref="J222">IF(AND(I222&lt;=30, D222&gt;=10, E222&gt;=200), "VIP",  IF(AND(I222&lt;=60, D222&gt;=5, E222&gt;=100), "Loyal", IF(AND(I222&lt;=90, D222&gt;=3), "Regular", IF(I222&lt;=30, "Recent", IF(D222&gt;=3, "Occasional", "At Risk")))))</f>
        <v>At Risk</v>
      </c>
      <c r="K222" t="str">
        <f t="array" ref="K222">IF(OR(J222="VIP", J222="Loyal"), "HIGH",IF(OR(J222="Regular", J222="Recent"), "MEDIUM","LOW"))</f>
        <v>LOW</v>
      </c>
    </row>
    <row r="223" spans="1:11">
      <c r="A223" t="s">
        <v>236</v>
      </c>
      <c r="B223" s="14">
        <f>_xlfn.MINIFS('working sheet'!$B$2:$B$3548, 'working sheet'!$D$2:$D$3548, A223)</f>
        <v>45438.877682546299</v>
      </c>
      <c r="C223" s="17">
        <f>_xlfn.MAXIFS('working sheet'!$B$1:$B$3548,'working sheet'!$D$1:$D$3548,'Customer Portfolio'!A223)</f>
        <v>45438.877682546299</v>
      </c>
      <c r="D223">
        <f>COUNTIFS('working sheet'!$D$1:$D$3548,'Customer Portfolio'!A223)</f>
        <v>1</v>
      </c>
      <c r="E223" s="5">
        <f>SUMIFS('working sheet'!$E$2:$E$3548,'working sheet'!$D$2:$D$3548,'Customer Portfolio'!A223)</f>
        <v>37.72</v>
      </c>
      <c r="F223" s="6">
        <f t="shared" si="6"/>
        <v>37.72</v>
      </c>
      <c r="G223" t="str">
        <f t="array" ref="G223">IFERROR(INDEX('working sheet'!$F$2:$F$3548, MODE(IF('working sheet'!$D$2:$D$3548=A223, MATCH('working sheet'!$F$2:$F$3548, 'working sheet'!$F$2:$F$3548, 0)))),
         INDEX('working sheet'!$F$2:$F$3548, MATCH(A223, 'working sheet'!$D$2:$D$3548, 0)))</f>
        <v>Cappuccino</v>
      </c>
      <c r="H223" s="7">
        <f t="shared" si="7"/>
        <v>1</v>
      </c>
      <c r="I223" s="7">
        <f>MAX('working sheet'!$B$2:$B$3548)-C223</f>
        <v>300.88040350694064</v>
      </c>
      <c r="J223" s="4" t="str">
        <f t="array" ref="J223">IF(AND(I223&lt;=30, D223&gt;=10, E223&gt;=200), "VIP",  IF(AND(I223&lt;=60, D223&gt;=5, E223&gt;=100), "Loyal", IF(AND(I223&lt;=90, D223&gt;=3), "Regular", IF(I223&lt;=30, "Recent", IF(D223&gt;=3, "Occasional", "At Risk")))))</f>
        <v>At Risk</v>
      </c>
      <c r="K223" t="str">
        <f t="array" ref="K223">IF(OR(J223="VIP", J223="Loyal"), "HIGH",IF(OR(J223="Regular", J223="Recent"), "MEDIUM","LOW"))</f>
        <v>LOW</v>
      </c>
    </row>
    <row r="224" spans="1:11">
      <c r="A224" t="s">
        <v>237</v>
      </c>
      <c r="B224" s="14">
        <f>_xlfn.MINIFS('working sheet'!$B$2:$B$3548, 'working sheet'!$D$2:$D$3548, A224)</f>
        <v>45438.879197002316</v>
      </c>
      <c r="C224" s="17">
        <f>_xlfn.MAXIFS('working sheet'!$B$1:$B$3548,'working sheet'!$D$1:$D$3548,'Customer Portfolio'!A224)</f>
        <v>45438.879197002316</v>
      </c>
      <c r="D224">
        <f>COUNTIFS('working sheet'!$D$1:$D$3548,'Customer Portfolio'!A224)</f>
        <v>1</v>
      </c>
      <c r="E224" s="5">
        <f>SUMIFS('working sheet'!$E$2:$E$3548,'working sheet'!$D$2:$D$3548,'Customer Portfolio'!A224)</f>
        <v>37.72</v>
      </c>
      <c r="F224" s="6">
        <f t="shared" si="6"/>
        <v>37.72</v>
      </c>
      <c r="G224" t="str">
        <f t="array" ref="G224">IFERROR(INDEX('working sheet'!$F$2:$F$3548, MODE(IF('working sheet'!$D$2:$D$3548=A224, MATCH('working sheet'!$F$2:$F$3548, 'working sheet'!$F$2:$F$3548, 0)))),
         INDEX('working sheet'!$F$2:$F$3548, MATCH(A224, 'working sheet'!$D$2:$D$3548, 0)))</f>
        <v>Cappuccino</v>
      </c>
      <c r="H224" s="7">
        <f t="shared" si="7"/>
        <v>1</v>
      </c>
      <c r="I224" s="7">
        <f>MAX('working sheet'!$B$2:$B$3548)-C224</f>
        <v>300.87888905092404</v>
      </c>
      <c r="J224" s="4" t="str">
        <f t="array" ref="J224">IF(AND(I224&lt;=30, D224&gt;=10, E224&gt;=200), "VIP",  IF(AND(I224&lt;=60, D224&gt;=5, E224&gt;=100), "Loyal", IF(AND(I224&lt;=90, D224&gt;=3), "Regular", IF(I224&lt;=30, "Recent", IF(D224&gt;=3, "Occasional", "At Risk")))))</f>
        <v>At Risk</v>
      </c>
      <c r="K224" t="str">
        <f t="array" ref="K224">IF(OR(J224="VIP", J224="Loyal"), "HIGH",IF(OR(J224="Regular", J224="Recent"), "MEDIUM","LOW"))</f>
        <v>LOW</v>
      </c>
    </row>
    <row r="225" spans="1:11">
      <c r="A225" t="s">
        <v>238</v>
      </c>
      <c r="B225" s="14">
        <f>_xlfn.MINIFS('working sheet'!$B$2:$B$3548, 'working sheet'!$D$2:$D$3548, A225)</f>
        <v>45439.587056574077</v>
      </c>
      <c r="C225" s="17">
        <f>_xlfn.MAXIFS('working sheet'!$B$1:$B$3548,'working sheet'!$D$1:$D$3548,'Customer Portfolio'!A225)</f>
        <v>45689.829445208336</v>
      </c>
      <c r="D225">
        <f>COUNTIFS('working sheet'!$D$1:$D$3548,'Customer Portfolio'!A225)</f>
        <v>10</v>
      </c>
      <c r="E225" s="5">
        <f>SUMIFS('working sheet'!$E$2:$E$3548,'working sheet'!$D$2:$D$3548,'Customer Portfolio'!A225)</f>
        <v>319.38000000000005</v>
      </c>
      <c r="F225" s="6">
        <f t="shared" si="6"/>
        <v>31.938000000000006</v>
      </c>
      <c r="G225" t="str">
        <f t="array" ref="G225">IFERROR(INDEX('working sheet'!$F$2:$F$3548, MODE(IF('working sheet'!$D$2:$D$3548=A225, MATCH('working sheet'!$F$2:$F$3548, 'working sheet'!$F$2:$F$3548, 0)))),
         INDEX('working sheet'!$F$2:$F$3548, MATCH(A225, 'working sheet'!$D$2:$D$3548, 0)))</f>
        <v>Americano with Milk</v>
      </c>
      <c r="H225" s="7">
        <f t="shared" si="7"/>
        <v>251.24238863425853</v>
      </c>
      <c r="I225" s="7">
        <f>MAX('working sheet'!$B$2:$B$3548)-C225</f>
        <v>49.928640844904294</v>
      </c>
      <c r="J225" s="4" t="str">
        <f t="array" ref="J225">IF(AND(I225&lt;=30, D225&gt;=10, E225&gt;=200), "VIP",  IF(AND(I225&lt;=60, D225&gt;=5, E225&gt;=100), "Loyal", IF(AND(I225&lt;=90, D225&gt;=3), "Regular", IF(I225&lt;=30, "Recent", IF(D225&gt;=3, "Occasional", "At Risk")))))</f>
        <v>Loyal</v>
      </c>
      <c r="K225" t="str">
        <f t="array" ref="K225">IF(OR(J225="VIP", J225="Loyal"), "HIGH",IF(OR(J225="Regular", J225="Recent"), "MEDIUM","LOW"))</f>
        <v>HIGH</v>
      </c>
    </row>
    <row r="226" spans="1:11">
      <c r="A226" t="s">
        <v>239</v>
      </c>
      <c r="B226" s="14">
        <f>_xlfn.MINIFS('working sheet'!$B$2:$B$3548, 'working sheet'!$D$2:$D$3548, A226)</f>
        <v>45439.633033113423</v>
      </c>
      <c r="C226" s="17">
        <f>_xlfn.MAXIFS('working sheet'!$B$1:$B$3548,'working sheet'!$D$1:$D$3548,'Customer Portfolio'!A226)</f>
        <v>45599.851558229166</v>
      </c>
      <c r="D226">
        <f>COUNTIFS('working sheet'!$D$1:$D$3548,'Customer Portfolio'!A226)</f>
        <v>12</v>
      </c>
      <c r="E226" s="5">
        <f>SUMIFS('working sheet'!$E$2:$E$3548,'working sheet'!$D$2:$D$3548,'Customer Portfolio'!A226)</f>
        <v>331.12</v>
      </c>
      <c r="F226" s="6">
        <f t="shared" si="6"/>
        <v>27.593333333333334</v>
      </c>
      <c r="G226" t="str">
        <f t="array" ref="G226">IFERROR(INDEX('working sheet'!$F$2:$F$3548, MODE(IF('working sheet'!$D$2:$D$3548=A226, MATCH('working sheet'!$F$2:$F$3548, 'working sheet'!$F$2:$F$3548, 0)))),
         INDEX('working sheet'!$F$2:$F$3548, MATCH(A226, 'working sheet'!$D$2:$D$3548, 0)))</f>
        <v>Americano</v>
      </c>
      <c r="H226" s="7">
        <f t="shared" si="7"/>
        <v>161.21852511574252</v>
      </c>
      <c r="I226" s="7">
        <f>MAX('working sheet'!$B$2:$B$3548)-C226</f>
        <v>139.90652782407415</v>
      </c>
      <c r="J226" s="4" t="str">
        <f t="array" ref="J226">IF(AND(I226&lt;=30, D226&gt;=10, E226&gt;=200), "VIP",  IF(AND(I226&lt;=60, D226&gt;=5, E226&gt;=100), "Loyal", IF(AND(I226&lt;=90, D226&gt;=3), "Regular", IF(I226&lt;=30, "Recent", IF(D226&gt;=3, "Occasional", "At Risk")))))</f>
        <v>Occasional</v>
      </c>
      <c r="K226" t="str">
        <f t="array" ref="K226">IF(OR(J226="VIP", J226="Loyal"), "HIGH",IF(OR(J226="Regular", J226="Recent"), "MEDIUM","LOW"))</f>
        <v>LOW</v>
      </c>
    </row>
    <row r="227" spans="1:11">
      <c r="A227" t="s">
        <v>240</v>
      </c>
      <c r="B227" s="14">
        <f>_xlfn.MINIFS('working sheet'!$B$2:$B$3548, 'working sheet'!$D$2:$D$3548, A227)</f>
        <v>45439.750590081021</v>
      </c>
      <c r="C227" s="17">
        <f>_xlfn.MAXIFS('working sheet'!$B$1:$B$3548,'working sheet'!$D$1:$D$3548,'Customer Portfolio'!A227)</f>
        <v>45439.750590081021</v>
      </c>
      <c r="D227">
        <f>COUNTIFS('working sheet'!$D$1:$D$3548,'Customer Portfolio'!A227)</f>
        <v>1</v>
      </c>
      <c r="E227" s="5">
        <f>SUMIFS('working sheet'!$E$2:$E$3548,'working sheet'!$D$2:$D$3548,'Customer Portfolio'!A227)</f>
        <v>27.92</v>
      </c>
      <c r="F227" s="6">
        <f t="shared" si="6"/>
        <v>27.92</v>
      </c>
      <c r="G227" t="str">
        <f t="array" ref="G227">IFERROR(INDEX('working sheet'!$F$2:$F$3548, MODE(IF('working sheet'!$D$2:$D$3548=A227, MATCH('working sheet'!$F$2:$F$3548, 'working sheet'!$F$2:$F$3548, 0)))),
         INDEX('working sheet'!$F$2:$F$3548, MATCH(A227, 'working sheet'!$D$2:$D$3548, 0)))</f>
        <v>Americano</v>
      </c>
      <c r="H227" s="7">
        <f t="shared" si="7"/>
        <v>1</v>
      </c>
      <c r="I227" s="7">
        <f>MAX('working sheet'!$B$2:$B$3548)-C227</f>
        <v>300.00749597221875</v>
      </c>
      <c r="J227" s="4" t="str">
        <f t="array" ref="J227">IF(AND(I227&lt;=30, D227&gt;=10, E227&gt;=200), "VIP",  IF(AND(I227&lt;=60, D227&gt;=5, E227&gt;=100), "Loyal", IF(AND(I227&lt;=90, D227&gt;=3), "Regular", IF(I227&lt;=30, "Recent", IF(D227&gt;=3, "Occasional", "At Risk")))))</f>
        <v>At Risk</v>
      </c>
      <c r="K227" t="str">
        <f t="array" ref="K227">IF(OR(J227="VIP", J227="Loyal"), "HIGH",IF(OR(J227="Regular", J227="Recent"), "MEDIUM","LOW"))</f>
        <v>LOW</v>
      </c>
    </row>
    <row r="228" spans="1:11">
      <c r="A228" t="s">
        <v>241</v>
      </c>
      <c r="B228" s="14">
        <f>_xlfn.MINIFS('working sheet'!$B$2:$B$3548, 'working sheet'!$D$2:$D$3548, A228)</f>
        <v>45439.803094953706</v>
      </c>
      <c r="C228" s="17">
        <f>_xlfn.MAXIFS('working sheet'!$B$1:$B$3548,'working sheet'!$D$1:$D$3548,'Customer Portfolio'!A228)</f>
        <v>45439.803094953706</v>
      </c>
      <c r="D228">
        <f>COUNTIFS('working sheet'!$D$1:$D$3548,'Customer Portfolio'!A228)</f>
        <v>1</v>
      </c>
      <c r="E228" s="5">
        <f>SUMIFS('working sheet'!$E$2:$E$3548,'working sheet'!$D$2:$D$3548,'Customer Portfolio'!A228)</f>
        <v>37.72</v>
      </c>
      <c r="F228" s="6">
        <f t="shared" si="6"/>
        <v>37.72</v>
      </c>
      <c r="G228" t="str">
        <f t="array" ref="G228">IFERROR(INDEX('working sheet'!$F$2:$F$3548, MODE(IF('working sheet'!$D$2:$D$3548=A228, MATCH('working sheet'!$F$2:$F$3548, 'working sheet'!$F$2:$F$3548, 0)))),
         INDEX('working sheet'!$F$2:$F$3548, MATCH(A228, 'working sheet'!$D$2:$D$3548, 0)))</f>
        <v>Latte</v>
      </c>
      <c r="H228" s="7">
        <f t="shared" si="7"/>
        <v>1</v>
      </c>
      <c r="I228" s="7">
        <f>MAX('working sheet'!$B$2:$B$3548)-C228</f>
        <v>299.9549910995338</v>
      </c>
      <c r="J228" s="4" t="str">
        <f t="array" ref="J228">IF(AND(I228&lt;=30, D228&gt;=10, E228&gt;=200), "VIP",  IF(AND(I228&lt;=60, D228&gt;=5, E228&gt;=100), "Loyal", IF(AND(I228&lt;=90, D228&gt;=3), "Regular", IF(I228&lt;=30, "Recent", IF(D228&gt;=3, "Occasional", "At Risk")))))</f>
        <v>At Risk</v>
      </c>
      <c r="K228" t="str">
        <f t="array" ref="K228">IF(OR(J228="VIP", J228="Loyal"), "HIGH",IF(OR(J228="Regular", J228="Recent"), "MEDIUM","LOW"))</f>
        <v>LOW</v>
      </c>
    </row>
    <row r="229" spans="1:11">
      <c r="A229" t="s">
        <v>242</v>
      </c>
      <c r="B229" s="14">
        <f>_xlfn.MINIFS('working sheet'!$B$2:$B$3548, 'working sheet'!$D$2:$D$3548, A229)</f>
        <v>45439.803920474536</v>
      </c>
      <c r="C229" s="17">
        <f>_xlfn.MAXIFS('working sheet'!$B$1:$B$3548,'working sheet'!$D$1:$D$3548,'Customer Portfolio'!A229)</f>
        <v>45599.554453032404</v>
      </c>
      <c r="D229">
        <f>COUNTIFS('working sheet'!$D$1:$D$3548,'Customer Portfolio'!A229)</f>
        <v>2</v>
      </c>
      <c r="E229" s="5">
        <f>SUMIFS('working sheet'!$E$2:$E$3548,'working sheet'!$D$2:$D$3548,'Customer Portfolio'!A229)</f>
        <v>73.47999999999999</v>
      </c>
      <c r="F229" s="6">
        <f t="shared" si="6"/>
        <v>36.739999999999995</v>
      </c>
      <c r="G229" t="str">
        <f t="array" ref="G229">IFERROR(INDEX('working sheet'!$F$2:$F$3548, MODE(IF('working sheet'!$D$2:$D$3548=A229, MATCH('working sheet'!$F$2:$F$3548, 'working sheet'!$F$2:$F$3548, 0)))),
         INDEX('working sheet'!$F$2:$F$3548, MATCH(A229, 'working sheet'!$D$2:$D$3548, 0)))</f>
        <v>Latte</v>
      </c>
      <c r="H229" s="7">
        <f t="shared" si="7"/>
        <v>160.7505325578677</v>
      </c>
      <c r="I229" s="7">
        <f>MAX('working sheet'!$B$2:$B$3548)-C229</f>
        <v>140.2036330208357</v>
      </c>
      <c r="J229" s="4" t="str">
        <f t="array" ref="J229">IF(AND(I229&lt;=30, D229&gt;=10, E229&gt;=200), "VIP",  IF(AND(I229&lt;=60, D229&gt;=5, E229&gt;=100), "Loyal", IF(AND(I229&lt;=90, D229&gt;=3), "Regular", IF(I229&lt;=30, "Recent", IF(D229&gt;=3, "Occasional", "At Risk")))))</f>
        <v>At Risk</v>
      </c>
      <c r="K229" t="str">
        <f t="array" ref="K229">IF(OR(J229="VIP", J229="Loyal"), "HIGH",IF(OR(J229="Regular", J229="Recent"), "MEDIUM","LOW"))</f>
        <v>LOW</v>
      </c>
    </row>
    <row r="230" spans="1:11">
      <c r="A230" t="s">
        <v>243</v>
      </c>
      <c r="B230" s="14">
        <f>_xlfn.MINIFS('working sheet'!$B$2:$B$3548, 'working sheet'!$D$2:$D$3548, A230)</f>
        <v>45440.491880717593</v>
      </c>
      <c r="C230" s="17">
        <f>_xlfn.MAXIFS('working sheet'!$B$1:$B$3548,'working sheet'!$D$1:$D$3548,'Customer Portfolio'!A230)</f>
        <v>45440.491880717593</v>
      </c>
      <c r="D230">
        <f>COUNTIFS('working sheet'!$D$1:$D$3548,'Customer Portfolio'!A230)</f>
        <v>1</v>
      </c>
      <c r="E230" s="5">
        <f>SUMIFS('working sheet'!$E$2:$E$3548,'working sheet'!$D$2:$D$3548,'Customer Portfolio'!A230)</f>
        <v>37.72</v>
      </c>
      <c r="F230" s="6">
        <f t="shared" si="6"/>
        <v>37.72</v>
      </c>
      <c r="G230" t="str">
        <f t="array" ref="G230">IFERROR(INDEX('working sheet'!$F$2:$F$3548, MODE(IF('working sheet'!$D$2:$D$3548=A230, MATCH('working sheet'!$F$2:$F$3548, 'working sheet'!$F$2:$F$3548, 0)))),
         INDEX('working sheet'!$F$2:$F$3548, MATCH(A230, 'working sheet'!$D$2:$D$3548, 0)))</f>
        <v>Cappuccino</v>
      </c>
      <c r="H230" s="7">
        <f t="shared" si="7"/>
        <v>1</v>
      </c>
      <c r="I230" s="7">
        <f>MAX('working sheet'!$B$2:$B$3548)-C230</f>
        <v>299.2662053356471</v>
      </c>
      <c r="J230" s="4" t="str">
        <f t="array" ref="J230">IF(AND(I230&lt;=30, D230&gt;=10, E230&gt;=200), "VIP",  IF(AND(I230&lt;=60, D230&gt;=5, E230&gt;=100), "Loyal", IF(AND(I230&lt;=90, D230&gt;=3), "Regular", IF(I230&lt;=30, "Recent", IF(D230&gt;=3, "Occasional", "At Risk")))))</f>
        <v>At Risk</v>
      </c>
      <c r="K230" t="str">
        <f t="array" ref="K230">IF(OR(J230="VIP", J230="Loyal"), "HIGH",IF(OR(J230="Regular", J230="Recent"), "MEDIUM","LOW"))</f>
        <v>LOW</v>
      </c>
    </row>
    <row r="231" spans="1:11">
      <c r="A231" t="s">
        <v>244</v>
      </c>
      <c r="B231" s="14">
        <f>_xlfn.MINIFS('working sheet'!$B$2:$B$3548, 'working sheet'!$D$2:$D$3548, A231)</f>
        <v>45440.551856886574</v>
      </c>
      <c r="C231" s="17">
        <f>_xlfn.MAXIFS('working sheet'!$B$1:$B$3548,'working sheet'!$D$1:$D$3548,'Customer Portfolio'!A231)</f>
        <v>45440.551856886574</v>
      </c>
      <c r="D231">
        <f>COUNTIFS('working sheet'!$D$1:$D$3548,'Customer Portfolio'!A231)</f>
        <v>1</v>
      </c>
      <c r="E231" s="5">
        <f>SUMIFS('working sheet'!$E$2:$E$3548,'working sheet'!$D$2:$D$3548,'Customer Portfolio'!A231)</f>
        <v>37.72</v>
      </c>
      <c r="F231" s="6">
        <f t="shared" si="6"/>
        <v>37.72</v>
      </c>
      <c r="G231" t="str">
        <f t="array" ref="G231">IFERROR(INDEX('working sheet'!$F$2:$F$3548, MODE(IF('working sheet'!$D$2:$D$3548=A231, MATCH('working sheet'!$F$2:$F$3548, 'working sheet'!$F$2:$F$3548, 0)))),
         INDEX('working sheet'!$F$2:$F$3548, MATCH(A231, 'working sheet'!$D$2:$D$3548, 0)))</f>
        <v>Cappuccino</v>
      </c>
      <c r="H231" s="7">
        <f t="shared" si="7"/>
        <v>1</v>
      </c>
      <c r="I231" s="7">
        <f>MAX('working sheet'!$B$2:$B$3548)-C231</f>
        <v>299.20622916666616</v>
      </c>
      <c r="J231" s="4" t="str">
        <f t="array" ref="J231">IF(AND(I231&lt;=30, D231&gt;=10, E231&gt;=200), "VIP",  IF(AND(I231&lt;=60, D231&gt;=5, E231&gt;=100), "Loyal", IF(AND(I231&lt;=90, D231&gt;=3), "Regular", IF(I231&lt;=30, "Recent", IF(D231&gt;=3, "Occasional", "At Risk")))))</f>
        <v>At Risk</v>
      </c>
      <c r="K231" t="str">
        <f t="array" ref="K231">IF(OR(J231="VIP", J231="Loyal"), "HIGH",IF(OR(J231="Regular", J231="Recent"), "MEDIUM","LOW"))</f>
        <v>LOW</v>
      </c>
    </row>
    <row r="232" spans="1:11">
      <c r="A232" t="s">
        <v>245</v>
      </c>
      <c r="B232" s="14">
        <f>_xlfn.MINIFS('working sheet'!$B$2:$B$3548, 'working sheet'!$D$2:$D$3548, A232)</f>
        <v>45440.798253113426</v>
      </c>
      <c r="C232" s="17">
        <f>_xlfn.MAXIFS('working sheet'!$B$1:$B$3548,'working sheet'!$D$1:$D$3548,'Customer Portfolio'!A232)</f>
        <v>45440.798970717595</v>
      </c>
      <c r="D232">
        <f>COUNTIFS('working sheet'!$D$1:$D$3548,'Customer Portfolio'!A232)</f>
        <v>2</v>
      </c>
      <c r="E232" s="5">
        <f>SUMIFS('working sheet'!$E$2:$E$3548,'working sheet'!$D$2:$D$3548,'Customer Portfolio'!A232)</f>
        <v>65.64</v>
      </c>
      <c r="F232" s="6">
        <f t="shared" si="6"/>
        <v>32.82</v>
      </c>
      <c r="G232" t="str">
        <f t="array" ref="G232">IFERROR(INDEX('working sheet'!$F$2:$F$3548, MODE(IF('working sheet'!$D$2:$D$3548=A232, MATCH('working sheet'!$F$2:$F$3548, 'working sheet'!$F$2:$F$3548, 0)))),
         INDEX('working sheet'!$F$2:$F$3548, MATCH(A232, 'working sheet'!$D$2:$D$3548, 0)))</f>
        <v>Americano</v>
      </c>
      <c r="H232" s="7">
        <f t="shared" si="7"/>
        <v>1.00071760416904</v>
      </c>
      <c r="I232" s="7">
        <f>MAX('working sheet'!$B$2:$B$3548)-C232</f>
        <v>298.95911533564504</v>
      </c>
      <c r="J232" s="4" t="str">
        <f t="array" ref="J232">IF(AND(I232&lt;=30, D232&gt;=10, E232&gt;=200), "VIP",  IF(AND(I232&lt;=60, D232&gt;=5, E232&gt;=100), "Loyal", IF(AND(I232&lt;=90, D232&gt;=3), "Regular", IF(I232&lt;=30, "Recent", IF(D232&gt;=3, "Occasional", "At Risk")))))</f>
        <v>At Risk</v>
      </c>
      <c r="K232" t="str">
        <f t="array" ref="K232">IF(OR(J232="VIP", J232="Loyal"), "HIGH",IF(OR(J232="Regular", J232="Recent"), "MEDIUM","LOW"))</f>
        <v>LOW</v>
      </c>
    </row>
    <row r="233" spans="1:11">
      <c r="A233" t="s">
        <v>246</v>
      </c>
      <c r="B233" s="14">
        <f>_xlfn.MINIFS('working sheet'!$B$2:$B$3548, 'working sheet'!$D$2:$D$3548, A233)</f>
        <v>45441.385228055558</v>
      </c>
      <c r="C233" s="17">
        <f>_xlfn.MAXIFS('working sheet'!$B$1:$B$3548,'working sheet'!$D$1:$D$3548,'Customer Portfolio'!A233)</f>
        <v>45519.526823645836</v>
      </c>
      <c r="D233">
        <f>COUNTIFS('working sheet'!$D$1:$D$3548,'Customer Portfolio'!A233)</f>
        <v>3</v>
      </c>
      <c r="E233" s="5">
        <f>SUMIFS('working sheet'!$E$2:$E$3548,'working sheet'!$D$2:$D$3548,'Customer Portfolio'!A233)</f>
        <v>108.25999999999999</v>
      </c>
      <c r="F233" s="6">
        <f t="shared" si="6"/>
        <v>36.086666666666666</v>
      </c>
      <c r="G233" t="str">
        <f t="array" ref="G233">IFERROR(INDEX('working sheet'!$F$2:$F$3548, MODE(IF('working sheet'!$D$2:$D$3548=A233, MATCH('working sheet'!$F$2:$F$3548, 'working sheet'!$F$2:$F$3548, 0)))),
         INDEX('working sheet'!$F$2:$F$3548, MATCH(A233, 'working sheet'!$D$2:$D$3548, 0)))</f>
        <v>Latte</v>
      </c>
      <c r="H233" s="7">
        <f t="shared" si="7"/>
        <v>79.141595590277575</v>
      </c>
      <c r="I233" s="7">
        <f>MAX('working sheet'!$B$2:$B$3548)-C233</f>
        <v>220.23126240740385</v>
      </c>
      <c r="J233" s="4" t="str">
        <f t="array" ref="J233">IF(AND(I233&lt;=30, D233&gt;=10, E233&gt;=200), "VIP",  IF(AND(I233&lt;=60, D233&gt;=5, E233&gt;=100), "Loyal", IF(AND(I233&lt;=90, D233&gt;=3), "Regular", IF(I233&lt;=30, "Recent", IF(D233&gt;=3, "Occasional", "At Risk")))))</f>
        <v>Occasional</v>
      </c>
      <c r="K233" t="str">
        <f t="array" ref="K233">IF(OR(J233="VIP", J233="Loyal"), "HIGH",IF(OR(J233="Regular", J233="Recent"), "MEDIUM","LOW"))</f>
        <v>LOW</v>
      </c>
    </row>
    <row r="234" spans="1:11">
      <c r="A234" t="s">
        <v>247</v>
      </c>
      <c r="B234" s="14">
        <f>_xlfn.MINIFS('working sheet'!$B$2:$B$3548, 'working sheet'!$D$2:$D$3548, A234)</f>
        <v>45441.46808859954</v>
      </c>
      <c r="C234" s="17">
        <f>_xlfn.MAXIFS('working sheet'!$B$1:$B$3548,'working sheet'!$D$1:$D$3548,'Customer Portfolio'!A234)</f>
        <v>45441.46808859954</v>
      </c>
      <c r="D234">
        <f>COUNTIFS('working sheet'!$D$1:$D$3548,'Customer Portfolio'!A234)</f>
        <v>1</v>
      </c>
      <c r="E234" s="5">
        <f>SUMIFS('working sheet'!$E$2:$E$3548,'working sheet'!$D$2:$D$3548,'Customer Portfolio'!A234)</f>
        <v>37.72</v>
      </c>
      <c r="F234" s="6">
        <f t="shared" si="6"/>
        <v>37.72</v>
      </c>
      <c r="G234" t="str">
        <f t="array" ref="G234">IFERROR(INDEX('working sheet'!$F$2:$F$3548, MODE(IF('working sheet'!$D$2:$D$3548=A234, MATCH('working sheet'!$F$2:$F$3548, 'working sheet'!$F$2:$F$3548, 0)))),
         INDEX('working sheet'!$F$2:$F$3548, MATCH(A234, 'working sheet'!$D$2:$D$3548, 0)))</f>
        <v>Hot Chocolate</v>
      </c>
      <c r="H234" s="7">
        <f t="shared" si="7"/>
        <v>1</v>
      </c>
      <c r="I234" s="7">
        <f>MAX('working sheet'!$B$2:$B$3548)-C234</f>
        <v>298.28999745369947</v>
      </c>
      <c r="J234" s="4" t="str">
        <f t="array" ref="J234">IF(AND(I234&lt;=30, D234&gt;=10, E234&gt;=200), "VIP",  IF(AND(I234&lt;=60, D234&gt;=5, E234&gt;=100), "Loyal", IF(AND(I234&lt;=90, D234&gt;=3), "Regular", IF(I234&lt;=30, "Recent", IF(D234&gt;=3, "Occasional", "At Risk")))))</f>
        <v>At Risk</v>
      </c>
      <c r="K234" t="str">
        <f t="array" ref="K234">IF(OR(J234="VIP", J234="Loyal"), "HIGH",IF(OR(J234="Regular", J234="Recent"), "MEDIUM","LOW"))</f>
        <v>LOW</v>
      </c>
    </row>
    <row r="235" spans="1:11">
      <c r="A235" t="s">
        <v>248</v>
      </c>
      <c r="B235" s="14">
        <f>_xlfn.MINIFS('working sheet'!$B$2:$B$3548, 'working sheet'!$D$2:$D$3548, A235)</f>
        <v>45441.632506307869</v>
      </c>
      <c r="C235" s="17">
        <f>_xlfn.MAXIFS('working sheet'!$B$1:$B$3548,'working sheet'!$D$1:$D$3548,'Customer Portfolio'!A235)</f>
        <v>45441.632506307869</v>
      </c>
      <c r="D235">
        <f>COUNTIFS('working sheet'!$D$1:$D$3548,'Customer Portfolio'!A235)</f>
        <v>1</v>
      </c>
      <c r="E235" s="5">
        <f>SUMIFS('working sheet'!$E$2:$E$3548,'working sheet'!$D$2:$D$3548,'Customer Portfolio'!A235)</f>
        <v>27.92</v>
      </c>
      <c r="F235" s="6">
        <f t="shared" si="6"/>
        <v>27.92</v>
      </c>
      <c r="G235" t="str">
        <f t="array" ref="G235">IFERROR(INDEX('working sheet'!$F$2:$F$3548, MODE(IF('working sheet'!$D$2:$D$3548=A235, MATCH('working sheet'!$F$2:$F$3548, 'working sheet'!$F$2:$F$3548, 0)))),
         INDEX('working sheet'!$F$2:$F$3548, MATCH(A235, 'working sheet'!$D$2:$D$3548, 0)))</f>
        <v>Americano</v>
      </c>
      <c r="H235" s="7">
        <f t="shared" si="7"/>
        <v>1</v>
      </c>
      <c r="I235" s="7">
        <f>MAX('working sheet'!$B$2:$B$3548)-C235</f>
        <v>298.12557974537049</v>
      </c>
      <c r="J235" s="4" t="str">
        <f t="array" ref="J235">IF(AND(I235&lt;=30, D235&gt;=10, E235&gt;=200), "VIP",  IF(AND(I235&lt;=60, D235&gt;=5, E235&gt;=100), "Loyal", IF(AND(I235&lt;=90, D235&gt;=3), "Regular", IF(I235&lt;=30, "Recent", IF(D235&gt;=3, "Occasional", "At Risk")))))</f>
        <v>At Risk</v>
      </c>
      <c r="K235" t="str">
        <f t="array" ref="K235">IF(OR(J235="VIP", J235="Loyal"), "HIGH",IF(OR(J235="Regular", J235="Recent"), "MEDIUM","LOW"))</f>
        <v>LOW</v>
      </c>
    </row>
    <row r="236" spans="1:11">
      <c r="A236" t="s">
        <v>249</v>
      </c>
      <c r="B236" s="14">
        <f>_xlfn.MINIFS('working sheet'!$B$2:$B$3548, 'working sheet'!$D$2:$D$3548, A236)</f>
        <v>45441.640929641202</v>
      </c>
      <c r="C236" s="17">
        <f>_xlfn.MAXIFS('working sheet'!$B$1:$B$3548,'working sheet'!$D$1:$D$3548,'Customer Portfolio'!A236)</f>
        <v>45441.640929641202</v>
      </c>
      <c r="D236">
        <f>COUNTIFS('working sheet'!$D$1:$D$3548,'Customer Portfolio'!A236)</f>
        <v>1</v>
      </c>
      <c r="E236" s="5">
        <f>SUMIFS('working sheet'!$E$2:$E$3548,'working sheet'!$D$2:$D$3548,'Customer Portfolio'!A236)</f>
        <v>37.72</v>
      </c>
      <c r="F236" s="6">
        <f t="shared" si="6"/>
        <v>37.72</v>
      </c>
      <c r="G236" t="str">
        <f t="array" ref="G236">IFERROR(INDEX('working sheet'!$F$2:$F$3548, MODE(IF('working sheet'!$D$2:$D$3548=A236, MATCH('working sheet'!$F$2:$F$3548, 'working sheet'!$F$2:$F$3548, 0)))),
         INDEX('working sheet'!$F$2:$F$3548, MATCH(A236, 'working sheet'!$D$2:$D$3548, 0)))</f>
        <v>Latte</v>
      </c>
      <c r="H236" s="7">
        <f t="shared" si="7"/>
        <v>1</v>
      </c>
      <c r="I236" s="7">
        <f>MAX('working sheet'!$B$2:$B$3548)-C236</f>
        <v>298.11715641203773</v>
      </c>
      <c r="J236" s="4" t="str">
        <f t="array" ref="J236">IF(AND(I236&lt;=30, D236&gt;=10, E236&gt;=200), "VIP",  IF(AND(I236&lt;=60, D236&gt;=5, E236&gt;=100), "Loyal", IF(AND(I236&lt;=90, D236&gt;=3), "Regular", IF(I236&lt;=30, "Recent", IF(D236&gt;=3, "Occasional", "At Risk")))))</f>
        <v>At Risk</v>
      </c>
      <c r="K236" t="str">
        <f t="array" ref="K236">IF(OR(J236="VIP", J236="Loyal"), "HIGH",IF(OR(J236="Regular", J236="Recent"), "MEDIUM","LOW"))</f>
        <v>LOW</v>
      </c>
    </row>
    <row r="237" spans="1:11">
      <c r="A237" t="s">
        <v>250</v>
      </c>
      <c r="B237" s="14">
        <f>_xlfn.MINIFS('working sheet'!$B$2:$B$3548, 'working sheet'!$D$2:$D$3548, A237)</f>
        <v>45441.656397430554</v>
      </c>
      <c r="C237" s="17">
        <f>_xlfn.MAXIFS('working sheet'!$B$1:$B$3548,'working sheet'!$D$1:$D$3548,'Customer Portfolio'!A237)</f>
        <v>45441.656397430554</v>
      </c>
      <c r="D237">
        <f>COUNTIFS('working sheet'!$D$1:$D$3548,'Customer Portfolio'!A237)</f>
        <v>1</v>
      </c>
      <c r="E237" s="5">
        <f>SUMIFS('working sheet'!$E$2:$E$3548,'working sheet'!$D$2:$D$3548,'Customer Portfolio'!A237)</f>
        <v>37.72</v>
      </c>
      <c r="F237" s="6">
        <f t="shared" si="6"/>
        <v>37.72</v>
      </c>
      <c r="G237" t="str">
        <f t="array" ref="G237">IFERROR(INDEX('working sheet'!$F$2:$F$3548, MODE(IF('working sheet'!$D$2:$D$3548=A237, MATCH('working sheet'!$F$2:$F$3548, 'working sheet'!$F$2:$F$3548, 0)))),
         INDEX('working sheet'!$F$2:$F$3548, MATCH(A237, 'working sheet'!$D$2:$D$3548, 0)))</f>
        <v>Cappuccino</v>
      </c>
      <c r="H237" s="7">
        <f t="shared" si="7"/>
        <v>1</v>
      </c>
      <c r="I237" s="7">
        <f>MAX('working sheet'!$B$2:$B$3548)-C237</f>
        <v>298.1016886226862</v>
      </c>
      <c r="J237" s="4" t="str">
        <f t="array" ref="J237">IF(AND(I237&lt;=30, D237&gt;=10, E237&gt;=200), "VIP",  IF(AND(I237&lt;=60, D237&gt;=5, E237&gt;=100), "Loyal", IF(AND(I237&lt;=90, D237&gt;=3), "Regular", IF(I237&lt;=30, "Recent", IF(D237&gt;=3, "Occasional", "At Risk")))))</f>
        <v>At Risk</v>
      </c>
      <c r="K237" t="str">
        <f t="array" ref="K237">IF(OR(J237="VIP", J237="Loyal"), "HIGH",IF(OR(J237="Regular", J237="Recent"), "MEDIUM","LOW"))</f>
        <v>LOW</v>
      </c>
    </row>
    <row r="238" spans="1:11">
      <c r="A238" t="s">
        <v>251</v>
      </c>
      <c r="B238" s="14">
        <f>_xlfn.MINIFS('working sheet'!$B$2:$B$3548, 'working sheet'!$D$2:$D$3548, A238)</f>
        <v>45441.697962384256</v>
      </c>
      <c r="C238" s="17">
        <f>_xlfn.MAXIFS('working sheet'!$B$1:$B$3548,'working sheet'!$D$1:$D$3548,'Customer Portfolio'!A238)</f>
        <v>45441.697962384256</v>
      </c>
      <c r="D238">
        <f>COUNTIFS('working sheet'!$D$1:$D$3548,'Customer Portfolio'!A238)</f>
        <v>1</v>
      </c>
      <c r="E238" s="5">
        <f>SUMIFS('working sheet'!$E$2:$E$3548,'working sheet'!$D$2:$D$3548,'Customer Portfolio'!A238)</f>
        <v>37.72</v>
      </c>
      <c r="F238" s="6">
        <f t="shared" si="6"/>
        <v>37.72</v>
      </c>
      <c r="G238" t="str">
        <f t="array" ref="G238">IFERROR(INDEX('working sheet'!$F$2:$F$3548, MODE(IF('working sheet'!$D$2:$D$3548=A238, MATCH('working sheet'!$F$2:$F$3548, 'working sheet'!$F$2:$F$3548, 0)))),
         INDEX('working sheet'!$F$2:$F$3548, MATCH(A238, 'working sheet'!$D$2:$D$3548, 0)))</f>
        <v>Latte</v>
      </c>
      <c r="H238" s="7">
        <f t="shared" si="7"/>
        <v>1</v>
      </c>
      <c r="I238" s="7">
        <f>MAX('working sheet'!$B$2:$B$3548)-C238</f>
        <v>298.06012366898358</v>
      </c>
      <c r="J238" s="4" t="str">
        <f t="array" ref="J238">IF(AND(I238&lt;=30, D238&gt;=10, E238&gt;=200), "VIP",  IF(AND(I238&lt;=60, D238&gt;=5, E238&gt;=100), "Loyal", IF(AND(I238&lt;=90, D238&gt;=3), "Regular", IF(I238&lt;=30, "Recent", IF(D238&gt;=3, "Occasional", "At Risk")))))</f>
        <v>At Risk</v>
      </c>
      <c r="K238" t="str">
        <f t="array" ref="K238">IF(OR(J238="VIP", J238="Loyal"), "HIGH",IF(OR(J238="Regular", J238="Recent"), "MEDIUM","LOW"))</f>
        <v>LOW</v>
      </c>
    </row>
    <row r="239" spans="1:11">
      <c r="A239" t="s">
        <v>252</v>
      </c>
      <c r="B239" s="14">
        <f>_xlfn.MINIFS('working sheet'!$B$2:$B$3548, 'working sheet'!$D$2:$D$3548, A239)</f>
        <v>45441.766705254631</v>
      </c>
      <c r="C239" s="17">
        <f>_xlfn.MAXIFS('working sheet'!$B$1:$B$3548,'working sheet'!$D$1:$D$3548,'Customer Portfolio'!A239)</f>
        <v>45441.767353136573</v>
      </c>
      <c r="D239">
        <f>COUNTIFS('working sheet'!$D$1:$D$3548,'Customer Portfolio'!A239)</f>
        <v>2</v>
      </c>
      <c r="E239" s="5">
        <f>SUMIFS('working sheet'!$E$2:$E$3548,'working sheet'!$D$2:$D$3548,'Customer Portfolio'!A239)</f>
        <v>65.64</v>
      </c>
      <c r="F239" s="6">
        <f t="shared" si="6"/>
        <v>32.82</v>
      </c>
      <c r="G239" t="str">
        <f t="array" ref="G239">IFERROR(INDEX('working sheet'!$F$2:$F$3548, MODE(IF('working sheet'!$D$2:$D$3548=A239, MATCH('working sheet'!$F$2:$F$3548, 'working sheet'!$F$2:$F$3548, 0)))),
         INDEX('working sheet'!$F$2:$F$3548, MATCH(A239, 'working sheet'!$D$2:$D$3548, 0)))</f>
        <v>Cortado</v>
      </c>
      <c r="H239" s="7">
        <f t="shared" si="7"/>
        <v>1.0006478819414042</v>
      </c>
      <c r="I239" s="7">
        <f>MAX('working sheet'!$B$2:$B$3548)-C239</f>
        <v>297.99073291666718</v>
      </c>
      <c r="J239" s="4" t="str">
        <f t="array" ref="J239">IF(AND(I239&lt;=30, D239&gt;=10, E239&gt;=200), "VIP",  IF(AND(I239&lt;=60, D239&gt;=5, E239&gt;=100), "Loyal", IF(AND(I239&lt;=90, D239&gt;=3), "Regular", IF(I239&lt;=30, "Recent", IF(D239&gt;=3, "Occasional", "At Risk")))))</f>
        <v>At Risk</v>
      </c>
      <c r="K239" t="str">
        <f t="array" ref="K239">IF(OR(J239="VIP", J239="Loyal"), "HIGH",IF(OR(J239="Regular", J239="Recent"), "MEDIUM","LOW"))</f>
        <v>LOW</v>
      </c>
    </row>
    <row r="240" spans="1:11">
      <c r="A240" t="s">
        <v>253</v>
      </c>
      <c r="B240" s="14">
        <f>_xlfn.MINIFS('working sheet'!$B$2:$B$3548, 'working sheet'!$D$2:$D$3548, A240)</f>
        <v>45441.854655555559</v>
      </c>
      <c r="C240" s="17">
        <f>_xlfn.MAXIFS('working sheet'!$B$1:$B$3548,'working sheet'!$D$1:$D$3548,'Customer Portfolio'!A240)</f>
        <v>45441.854655555559</v>
      </c>
      <c r="D240">
        <f>COUNTIFS('working sheet'!$D$1:$D$3548,'Customer Portfolio'!A240)</f>
        <v>1</v>
      </c>
      <c r="E240" s="5">
        <f>SUMIFS('working sheet'!$E$2:$E$3548,'working sheet'!$D$2:$D$3548,'Customer Portfolio'!A240)</f>
        <v>37.72</v>
      </c>
      <c r="F240" s="6">
        <f t="shared" si="6"/>
        <v>37.72</v>
      </c>
      <c r="G240" t="str">
        <f t="array" ref="G240">IFERROR(INDEX('working sheet'!$F$2:$F$3548, MODE(IF('working sheet'!$D$2:$D$3548=A240, MATCH('working sheet'!$F$2:$F$3548, 'working sheet'!$F$2:$F$3548, 0)))),
         INDEX('working sheet'!$F$2:$F$3548, MATCH(A240, 'working sheet'!$D$2:$D$3548, 0)))</f>
        <v>Hot Chocolate</v>
      </c>
      <c r="H240" s="7">
        <f t="shared" si="7"/>
        <v>1</v>
      </c>
      <c r="I240" s="7">
        <f>MAX('working sheet'!$B$2:$B$3548)-C240</f>
        <v>297.90343049768126</v>
      </c>
      <c r="J240" s="4" t="str">
        <f t="array" ref="J240">IF(AND(I240&lt;=30, D240&gt;=10, E240&gt;=200), "VIP",  IF(AND(I240&lt;=60, D240&gt;=5, E240&gt;=100), "Loyal", IF(AND(I240&lt;=90, D240&gt;=3), "Regular", IF(I240&lt;=30, "Recent", IF(D240&gt;=3, "Occasional", "At Risk")))))</f>
        <v>At Risk</v>
      </c>
      <c r="K240" t="str">
        <f t="array" ref="K240">IF(OR(J240="VIP", J240="Loyal"), "HIGH",IF(OR(J240="Regular", J240="Recent"), "MEDIUM","LOW"))</f>
        <v>LOW</v>
      </c>
    </row>
    <row r="241" spans="1:11">
      <c r="A241" t="s">
        <v>254</v>
      </c>
      <c r="B241" s="14">
        <f>_xlfn.MINIFS('working sheet'!$B$2:$B$3548, 'working sheet'!$D$2:$D$3548, A241)</f>
        <v>45441.85596296296</v>
      </c>
      <c r="C241" s="17">
        <f>_xlfn.MAXIFS('working sheet'!$B$1:$B$3548,'working sheet'!$D$1:$D$3548,'Customer Portfolio'!A241)</f>
        <v>45441.85596296296</v>
      </c>
      <c r="D241">
        <f>COUNTIFS('working sheet'!$D$1:$D$3548,'Customer Portfolio'!A241)</f>
        <v>1</v>
      </c>
      <c r="E241" s="5">
        <f>SUMIFS('working sheet'!$E$2:$E$3548,'working sheet'!$D$2:$D$3548,'Customer Portfolio'!A241)</f>
        <v>37.72</v>
      </c>
      <c r="F241" s="6">
        <f t="shared" si="6"/>
        <v>37.72</v>
      </c>
      <c r="G241" t="str">
        <f t="array" ref="G241">IFERROR(INDEX('working sheet'!$F$2:$F$3548, MODE(IF('working sheet'!$D$2:$D$3548=A241, MATCH('working sheet'!$F$2:$F$3548, 'working sheet'!$F$2:$F$3548, 0)))),
         INDEX('working sheet'!$F$2:$F$3548, MATCH(A241, 'working sheet'!$D$2:$D$3548, 0)))</f>
        <v>Cocoa</v>
      </c>
      <c r="H241" s="7">
        <f t="shared" si="7"/>
        <v>1</v>
      </c>
      <c r="I241" s="7">
        <f>MAX('working sheet'!$B$2:$B$3548)-C241</f>
        <v>297.90212309027993</v>
      </c>
      <c r="J241" s="4" t="str">
        <f t="array" ref="J241">IF(AND(I241&lt;=30, D241&gt;=10, E241&gt;=200), "VIP",  IF(AND(I241&lt;=60, D241&gt;=5, E241&gt;=100), "Loyal", IF(AND(I241&lt;=90, D241&gt;=3), "Regular", IF(I241&lt;=30, "Recent", IF(D241&gt;=3, "Occasional", "At Risk")))))</f>
        <v>At Risk</v>
      </c>
      <c r="K241" t="str">
        <f t="array" ref="K241">IF(OR(J241="VIP", J241="Loyal"), "HIGH",IF(OR(J241="Regular", J241="Recent"), "MEDIUM","LOW"))</f>
        <v>LOW</v>
      </c>
    </row>
    <row r="242" spans="1:11">
      <c r="A242" t="s">
        <v>255</v>
      </c>
      <c r="B242" s="14">
        <f>_xlfn.MINIFS('working sheet'!$B$2:$B$3548, 'working sheet'!$D$2:$D$3548, A242)</f>
        <v>45442.353544872683</v>
      </c>
      <c r="C242" s="17">
        <f>_xlfn.MAXIFS('working sheet'!$B$1:$B$3548,'working sheet'!$D$1:$D$3548,'Customer Portfolio'!A242)</f>
        <v>45442.354416504633</v>
      </c>
      <c r="D242">
        <f>COUNTIFS('working sheet'!$D$1:$D$3548,'Customer Portfolio'!A242)</f>
        <v>2</v>
      </c>
      <c r="E242" s="5">
        <f>SUMIFS('working sheet'!$E$2:$E$3548,'working sheet'!$D$2:$D$3548,'Customer Portfolio'!A242)</f>
        <v>75.44</v>
      </c>
      <c r="F242" s="6">
        <f t="shared" si="6"/>
        <v>37.72</v>
      </c>
      <c r="G242" t="str">
        <f t="array" ref="G242">IFERROR(INDEX('working sheet'!$F$2:$F$3548, MODE(IF('working sheet'!$D$2:$D$3548=A242, MATCH('working sheet'!$F$2:$F$3548, 'working sheet'!$F$2:$F$3548, 0)))),
         INDEX('working sheet'!$F$2:$F$3548, MATCH(A242, 'working sheet'!$D$2:$D$3548, 0)))</f>
        <v>Cappuccino</v>
      </c>
      <c r="H242" s="7">
        <f t="shared" si="7"/>
        <v>1.000871631949849</v>
      </c>
      <c r="I242" s="7">
        <f>MAX('working sheet'!$B$2:$B$3548)-C242</f>
        <v>297.40366954860656</v>
      </c>
      <c r="J242" s="4" t="str">
        <f t="array" ref="J242">IF(AND(I242&lt;=30, D242&gt;=10, E242&gt;=200), "VIP",  IF(AND(I242&lt;=60, D242&gt;=5, E242&gt;=100), "Loyal", IF(AND(I242&lt;=90, D242&gt;=3), "Regular", IF(I242&lt;=30, "Recent", IF(D242&gt;=3, "Occasional", "At Risk")))))</f>
        <v>At Risk</v>
      </c>
      <c r="K242" t="str">
        <f t="array" ref="K242">IF(OR(J242="VIP", J242="Loyal"), "HIGH",IF(OR(J242="Regular", J242="Recent"), "MEDIUM","LOW"))</f>
        <v>LOW</v>
      </c>
    </row>
    <row r="243" spans="1:11">
      <c r="A243" t="s">
        <v>256</v>
      </c>
      <c r="B243" s="14">
        <f>_xlfn.MINIFS('working sheet'!$B$2:$B$3548, 'working sheet'!$D$2:$D$3548, A243)</f>
        <v>45442.359090069447</v>
      </c>
      <c r="C243" s="17">
        <f>_xlfn.MAXIFS('working sheet'!$B$1:$B$3548,'working sheet'!$D$1:$D$3548,'Customer Portfolio'!A243)</f>
        <v>45593.385911817131</v>
      </c>
      <c r="D243">
        <f>COUNTIFS('working sheet'!$D$1:$D$3548,'Customer Portfolio'!A243)</f>
        <v>4</v>
      </c>
      <c r="E243" s="5">
        <f>SUMIFS('working sheet'!$E$2:$E$3548,'working sheet'!$D$2:$D$3548,'Customer Portfolio'!A243)</f>
        <v>122.46</v>
      </c>
      <c r="F243" s="6">
        <f t="shared" si="6"/>
        <v>30.614999999999998</v>
      </c>
      <c r="G243" t="str">
        <f t="array" ref="G243">IFERROR(INDEX('working sheet'!$F$2:$F$3548, MODE(IF('working sheet'!$D$2:$D$3548=A243, MATCH('working sheet'!$F$2:$F$3548, 'working sheet'!$F$2:$F$3548, 0)))),
         INDEX('working sheet'!$F$2:$F$3548, MATCH(A243, 'working sheet'!$D$2:$D$3548, 0)))</f>
        <v>Americano with Milk</v>
      </c>
      <c r="H243" s="7">
        <f t="shared" si="7"/>
        <v>152.02682174768415</v>
      </c>
      <c r="I243" s="7">
        <f>MAX('working sheet'!$B$2:$B$3548)-C243</f>
        <v>146.37217423610855</v>
      </c>
      <c r="J243" s="4" t="str">
        <f t="array" ref="J243">IF(AND(I243&lt;=30, D243&gt;=10, E243&gt;=200), "VIP",  IF(AND(I243&lt;=60, D243&gt;=5, E243&gt;=100), "Loyal", IF(AND(I243&lt;=90, D243&gt;=3), "Regular", IF(I243&lt;=30, "Recent", IF(D243&gt;=3, "Occasional", "At Risk")))))</f>
        <v>Occasional</v>
      </c>
      <c r="K243" t="str">
        <f t="array" ref="K243">IF(OR(J243="VIP", J243="Loyal"), "HIGH",IF(OR(J243="Regular", J243="Recent"), "MEDIUM","LOW"))</f>
        <v>LOW</v>
      </c>
    </row>
    <row r="244" spans="1:11">
      <c r="A244" t="s">
        <v>257</v>
      </c>
      <c r="B244" s="14">
        <f>_xlfn.MINIFS('working sheet'!$B$2:$B$3548, 'working sheet'!$D$2:$D$3548, A244)</f>
        <v>45442.636292418982</v>
      </c>
      <c r="C244" s="17">
        <f>_xlfn.MAXIFS('working sheet'!$B$1:$B$3548,'working sheet'!$D$1:$D$3548,'Customer Portfolio'!A244)</f>
        <v>45442.636292418982</v>
      </c>
      <c r="D244">
        <f>COUNTIFS('working sheet'!$D$1:$D$3548,'Customer Portfolio'!A244)</f>
        <v>1</v>
      </c>
      <c r="E244" s="5">
        <f>SUMIFS('working sheet'!$E$2:$E$3548,'working sheet'!$D$2:$D$3548,'Customer Portfolio'!A244)</f>
        <v>23.02</v>
      </c>
      <c r="F244" s="6">
        <f t="shared" si="6"/>
        <v>23.02</v>
      </c>
      <c r="G244" t="str">
        <f t="array" ref="G244">IFERROR(INDEX('working sheet'!$F$2:$F$3548, MODE(IF('working sheet'!$D$2:$D$3548=A244, MATCH('working sheet'!$F$2:$F$3548, 'working sheet'!$F$2:$F$3548, 0)))),
         INDEX('working sheet'!$F$2:$F$3548, MATCH(A244, 'working sheet'!$D$2:$D$3548, 0)))</f>
        <v>Espresso</v>
      </c>
      <c r="H244" s="7">
        <f t="shared" si="7"/>
        <v>1</v>
      </c>
      <c r="I244" s="7">
        <f>MAX('working sheet'!$B$2:$B$3548)-C244</f>
        <v>297.12179363425821</v>
      </c>
      <c r="J244" s="4" t="str">
        <f t="array" ref="J244">IF(AND(I244&lt;=30, D244&gt;=10, E244&gt;=200), "VIP",  IF(AND(I244&lt;=60, D244&gt;=5, E244&gt;=100), "Loyal", IF(AND(I244&lt;=90, D244&gt;=3), "Regular", IF(I244&lt;=30, "Recent", IF(D244&gt;=3, "Occasional", "At Risk")))))</f>
        <v>At Risk</v>
      </c>
      <c r="K244" t="str">
        <f t="array" ref="K244">IF(OR(J244="VIP", J244="Loyal"), "HIGH",IF(OR(J244="Regular", J244="Recent"), "MEDIUM","LOW"))</f>
        <v>LOW</v>
      </c>
    </row>
    <row r="245" spans="1:11">
      <c r="A245" t="s">
        <v>258</v>
      </c>
      <c r="B245" s="14">
        <f>_xlfn.MINIFS('working sheet'!$B$2:$B$3548, 'working sheet'!$D$2:$D$3548, A245)</f>
        <v>45442.85492395833</v>
      </c>
      <c r="C245" s="17">
        <f>_xlfn.MAXIFS('working sheet'!$B$1:$B$3548,'working sheet'!$D$1:$D$3548,'Customer Portfolio'!A245)</f>
        <v>45442.85492395833</v>
      </c>
      <c r="D245">
        <f>COUNTIFS('working sheet'!$D$1:$D$3548,'Customer Portfolio'!A245)</f>
        <v>1</v>
      </c>
      <c r="E245" s="5">
        <f>SUMIFS('working sheet'!$E$2:$E$3548,'working sheet'!$D$2:$D$3548,'Customer Portfolio'!A245)</f>
        <v>37.72</v>
      </c>
      <c r="F245" s="6">
        <f t="shared" si="6"/>
        <v>37.72</v>
      </c>
      <c r="G245" t="str">
        <f t="array" ref="G245">IFERROR(INDEX('working sheet'!$F$2:$F$3548, MODE(IF('working sheet'!$D$2:$D$3548=A245, MATCH('working sheet'!$F$2:$F$3548, 'working sheet'!$F$2:$F$3548, 0)))),
         INDEX('working sheet'!$F$2:$F$3548, MATCH(A245, 'working sheet'!$D$2:$D$3548, 0)))</f>
        <v>Latte</v>
      </c>
      <c r="H245" s="7">
        <f t="shared" si="7"/>
        <v>1</v>
      </c>
      <c r="I245" s="7">
        <f>MAX('working sheet'!$B$2:$B$3548)-C245</f>
        <v>296.90316209490993</v>
      </c>
      <c r="J245" s="4" t="str">
        <f t="array" ref="J245">IF(AND(I245&lt;=30, D245&gt;=10, E245&gt;=200), "VIP",  IF(AND(I245&lt;=60, D245&gt;=5, E245&gt;=100), "Loyal", IF(AND(I245&lt;=90, D245&gt;=3), "Regular", IF(I245&lt;=30, "Recent", IF(D245&gt;=3, "Occasional", "At Risk")))))</f>
        <v>At Risk</v>
      </c>
      <c r="K245" t="str">
        <f t="array" ref="K245">IF(OR(J245="VIP", J245="Loyal"), "HIGH",IF(OR(J245="Regular", J245="Recent"), "MEDIUM","LOW"))</f>
        <v>LOW</v>
      </c>
    </row>
    <row r="246" spans="1:11">
      <c r="A246" t="s">
        <v>259</v>
      </c>
      <c r="B246" s="14">
        <f>_xlfn.MINIFS('working sheet'!$B$2:$B$3548, 'working sheet'!$D$2:$D$3548, A246)</f>
        <v>45443.329135115739</v>
      </c>
      <c r="C246" s="17">
        <f>_xlfn.MAXIFS('working sheet'!$B$1:$B$3548,'working sheet'!$D$1:$D$3548,'Customer Portfolio'!A246)</f>
        <v>45443.329135115739</v>
      </c>
      <c r="D246">
        <f>COUNTIFS('working sheet'!$D$1:$D$3548,'Customer Portfolio'!A246)</f>
        <v>1</v>
      </c>
      <c r="E246" s="5">
        <f>SUMIFS('working sheet'!$E$2:$E$3548,'working sheet'!$D$2:$D$3548,'Customer Portfolio'!A246)</f>
        <v>32.82</v>
      </c>
      <c r="F246" s="6">
        <f t="shared" si="6"/>
        <v>32.82</v>
      </c>
      <c r="G246" t="str">
        <f t="array" ref="G246">IFERROR(INDEX('working sheet'!$F$2:$F$3548, MODE(IF('working sheet'!$D$2:$D$3548=A246, MATCH('working sheet'!$F$2:$F$3548, 'working sheet'!$F$2:$F$3548, 0)))),
         INDEX('working sheet'!$F$2:$F$3548, MATCH(A246, 'working sheet'!$D$2:$D$3548, 0)))</f>
        <v>Americano with Milk</v>
      </c>
      <c r="H246" s="7">
        <f t="shared" si="7"/>
        <v>1</v>
      </c>
      <c r="I246" s="7">
        <f>MAX('working sheet'!$B$2:$B$3548)-C246</f>
        <v>296.42895093750121</v>
      </c>
      <c r="J246" s="4" t="str">
        <f t="array" ref="J246">IF(AND(I246&lt;=30, D246&gt;=10, E246&gt;=200), "VIP",  IF(AND(I246&lt;=60, D246&gt;=5, E246&gt;=100), "Loyal", IF(AND(I246&lt;=90, D246&gt;=3), "Regular", IF(I246&lt;=30, "Recent", IF(D246&gt;=3, "Occasional", "At Risk")))))</f>
        <v>At Risk</v>
      </c>
      <c r="K246" t="str">
        <f t="array" ref="K246">IF(OR(J246="VIP", J246="Loyal"), "HIGH",IF(OR(J246="Regular", J246="Recent"), "MEDIUM","LOW"))</f>
        <v>LOW</v>
      </c>
    </row>
    <row r="247" spans="1:11">
      <c r="A247" t="s">
        <v>260</v>
      </c>
      <c r="B247" s="14">
        <f>_xlfn.MINIFS('working sheet'!$B$2:$B$3548, 'working sheet'!$D$2:$D$3548, A247)</f>
        <v>45443.389673854166</v>
      </c>
      <c r="C247" s="17">
        <f>_xlfn.MAXIFS('working sheet'!$B$1:$B$3548,'working sheet'!$D$1:$D$3548,'Customer Portfolio'!A247)</f>
        <v>45443.389673854166</v>
      </c>
      <c r="D247">
        <f>COUNTIFS('working sheet'!$D$1:$D$3548,'Customer Portfolio'!A247)</f>
        <v>1</v>
      </c>
      <c r="E247" s="5">
        <f>SUMIFS('working sheet'!$E$2:$E$3548,'working sheet'!$D$2:$D$3548,'Customer Portfolio'!A247)</f>
        <v>37.72</v>
      </c>
      <c r="F247" s="6">
        <f t="shared" si="6"/>
        <v>37.72</v>
      </c>
      <c r="G247" t="str">
        <f t="array" ref="G247">IFERROR(INDEX('working sheet'!$F$2:$F$3548, MODE(IF('working sheet'!$D$2:$D$3548=A247, MATCH('working sheet'!$F$2:$F$3548, 'working sheet'!$F$2:$F$3548, 0)))),
         INDEX('working sheet'!$F$2:$F$3548, MATCH(A247, 'working sheet'!$D$2:$D$3548, 0)))</f>
        <v>Latte</v>
      </c>
      <c r="H247" s="7">
        <f t="shared" si="7"/>
        <v>1</v>
      </c>
      <c r="I247" s="7">
        <f>MAX('working sheet'!$B$2:$B$3548)-C247</f>
        <v>296.36841219907365</v>
      </c>
      <c r="J247" s="4" t="str">
        <f t="array" ref="J247">IF(AND(I247&lt;=30, D247&gt;=10, E247&gt;=200), "VIP",  IF(AND(I247&lt;=60, D247&gt;=5, E247&gt;=100), "Loyal", IF(AND(I247&lt;=90, D247&gt;=3), "Regular", IF(I247&lt;=30, "Recent", IF(D247&gt;=3, "Occasional", "At Risk")))))</f>
        <v>At Risk</v>
      </c>
      <c r="K247" t="str">
        <f t="array" ref="K247">IF(OR(J247="VIP", J247="Loyal"), "HIGH",IF(OR(J247="Regular", J247="Recent"), "MEDIUM","LOW"))</f>
        <v>LOW</v>
      </c>
    </row>
    <row r="248" spans="1:11">
      <c r="A248" t="s">
        <v>261</v>
      </c>
      <c r="B248" s="14">
        <f>_xlfn.MINIFS('working sheet'!$B$2:$B$3548, 'working sheet'!$D$2:$D$3548, A248)</f>
        <v>45443.44314653935</v>
      </c>
      <c r="C248" s="17">
        <f>_xlfn.MAXIFS('working sheet'!$B$1:$B$3548,'working sheet'!$D$1:$D$3548,'Customer Portfolio'!A248)</f>
        <v>45443.44314653935</v>
      </c>
      <c r="D248">
        <f>COUNTIFS('working sheet'!$D$1:$D$3548,'Customer Portfolio'!A248)</f>
        <v>1</v>
      </c>
      <c r="E248" s="5">
        <f>SUMIFS('working sheet'!$E$2:$E$3548,'working sheet'!$D$2:$D$3548,'Customer Portfolio'!A248)</f>
        <v>37.72</v>
      </c>
      <c r="F248" s="6">
        <f t="shared" si="6"/>
        <v>37.72</v>
      </c>
      <c r="G248" t="str">
        <f t="array" ref="G248">IFERROR(INDEX('working sheet'!$F$2:$F$3548, MODE(IF('working sheet'!$D$2:$D$3548=A248, MATCH('working sheet'!$F$2:$F$3548, 'working sheet'!$F$2:$F$3548, 0)))),
         INDEX('working sheet'!$F$2:$F$3548, MATCH(A248, 'working sheet'!$D$2:$D$3548, 0)))</f>
        <v>Hot Chocolate</v>
      </c>
      <c r="H248" s="7">
        <f t="shared" si="7"/>
        <v>1</v>
      </c>
      <c r="I248" s="7">
        <f>MAX('working sheet'!$B$2:$B$3548)-C248</f>
        <v>296.31493951388984</v>
      </c>
      <c r="J248" s="4" t="str">
        <f t="array" ref="J248">IF(AND(I248&lt;=30, D248&gt;=10, E248&gt;=200), "VIP",  IF(AND(I248&lt;=60, D248&gt;=5, E248&gt;=100), "Loyal", IF(AND(I248&lt;=90, D248&gt;=3), "Regular", IF(I248&lt;=30, "Recent", IF(D248&gt;=3, "Occasional", "At Risk")))))</f>
        <v>At Risk</v>
      </c>
      <c r="K248" t="str">
        <f t="array" ref="K248">IF(OR(J248="VIP", J248="Loyal"), "HIGH",IF(OR(J248="Regular", J248="Recent"), "MEDIUM","LOW"))</f>
        <v>LOW</v>
      </c>
    </row>
    <row r="249" spans="1:11">
      <c r="A249" t="s">
        <v>262</v>
      </c>
      <c r="B249" s="14">
        <f>_xlfn.MINIFS('working sheet'!$B$2:$B$3548, 'working sheet'!$D$2:$D$3548, A249)</f>
        <v>45443.443821018518</v>
      </c>
      <c r="C249" s="17">
        <f>_xlfn.MAXIFS('working sheet'!$B$1:$B$3548,'working sheet'!$D$1:$D$3548,'Customer Portfolio'!A249)</f>
        <v>45443.443821018518</v>
      </c>
      <c r="D249">
        <f>COUNTIFS('working sheet'!$D$1:$D$3548,'Customer Portfolio'!A249)</f>
        <v>1</v>
      </c>
      <c r="E249" s="5">
        <f>SUMIFS('working sheet'!$E$2:$E$3548,'working sheet'!$D$2:$D$3548,'Customer Portfolio'!A249)</f>
        <v>37.72</v>
      </c>
      <c r="F249" s="6">
        <f t="shared" si="6"/>
        <v>37.72</v>
      </c>
      <c r="G249" t="str">
        <f t="array" ref="G249">IFERROR(INDEX('working sheet'!$F$2:$F$3548, MODE(IF('working sheet'!$D$2:$D$3548=A249, MATCH('working sheet'!$F$2:$F$3548, 'working sheet'!$F$2:$F$3548, 0)))),
         INDEX('working sheet'!$F$2:$F$3548, MATCH(A249, 'working sheet'!$D$2:$D$3548, 0)))</f>
        <v>Cocoa</v>
      </c>
      <c r="H249" s="7">
        <f t="shared" si="7"/>
        <v>1</v>
      </c>
      <c r="I249" s="7">
        <f>MAX('working sheet'!$B$2:$B$3548)-C249</f>
        <v>296.31426503472176</v>
      </c>
      <c r="J249" s="4" t="str">
        <f t="array" ref="J249">IF(AND(I249&lt;=30, D249&gt;=10, E249&gt;=200), "VIP",  IF(AND(I249&lt;=60, D249&gt;=5, E249&gt;=100), "Loyal", IF(AND(I249&lt;=90, D249&gt;=3), "Regular", IF(I249&lt;=30, "Recent", IF(D249&gt;=3, "Occasional", "At Risk")))))</f>
        <v>At Risk</v>
      </c>
      <c r="K249" t="str">
        <f t="array" ref="K249">IF(OR(J249="VIP", J249="Loyal"), "HIGH",IF(OR(J249="Regular", J249="Recent"), "MEDIUM","LOW"))</f>
        <v>LOW</v>
      </c>
    </row>
    <row r="250" spans="1:11">
      <c r="A250" t="s">
        <v>263</v>
      </c>
      <c r="B250" s="14">
        <f>_xlfn.MINIFS('working sheet'!$B$2:$B$3548, 'working sheet'!$D$2:$D$3548, A250)</f>
        <v>45443.618205740742</v>
      </c>
      <c r="C250" s="17">
        <f>_xlfn.MAXIFS('working sheet'!$B$1:$B$3548,'working sheet'!$D$1:$D$3548,'Customer Portfolio'!A250)</f>
        <v>45443.618205740742</v>
      </c>
      <c r="D250">
        <f>COUNTIFS('working sheet'!$D$1:$D$3548,'Customer Portfolio'!A250)</f>
        <v>1</v>
      </c>
      <c r="E250" s="5">
        <f>SUMIFS('working sheet'!$E$2:$E$3548,'working sheet'!$D$2:$D$3548,'Customer Portfolio'!A250)</f>
        <v>32.82</v>
      </c>
      <c r="F250" s="6">
        <f t="shared" si="6"/>
        <v>32.82</v>
      </c>
      <c r="G250" t="str">
        <f t="array" ref="G250">IFERROR(INDEX('working sheet'!$F$2:$F$3548, MODE(IF('working sheet'!$D$2:$D$3548=A250, MATCH('working sheet'!$F$2:$F$3548, 'working sheet'!$F$2:$F$3548, 0)))),
         INDEX('working sheet'!$F$2:$F$3548, MATCH(A250, 'working sheet'!$D$2:$D$3548, 0)))</f>
        <v>Americano with Milk</v>
      </c>
      <c r="H250" s="7">
        <f t="shared" si="7"/>
        <v>1</v>
      </c>
      <c r="I250" s="7">
        <f>MAX('working sheet'!$B$2:$B$3548)-C250</f>
        <v>296.13988031249755</v>
      </c>
      <c r="J250" s="4" t="str">
        <f t="array" ref="J250">IF(AND(I250&lt;=30, D250&gt;=10, E250&gt;=200), "VIP",  IF(AND(I250&lt;=60, D250&gt;=5, E250&gt;=100), "Loyal", IF(AND(I250&lt;=90, D250&gt;=3), "Regular", IF(I250&lt;=30, "Recent", IF(D250&gt;=3, "Occasional", "At Risk")))))</f>
        <v>At Risk</v>
      </c>
      <c r="K250" t="str">
        <f t="array" ref="K250">IF(OR(J250="VIP", J250="Loyal"), "HIGH",IF(OR(J250="Regular", J250="Recent"), "MEDIUM","LOW"))</f>
        <v>LOW</v>
      </c>
    </row>
    <row r="251" spans="1:11">
      <c r="A251" t="s">
        <v>264</v>
      </c>
      <c r="B251" s="14">
        <f>_xlfn.MINIFS('working sheet'!$B$2:$B$3548, 'working sheet'!$D$2:$D$3548, A251)</f>
        <v>45443.766488842593</v>
      </c>
      <c r="C251" s="17">
        <f>_xlfn.MAXIFS('working sheet'!$B$1:$B$3548,'working sheet'!$D$1:$D$3548,'Customer Portfolio'!A251)</f>
        <v>45503.432871759258</v>
      </c>
      <c r="D251">
        <f>COUNTIFS('working sheet'!$D$1:$D$3548,'Customer Portfolio'!A251)</f>
        <v>4</v>
      </c>
      <c r="E251" s="5">
        <f>SUMIFS('working sheet'!$E$2:$E$3548,'working sheet'!$D$2:$D$3548,'Customer Portfolio'!A251)</f>
        <v>145.97999999999999</v>
      </c>
      <c r="F251" s="6">
        <f t="shared" si="6"/>
        <v>36.494999999999997</v>
      </c>
      <c r="G251" t="str">
        <f t="array" ref="G251">IFERROR(INDEX('working sheet'!$F$2:$F$3548, MODE(IF('working sheet'!$D$2:$D$3548=A251, MATCH('working sheet'!$F$2:$F$3548, 'working sheet'!$F$2:$F$3548, 0)))),
         INDEX('working sheet'!$F$2:$F$3548, MATCH(A251, 'working sheet'!$D$2:$D$3548, 0)))</f>
        <v>Latte</v>
      </c>
      <c r="H251" s="7">
        <f t="shared" si="7"/>
        <v>60.666382916664588</v>
      </c>
      <c r="I251" s="7">
        <f>MAX('working sheet'!$B$2:$B$3548)-C251</f>
        <v>236.32521429398184</v>
      </c>
      <c r="J251" s="4" t="str">
        <f t="array" ref="J251">IF(AND(I251&lt;=30, D251&gt;=10, E251&gt;=200), "VIP",  IF(AND(I251&lt;=60, D251&gt;=5, E251&gt;=100), "Loyal", IF(AND(I251&lt;=90, D251&gt;=3), "Regular", IF(I251&lt;=30, "Recent", IF(D251&gt;=3, "Occasional", "At Risk")))))</f>
        <v>Occasional</v>
      </c>
      <c r="K251" t="str">
        <f t="array" ref="K251">IF(OR(J251="VIP", J251="Loyal"), "HIGH",IF(OR(J251="Regular", J251="Recent"), "MEDIUM","LOW"))</f>
        <v>LOW</v>
      </c>
    </row>
    <row r="252" spans="1:11">
      <c r="A252" t="s">
        <v>265</v>
      </c>
      <c r="B252" s="14">
        <f>_xlfn.MINIFS('working sheet'!$B$2:$B$3548, 'working sheet'!$D$2:$D$3548, A252)</f>
        <v>45444.764036805558</v>
      </c>
      <c r="C252" s="17">
        <f>_xlfn.MAXIFS('working sheet'!$B$1:$B$3548,'working sheet'!$D$1:$D$3548,'Customer Portfolio'!A252)</f>
        <v>45444.764761145831</v>
      </c>
      <c r="D252">
        <f>COUNTIFS('working sheet'!$D$1:$D$3548,'Customer Portfolio'!A252)</f>
        <v>2</v>
      </c>
      <c r="E252" s="5">
        <f>SUMIFS('working sheet'!$E$2:$E$3548,'working sheet'!$D$2:$D$3548,'Customer Portfolio'!A252)</f>
        <v>65.64</v>
      </c>
      <c r="F252" s="6">
        <f t="shared" si="6"/>
        <v>32.82</v>
      </c>
      <c r="G252" t="str">
        <f t="array" ref="G252">IFERROR(INDEX('working sheet'!$F$2:$F$3548, MODE(IF('working sheet'!$D$2:$D$3548=A252, MATCH('working sheet'!$F$2:$F$3548, 'working sheet'!$F$2:$F$3548, 0)))),
         INDEX('working sheet'!$F$2:$F$3548, MATCH(A252, 'working sheet'!$D$2:$D$3548, 0)))</f>
        <v>Americano with Milk</v>
      </c>
      <c r="H252" s="7">
        <f t="shared" si="7"/>
        <v>1.0007243402724271</v>
      </c>
      <c r="I252" s="7">
        <f>MAX('working sheet'!$B$2:$B$3548)-C252</f>
        <v>294.99332490740926</v>
      </c>
      <c r="J252" s="4" t="str">
        <f t="array" ref="J252">IF(AND(I252&lt;=30, D252&gt;=10, E252&gt;=200), "VIP",  IF(AND(I252&lt;=60, D252&gt;=5, E252&gt;=100), "Loyal", IF(AND(I252&lt;=90, D252&gt;=3), "Regular", IF(I252&lt;=30, "Recent", IF(D252&gt;=3, "Occasional", "At Risk")))))</f>
        <v>At Risk</v>
      </c>
      <c r="K252" t="str">
        <f t="array" ref="K252">IF(OR(J252="VIP", J252="Loyal"), "HIGH",IF(OR(J252="Regular", J252="Recent"), "MEDIUM","LOW"))</f>
        <v>LOW</v>
      </c>
    </row>
    <row r="253" spans="1:11">
      <c r="A253" t="s">
        <v>266</v>
      </c>
      <c r="B253" s="14">
        <f>_xlfn.MINIFS('working sheet'!$B$2:$B$3548, 'working sheet'!$D$2:$D$3548, A253)</f>
        <v>45444.874417696759</v>
      </c>
      <c r="C253" s="17">
        <f>_xlfn.MAXIFS('working sheet'!$B$1:$B$3548,'working sheet'!$D$1:$D$3548,'Customer Portfolio'!A253)</f>
        <v>45444.874417696759</v>
      </c>
      <c r="D253">
        <f>COUNTIFS('working sheet'!$D$1:$D$3548,'Customer Portfolio'!A253)</f>
        <v>1</v>
      </c>
      <c r="E253" s="5">
        <f>SUMIFS('working sheet'!$E$2:$E$3548,'working sheet'!$D$2:$D$3548,'Customer Portfolio'!A253)</f>
        <v>37.72</v>
      </c>
      <c r="F253" s="6">
        <f t="shared" si="6"/>
        <v>37.72</v>
      </c>
      <c r="G253" t="str">
        <f t="array" ref="G253">IFERROR(INDEX('working sheet'!$F$2:$F$3548, MODE(IF('working sheet'!$D$2:$D$3548=A253, MATCH('working sheet'!$F$2:$F$3548, 'working sheet'!$F$2:$F$3548, 0)))),
         INDEX('working sheet'!$F$2:$F$3548, MATCH(A253, 'working sheet'!$D$2:$D$3548, 0)))</f>
        <v>Cocoa</v>
      </c>
      <c r="H253" s="7">
        <f t="shared" si="7"/>
        <v>1</v>
      </c>
      <c r="I253" s="7">
        <f>MAX('working sheet'!$B$2:$B$3548)-C253</f>
        <v>294.88366835648048</v>
      </c>
      <c r="J253" s="4" t="str">
        <f t="array" ref="J253">IF(AND(I253&lt;=30, D253&gt;=10, E253&gt;=200), "VIP",  IF(AND(I253&lt;=60, D253&gt;=5, E253&gt;=100), "Loyal", IF(AND(I253&lt;=90, D253&gt;=3), "Regular", IF(I253&lt;=30, "Recent", IF(D253&gt;=3, "Occasional", "At Risk")))))</f>
        <v>At Risk</v>
      </c>
      <c r="K253" t="str">
        <f t="array" ref="K253">IF(OR(J253="VIP", J253="Loyal"), "HIGH",IF(OR(J253="Regular", J253="Recent"), "MEDIUM","LOW"))</f>
        <v>LOW</v>
      </c>
    </row>
    <row r="254" spans="1:11">
      <c r="A254" t="s">
        <v>267</v>
      </c>
      <c r="B254" s="14">
        <f>_xlfn.MINIFS('working sheet'!$B$2:$B$3548, 'working sheet'!$D$2:$D$3548, A254)</f>
        <v>45445.895977199078</v>
      </c>
      <c r="C254" s="17">
        <f>_xlfn.MAXIFS('working sheet'!$B$1:$B$3548,'working sheet'!$D$1:$D$3548,'Customer Portfolio'!A254)</f>
        <v>45445.895977199078</v>
      </c>
      <c r="D254">
        <f>COUNTIFS('working sheet'!$D$1:$D$3548,'Customer Portfolio'!A254)</f>
        <v>1</v>
      </c>
      <c r="E254" s="5">
        <f>SUMIFS('working sheet'!$E$2:$E$3548,'working sheet'!$D$2:$D$3548,'Customer Portfolio'!A254)</f>
        <v>37.72</v>
      </c>
      <c r="F254" s="6">
        <f t="shared" si="6"/>
        <v>37.72</v>
      </c>
      <c r="G254" t="str">
        <f t="array" ref="G254">IFERROR(INDEX('working sheet'!$F$2:$F$3548, MODE(IF('working sheet'!$D$2:$D$3548=A254, MATCH('working sheet'!$F$2:$F$3548, 'working sheet'!$F$2:$F$3548, 0)))),
         INDEX('working sheet'!$F$2:$F$3548, MATCH(A254, 'working sheet'!$D$2:$D$3548, 0)))</f>
        <v>Latte</v>
      </c>
      <c r="H254" s="7">
        <f t="shared" si="7"/>
        <v>1</v>
      </c>
      <c r="I254" s="7">
        <f>MAX('working sheet'!$B$2:$B$3548)-C254</f>
        <v>293.86210885416222</v>
      </c>
      <c r="J254" s="4" t="str">
        <f t="array" ref="J254">IF(AND(I254&lt;=30, D254&gt;=10, E254&gt;=200), "VIP",  IF(AND(I254&lt;=60, D254&gt;=5, E254&gt;=100), "Loyal", IF(AND(I254&lt;=90, D254&gt;=3), "Regular", IF(I254&lt;=30, "Recent", IF(D254&gt;=3, "Occasional", "At Risk")))))</f>
        <v>At Risk</v>
      </c>
      <c r="K254" t="str">
        <f t="array" ref="K254">IF(OR(J254="VIP", J254="Loyal"), "HIGH",IF(OR(J254="Regular", J254="Recent"), "MEDIUM","LOW"))</f>
        <v>LOW</v>
      </c>
    </row>
    <row r="255" spans="1:11">
      <c r="A255" t="s">
        <v>268</v>
      </c>
      <c r="B255" s="14">
        <f>_xlfn.MINIFS('working sheet'!$B$2:$B$3548, 'working sheet'!$D$2:$D$3548, A255)</f>
        <v>45447.501507094908</v>
      </c>
      <c r="C255" s="17">
        <f>_xlfn.MAXIFS('working sheet'!$B$1:$B$3548,'working sheet'!$D$1:$D$3548,'Customer Portfolio'!A255)</f>
        <v>45447.503810023147</v>
      </c>
      <c r="D255">
        <f>COUNTIFS('working sheet'!$D$1:$D$3548,'Customer Portfolio'!A255)</f>
        <v>2</v>
      </c>
      <c r="E255" s="5">
        <f>SUMIFS('working sheet'!$E$2:$E$3548,'working sheet'!$D$2:$D$3548,'Customer Portfolio'!A255)</f>
        <v>75.44</v>
      </c>
      <c r="F255" s="6">
        <f t="shared" si="6"/>
        <v>37.72</v>
      </c>
      <c r="G255" t="str">
        <f t="array" ref="G255">IFERROR(INDEX('working sheet'!$F$2:$F$3548, MODE(IF('working sheet'!$D$2:$D$3548=A255, MATCH('working sheet'!$F$2:$F$3548, 'working sheet'!$F$2:$F$3548, 0)))),
         INDEX('working sheet'!$F$2:$F$3548, MATCH(A255, 'working sheet'!$D$2:$D$3548, 0)))</f>
        <v>Latte</v>
      </c>
      <c r="H255" s="7">
        <f t="shared" si="7"/>
        <v>1.0023029282383504</v>
      </c>
      <c r="I255" s="7">
        <f>MAX('working sheet'!$B$2:$B$3548)-C255</f>
        <v>292.25427603009302</v>
      </c>
      <c r="J255" s="4" t="str">
        <f t="array" ref="J255">IF(AND(I255&lt;=30, D255&gt;=10, E255&gt;=200), "VIP",  IF(AND(I255&lt;=60, D255&gt;=5, E255&gt;=100), "Loyal", IF(AND(I255&lt;=90, D255&gt;=3), "Regular", IF(I255&lt;=30, "Recent", IF(D255&gt;=3, "Occasional", "At Risk")))))</f>
        <v>At Risk</v>
      </c>
      <c r="K255" t="str">
        <f t="array" ref="K255">IF(OR(J255="VIP", J255="Loyal"), "HIGH",IF(OR(J255="Regular", J255="Recent"), "MEDIUM","LOW"))</f>
        <v>LOW</v>
      </c>
    </row>
    <row r="256" spans="1:11">
      <c r="A256" t="s">
        <v>269</v>
      </c>
      <c r="B256" s="14">
        <f>_xlfn.MINIFS('working sheet'!$B$2:$B$3548, 'working sheet'!$D$2:$D$3548, A256)</f>
        <v>45447.646208969905</v>
      </c>
      <c r="C256" s="17">
        <f>_xlfn.MAXIFS('working sheet'!$B$1:$B$3548,'working sheet'!$D$1:$D$3548,'Customer Portfolio'!A256)</f>
        <v>45567.771610567128</v>
      </c>
      <c r="D256">
        <f>COUNTIFS('working sheet'!$D$1:$D$3548,'Customer Portfolio'!A256)</f>
        <v>2</v>
      </c>
      <c r="E256" s="5">
        <f>SUMIFS('working sheet'!$E$2:$E$3548,'working sheet'!$D$2:$D$3548,'Customer Portfolio'!A256)</f>
        <v>73.47999999999999</v>
      </c>
      <c r="F256" s="6">
        <f t="shared" si="6"/>
        <v>36.739999999999995</v>
      </c>
      <c r="G256" t="str">
        <f t="array" ref="G256">IFERROR(INDEX('working sheet'!$F$2:$F$3548, MODE(IF('working sheet'!$D$2:$D$3548=A256, MATCH('working sheet'!$F$2:$F$3548, 'working sheet'!$F$2:$F$3548, 0)))),
         INDEX('working sheet'!$F$2:$F$3548, MATCH(A256, 'working sheet'!$D$2:$D$3548, 0)))</f>
        <v>Latte</v>
      </c>
      <c r="H256" s="7">
        <f t="shared" si="7"/>
        <v>121.12540159722266</v>
      </c>
      <c r="I256" s="7">
        <f>MAX('working sheet'!$B$2:$B$3548)-C256</f>
        <v>171.98647548611189</v>
      </c>
      <c r="J256" s="4" t="str">
        <f t="array" ref="J256">IF(AND(I256&lt;=30, D256&gt;=10, E256&gt;=200), "VIP",  IF(AND(I256&lt;=60, D256&gt;=5, E256&gt;=100), "Loyal", IF(AND(I256&lt;=90, D256&gt;=3), "Regular", IF(I256&lt;=30, "Recent", IF(D256&gt;=3, "Occasional", "At Risk")))))</f>
        <v>At Risk</v>
      </c>
      <c r="K256" t="str">
        <f t="array" ref="K256">IF(OR(J256="VIP", J256="Loyal"), "HIGH",IF(OR(J256="Regular", J256="Recent"), "MEDIUM","LOW"))</f>
        <v>LOW</v>
      </c>
    </row>
    <row r="257" spans="1:11">
      <c r="A257" t="s">
        <v>270</v>
      </c>
      <c r="B257" s="14">
        <f>_xlfn.MINIFS('working sheet'!$B$2:$B$3548, 'working sheet'!$D$2:$D$3548, A257)</f>
        <v>45447.842375046297</v>
      </c>
      <c r="C257" s="17">
        <f>_xlfn.MAXIFS('working sheet'!$B$1:$B$3548,'working sheet'!$D$1:$D$3548,'Customer Portfolio'!A257)</f>
        <v>45455.844833888892</v>
      </c>
      <c r="D257">
        <f>COUNTIFS('working sheet'!$D$1:$D$3548,'Customer Portfolio'!A257)</f>
        <v>2</v>
      </c>
      <c r="E257" s="5">
        <f>SUMIFS('working sheet'!$E$2:$E$3548,'working sheet'!$D$2:$D$3548,'Customer Portfolio'!A257)</f>
        <v>75.44</v>
      </c>
      <c r="F257" s="6">
        <f t="shared" si="6"/>
        <v>37.72</v>
      </c>
      <c r="G257" t="str">
        <f t="array" ref="G257">IFERROR(INDEX('working sheet'!$F$2:$F$3548, MODE(IF('working sheet'!$D$2:$D$3548=A257, MATCH('working sheet'!$F$2:$F$3548, 'working sheet'!$F$2:$F$3548, 0)))),
         INDEX('working sheet'!$F$2:$F$3548, MATCH(A257, 'working sheet'!$D$2:$D$3548, 0)))</f>
        <v>Hot Chocolate</v>
      </c>
      <c r="H257" s="7">
        <f t="shared" si="7"/>
        <v>9.0024588425949332</v>
      </c>
      <c r="I257" s="7">
        <f>MAX('working sheet'!$B$2:$B$3548)-C257</f>
        <v>283.9132521643478</v>
      </c>
      <c r="J257" s="4" t="str">
        <f t="array" ref="J257">IF(AND(I257&lt;=30, D257&gt;=10, E257&gt;=200), "VIP",  IF(AND(I257&lt;=60, D257&gt;=5, E257&gt;=100), "Loyal", IF(AND(I257&lt;=90, D257&gt;=3), "Regular", IF(I257&lt;=30, "Recent", IF(D257&gt;=3, "Occasional", "At Risk")))))</f>
        <v>At Risk</v>
      </c>
      <c r="K257" t="str">
        <f t="array" ref="K257">IF(OR(J257="VIP", J257="Loyal"), "HIGH",IF(OR(J257="Regular", J257="Recent"), "MEDIUM","LOW"))</f>
        <v>LOW</v>
      </c>
    </row>
    <row r="258" spans="1:11">
      <c r="A258" t="s">
        <v>271</v>
      </c>
      <c r="B258" s="14">
        <f>_xlfn.MINIFS('working sheet'!$B$2:$B$3548, 'working sheet'!$D$2:$D$3548, A258)</f>
        <v>45447.868447870373</v>
      </c>
      <c r="C258" s="17">
        <f>_xlfn.MAXIFS('working sheet'!$B$1:$B$3548,'working sheet'!$D$1:$D$3548,'Customer Portfolio'!A258)</f>
        <v>45593.798903414354</v>
      </c>
      <c r="D258">
        <f>COUNTIFS('working sheet'!$D$1:$D$3548,'Customer Portfolio'!A258)</f>
        <v>5</v>
      </c>
      <c r="E258" s="5">
        <f>SUMIFS('working sheet'!$E$2:$E$3548,'working sheet'!$D$2:$D$3548,'Customer Portfolio'!A258)</f>
        <v>179.77999999999997</v>
      </c>
      <c r="F258" s="6">
        <f t="shared" si="6"/>
        <v>35.955999999999996</v>
      </c>
      <c r="G258" t="str">
        <f t="array" ref="G258">IFERROR(INDEX('working sheet'!$F$2:$F$3548, MODE(IF('working sheet'!$D$2:$D$3548=A258, MATCH('working sheet'!$F$2:$F$3548, 'working sheet'!$F$2:$F$3548, 0)))),
         INDEX('working sheet'!$F$2:$F$3548, MATCH(A258, 'working sheet'!$D$2:$D$3548, 0)))</f>
        <v>Cappuccino</v>
      </c>
      <c r="H258" s="7">
        <f t="shared" si="7"/>
        <v>146.93045554398122</v>
      </c>
      <c r="I258" s="7">
        <f>MAX('working sheet'!$B$2:$B$3548)-C258</f>
        <v>145.95918263888598</v>
      </c>
      <c r="J258" s="4" t="str">
        <f t="array" ref="J258">IF(AND(I258&lt;=30, D258&gt;=10, E258&gt;=200), "VIP",  IF(AND(I258&lt;=60, D258&gt;=5, E258&gt;=100), "Loyal", IF(AND(I258&lt;=90, D258&gt;=3), "Regular", IF(I258&lt;=30, "Recent", IF(D258&gt;=3, "Occasional", "At Risk")))))</f>
        <v>Occasional</v>
      </c>
      <c r="K258" t="str">
        <f t="array" ref="K258">IF(OR(J258="VIP", J258="Loyal"), "HIGH",IF(OR(J258="Regular", J258="Recent"), "MEDIUM","LOW"))</f>
        <v>LOW</v>
      </c>
    </row>
    <row r="259" spans="1:11">
      <c r="A259" t="s">
        <v>272</v>
      </c>
      <c r="B259" s="14">
        <f>_xlfn.MINIFS('working sheet'!$B$2:$B$3548, 'working sheet'!$D$2:$D$3548, A259)</f>
        <v>45447.897209583331</v>
      </c>
      <c r="C259" s="17">
        <f>_xlfn.MAXIFS('working sheet'!$B$1:$B$3548,'working sheet'!$D$1:$D$3548,'Customer Portfolio'!A259)</f>
        <v>45582.714934062496</v>
      </c>
      <c r="D259">
        <f>COUNTIFS('working sheet'!$D$1:$D$3548,'Customer Portfolio'!A259)</f>
        <v>5</v>
      </c>
      <c r="E259" s="5">
        <f>SUMIFS('working sheet'!$E$2:$E$3548,'working sheet'!$D$2:$D$3548,'Customer Portfolio'!A259)</f>
        <v>160.17999999999998</v>
      </c>
      <c r="F259" s="6">
        <f t="shared" ref="F259:F322" si="8">E259/D259</f>
        <v>32.035999999999994</v>
      </c>
      <c r="G259" t="str">
        <f t="array" ref="G259">IFERROR(INDEX('working sheet'!$F$2:$F$3548, MODE(IF('working sheet'!$D$2:$D$3548=A259, MATCH('working sheet'!$F$2:$F$3548, 'working sheet'!$F$2:$F$3548, 0)))),
         INDEX('working sheet'!$F$2:$F$3548, MATCH(A259, 'working sheet'!$D$2:$D$3548, 0)))</f>
        <v>Cappuccino</v>
      </c>
      <c r="H259" s="7">
        <f t="shared" ref="H259:H322" si="9">C259-B259+1</f>
        <v>135.81772447916592</v>
      </c>
      <c r="I259" s="7">
        <f>MAX('working sheet'!$B$2:$B$3548)-C259</f>
        <v>157.04315199074335</v>
      </c>
      <c r="J259" s="4" t="str">
        <f t="array" ref="J259">IF(AND(I259&lt;=30, D259&gt;=10, E259&gt;=200), "VIP",  IF(AND(I259&lt;=60, D259&gt;=5, E259&gt;=100), "Loyal", IF(AND(I259&lt;=90, D259&gt;=3), "Regular", IF(I259&lt;=30, "Recent", IF(D259&gt;=3, "Occasional", "At Risk")))))</f>
        <v>Occasional</v>
      </c>
      <c r="K259" t="str">
        <f t="array" ref="K259">IF(OR(J259="VIP", J259="Loyal"), "HIGH",IF(OR(J259="Regular", J259="Recent"), "MEDIUM","LOW"))</f>
        <v>LOW</v>
      </c>
    </row>
    <row r="260" spans="1:11">
      <c r="A260" t="s">
        <v>273</v>
      </c>
      <c r="B260" s="14">
        <f>_xlfn.MINIFS('working sheet'!$B$2:$B$3548, 'working sheet'!$D$2:$D$3548, A260)</f>
        <v>45447.897947002311</v>
      </c>
      <c r="C260" s="17">
        <f>_xlfn.MAXIFS('working sheet'!$B$1:$B$3548,'working sheet'!$D$1:$D$3548,'Customer Portfolio'!A260)</f>
        <v>45447.897947002311</v>
      </c>
      <c r="D260">
        <f>COUNTIFS('working sheet'!$D$1:$D$3548,'Customer Portfolio'!A260)</f>
        <v>1</v>
      </c>
      <c r="E260" s="5">
        <f>SUMIFS('working sheet'!$E$2:$E$3548,'working sheet'!$D$2:$D$3548,'Customer Portfolio'!A260)</f>
        <v>32.82</v>
      </c>
      <c r="F260" s="6">
        <f t="shared" si="8"/>
        <v>32.82</v>
      </c>
      <c r="G260" t="str">
        <f t="array" ref="G260">IFERROR(INDEX('working sheet'!$F$2:$F$3548, MODE(IF('working sheet'!$D$2:$D$3548=A260, MATCH('working sheet'!$F$2:$F$3548, 'working sheet'!$F$2:$F$3548, 0)))),
         INDEX('working sheet'!$F$2:$F$3548, MATCH(A260, 'working sheet'!$D$2:$D$3548, 0)))</f>
        <v>Americano with Milk</v>
      </c>
      <c r="H260" s="7">
        <f t="shared" si="9"/>
        <v>1</v>
      </c>
      <c r="I260" s="7">
        <f>MAX('working sheet'!$B$2:$B$3548)-C260</f>
        <v>291.86013905092841</v>
      </c>
      <c r="J260" s="4" t="str">
        <f t="array" ref="J260">IF(AND(I260&lt;=30, D260&gt;=10, E260&gt;=200), "VIP",  IF(AND(I260&lt;=60, D260&gt;=5, E260&gt;=100), "Loyal", IF(AND(I260&lt;=90, D260&gt;=3), "Regular", IF(I260&lt;=30, "Recent", IF(D260&gt;=3, "Occasional", "At Risk")))))</f>
        <v>At Risk</v>
      </c>
      <c r="K260" t="str">
        <f t="array" ref="K260">IF(OR(J260="VIP", J260="Loyal"), "HIGH",IF(OR(J260="Regular", J260="Recent"), "MEDIUM","LOW"))</f>
        <v>LOW</v>
      </c>
    </row>
    <row r="261" spans="1:11">
      <c r="A261" t="s">
        <v>274</v>
      </c>
      <c r="B261" s="14">
        <f>_xlfn.MINIFS('working sheet'!$B$2:$B$3548, 'working sheet'!$D$2:$D$3548, A261)</f>
        <v>45447.899255405093</v>
      </c>
      <c r="C261" s="17">
        <f>_xlfn.MAXIFS('working sheet'!$B$1:$B$3548,'working sheet'!$D$1:$D$3548,'Customer Portfolio'!A261)</f>
        <v>45447.900869953701</v>
      </c>
      <c r="D261">
        <f>COUNTIFS('working sheet'!$D$1:$D$3548,'Customer Portfolio'!A261)</f>
        <v>3</v>
      </c>
      <c r="E261" s="5">
        <f>SUMIFS('working sheet'!$E$2:$E$3548,'working sheet'!$D$2:$D$3548,'Customer Portfolio'!A261)</f>
        <v>98.460000000000008</v>
      </c>
      <c r="F261" s="6">
        <f t="shared" si="8"/>
        <v>32.82</v>
      </c>
      <c r="G261" t="str">
        <f t="array" ref="G261">IFERROR(INDEX('working sheet'!$F$2:$F$3548, MODE(IF('working sheet'!$D$2:$D$3548=A261, MATCH('working sheet'!$F$2:$F$3548, 'working sheet'!$F$2:$F$3548, 0)))),
         INDEX('working sheet'!$F$2:$F$3548, MATCH(A261, 'working sheet'!$D$2:$D$3548, 0)))</f>
        <v>Americano with Milk</v>
      </c>
      <c r="H261" s="7">
        <f t="shared" si="9"/>
        <v>1.001614548607904</v>
      </c>
      <c r="I261" s="7">
        <f>MAX('working sheet'!$B$2:$B$3548)-C261</f>
        <v>291.85721609953907</v>
      </c>
      <c r="J261" s="4" t="str">
        <f t="array" ref="J261">IF(AND(I261&lt;=30, D261&gt;=10, E261&gt;=200), "VIP",  IF(AND(I261&lt;=60, D261&gt;=5, E261&gt;=100), "Loyal", IF(AND(I261&lt;=90, D261&gt;=3), "Regular", IF(I261&lt;=30, "Recent", IF(D261&gt;=3, "Occasional", "At Risk")))))</f>
        <v>Occasional</v>
      </c>
      <c r="K261" t="str">
        <f t="array" ref="K261">IF(OR(J261="VIP", J261="Loyal"), "HIGH",IF(OR(J261="Regular", J261="Recent"), "MEDIUM","LOW"))</f>
        <v>LOW</v>
      </c>
    </row>
    <row r="262" spans="1:11">
      <c r="A262" t="s">
        <v>275</v>
      </c>
      <c r="B262" s="14">
        <f>_xlfn.MINIFS('working sheet'!$B$2:$B$3548, 'working sheet'!$D$2:$D$3548, A262)</f>
        <v>45448.348483379632</v>
      </c>
      <c r="C262" s="17">
        <f>_xlfn.MAXIFS('working sheet'!$B$1:$B$3548,'working sheet'!$D$1:$D$3548,'Customer Portfolio'!A262)</f>
        <v>45735.294544189812</v>
      </c>
      <c r="D262">
        <f>COUNTIFS('working sheet'!$D$1:$D$3548,'Customer Portfolio'!A262)</f>
        <v>3</v>
      </c>
      <c r="E262" s="5">
        <f>SUMIFS('working sheet'!$E$2:$E$3548,'working sheet'!$D$2:$D$3548,'Customer Portfolio'!A262)</f>
        <v>101.4</v>
      </c>
      <c r="F262" s="6">
        <f t="shared" si="8"/>
        <v>33.800000000000004</v>
      </c>
      <c r="G262" t="str">
        <f t="array" ref="G262">IFERROR(INDEX('working sheet'!$F$2:$F$3548, MODE(IF('working sheet'!$D$2:$D$3548=A262, MATCH('working sheet'!$F$2:$F$3548, 'working sheet'!$F$2:$F$3548, 0)))),
         INDEX('working sheet'!$F$2:$F$3548, MATCH(A262, 'working sheet'!$D$2:$D$3548, 0)))</f>
        <v>Cappuccino</v>
      </c>
      <c r="H262" s="7">
        <f t="shared" si="9"/>
        <v>287.94606081017992</v>
      </c>
      <c r="I262" s="7">
        <f>MAX('working sheet'!$B$2:$B$3548)-C262</f>
        <v>4.4635418634279631</v>
      </c>
      <c r="J262" s="4" t="str">
        <f t="array" ref="J262">IF(AND(I262&lt;=30, D262&gt;=10, E262&gt;=200), "VIP",  IF(AND(I262&lt;=60, D262&gt;=5, E262&gt;=100), "Loyal", IF(AND(I262&lt;=90, D262&gt;=3), "Regular", IF(I262&lt;=30, "Recent", IF(D262&gt;=3, "Occasional", "At Risk")))))</f>
        <v>Regular</v>
      </c>
      <c r="K262" t="str">
        <f t="array" ref="K262">IF(OR(J262="VIP", J262="Loyal"), "HIGH",IF(OR(J262="Regular", J262="Recent"), "MEDIUM","LOW"))</f>
        <v>MEDIUM</v>
      </c>
    </row>
    <row r="263" spans="1:11">
      <c r="A263" t="s">
        <v>276</v>
      </c>
      <c r="B263" s="14">
        <f>_xlfn.MINIFS('working sheet'!$B$2:$B$3548, 'working sheet'!$D$2:$D$3548, A263)</f>
        <v>45448.390776712964</v>
      </c>
      <c r="C263" s="17">
        <f>_xlfn.MAXIFS('working sheet'!$B$1:$B$3548,'working sheet'!$D$1:$D$3548,'Customer Portfolio'!A263)</f>
        <v>45448.390776712964</v>
      </c>
      <c r="D263">
        <f>COUNTIFS('working sheet'!$D$1:$D$3548,'Customer Portfolio'!A263)</f>
        <v>1</v>
      </c>
      <c r="E263" s="5">
        <f>SUMIFS('working sheet'!$E$2:$E$3548,'working sheet'!$D$2:$D$3548,'Customer Portfolio'!A263)</f>
        <v>27.92</v>
      </c>
      <c r="F263" s="6">
        <f t="shared" si="8"/>
        <v>27.92</v>
      </c>
      <c r="G263" t="str">
        <f t="array" ref="G263">IFERROR(INDEX('working sheet'!$F$2:$F$3548, MODE(IF('working sheet'!$D$2:$D$3548=A263, MATCH('working sheet'!$F$2:$F$3548, 'working sheet'!$F$2:$F$3548, 0)))),
         INDEX('working sheet'!$F$2:$F$3548, MATCH(A263, 'working sheet'!$D$2:$D$3548, 0)))</f>
        <v>Americano</v>
      </c>
      <c r="H263" s="7">
        <f t="shared" si="9"/>
        <v>1</v>
      </c>
      <c r="I263" s="7">
        <f>MAX('working sheet'!$B$2:$B$3548)-C263</f>
        <v>291.36730934027582</v>
      </c>
      <c r="J263" s="4" t="str">
        <f t="array" ref="J263">IF(AND(I263&lt;=30, D263&gt;=10, E263&gt;=200), "VIP",  IF(AND(I263&lt;=60, D263&gt;=5, E263&gt;=100), "Loyal", IF(AND(I263&lt;=90, D263&gt;=3), "Regular", IF(I263&lt;=30, "Recent", IF(D263&gt;=3, "Occasional", "At Risk")))))</f>
        <v>At Risk</v>
      </c>
      <c r="K263" t="str">
        <f t="array" ref="K263">IF(OR(J263="VIP", J263="Loyal"), "HIGH",IF(OR(J263="Regular", J263="Recent"), "MEDIUM","LOW"))</f>
        <v>LOW</v>
      </c>
    </row>
    <row r="264" spans="1:11">
      <c r="A264" t="s">
        <v>277</v>
      </c>
      <c r="B264" s="14">
        <f>_xlfn.MINIFS('working sheet'!$B$2:$B$3548, 'working sheet'!$D$2:$D$3548, A264)</f>
        <v>45448.822195312503</v>
      </c>
      <c r="C264" s="17">
        <f>_xlfn.MAXIFS('working sheet'!$B$1:$B$3548,'working sheet'!$D$1:$D$3548,'Customer Portfolio'!A264)</f>
        <v>45448.822195312503</v>
      </c>
      <c r="D264">
        <f>COUNTIFS('working sheet'!$D$1:$D$3548,'Customer Portfolio'!A264)</f>
        <v>1</v>
      </c>
      <c r="E264" s="5">
        <f>SUMIFS('working sheet'!$E$2:$E$3548,'working sheet'!$D$2:$D$3548,'Customer Portfolio'!A264)</f>
        <v>32.82</v>
      </c>
      <c r="F264" s="6">
        <f t="shared" si="8"/>
        <v>32.82</v>
      </c>
      <c r="G264" t="str">
        <f t="array" ref="G264">IFERROR(INDEX('working sheet'!$F$2:$F$3548, MODE(IF('working sheet'!$D$2:$D$3548=A264, MATCH('working sheet'!$F$2:$F$3548, 'working sheet'!$F$2:$F$3548, 0)))),
         INDEX('working sheet'!$F$2:$F$3548, MATCH(A264, 'working sheet'!$D$2:$D$3548, 0)))</f>
        <v>Americano with Milk</v>
      </c>
      <c r="H264" s="7">
        <f t="shared" si="9"/>
        <v>1</v>
      </c>
      <c r="I264" s="7">
        <f>MAX('working sheet'!$B$2:$B$3548)-C264</f>
        <v>290.9358907407368</v>
      </c>
      <c r="J264" s="4" t="str">
        <f t="array" ref="J264">IF(AND(I264&lt;=30, D264&gt;=10, E264&gt;=200), "VIP",  IF(AND(I264&lt;=60, D264&gt;=5, E264&gt;=100), "Loyal", IF(AND(I264&lt;=90, D264&gt;=3), "Regular", IF(I264&lt;=30, "Recent", IF(D264&gt;=3, "Occasional", "At Risk")))))</f>
        <v>At Risk</v>
      </c>
      <c r="K264" t="str">
        <f t="array" ref="K264">IF(OR(J264="VIP", J264="Loyal"), "HIGH",IF(OR(J264="Regular", J264="Recent"), "MEDIUM","LOW"))</f>
        <v>LOW</v>
      </c>
    </row>
    <row r="265" spans="1:11">
      <c r="A265" t="s">
        <v>278</v>
      </c>
      <c r="B265" s="14">
        <f>_xlfn.MINIFS('working sheet'!$B$2:$B$3548, 'working sheet'!$D$2:$D$3548, A265)</f>
        <v>45448.83325841435</v>
      </c>
      <c r="C265" s="17">
        <f>_xlfn.MAXIFS('working sheet'!$B$1:$B$3548,'working sheet'!$D$1:$D$3548,'Customer Portfolio'!A265)</f>
        <v>45448.83325841435</v>
      </c>
      <c r="D265">
        <f>COUNTIFS('working sheet'!$D$1:$D$3548,'Customer Portfolio'!A265)</f>
        <v>1</v>
      </c>
      <c r="E265" s="5">
        <f>SUMIFS('working sheet'!$E$2:$E$3548,'working sheet'!$D$2:$D$3548,'Customer Portfolio'!A265)</f>
        <v>37.72</v>
      </c>
      <c r="F265" s="6">
        <f t="shared" si="8"/>
        <v>37.72</v>
      </c>
      <c r="G265" t="str">
        <f t="array" ref="G265">IFERROR(INDEX('working sheet'!$F$2:$F$3548, MODE(IF('working sheet'!$D$2:$D$3548=A265, MATCH('working sheet'!$F$2:$F$3548, 'working sheet'!$F$2:$F$3548, 0)))),
         INDEX('working sheet'!$F$2:$F$3548, MATCH(A265, 'working sheet'!$D$2:$D$3548, 0)))</f>
        <v>Latte</v>
      </c>
      <c r="H265" s="7">
        <f t="shared" si="9"/>
        <v>1</v>
      </c>
      <c r="I265" s="7">
        <f>MAX('working sheet'!$B$2:$B$3548)-C265</f>
        <v>290.92482763888984</v>
      </c>
      <c r="J265" s="4" t="str">
        <f t="array" ref="J265">IF(AND(I265&lt;=30, D265&gt;=10, E265&gt;=200), "VIP",  IF(AND(I265&lt;=60, D265&gt;=5, E265&gt;=100), "Loyal", IF(AND(I265&lt;=90, D265&gt;=3), "Regular", IF(I265&lt;=30, "Recent", IF(D265&gt;=3, "Occasional", "At Risk")))))</f>
        <v>At Risk</v>
      </c>
      <c r="K265" t="str">
        <f t="array" ref="K265">IF(OR(J265="VIP", J265="Loyal"), "HIGH",IF(OR(J265="Regular", J265="Recent"), "MEDIUM","LOW"))</f>
        <v>LOW</v>
      </c>
    </row>
    <row r="266" spans="1:11">
      <c r="A266" t="s">
        <v>279</v>
      </c>
      <c r="B266" s="14">
        <f>_xlfn.MINIFS('working sheet'!$B$2:$B$3548, 'working sheet'!$D$2:$D$3548, A266)</f>
        <v>45449.512285578705</v>
      </c>
      <c r="C266" s="17">
        <f>_xlfn.MAXIFS('working sheet'!$B$1:$B$3548,'working sheet'!$D$1:$D$3548,'Customer Portfolio'!A266)</f>
        <v>45690.599274571759</v>
      </c>
      <c r="D266">
        <f>COUNTIFS('working sheet'!$D$1:$D$3548,'Customer Portfolio'!A266)</f>
        <v>2</v>
      </c>
      <c r="E266" s="5">
        <f>SUMIFS('working sheet'!$E$2:$E$3548,'working sheet'!$D$2:$D$3548,'Customer Portfolio'!A266)</f>
        <v>58.78</v>
      </c>
      <c r="F266" s="6">
        <f t="shared" si="8"/>
        <v>29.39</v>
      </c>
      <c r="G266" t="str">
        <f t="array" ref="G266">IFERROR(INDEX('working sheet'!$F$2:$F$3548, MODE(IF('working sheet'!$D$2:$D$3548=A266, MATCH('working sheet'!$F$2:$F$3548, 'working sheet'!$F$2:$F$3548, 0)))),
         INDEX('working sheet'!$F$2:$F$3548, MATCH(A266, 'working sheet'!$D$2:$D$3548, 0)))</f>
        <v>Americano</v>
      </c>
      <c r="H266" s="7">
        <f t="shared" si="9"/>
        <v>242.08698899305455</v>
      </c>
      <c r="I266" s="7">
        <f>MAX('working sheet'!$B$2:$B$3548)-C266</f>
        <v>49.15881148148037</v>
      </c>
      <c r="J266" s="4" t="str">
        <f t="array" ref="J266">IF(AND(I266&lt;=30, D266&gt;=10, E266&gt;=200), "VIP",  IF(AND(I266&lt;=60, D266&gt;=5, E266&gt;=100), "Loyal", IF(AND(I266&lt;=90, D266&gt;=3), "Regular", IF(I266&lt;=30, "Recent", IF(D266&gt;=3, "Occasional", "At Risk")))))</f>
        <v>At Risk</v>
      </c>
      <c r="K266" t="str">
        <f t="array" ref="K266">IF(OR(J266="VIP", J266="Loyal"), "HIGH",IF(OR(J266="Regular", J266="Recent"), "MEDIUM","LOW"))</f>
        <v>LOW</v>
      </c>
    </row>
    <row r="267" spans="1:11">
      <c r="A267" t="s">
        <v>280</v>
      </c>
      <c r="B267" s="14">
        <f>_xlfn.MINIFS('working sheet'!$B$2:$B$3548, 'working sheet'!$D$2:$D$3548, A267)</f>
        <v>45449.641738668979</v>
      </c>
      <c r="C267" s="17">
        <f>_xlfn.MAXIFS('working sheet'!$B$1:$B$3548,'working sheet'!$D$1:$D$3548,'Customer Portfolio'!A267)</f>
        <v>45449.641738668979</v>
      </c>
      <c r="D267">
        <f>COUNTIFS('working sheet'!$D$1:$D$3548,'Customer Portfolio'!A267)</f>
        <v>1</v>
      </c>
      <c r="E267" s="5">
        <f>SUMIFS('working sheet'!$E$2:$E$3548,'working sheet'!$D$2:$D$3548,'Customer Portfolio'!A267)</f>
        <v>37.72</v>
      </c>
      <c r="F267" s="6">
        <f t="shared" si="8"/>
        <v>37.72</v>
      </c>
      <c r="G267" t="str">
        <f t="array" ref="G267">IFERROR(INDEX('working sheet'!$F$2:$F$3548, MODE(IF('working sheet'!$D$2:$D$3548=A267, MATCH('working sheet'!$F$2:$F$3548, 'working sheet'!$F$2:$F$3548, 0)))),
         INDEX('working sheet'!$F$2:$F$3548, MATCH(A267, 'working sheet'!$D$2:$D$3548, 0)))</f>
        <v>Cappuccino</v>
      </c>
      <c r="H267" s="7">
        <f t="shared" si="9"/>
        <v>1</v>
      </c>
      <c r="I267" s="7">
        <f>MAX('working sheet'!$B$2:$B$3548)-C267</f>
        <v>290.11634738426073</v>
      </c>
      <c r="J267" s="4" t="str">
        <f t="array" ref="J267">IF(AND(I267&lt;=30, D267&gt;=10, E267&gt;=200), "VIP",  IF(AND(I267&lt;=60, D267&gt;=5, E267&gt;=100), "Loyal", IF(AND(I267&lt;=90, D267&gt;=3), "Regular", IF(I267&lt;=30, "Recent", IF(D267&gt;=3, "Occasional", "At Risk")))))</f>
        <v>At Risk</v>
      </c>
      <c r="K267" t="str">
        <f t="array" ref="K267">IF(OR(J267="VIP", J267="Loyal"), "HIGH",IF(OR(J267="Regular", J267="Recent"), "MEDIUM","LOW"))</f>
        <v>LOW</v>
      </c>
    </row>
    <row r="268" spans="1:11">
      <c r="A268" t="s">
        <v>281</v>
      </c>
      <c r="B268" s="14">
        <f>_xlfn.MINIFS('working sheet'!$B$2:$B$3548, 'working sheet'!$D$2:$D$3548, A268)</f>
        <v>45449.884781273147</v>
      </c>
      <c r="C268" s="17">
        <f>_xlfn.MAXIFS('working sheet'!$B$1:$B$3548,'working sheet'!$D$1:$D$3548,'Customer Portfolio'!A268)</f>
        <v>45449.889634722225</v>
      </c>
      <c r="D268">
        <f>COUNTIFS('working sheet'!$D$1:$D$3548,'Customer Portfolio'!A268)</f>
        <v>3</v>
      </c>
      <c r="E268" s="5">
        <f>SUMIFS('working sheet'!$E$2:$E$3548,'working sheet'!$D$2:$D$3548,'Customer Portfolio'!A268)</f>
        <v>113.16</v>
      </c>
      <c r="F268" s="6">
        <f t="shared" si="8"/>
        <v>37.72</v>
      </c>
      <c r="G268" t="str">
        <f t="array" ref="G268">IFERROR(INDEX('working sheet'!$F$2:$F$3548, MODE(IF('working sheet'!$D$2:$D$3548=A268, MATCH('working sheet'!$F$2:$F$3548, 'working sheet'!$F$2:$F$3548, 0)))),
         INDEX('working sheet'!$F$2:$F$3548, MATCH(A268, 'working sheet'!$D$2:$D$3548, 0)))</f>
        <v>Latte</v>
      </c>
      <c r="H268" s="7">
        <f t="shared" si="9"/>
        <v>1.0048534490779275</v>
      </c>
      <c r="I268" s="7">
        <f>MAX('working sheet'!$B$2:$B$3548)-C268</f>
        <v>289.86845133101451</v>
      </c>
      <c r="J268" s="4" t="str">
        <f t="array" ref="J268">IF(AND(I268&lt;=30, D268&gt;=10, E268&gt;=200), "VIP",  IF(AND(I268&lt;=60, D268&gt;=5, E268&gt;=100), "Loyal", IF(AND(I268&lt;=90, D268&gt;=3), "Regular", IF(I268&lt;=30, "Recent", IF(D268&gt;=3, "Occasional", "At Risk")))))</f>
        <v>Occasional</v>
      </c>
      <c r="K268" t="str">
        <f t="array" ref="K268">IF(OR(J268="VIP", J268="Loyal"), "HIGH",IF(OR(J268="Regular", J268="Recent"), "MEDIUM","LOW"))</f>
        <v>LOW</v>
      </c>
    </row>
    <row r="269" spans="1:11">
      <c r="A269" t="s">
        <v>282</v>
      </c>
      <c r="B269" s="14">
        <f>_xlfn.MINIFS('working sheet'!$B$2:$B$3548, 'working sheet'!$D$2:$D$3548, A269)</f>
        <v>45450.345883055554</v>
      </c>
      <c r="C269" s="17">
        <f>_xlfn.MAXIFS('working sheet'!$B$1:$B$3548,'working sheet'!$D$1:$D$3548,'Customer Portfolio'!A269)</f>
        <v>45544.838613402775</v>
      </c>
      <c r="D269">
        <f>COUNTIFS('working sheet'!$D$1:$D$3548,'Customer Portfolio'!A269)</f>
        <v>4</v>
      </c>
      <c r="E269" s="5">
        <f>SUMIFS('working sheet'!$E$2:$E$3548,'working sheet'!$D$2:$D$3548,'Customer Portfolio'!A269)</f>
        <v>136.17999999999998</v>
      </c>
      <c r="F269" s="6">
        <f t="shared" si="8"/>
        <v>34.044999999999995</v>
      </c>
      <c r="G269" t="str">
        <f t="array" ref="G269">IFERROR(INDEX('working sheet'!$F$2:$F$3548, MODE(IF('working sheet'!$D$2:$D$3548=A269, MATCH('working sheet'!$F$2:$F$3548, 'working sheet'!$F$2:$F$3548, 0)))),
         INDEX('working sheet'!$F$2:$F$3548, MATCH(A269, 'working sheet'!$D$2:$D$3548, 0)))</f>
        <v>Cappuccino</v>
      </c>
      <c r="H269" s="7">
        <f t="shared" si="9"/>
        <v>95.492730347221368</v>
      </c>
      <c r="I269" s="7">
        <f>MAX('working sheet'!$B$2:$B$3548)-C269</f>
        <v>194.91947265046474</v>
      </c>
      <c r="J269" s="4" t="str">
        <f t="array" ref="J269">IF(AND(I269&lt;=30, D269&gt;=10, E269&gt;=200), "VIP",  IF(AND(I269&lt;=60, D269&gt;=5, E269&gt;=100), "Loyal", IF(AND(I269&lt;=90, D269&gt;=3), "Regular", IF(I269&lt;=30, "Recent", IF(D269&gt;=3, "Occasional", "At Risk")))))</f>
        <v>Occasional</v>
      </c>
      <c r="K269" t="str">
        <f t="array" ref="K269">IF(OR(J269="VIP", J269="Loyal"), "HIGH",IF(OR(J269="Regular", J269="Recent"), "MEDIUM","LOW"))</f>
        <v>LOW</v>
      </c>
    </row>
    <row r="270" spans="1:11">
      <c r="A270" t="s">
        <v>283</v>
      </c>
      <c r="B270" s="14">
        <f>_xlfn.MINIFS('working sheet'!$B$2:$B$3548, 'working sheet'!$D$2:$D$3548, A270)</f>
        <v>45450.441297500001</v>
      </c>
      <c r="C270" s="17">
        <f>_xlfn.MAXIFS('working sheet'!$B$1:$B$3548,'working sheet'!$D$1:$D$3548,'Customer Portfolio'!A270)</f>
        <v>45450.441297500001</v>
      </c>
      <c r="D270">
        <f>COUNTIFS('working sheet'!$D$1:$D$3548,'Customer Portfolio'!A270)</f>
        <v>1</v>
      </c>
      <c r="E270" s="5">
        <f>SUMIFS('working sheet'!$E$2:$E$3548,'working sheet'!$D$2:$D$3548,'Customer Portfolio'!A270)</f>
        <v>23.02</v>
      </c>
      <c r="F270" s="6">
        <f t="shared" si="8"/>
        <v>23.02</v>
      </c>
      <c r="G270" t="str">
        <f t="array" ref="G270">IFERROR(INDEX('working sheet'!$F$2:$F$3548, MODE(IF('working sheet'!$D$2:$D$3548=A270, MATCH('working sheet'!$F$2:$F$3548, 'working sheet'!$F$2:$F$3548, 0)))),
         INDEX('working sheet'!$F$2:$F$3548, MATCH(A270, 'working sheet'!$D$2:$D$3548, 0)))</f>
        <v>Espresso</v>
      </c>
      <c r="H270" s="7">
        <f t="shared" si="9"/>
        <v>1</v>
      </c>
      <c r="I270" s="7">
        <f>MAX('working sheet'!$B$2:$B$3548)-C270</f>
        <v>289.31678855323844</v>
      </c>
      <c r="J270" s="4" t="str">
        <f t="array" ref="J270">IF(AND(I270&lt;=30, D270&gt;=10, E270&gt;=200), "VIP",  IF(AND(I270&lt;=60, D270&gt;=5, E270&gt;=100), "Loyal", IF(AND(I270&lt;=90, D270&gt;=3), "Regular", IF(I270&lt;=30, "Recent", IF(D270&gt;=3, "Occasional", "At Risk")))))</f>
        <v>At Risk</v>
      </c>
      <c r="K270" t="str">
        <f t="array" ref="K270">IF(OR(J270="VIP", J270="Loyal"), "HIGH",IF(OR(J270="Regular", J270="Recent"), "MEDIUM","LOW"))</f>
        <v>LOW</v>
      </c>
    </row>
    <row r="271" spans="1:11">
      <c r="A271" t="s">
        <v>284</v>
      </c>
      <c r="B271" s="14">
        <f>_xlfn.MINIFS('working sheet'!$B$2:$B$3548, 'working sheet'!$D$2:$D$3548, A271)</f>
        <v>45450.698405300929</v>
      </c>
      <c r="C271" s="17">
        <f>_xlfn.MAXIFS('working sheet'!$B$1:$B$3548,'working sheet'!$D$1:$D$3548,'Customer Portfolio'!A271)</f>
        <v>45476.705224803241</v>
      </c>
      <c r="D271">
        <f>COUNTIFS('working sheet'!$D$1:$D$3548,'Customer Portfolio'!A271)</f>
        <v>4</v>
      </c>
      <c r="E271" s="5">
        <f>SUMIFS('working sheet'!$E$2:$E$3548,'working sheet'!$D$2:$D$3548,'Customer Portfolio'!A271)</f>
        <v>126.38</v>
      </c>
      <c r="F271" s="6">
        <f t="shared" si="8"/>
        <v>31.594999999999999</v>
      </c>
      <c r="G271" t="str">
        <f t="array" ref="G271">IFERROR(INDEX('working sheet'!$F$2:$F$3548, MODE(IF('working sheet'!$D$2:$D$3548=A271, MATCH('working sheet'!$F$2:$F$3548, 'working sheet'!$F$2:$F$3548, 0)))),
         INDEX('working sheet'!$F$2:$F$3548, MATCH(A271, 'working sheet'!$D$2:$D$3548, 0)))</f>
        <v>Cortado</v>
      </c>
      <c r="H271" s="7">
        <f t="shared" si="9"/>
        <v>27.006819502312283</v>
      </c>
      <c r="I271" s="7">
        <f>MAX('working sheet'!$B$2:$B$3548)-C271</f>
        <v>263.05286124999839</v>
      </c>
      <c r="J271" s="4" t="str">
        <f t="array" ref="J271">IF(AND(I271&lt;=30, D271&gt;=10, E271&gt;=200), "VIP",  IF(AND(I271&lt;=60, D271&gt;=5, E271&gt;=100), "Loyal", IF(AND(I271&lt;=90, D271&gt;=3), "Regular", IF(I271&lt;=30, "Recent", IF(D271&gt;=3, "Occasional", "At Risk")))))</f>
        <v>Occasional</v>
      </c>
      <c r="K271" t="str">
        <f t="array" ref="K271">IF(OR(J271="VIP", J271="Loyal"), "HIGH",IF(OR(J271="Regular", J271="Recent"), "MEDIUM","LOW"))</f>
        <v>LOW</v>
      </c>
    </row>
    <row r="272" spans="1:11">
      <c r="A272" t="s">
        <v>285</v>
      </c>
      <c r="B272" s="14">
        <f>_xlfn.MINIFS('working sheet'!$B$2:$B$3548, 'working sheet'!$D$2:$D$3548, A272)</f>
        <v>45451.378009444445</v>
      </c>
      <c r="C272" s="17">
        <f>_xlfn.MAXIFS('working sheet'!$B$1:$B$3548,'working sheet'!$D$1:$D$3548,'Customer Portfolio'!A272)</f>
        <v>45451.378009444445</v>
      </c>
      <c r="D272">
        <f>COUNTIFS('working sheet'!$D$1:$D$3548,'Customer Portfolio'!A272)</f>
        <v>1</v>
      </c>
      <c r="E272" s="5">
        <f>SUMIFS('working sheet'!$E$2:$E$3548,'working sheet'!$D$2:$D$3548,'Customer Portfolio'!A272)</f>
        <v>27.92</v>
      </c>
      <c r="F272" s="6">
        <f t="shared" si="8"/>
        <v>27.92</v>
      </c>
      <c r="G272" t="str">
        <f t="array" ref="G272">IFERROR(INDEX('working sheet'!$F$2:$F$3548, MODE(IF('working sheet'!$D$2:$D$3548=A272, MATCH('working sheet'!$F$2:$F$3548, 'working sheet'!$F$2:$F$3548, 0)))),
         INDEX('working sheet'!$F$2:$F$3548, MATCH(A272, 'working sheet'!$D$2:$D$3548, 0)))</f>
        <v>Cortado</v>
      </c>
      <c r="H272" s="7">
        <f t="shared" si="9"/>
        <v>1</v>
      </c>
      <c r="I272" s="7">
        <f>MAX('working sheet'!$B$2:$B$3548)-C272</f>
        <v>288.38007660879521</v>
      </c>
      <c r="J272" s="4" t="str">
        <f t="array" ref="J272">IF(AND(I272&lt;=30, D272&gt;=10, E272&gt;=200), "VIP",  IF(AND(I272&lt;=60, D272&gt;=5, E272&gt;=100), "Loyal", IF(AND(I272&lt;=90, D272&gt;=3), "Regular", IF(I272&lt;=30, "Recent", IF(D272&gt;=3, "Occasional", "At Risk")))))</f>
        <v>At Risk</v>
      </c>
      <c r="K272" t="str">
        <f t="array" ref="K272">IF(OR(J272="VIP", J272="Loyal"), "HIGH",IF(OR(J272="Regular", J272="Recent"), "MEDIUM","LOW"))</f>
        <v>LOW</v>
      </c>
    </row>
    <row r="273" spans="1:11">
      <c r="A273" t="s">
        <v>286</v>
      </c>
      <c r="B273" s="14">
        <f>_xlfn.MINIFS('working sheet'!$B$2:$B$3548, 'working sheet'!$D$2:$D$3548, A273)</f>
        <v>45452.437551631941</v>
      </c>
      <c r="C273" s="17">
        <f>_xlfn.MAXIFS('working sheet'!$B$1:$B$3548,'working sheet'!$D$1:$D$3548,'Customer Portfolio'!A273)</f>
        <v>45452.437551631941</v>
      </c>
      <c r="D273">
        <f>COUNTIFS('working sheet'!$D$1:$D$3548,'Customer Portfolio'!A273)</f>
        <v>1</v>
      </c>
      <c r="E273" s="5">
        <f>SUMIFS('working sheet'!$E$2:$E$3548,'working sheet'!$D$2:$D$3548,'Customer Portfolio'!A273)</f>
        <v>37.72</v>
      </c>
      <c r="F273" s="6">
        <f t="shared" si="8"/>
        <v>37.72</v>
      </c>
      <c r="G273" t="str">
        <f t="array" ref="G273">IFERROR(INDEX('working sheet'!$F$2:$F$3548, MODE(IF('working sheet'!$D$2:$D$3548=A273, MATCH('working sheet'!$F$2:$F$3548, 'working sheet'!$F$2:$F$3548, 0)))),
         INDEX('working sheet'!$F$2:$F$3548, MATCH(A273, 'working sheet'!$D$2:$D$3548, 0)))</f>
        <v>Latte</v>
      </c>
      <c r="H273" s="7">
        <f t="shared" si="9"/>
        <v>1</v>
      </c>
      <c r="I273" s="7">
        <f>MAX('working sheet'!$B$2:$B$3548)-C273</f>
        <v>287.32053442129836</v>
      </c>
      <c r="J273" s="4" t="str">
        <f t="array" ref="J273">IF(AND(I273&lt;=30, D273&gt;=10, E273&gt;=200), "VIP",  IF(AND(I273&lt;=60, D273&gt;=5, E273&gt;=100), "Loyal", IF(AND(I273&lt;=90, D273&gt;=3), "Regular", IF(I273&lt;=30, "Recent", IF(D273&gt;=3, "Occasional", "At Risk")))))</f>
        <v>At Risk</v>
      </c>
      <c r="K273" t="str">
        <f t="array" ref="K273">IF(OR(J273="VIP", J273="Loyal"), "HIGH",IF(OR(J273="Regular", J273="Recent"), "MEDIUM","LOW"))</f>
        <v>LOW</v>
      </c>
    </row>
    <row r="274" spans="1:11">
      <c r="A274" t="s">
        <v>287</v>
      </c>
      <c r="B274" s="14">
        <f>_xlfn.MINIFS('working sheet'!$B$2:$B$3548, 'working sheet'!$D$2:$D$3548, A274)</f>
        <v>45452.452844872685</v>
      </c>
      <c r="C274" s="17">
        <f>_xlfn.MAXIFS('working sheet'!$B$1:$B$3548,'working sheet'!$D$1:$D$3548,'Customer Portfolio'!A274)</f>
        <v>45452.452844872685</v>
      </c>
      <c r="D274">
        <f>COUNTIFS('working sheet'!$D$1:$D$3548,'Customer Portfolio'!A274)</f>
        <v>1</v>
      </c>
      <c r="E274" s="5">
        <f>SUMIFS('working sheet'!$E$2:$E$3548,'working sheet'!$D$2:$D$3548,'Customer Portfolio'!A274)</f>
        <v>37.72</v>
      </c>
      <c r="F274" s="6">
        <f t="shared" si="8"/>
        <v>37.72</v>
      </c>
      <c r="G274" t="str">
        <f t="array" ref="G274">IFERROR(INDEX('working sheet'!$F$2:$F$3548, MODE(IF('working sheet'!$D$2:$D$3548=A274, MATCH('working sheet'!$F$2:$F$3548, 'working sheet'!$F$2:$F$3548, 0)))),
         INDEX('working sheet'!$F$2:$F$3548, MATCH(A274, 'working sheet'!$D$2:$D$3548, 0)))</f>
        <v>Cappuccino</v>
      </c>
      <c r="H274" s="7">
        <f t="shared" si="9"/>
        <v>1</v>
      </c>
      <c r="I274" s="7">
        <f>MAX('working sheet'!$B$2:$B$3548)-C274</f>
        <v>287.30524118055473</v>
      </c>
      <c r="J274" s="4" t="str">
        <f t="array" ref="J274">IF(AND(I274&lt;=30, D274&gt;=10, E274&gt;=200), "VIP",  IF(AND(I274&lt;=60, D274&gt;=5, E274&gt;=100), "Loyal", IF(AND(I274&lt;=90, D274&gt;=3), "Regular", IF(I274&lt;=30, "Recent", IF(D274&gt;=3, "Occasional", "At Risk")))))</f>
        <v>At Risk</v>
      </c>
      <c r="K274" t="str">
        <f t="array" ref="K274">IF(OR(J274="VIP", J274="Loyal"), "HIGH",IF(OR(J274="Regular", J274="Recent"), "MEDIUM","LOW"))</f>
        <v>LOW</v>
      </c>
    </row>
    <row r="275" spans="1:11">
      <c r="A275" t="s">
        <v>288</v>
      </c>
      <c r="B275" s="14">
        <f>_xlfn.MINIFS('working sheet'!$B$2:$B$3548, 'working sheet'!$D$2:$D$3548, A275)</f>
        <v>45452.463288287036</v>
      </c>
      <c r="C275" s="17">
        <f>_xlfn.MAXIFS('working sheet'!$B$1:$B$3548,'working sheet'!$D$1:$D$3548,'Customer Portfolio'!A275)</f>
        <v>45586.477565439818</v>
      </c>
      <c r="D275">
        <f>COUNTIFS('working sheet'!$D$1:$D$3548,'Customer Portfolio'!A275)</f>
        <v>4</v>
      </c>
      <c r="E275" s="5">
        <f>SUMIFS('working sheet'!$E$2:$E$3548,'working sheet'!$D$2:$D$3548,'Customer Portfolio'!A275)</f>
        <v>90.12</v>
      </c>
      <c r="F275" s="6">
        <f t="shared" si="8"/>
        <v>22.53</v>
      </c>
      <c r="G275" t="str">
        <f t="array" ref="G275">IFERROR(INDEX('working sheet'!$F$2:$F$3548, MODE(IF('working sheet'!$D$2:$D$3548=A275, MATCH('working sheet'!$F$2:$F$3548, 'working sheet'!$F$2:$F$3548, 0)))),
         INDEX('working sheet'!$F$2:$F$3548, MATCH(A275, 'working sheet'!$D$2:$D$3548, 0)))</f>
        <v>Espresso</v>
      </c>
      <c r="H275" s="7">
        <f t="shared" si="9"/>
        <v>135.0142771527826</v>
      </c>
      <c r="I275" s="7">
        <f>MAX('working sheet'!$B$2:$B$3548)-C275</f>
        <v>153.28052061342169</v>
      </c>
      <c r="J275" s="4" t="str">
        <f t="array" ref="J275">IF(AND(I275&lt;=30, D275&gt;=10, E275&gt;=200), "VIP",  IF(AND(I275&lt;=60, D275&gt;=5, E275&gt;=100), "Loyal", IF(AND(I275&lt;=90, D275&gt;=3), "Regular", IF(I275&lt;=30, "Recent", IF(D275&gt;=3, "Occasional", "At Risk")))))</f>
        <v>Occasional</v>
      </c>
      <c r="K275" t="str">
        <f t="array" ref="K275">IF(OR(J275="VIP", J275="Loyal"), "HIGH",IF(OR(J275="Regular", J275="Recent"), "MEDIUM","LOW"))</f>
        <v>LOW</v>
      </c>
    </row>
    <row r="276" spans="1:11">
      <c r="A276" t="s">
        <v>289</v>
      </c>
      <c r="B276" s="14">
        <f>_xlfn.MINIFS('working sheet'!$B$2:$B$3548, 'working sheet'!$D$2:$D$3548, A276)</f>
        <v>45452.495018703703</v>
      </c>
      <c r="C276" s="17">
        <f>_xlfn.MAXIFS('working sheet'!$B$1:$B$3548,'working sheet'!$D$1:$D$3548,'Customer Portfolio'!A276)</f>
        <v>45452.495018703703</v>
      </c>
      <c r="D276">
        <f>COUNTIFS('working sheet'!$D$1:$D$3548,'Customer Portfolio'!A276)</f>
        <v>1</v>
      </c>
      <c r="E276" s="5">
        <f>SUMIFS('working sheet'!$E$2:$E$3548,'working sheet'!$D$2:$D$3548,'Customer Portfolio'!A276)</f>
        <v>37.72</v>
      </c>
      <c r="F276" s="6">
        <f t="shared" si="8"/>
        <v>37.72</v>
      </c>
      <c r="G276" t="str">
        <f t="array" ref="G276">IFERROR(INDEX('working sheet'!$F$2:$F$3548, MODE(IF('working sheet'!$D$2:$D$3548=A276, MATCH('working sheet'!$F$2:$F$3548, 'working sheet'!$F$2:$F$3548, 0)))),
         INDEX('working sheet'!$F$2:$F$3548, MATCH(A276, 'working sheet'!$D$2:$D$3548, 0)))</f>
        <v>Cappuccino</v>
      </c>
      <c r="H276" s="7">
        <f t="shared" si="9"/>
        <v>1</v>
      </c>
      <c r="I276" s="7">
        <f>MAX('working sheet'!$B$2:$B$3548)-C276</f>
        <v>287.26306734953687</v>
      </c>
      <c r="J276" s="4" t="str">
        <f t="array" ref="J276">IF(AND(I276&lt;=30, D276&gt;=10, E276&gt;=200), "VIP",  IF(AND(I276&lt;=60, D276&gt;=5, E276&gt;=100), "Loyal", IF(AND(I276&lt;=90, D276&gt;=3), "Regular", IF(I276&lt;=30, "Recent", IF(D276&gt;=3, "Occasional", "At Risk")))))</f>
        <v>At Risk</v>
      </c>
      <c r="K276" t="str">
        <f t="array" ref="K276">IF(OR(J276="VIP", J276="Loyal"), "HIGH",IF(OR(J276="Regular", J276="Recent"), "MEDIUM","LOW"))</f>
        <v>LOW</v>
      </c>
    </row>
    <row r="277" spans="1:11">
      <c r="A277" t="s">
        <v>290</v>
      </c>
      <c r="B277" s="14">
        <f>_xlfn.MINIFS('working sheet'!$B$2:$B$3548, 'working sheet'!$D$2:$D$3548, A277)</f>
        <v>45452.507912499997</v>
      </c>
      <c r="C277" s="17">
        <f>_xlfn.MAXIFS('working sheet'!$B$1:$B$3548,'working sheet'!$D$1:$D$3548,'Customer Portfolio'!A277)</f>
        <v>45687.425391990742</v>
      </c>
      <c r="D277">
        <f>COUNTIFS('working sheet'!$D$1:$D$3548,'Customer Portfolio'!A277)</f>
        <v>69</v>
      </c>
      <c r="E277" s="5">
        <f>SUMIFS('working sheet'!$E$2:$E$3548,'working sheet'!$D$2:$D$3548,'Customer Portfolio'!A277)</f>
        <v>2119.5399999999972</v>
      </c>
      <c r="F277" s="6">
        <f t="shared" si="8"/>
        <v>30.717971014492715</v>
      </c>
      <c r="G277" t="str">
        <f t="array" ref="G277">IFERROR(INDEX('working sheet'!$F$2:$F$3548, MODE(IF('working sheet'!$D$2:$D$3548=A277, MATCH('working sheet'!$F$2:$F$3548, 'working sheet'!$F$2:$F$3548, 0)))),
         INDEX('working sheet'!$F$2:$F$3548, MATCH(A277, 'working sheet'!$D$2:$D$3548, 0)))</f>
        <v>Americano with Milk</v>
      </c>
      <c r="H277" s="7">
        <f t="shared" si="9"/>
        <v>235.91747949074488</v>
      </c>
      <c r="I277" s="7">
        <f>MAX('working sheet'!$B$2:$B$3548)-C277</f>
        <v>52.332694062497467</v>
      </c>
      <c r="J277" s="4" t="str">
        <f t="array" ref="J277">IF(AND(I277&lt;=30, D277&gt;=10, E277&gt;=200), "VIP",  IF(AND(I277&lt;=60, D277&gt;=5, E277&gt;=100), "Loyal", IF(AND(I277&lt;=90, D277&gt;=3), "Regular", IF(I277&lt;=30, "Recent", IF(D277&gt;=3, "Occasional", "At Risk")))))</f>
        <v>Loyal</v>
      </c>
      <c r="K277" t="str">
        <f t="array" ref="K277">IF(OR(J277="VIP", J277="Loyal"), "HIGH",IF(OR(J277="Regular", J277="Recent"), "MEDIUM","LOW"))</f>
        <v>HIGH</v>
      </c>
    </row>
    <row r="278" spans="1:11">
      <c r="A278" t="s">
        <v>291</v>
      </c>
      <c r="B278" s="14">
        <f>_xlfn.MINIFS('working sheet'!$B$2:$B$3548, 'working sheet'!$D$2:$D$3548, A278)</f>
        <v>45452.632299675926</v>
      </c>
      <c r="C278" s="17">
        <f>_xlfn.MAXIFS('working sheet'!$B$1:$B$3548,'working sheet'!$D$1:$D$3548,'Customer Portfolio'!A278)</f>
        <v>45521.688829131941</v>
      </c>
      <c r="D278">
        <f>COUNTIFS('working sheet'!$D$1:$D$3548,'Customer Portfolio'!A278)</f>
        <v>2</v>
      </c>
      <c r="E278" s="5">
        <f>SUMIFS('working sheet'!$E$2:$E$3548,'working sheet'!$D$2:$D$3548,'Customer Portfolio'!A278)</f>
        <v>50.94</v>
      </c>
      <c r="F278" s="6">
        <f t="shared" si="8"/>
        <v>25.47</v>
      </c>
      <c r="G278" t="str">
        <f t="array" ref="G278">IFERROR(INDEX('working sheet'!$F$2:$F$3548, MODE(IF('working sheet'!$D$2:$D$3548=A278, MATCH('working sheet'!$F$2:$F$3548, 'working sheet'!$F$2:$F$3548, 0)))),
         INDEX('working sheet'!$F$2:$F$3548, MATCH(A278, 'working sheet'!$D$2:$D$3548, 0)))</f>
        <v>Cortado</v>
      </c>
      <c r="H278" s="7">
        <f t="shared" si="9"/>
        <v>70.056529456014687</v>
      </c>
      <c r="I278" s="7">
        <f>MAX('working sheet'!$B$2:$B$3548)-C278</f>
        <v>218.0692569212988</v>
      </c>
      <c r="J278" s="4" t="str">
        <f t="array" ref="J278">IF(AND(I278&lt;=30, D278&gt;=10, E278&gt;=200), "VIP",  IF(AND(I278&lt;=60, D278&gt;=5, E278&gt;=100), "Loyal", IF(AND(I278&lt;=90, D278&gt;=3), "Regular", IF(I278&lt;=30, "Recent", IF(D278&gt;=3, "Occasional", "At Risk")))))</f>
        <v>At Risk</v>
      </c>
      <c r="K278" t="str">
        <f t="array" ref="K278">IF(OR(J278="VIP", J278="Loyal"), "HIGH",IF(OR(J278="Regular", J278="Recent"), "MEDIUM","LOW"))</f>
        <v>LOW</v>
      </c>
    </row>
    <row r="279" spans="1:11">
      <c r="A279" t="s">
        <v>292</v>
      </c>
      <c r="B279" s="14">
        <f>_xlfn.MINIFS('working sheet'!$B$2:$B$3548, 'working sheet'!$D$2:$D$3548, A279)</f>
        <v>45452.678798483794</v>
      </c>
      <c r="C279" s="17">
        <f>_xlfn.MAXIFS('working sheet'!$B$1:$B$3548,'working sheet'!$D$1:$D$3548,'Customer Portfolio'!A279)</f>
        <v>45452.678798483794</v>
      </c>
      <c r="D279">
        <f>COUNTIFS('working sheet'!$D$1:$D$3548,'Customer Portfolio'!A279)</f>
        <v>1</v>
      </c>
      <c r="E279" s="5">
        <f>SUMIFS('working sheet'!$E$2:$E$3548,'working sheet'!$D$2:$D$3548,'Customer Portfolio'!A279)</f>
        <v>37.72</v>
      </c>
      <c r="F279" s="6">
        <f t="shared" si="8"/>
        <v>37.72</v>
      </c>
      <c r="G279" t="str">
        <f t="array" ref="G279">IFERROR(INDEX('working sheet'!$F$2:$F$3548, MODE(IF('working sheet'!$D$2:$D$3548=A279, MATCH('working sheet'!$F$2:$F$3548, 'working sheet'!$F$2:$F$3548, 0)))),
         INDEX('working sheet'!$F$2:$F$3548, MATCH(A279, 'working sheet'!$D$2:$D$3548, 0)))</f>
        <v>Cappuccino</v>
      </c>
      <c r="H279" s="7">
        <f t="shared" si="9"/>
        <v>1</v>
      </c>
      <c r="I279" s="7">
        <f>MAX('working sheet'!$B$2:$B$3548)-C279</f>
        <v>287.07928756944602</v>
      </c>
      <c r="J279" s="4" t="str">
        <f t="array" ref="J279">IF(AND(I279&lt;=30, D279&gt;=10, E279&gt;=200), "VIP",  IF(AND(I279&lt;=60, D279&gt;=5, E279&gt;=100), "Loyal", IF(AND(I279&lt;=90, D279&gt;=3), "Regular", IF(I279&lt;=30, "Recent", IF(D279&gt;=3, "Occasional", "At Risk")))))</f>
        <v>At Risk</v>
      </c>
      <c r="K279" t="str">
        <f t="array" ref="K279">IF(OR(J279="VIP", J279="Loyal"), "HIGH",IF(OR(J279="Regular", J279="Recent"), "MEDIUM","LOW"))</f>
        <v>LOW</v>
      </c>
    </row>
    <row r="280" spans="1:11">
      <c r="A280" t="s">
        <v>293</v>
      </c>
      <c r="B280" s="14">
        <f>_xlfn.MINIFS('working sheet'!$B$2:$B$3548, 'working sheet'!$D$2:$D$3548, A280)</f>
        <v>45452.806473113429</v>
      </c>
      <c r="C280" s="17">
        <f>_xlfn.MAXIFS('working sheet'!$B$1:$B$3548,'working sheet'!$D$1:$D$3548,'Customer Portfolio'!A280)</f>
        <v>45452.806473113429</v>
      </c>
      <c r="D280">
        <f>COUNTIFS('working sheet'!$D$1:$D$3548,'Customer Portfolio'!A280)</f>
        <v>1</v>
      </c>
      <c r="E280" s="5">
        <f>SUMIFS('working sheet'!$E$2:$E$3548,'working sheet'!$D$2:$D$3548,'Customer Portfolio'!A280)</f>
        <v>32.82</v>
      </c>
      <c r="F280" s="6">
        <f t="shared" si="8"/>
        <v>32.82</v>
      </c>
      <c r="G280" t="str">
        <f t="array" ref="G280">IFERROR(INDEX('working sheet'!$F$2:$F$3548, MODE(IF('working sheet'!$D$2:$D$3548=A280, MATCH('working sheet'!$F$2:$F$3548, 'working sheet'!$F$2:$F$3548, 0)))),
         INDEX('working sheet'!$F$2:$F$3548, MATCH(A280, 'working sheet'!$D$2:$D$3548, 0)))</f>
        <v>Americano with Milk</v>
      </c>
      <c r="H280" s="7">
        <f t="shared" si="9"/>
        <v>1</v>
      </c>
      <c r="I280" s="7">
        <f>MAX('working sheet'!$B$2:$B$3548)-C280</f>
        <v>286.95161293981073</v>
      </c>
      <c r="J280" s="4" t="str">
        <f t="array" ref="J280">IF(AND(I280&lt;=30, D280&gt;=10, E280&gt;=200), "VIP",  IF(AND(I280&lt;=60, D280&gt;=5, E280&gt;=100), "Loyal", IF(AND(I280&lt;=90, D280&gt;=3), "Regular", IF(I280&lt;=30, "Recent", IF(D280&gt;=3, "Occasional", "At Risk")))))</f>
        <v>At Risk</v>
      </c>
      <c r="K280" t="str">
        <f t="array" ref="K280">IF(OR(J280="VIP", J280="Loyal"), "HIGH",IF(OR(J280="Regular", J280="Recent"), "MEDIUM","LOW"))</f>
        <v>LOW</v>
      </c>
    </row>
    <row r="281" spans="1:11">
      <c r="A281" t="s">
        <v>294</v>
      </c>
      <c r="B281" s="14">
        <f>_xlfn.MINIFS('working sheet'!$B$2:$B$3548, 'working sheet'!$D$2:$D$3548, A281)</f>
        <v>45452.87857458333</v>
      </c>
      <c r="C281" s="17">
        <f>_xlfn.MAXIFS('working sheet'!$B$1:$B$3548,'working sheet'!$D$1:$D$3548,'Customer Portfolio'!A281)</f>
        <v>45452.87857458333</v>
      </c>
      <c r="D281">
        <f>COUNTIFS('working sheet'!$D$1:$D$3548,'Customer Portfolio'!A281)</f>
        <v>1</v>
      </c>
      <c r="E281" s="5">
        <f>SUMIFS('working sheet'!$E$2:$E$3548,'working sheet'!$D$2:$D$3548,'Customer Portfolio'!A281)</f>
        <v>27.92</v>
      </c>
      <c r="F281" s="6">
        <f t="shared" si="8"/>
        <v>27.92</v>
      </c>
      <c r="G281" t="str">
        <f t="array" ref="G281">IFERROR(INDEX('working sheet'!$F$2:$F$3548, MODE(IF('working sheet'!$D$2:$D$3548=A281, MATCH('working sheet'!$F$2:$F$3548, 'working sheet'!$F$2:$F$3548, 0)))),
         INDEX('working sheet'!$F$2:$F$3548, MATCH(A281, 'working sheet'!$D$2:$D$3548, 0)))</f>
        <v>Americano</v>
      </c>
      <c r="H281" s="7">
        <f t="shared" si="9"/>
        <v>1</v>
      </c>
      <c r="I281" s="7">
        <f>MAX('working sheet'!$B$2:$B$3548)-C281</f>
        <v>286.87951146990963</v>
      </c>
      <c r="J281" s="4" t="str">
        <f t="array" ref="J281">IF(AND(I281&lt;=30, D281&gt;=10, E281&gt;=200), "VIP",  IF(AND(I281&lt;=60, D281&gt;=5, E281&gt;=100), "Loyal", IF(AND(I281&lt;=90, D281&gt;=3), "Regular", IF(I281&lt;=30, "Recent", IF(D281&gt;=3, "Occasional", "At Risk")))))</f>
        <v>At Risk</v>
      </c>
      <c r="K281" t="str">
        <f t="array" ref="K281">IF(OR(J281="VIP", J281="Loyal"), "HIGH",IF(OR(J281="Regular", J281="Recent"), "MEDIUM","LOW"))</f>
        <v>LOW</v>
      </c>
    </row>
    <row r="282" spans="1:11">
      <c r="A282" t="s">
        <v>295</v>
      </c>
      <c r="B282" s="14">
        <f>_xlfn.MINIFS('working sheet'!$B$2:$B$3548, 'working sheet'!$D$2:$D$3548, A282)</f>
        <v>45453.5332159838</v>
      </c>
      <c r="C282" s="17">
        <f>_xlfn.MAXIFS('working sheet'!$B$1:$B$3548,'working sheet'!$D$1:$D$3548,'Customer Portfolio'!A282)</f>
        <v>45453.5332159838</v>
      </c>
      <c r="D282">
        <f>COUNTIFS('working sheet'!$D$1:$D$3548,'Customer Portfolio'!A282)</f>
        <v>1</v>
      </c>
      <c r="E282" s="5">
        <f>SUMIFS('working sheet'!$E$2:$E$3548,'working sheet'!$D$2:$D$3548,'Customer Portfolio'!A282)</f>
        <v>37.72</v>
      </c>
      <c r="F282" s="6">
        <f t="shared" si="8"/>
        <v>37.72</v>
      </c>
      <c r="G282" t="str">
        <f t="array" ref="G282">IFERROR(INDEX('working sheet'!$F$2:$F$3548, MODE(IF('working sheet'!$D$2:$D$3548=A282, MATCH('working sheet'!$F$2:$F$3548, 'working sheet'!$F$2:$F$3548, 0)))),
         INDEX('working sheet'!$F$2:$F$3548, MATCH(A282, 'working sheet'!$D$2:$D$3548, 0)))</f>
        <v>Cappuccino</v>
      </c>
      <c r="H282" s="7">
        <f t="shared" si="9"/>
        <v>1</v>
      </c>
      <c r="I282" s="7">
        <f>MAX('working sheet'!$B$2:$B$3548)-C282</f>
        <v>286.22487006943993</v>
      </c>
      <c r="J282" s="4" t="str">
        <f t="array" ref="J282">IF(AND(I282&lt;=30, D282&gt;=10, E282&gt;=200), "VIP",  IF(AND(I282&lt;=60, D282&gt;=5, E282&gt;=100), "Loyal", IF(AND(I282&lt;=90, D282&gt;=3), "Regular", IF(I282&lt;=30, "Recent", IF(D282&gt;=3, "Occasional", "At Risk")))))</f>
        <v>At Risk</v>
      </c>
      <c r="K282" t="str">
        <f t="array" ref="K282">IF(OR(J282="VIP", J282="Loyal"), "HIGH",IF(OR(J282="Regular", J282="Recent"), "MEDIUM","LOW"))</f>
        <v>LOW</v>
      </c>
    </row>
    <row r="283" spans="1:11">
      <c r="A283" t="s">
        <v>296</v>
      </c>
      <c r="B283" s="14">
        <f>_xlfn.MINIFS('working sheet'!$B$2:$B$3548, 'working sheet'!$D$2:$D$3548, A283)</f>
        <v>45453.794769745371</v>
      </c>
      <c r="C283" s="17">
        <f>_xlfn.MAXIFS('working sheet'!$B$1:$B$3548,'working sheet'!$D$1:$D$3548,'Customer Portfolio'!A283)</f>
        <v>45453.795402430558</v>
      </c>
      <c r="D283">
        <f>COUNTIFS('working sheet'!$D$1:$D$3548,'Customer Portfolio'!A283)</f>
        <v>2</v>
      </c>
      <c r="E283" s="5">
        <f>SUMIFS('working sheet'!$E$2:$E$3548,'working sheet'!$D$2:$D$3548,'Customer Portfolio'!A283)</f>
        <v>75.44</v>
      </c>
      <c r="F283" s="6">
        <f t="shared" si="8"/>
        <v>37.72</v>
      </c>
      <c r="G283" t="str">
        <f t="array" ref="G283">IFERROR(INDEX('working sheet'!$F$2:$F$3548, MODE(IF('working sheet'!$D$2:$D$3548=A283, MATCH('working sheet'!$F$2:$F$3548, 'working sheet'!$F$2:$F$3548, 0)))),
         INDEX('working sheet'!$F$2:$F$3548, MATCH(A283, 'working sheet'!$D$2:$D$3548, 0)))</f>
        <v>Hot Chocolate</v>
      </c>
      <c r="H283" s="7">
        <f t="shared" si="9"/>
        <v>1.0006326851871563</v>
      </c>
      <c r="I283" s="7">
        <f>MAX('working sheet'!$B$2:$B$3548)-C283</f>
        <v>285.96268362268165</v>
      </c>
      <c r="J283" s="4" t="str">
        <f t="array" ref="J283">IF(AND(I283&lt;=30, D283&gt;=10, E283&gt;=200), "VIP",  IF(AND(I283&lt;=60, D283&gt;=5, E283&gt;=100), "Loyal", IF(AND(I283&lt;=90, D283&gt;=3), "Regular", IF(I283&lt;=30, "Recent", IF(D283&gt;=3, "Occasional", "At Risk")))))</f>
        <v>At Risk</v>
      </c>
      <c r="K283" t="str">
        <f t="array" ref="K283">IF(OR(J283="VIP", J283="Loyal"), "HIGH",IF(OR(J283="Regular", J283="Recent"), "MEDIUM","LOW"))</f>
        <v>LOW</v>
      </c>
    </row>
    <row r="284" spans="1:11">
      <c r="A284" t="s">
        <v>297</v>
      </c>
      <c r="B284" s="14">
        <f>_xlfn.MINIFS('working sheet'!$B$2:$B$3548, 'working sheet'!$D$2:$D$3548, A284)</f>
        <v>45453.817634282408</v>
      </c>
      <c r="C284" s="17">
        <f>_xlfn.MAXIFS('working sheet'!$B$1:$B$3548,'working sheet'!$D$1:$D$3548,'Customer Portfolio'!A284)</f>
        <v>45542.817540682867</v>
      </c>
      <c r="D284">
        <f>COUNTIFS('working sheet'!$D$1:$D$3548,'Customer Portfolio'!A284)</f>
        <v>7</v>
      </c>
      <c r="E284" s="5">
        <f>SUMIFS('working sheet'!$E$2:$E$3548,'working sheet'!$D$2:$D$3548,'Customer Portfolio'!A284)</f>
        <v>244.43999999999997</v>
      </c>
      <c r="F284" s="6">
        <f t="shared" si="8"/>
        <v>34.919999999999995</v>
      </c>
      <c r="G284" t="str">
        <f t="array" ref="G284">IFERROR(INDEX('working sheet'!$F$2:$F$3548, MODE(IF('working sheet'!$D$2:$D$3548=A284, MATCH('working sheet'!$F$2:$F$3548, 'working sheet'!$F$2:$F$3548, 0)))),
         INDEX('working sheet'!$F$2:$F$3548, MATCH(A284, 'working sheet'!$D$2:$D$3548, 0)))</f>
        <v>Latte</v>
      </c>
      <c r="H284" s="7">
        <f t="shared" si="9"/>
        <v>89.999906400458713</v>
      </c>
      <c r="I284" s="7">
        <f>MAX('working sheet'!$B$2:$B$3548)-C284</f>
        <v>196.940545370373</v>
      </c>
      <c r="J284" s="4" t="str">
        <f t="array" ref="J284">IF(AND(I284&lt;=30, D284&gt;=10, E284&gt;=200), "VIP",  IF(AND(I284&lt;=60, D284&gt;=5, E284&gt;=100), "Loyal", IF(AND(I284&lt;=90, D284&gt;=3), "Regular", IF(I284&lt;=30, "Recent", IF(D284&gt;=3, "Occasional", "At Risk")))))</f>
        <v>Occasional</v>
      </c>
      <c r="K284" t="str">
        <f t="array" ref="K284">IF(OR(J284="VIP", J284="Loyal"), "HIGH",IF(OR(J284="Regular", J284="Recent"), "MEDIUM","LOW"))</f>
        <v>LOW</v>
      </c>
    </row>
    <row r="285" spans="1:11">
      <c r="A285" t="s">
        <v>298</v>
      </c>
      <c r="B285" s="14">
        <f>_xlfn.MINIFS('working sheet'!$B$2:$B$3548, 'working sheet'!$D$2:$D$3548, A285)</f>
        <v>45454.443101307872</v>
      </c>
      <c r="C285" s="17">
        <f>_xlfn.MAXIFS('working sheet'!$B$1:$B$3548,'working sheet'!$D$1:$D$3548,'Customer Portfolio'!A285)</f>
        <v>45454.443101307872</v>
      </c>
      <c r="D285">
        <f>COUNTIFS('working sheet'!$D$1:$D$3548,'Customer Portfolio'!A285)</f>
        <v>1</v>
      </c>
      <c r="E285" s="5">
        <f>SUMIFS('working sheet'!$E$2:$E$3548,'working sheet'!$D$2:$D$3548,'Customer Portfolio'!A285)</f>
        <v>32.82</v>
      </c>
      <c r="F285" s="6">
        <f t="shared" si="8"/>
        <v>32.82</v>
      </c>
      <c r="G285" t="str">
        <f t="array" ref="G285">IFERROR(INDEX('working sheet'!$F$2:$F$3548, MODE(IF('working sheet'!$D$2:$D$3548=A285, MATCH('working sheet'!$F$2:$F$3548, 'working sheet'!$F$2:$F$3548, 0)))),
         INDEX('working sheet'!$F$2:$F$3548, MATCH(A285, 'working sheet'!$D$2:$D$3548, 0)))</f>
        <v>Americano with Milk</v>
      </c>
      <c r="H285" s="7">
        <f t="shared" si="9"/>
        <v>1</v>
      </c>
      <c r="I285" s="7">
        <f>MAX('working sheet'!$B$2:$B$3548)-C285</f>
        <v>285.31498474536784</v>
      </c>
      <c r="J285" s="4" t="str">
        <f t="array" ref="J285">IF(AND(I285&lt;=30, D285&gt;=10, E285&gt;=200), "VIP",  IF(AND(I285&lt;=60, D285&gt;=5, E285&gt;=100), "Loyal", IF(AND(I285&lt;=90, D285&gt;=3), "Regular", IF(I285&lt;=30, "Recent", IF(D285&gt;=3, "Occasional", "At Risk")))))</f>
        <v>At Risk</v>
      </c>
      <c r="K285" t="str">
        <f t="array" ref="K285">IF(OR(J285="VIP", J285="Loyal"), "HIGH",IF(OR(J285="Regular", J285="Recent"), "MEDIUM","LOW"))</f>
        <v>LOW</v>
      </c>
    </row>
    <row r="286" spans="1:11">
      <c r="A286" t="s">
        <v>299</v>
      </c>
      <c r="B286" s="14">
        <f>_xlfn.MINIFS('working sheet'!$B$2:$B$3548, 'working sheet'!$D$2:$D$3548, A286)</f>
        <v>45454.783626064818</v>
      </c>
      <c r="C286" s="17">
        <f>_xlfn.MAXIFS('working sheet'!$B$1:$B$3548,'working sheet'!$D$1:$D$3548,'Customer Portfolio'!A286)</f>
        <v>45454.784449398147</v>
      </c>
      <c r="D286">
        <f>COUNTIFS('working sheet'!$D$1:$D$3548,'Customer Portfolio'!A286)</f>
        <v>2</v>
      </c>
      <c r="E286" s="5">
        <f>SUMIFS('working sheet'!$E$2:$E$3548,'working sheet'!$D$2:$D$3548,'Customer Portfolio'!A286)</f>
        <v>75.44</v>
      </c>
      <c r="F286" s="6">
        <f t="shared" si="8"/>
        <v>37.72</v>
      </c>
      <c r="G286" t="str">
        <f t="array" ref="G286">IFERROR(INDEX('working sheet'!$F$2:$F$3548, MODE(IF('working sheet'!$D$2:$D$3548=A286, MATCH('working sheet'!$F$2:$F$3548, 'working sheet'!$F$2:$F$3548, 0)))),
         INDEX('working sheet'!$F$2:$F$3548, MATCH(A286, 'working sheet'!$D$2:$D$3548, 0)))</f>
        <v>Latte</v>
      </c>
      <c r="H286" s="7">
        <f t="shared" si="9"/>
        <v>1.0008233333282988</v>
      </c>
      <c r="I286" s="7">
        <f>MAX('working sheet'!$B$2:$B$3548)-C286</f>
        <v>284.97363665509329</v>
      </c>
      <c r="J286" s="4" t="str">
        <f t="array" ref="J286">IF(AND(I286&lt;=30, D286&gt;=10, E286&gt;=200), "VIP",  IF(AND(I286&lt;=60, D286&gt;=5, E286&gt;=100), "Loyal", IF(AND(I286&lt;=90, D286&gt;=3), "Regular", IF(I286&lt;=30, "Recent", IF(D286&gt;=3, "Occasional", "At Risk")))))</f>
        <v>At Risk</v>
      </c>
      <c r="K286" t="str">
        <f t="array" ref="K286">IF(OR(J286="VIP", J286="Loyal"), "HIGH",IF(OR(J286="Regular", J286="Recent"), "MEDIUM","LOW"))</f>
        <v>LOW</v>
      </c>
    </row>
    <row r="287" spans="1:11">
      <c r="A287" t="s">
        <v>300</v>
      </c>
      <c r="B287" s="14">
        <f>_xlfn.MINIFS('working sheet'!$B$2:$B$3548, 'working sheet'!$D$2:$D$3548, A287)</f>
        <v>45454.886844259257</v>
      </c>
      <c r="C287" s="17">
        <f>_xlfn.MAXIFS('working sheet'!$B$1:$B$3548,'working sheet'!$D$1:$D$3548,'Customer Portfolio'!A287)</f>
        <v>45454.886844259257</v>
      </c>
      <c r="D287">
        <f>COUNTIFS('working sheet'!$D$1:$D$3548,'Customer Portfolio'!A287)</f>
        <v>1</v>
      </c>
      <c r="E287" s="5">
        <f>SUMIFS('working sheet'!$E$2:$E$3548,'working sheet'!$D$2:$D$3548,'Customer Portfolio'!A287)</f>
        <v>37.72</v>
      </c>
      <c r="F287" s="6">
        <f t="shared" si="8"/>
        <v>37.72</v>
      </c>
      <c r="G287" t="str">
        <f t="array" ref="G287">IFERROR(INDEX('working sheet'!$F$2:$F$3548, MODE(IF('working sheet'!$D$2:$D$3548=A287, MATCH('working sheet'!$F$2:$F$3548, 'working sheet'!$F$2:$F$3548, 0)))),
         INDEX('working sheet'!$F$2:$F$3548, MATCH(A287, 'working sheet'!$D$2:$D$3548, 0)))</f>
        <v>Hot Chocolate</v>
      </c>
      <c r="H287" s="7">
        <f t="shared" si="9"/>
        <v>1</v>
      </c>
      <c r="I287" s="7">
        <f>MAX('working sheet'!$B$2:$B$3548)-C287</f>
        <v>284.87124179398234</v>
      </c>
      <c r="J287" s="4" t="str">
        <f t="array" ref="J287">IF(AND(I287&lt;=30, D287&gt;=10, E287&gt;=200), "VIP",  IF(AND(I287&lt;=60, D287&gt;=5, E287&gt;=100), "Loyal", IF(AND(I287&lt;=90, D287&gt;=3), "Regular", IF(I287&lt;=30, "Recent", IF(D287&gt;=3, "Occasional", "At Risk")))))</f>
        <v>At Risk</v>
      </c>
      <c r="K287" t="str">
        <f t="array" ref="K287">IF(OR(J287="VIP", J287="Loyal"), "HIGH",IF(OR(J287="Regular", J287="Recent"), "MEDIUM","LOW"))</f>
        <v>LOW</v>
      </c>
    </row>
    <row r="288" spans="1:11">
      <c r="A288" t="s">
        <v>301</v>
      </c>
      <c r="B288" s="14">
        <f>_xlfn.MINIFS('working sheet'!$B$2:$B$3548, 'working sheet'!$D$2:$D$3548, A288)</f>
        <v>45454.894234953703</v>
      </c>
      <c r="C288" s="17">
        <f>_xlfn.MAXIFS('working sheet'!$B$1:$B$3548,'working sheet'!$D$1:$D$3548,'Customer Portfolio'!A288)</f>
        <v>45611.780106018516</v>
      </c>
      <c r="D288">
        <f>COUNTIFS('working sheet'!$D$1:$D$3548,'Customer Portfolio'!A288)</f>
        <v>7</v>
      </c>
      <c r="E288" s="5">
        <f>SUMIFS('working sheet'!$E$2:$E$3548,'working sheet'!$D$2:$D$3548,'Customer Portfolio'!A288)</f>
        <v>211.12</v>
      </c>
      <c r="F288" s="6">
        <f t="shared" si="8"/>
        <v>30.16</v>
      </c>
      <c r="G288" t="str">
        <f t="array" ref="G288">IFERROR(INDEX('working sheet'!$F$2:$F$3548, MODE(IF('working sheet'!$D$2:$D$3548=A288, MATCH('working sheet'!$F$2:$F$3548, 'working sheet'!$F$2:$F$3548, 0)))),
         INDEX('working sheet'!$F$2:$F$3548, MATCH(A288, 'working sheet'!$D$2:$D$3548, 0)))</f>
        <v>Americano with Milk</v>
      </c>
      <c r="H288" s="7">
        <f t="shared" si="9"/>
        <v>157.88587106481282</v>
      </c>
      <c r="I288" s="7">
        <f>MAX('working sheet'!$B$2:$B$3548)-C288</f>
        <v>127.97798003472417</v>
      </c>
      <c r="J288" s="4" t="str">
        <f t="array" ref="J288">IF(AND(I288&lt;=30, D288&gt;=10, E288&gt;=200), "VIP",  IF(AND(I288&lt;=60, D288&gt;=5, E288&gt;=100), "Loyal", IF(AND(I288&lt;=90, D288&gt;=3), "Regular", IF(I288&lt;=30, "Recent", IF(D288&gt;=3, "Occasional", "At Risk")))))</f>
        <v>Occasional</v>
      </c>
      <c r="K288" t="str">
        <f t="array" ref="K288">IF(OR(J288="VIP", J288="Loyal"), "HIGH",IF(OR(J288="Regular", J288="Recent"), "MEDIUM","LOW"))</f>
        <v>LOW</v>
      </c>
    </row>
    <row r="289" spans="1:11">
      <c r="A289" t="s">
        <v>302</v>
      </c>
      <c r="B289" s="14">
        <f>_xlfn.MINIFS('working sheet'!$B$2:$B$3548, 'working sheet'!$D$2:$D$3548, A289)</f>
        <v>45455.429384097224</v>
      </c>
      <c r="C289" s="17">
        <f>_xlfn.MAXIFS('working sheet'!$B$1:$B$3548,'working sheet'!$D$1:$D$3548,'Customer Portfolio'!A289)</f>
        <v>45455.429384097224</v>
      </c>
      <c r="D289">
        <f>COUNTIFS('working sheet'!$D$1:$D$3548,'Customer Portfolio'!A289)</f>
        <v>1</v>
      </c>
      <c r="E289" s="5">
        <f>SUMIFS('working sheet'!$E$2:$E$3548,'working sheet'!$D$2:$D$3548,'Customer Portfolio'!A289)</f>
        <v>37.72</v>
      </c>
      <c r="F289" s="6">
        <f t="shared" si="8"/>
        <v>37.72</v>
      </c>
      <c r="G289" t="str">
        <f t="array" ref="G289">IFERROR(INDEX('working sheet'!$F$2:$F$3548, MODE(IF('working sheet'!$D$2:$D$3548=A289, MATCH('working sheet'!$F$2:$F$3548, 'working sheet'!$F$2:$F$3548, 0)))),
         INDEX('working sheet'!$F$2:$F$3548, MATCH(A289, 'working sheet'!$D$2:$D$3548, 0)))</f>
        <v>Hot Chocolate</v>
      </c>
      <c r="H289" s="7">
        <f t="shared" si="9"/>
        <v>1</v>
      </c>
      <c r="I289" s="7">
        <f>MAX('working sheet'!$B$2:$B$3548)-C289</f>
        <v>284.32870195601572</v>
      </c>
      <c r="J289" s="4" t="str">
        <f t="array" ref="J289">IF(AND(I289&lt;=30, D289&gt;=10, E289&gt;=200), "VIP",  IF(AND(I289&lt;=60, D289&gt;=5, E289&gt;=100), "Loyal", IF(AND(I289&lt;=90, D289&gt;=3), "Regular", IF(I289&lt;=30, "Recent", IF(D289&gt;=3, "Occasional", "At Risk")))))</f>
        <v>At Risk</v>
      </c>
      <c r="K289" t="str">
        <f t="array" ref="K289">IF(OR(J289="VIP", J289="Loyal"), "HIGH",IF(OR(J289="Regular", J289="Recent"), "MEDIUM","LOW"))</f>
        <v>LOW</v>
      </c>
    </row>
    <row r="290" spans="1:11">
      <c r="A290" t="s">
        <v>303</v>
      </c>
      <c r="B290" s="14">
        <f>_xlfn.MINIFS('working sheet'!$B$2:$B$3548, 'working sheet'!$D$2:$D$3548, A290)</f>
        <v>45455.494257615741</v>
      </c>
      <c r="C290" s="17">
        <f>_xlfn.MAXIFS('working sheet'!$B$1:$B$3548,'working sheet'!$D$1:$D$3548,'Customer Portfolio'!A290)</f>
        <v>45455.494257615741</v>
      </c>
      <c r="D290">
        <f>COUNTIFS('working sheet'!$D$1:$D$3548,'Customer Portfolio'!A290)</f>
        <v>1</v>
      </c>
      <c r="E290" s="5">
        <f>SUMIFS('working sheet'!$E$2:$E$3548,'working sheet'!$D$2:$D$3548,'Customer Portfolio'!A290)</f>
        <v>37.72</v>
      </c>
      <c r="F290" s="6">
        <f t="shared" si="8"/>
        <v>37.72</v>
      </c>
      <c r="G290" t="str">
        <f t="array" ref="G290">IFERROR(INDEX('working sheet'!$F$2:$F$3548, MODE(IF('working sheet'!$D$2:$D$3548=A290, MATCH('working sheet'!$F$2:$F$3548, 'working sheet'!$F$2:$F$3548, 0)))),
         INDEX('working sheet'!$F$2:$F$3548, MATCH(A290, 'working sheet'!$D$2:$D$3548, 0)))</f>
        <v>Cappuccino</v>
      </c>
      <c r="H290" s="7">
        <f t="shared" si="9"/>
        <v>1</v>
      </c>
      <c r="I290" s="7">
        <f>MAX('working sheet'!$B$2:$B$3548)-C290</f>
        <v>284.26382843749889</v>
      </c>
      <c r="J290" s="4" t="str">
        <f t="array" ref="J290">IF(AND(I290&lt;=30, D290&gt;=10, E290&gt;=200), "VIP",  IF(AND(I290&lt;=60, D290&gt;=5, E290&gt;=100), "Loyal", IF(AND(I290&lt;=90, D290&gt;=3), "Regular", IF(I290&lt;=30, "Recent", IF(D290&gt;=3, "Occasional", "At Risk")))))</f>
        <v>At Risk</v>
      </c>
      <c r="K290" t="str">
        <f t="array" ref="K290">IF(OR(J290="VIP", J290="Loyal"), "HIGH",IF(OR(J290="Regular", J290="Recent"), "MEDIUM","LOW"))</f>
        <v>LOW</v>
      </c>
    </row>
    <row r="291" spans="1:11">
      <c r="A291" t="s">
        <v>304</v>
      </c>
      <c r="B291" s="14">
        <f>_xlfn.MINIFS('working sheet'!$B$2:$B$3548, 'working sheet'!$D$2:$D$3548, A291)</f>
        <v>45455.741294884261</v>
      </c>
      <c r="C291" s="17">
        <f>_xlfn.MAXIFS('working sheet'!$B$1:$B$3548,'working sheet'!$D$1:$D$3548,'Customer Portfolio'!A291)</f>
        <v>45455.741294884261</v>
      </c>
      <c r="D291">
        <f>COUNTIFS('working sheet'!$D$1:$D$3548,'Customer Portfolio'!A291)</f>
        <v>1</v>
      </c>
      <c r="E291" s="5">
        <f>SUMIFS('working sheet'!$E$2:$E$3548,'working sheet'!$D$2:$D$3548,'Customer Portfolio'!A291)</f>
        <v>37.72</v>
      </c>
      <c r="F291" s="6">
        <f t="shared" si="8"/>
        <v>37.72</v>
      </c>
      <c r="G291" t="str">
        <f t="array" ref="G291">IFERROR(INDEX('working sheet'!$F$2:$F$3548, MODE(IF('working sheet'!$D$2:$D$3548=A291, MATCH('working sheet'!$F$2:$F$3548, 'working sheet'!$F$2:$F$3548, 0)))),
         INDEX('working sheet'!$F$2:$F$3548, MATCH(A291, 'working sheet'!$D$2:$D$3548, 0)))</f>
        <v>Latte</v>
      </c>
      <c r="H291" s="7">
        <f t="shared" si="9"/>
        <v>1</v>
      </c>
      <c r="I291" s="7">
        <f>MAX('working sheet'!$B$2:$B$3548)-C291</f>
        <v>284.01679116897867</v>
      </c>
      <c r="J291" s="4" t="str">
        <f t="array" ref="J291">IF(AND(I291&lt;=30, D291&gt;=10, E291&gt;=200), "VIP",  IF(AND(I291&lt;=60, D291&gt;=5, E291&gt;=100), "Loyal", IF(AND(I291&lt;=90, D291&gt;=3), "Regular", IF(I291&lt;=30, "Recent", IF(D291&gt;=3, "Occasional", "At Risk")))))</f>
        <v>At Risk</v>
      </c>
      <c r="K291" t="str">
        <f t="array" ref="K291">IF(OR(J291="VIP", J291="Loyal"), "HIGH",IF(OR(J291="Regular", J291="Recent"), "MEDIUM","LOW"))</f>
        <v>LOW</v>
      </c>
    </row>
    <row r="292" spans="1:11">
      <c r="A292" t="s">
        <v>305</v>
      </c>
      <c r="B292" s="14">
        <f>_xlfn.MINIFS('working sheet'!$B$2:$B$3548, 'working sheet'!$D$2:$D$3548, A292)</f>
        <v>45455.851090729164</v>
      </c>
      <c r="C292" s="17">
        <f>_xlfn.MAXIFS('working sheet'!$B$1:$B$3548,'working sheet'!$D$1:$D$3548,'Customer Portfolio'!A292)</f>
        <v>45455.851090729164</v>
      </c>
      <c r="D292">
        <f>COUNTIFS('working sheet'!$D$1:$D$3548,'Customer Portfolio'!A292)</f>
        <v>1</v>
      </c>
      <c r="E292" s="5">
        <f>SUMIFS('working sheet'!$E$2:$E$3548,'working sheet'!$D$2:$D$3548,'Customer Portfolio'!A292)</f>
        <v>32.82</v>
      </c>
      <c r="F292" s="6">
        <f t="shared" si="8"/>
        <v>32.82</v>
      </c>
      <c r="G292" t="str">
        <f t="array" ref="G292">IFERROR(INDEX('working sheet'!$F$2:$F$3548, MODE(IF('working sheet'!$D$2:$D$3548=A292, MATCH('working sheet'!$F$2:$F$3548, 'working sheet'!$F$2:$F$3548, 0)))),
         INDEX('working sheet'!$F$2:$F$3548, MATCH(A292, 'working sheet'!$D$2:$D$3548, 0)))</f>
        <v>Americano with Milk</v>
      </c>
      <c r="H292" s="7">
        <f t="shared" si="9"/>
        <v>1</v>
      </c>
      <c r="I292" s="7">
        <f>MAX('working sheet'!$B$2:$B$3548)-C292</f>
        <v>283.90699532407598</v>
      </c>
      <c r="J292" s="4" t="str">
        <f t="array" ref="J292">IF(AND(I292&lt;=30, D292&gt;=10, E292&gt;=200), "VIP",  IF(AND(I292&lt;=60, D292&gt;=5, E292&gt;=100), "Loyal", IF(AND(I292&lt;=90, D292&gt;=3), "Regular", IF(I292&lt;=30, "Recent", IF(D292&gt;=3, "Occasional", "At Risk")))))</f>
        <v>At Risk</v>
      </c>
      <c r="K292" t="str">
        <f t="array" ref="K292">IF(OR(J292="VIP", J292="Loyal"), "HIGH",IF(OR(J292="Regular", J292="Recent"), "MEDIUM","LOW"))</f>
        <v>LOW</v>
      </c>
    </row>
    <row r="293" spans="1:11">
      <c r="A293" t="s">
        <v>306</v>
      </c>
      <c r="B293" s="14">
        <f>_xlfn.MINIFS('working sheet'!$B$2:$B$3548, 'working sheet'!$D$2:$D$3548, A293)</f>
        <v>45456.371113506946</v>
      </c>
      <c r="C293" s="17">
        <f>_xlfn.MAXIFS('working sheet'!$B$1:$B$3548,'working sheet'!$D$1:$D$3548,'Customer Portfolio'!A293)</f>
        <v>45456.371113506946</v>
      </c>
      <c r="D293">
        <f>COUNTIFS('working sheet'!$D$1:$D$3548,'Customer Portfolio'!A293)</f>
        <v>1</v>
      </c>
      <c r="E293" s="5">
        <f>SUMIFS('working sheet'!$E$2:$E$3548,'working sheet'!$D$2:$D$3548,'Customer Portfolio'!A293)</f>
        <v>27.92</v>
      </c>
      <c r="F293" s="6">
        <f t="shared" si="8"/>
        <v>27.92</v>
      </c>
      <c r="G293" t="str">
        <f t="array" ref="G293">IFERROR(INDEX('working sheet'!$F$2:$F$3548, MODE(IF('working sheet'!$D$2:$D$3548=A293, MATCH('working sheet'!$F$2:$F$3548, 'working sheet'!$F$2:$F$3548, 0)))),
         INDEX('working sheet'!$F$2:$F$3548, MATCH(A293, 'working sheet'!$D$2:$D$3548, 0)))</f>
        <v>Americano</v>
      </c>
      <c r="H293" s="7">
        <f t="shared" si="9"/>
        <v>1</v>
      </c>
      <c r="I293" s="7">
        <f>MAX('working sheet'!$B$2:$B$3548)-C293</f>
        <v>283.38697254629369</v>
      </c>
      <c r="J293" s="4" t="str">
        <f t="array" ref="J293">IF(AND(I293&lt;=30, D293&gt;=10, E293&gt;=200), "VIP",  IF(AND(I293&lt;=60, D293&gt;=5, E293&gt;=100), "Loyal", IF(AND(I293&lt;=90, D293&gt;=3), "Regular", IF(I293&lt;=30, "Recent", IF(D293&gt;=3, "Occasional", "At Risk")))))</f>
        <v>At Risk</v>
      </c>
      <c r="K293" t="str">
        <f t="array" ref="K293">IF(OR(J293="VIP", J293="Loyal"), "HIGH",IF(OR(J293="Regular", J293="Recent"), "MEDIUM","LOW"))</f>
        <v>LOW</v>
      </c>
    </row>
    <row r="294" spans="1:11">
      <c r="A294" t="s">
        <v>307</v>
      </c>
      <c r="B294" s="14">
        <f>_xlfn.MINIFS('working sheet'!$B$2:$B$3548, 'working sheet'!$D$2:$D$3548, A294)</f>
        <v>45456.41001201389</v>
      </c>
      <c r="C294" s="17">
        <f>_xlfn.MAXIFS('working sheet'!$B$1:$B$3548,'working sheet'!$D$1:$D$3548,'Customer Portfolio'!A294)</f>
        <v>45456.41001201389</v>
      </c>
      <c r="D294">
        <f>COUNTIFS('working sheet'!$D$1:$D$3548,'Customer Portfolio'!A294)</f>
        <v>1</v>
      </c>
      <c r="E294" s="5">
        <f>SUMIFS('working sheet'!$E$2:$E$3548,'working sheet'!$D$2:$D$3548,'Customer Portfolio'!A294)</f>
        <v>32.82</v>
      </c>
      <c r="F294" s="6">
        <f t="shared" si="8"/>
        <v>32.82</v>
      </c>
      <c r="G294" t="str">
        <f t="array" ref="G294">IFERROR(INDEX('working sheet'!$F$2:$F$3548, MODE(IF('working sheet'!$D$2:$D$3548=A294, MATCH('working sheet'!$F$2:$F$3548, 'working sheet'!$F$2:$F$3548, 0)))),
         INDEX('working sheet'!$F$2:$F$3548, MATCH(A294, 'working sheet'!$D$2:$D$3548, 0)))</f>
        <v>Americano with Milk</v>
      </c>
      <c r="H294" s="7">
        <f t="shared" si="9"/>
        <v>1</v>
      </c>
      <c r="I294" s="7">
        <f>MAX('working sheet'!$B$2:$B$3548)-C294</f>
        <v>283.34807403934974</v>
      </c>
      <c r="J294" s="4" t="str">
        <f t="array" ref="J294">IF(AND(I294&lt;=30, D294&gt;=10, E294&gt;=200), "VIP",  IF(AND(I294&lt;=60, D294&gt;=5, E294&gt;=100), "Loyal", IF(AND(I294&lt;=90, D294&gt;=3), "Regular", IF(I294&lt;=30, "Recent", IF(D294&gt;=3, "Occasional", "At Risk")))))</f>
        <v>At Risk</v>
      </c>
      <c r="K294" t="str">
        <f t="array" ref="K294">IF(OR(J294="VIP", J294="Loyal"), "HIGH",IF(OR(J294="Regular", J294="Recent"), "MEDIUM","LOW"))</f>
        <v>LOW</v>
      </c>
    </row>
    <row r="295" spans="1:11">
      <c r="A295" t="s">
        <v>308</v>
      </c>
      <c r="B295" s="14">
        <f>_xlfn.MINIFS('working sheet'!$B$2:$B$3548, 'working sheet'!$D$2:$D$3548, A295)</f>
        <v>45456.711789363428</v>
      </c>
      <c r="C295" s="17">
        <f>_xlfn.MAXIFS('working sheet'!$B$1:$B$3548,'working sheet'!$D$1:$D$3548,'Customer Portfolio'!A295)</f>
        <v>45456.711789363428</v>
      </c>
      <c r="D295">
        <f>COUNTIFS('working sheet'!$D$1:$D$3548,'Customer Portfolio'!A295)</f>
        <v>1</v>
      </c>
      <c r="E295" s="5">
        <f>SUMIFS('working sheet'!$E$2:$E$3548,'working sheet'!$D$2:$D$3548,'Customer Portfolio'!A295)</f>
        <v>32.82</v>
      </c>
      <c r="F295" s="6">
        <f t="shared" si="8"/>
        <v>32.82</v>
      </c>
      <c r="G295" t="str">
        <f t="array" ref="G295">IFERROR(INDEX('working sheet'!$F$2:$F$3548, MODE(IF('working sheet'!$D$2:$D$3548=A295, MATCH('working sheet'!$F$2:$F$3548, 'working sheet'!$F$2:$F$3548, 0)))),
         INDEX('working sheet'!$F$2:$F$3548, MATCH(A295, 'working sheet'!$D$2:$D$3548, 0)))</f>
        <v>Americano with Milk</v>
      </c>
      <c r="H295" s="7">
        <f t="shared" si="9"/>
        <v>1</v>
      </c>
      <c r="I295" s="7">
        <f>MAX('working sheet'!$B$2:$B$3548)-C295</f>
        <v>283.04629668981215</v>
      </c>
      <c r="J295" s="4" t="str">
        <f t="array" ref="J295">IF(AND(I295&lt;=30, D295&gt;=10, E295&gt;=200), "VIP",  IF(AND(I295&lt;=60, D295&gt;=5, E295&gt;=100), "Loyal", IF(AND(I295&lt;=90, D295&gt;=3), "Regular", IF(I295&lt;=30, "Recent", IF(D295&gt;=3, "Occasional", "At Risk")))))</f>
        <v>At Risk</v>
      </c>
      <c r="K295" t="str">
        <f t="array" ref="K295">IF(OR(J295="VIP", J295="Loyal"), "HIGH",IF(OR(J295="Regular", J295="Recent"), "MEDIUM","LOW"))</f>
        <v>LOW</v>
      </c>
    </row>
    <row r="296" spans="1:11">
      <c r="A296" t="s">
        <v>309</v>
      </c>
      <c r="B296" s="14">
        <f>_xlfn.MINIFS('working sheet'!$B$2:$B$3548, 'working sheet'!$D$2:$D$3548, A296)</f>
        <v>45456.727622986109</v>
      </c>
      <c r="C296" s="17">
        <f>_xlfn.MAXIFS('working sheet'!$B$1:$B$3548,'working sheet'!$D$1:$D$3548,'Customer Portfolio'!A296)</f>
        <v>45456.864590451391</v>
      </c>
      <c r="D296">
        <f>COUNTIFS('working sheet'!$D$1:$D$3548,'Customer Portfolio'!A296)</f>
        <v>2</v>
      </c>
      <c r="E296" s="5">
        <f>SUMIFS('working sheet'!$E$2:$E$3548,'working sheet'!$D$2:$D$3548,'Customer Portfolio'!A296)</f>
        <v>60.739999999999995</v>
      </c>
      <c r="F296" s="6">
        <f t="shared" si="8"/>
        <v>30.369999999999997</v>
      </c>
      <c r="G296" t="str">
        <f t="array" ref="G296">IFERROR(INDEX('working sheet'!$F$2:$F$3548, MODE(IF('working sheet'!$D$2:$D$3548=A296, MATCH('working sheet'!$F$2:$F$3548, 'working sheet'!$F$2:$F$3548, 0)))),
         INDEX('working sheet'!$F$2:$F$3548, MATCH(A296, 'working sheet'!$D$2:$D$3548, 0)))</f>
        <v>Hot Chocolate</v>
      </c>
      <c r="H296" s="7">
        <f t="shared" si="9"/>
        <v>1.1369674652814865</v>
      </c>
      <c r="I296" s="7">
        <f>MAX('working sheet'!$B$2:$B$3548)-C296</f>
        <v>282.89349560184928</v>
      </c>
      <c r="J296" s="4" t="str">
        <f t="array" ref="J296">IF(AND(I296&lt;=30, D296&gt;=10, E296&gt;=200), "VIP",  IF(AND(I296&lt;=60, D296&gt;=5, E296&gt;=100), "Loyal", IF(AND(I296&lt;=90, D296&gt;=3), "Regular", IF(I296&lt;=30, "Recent", IF(D296&gt;=3, "Occasional", "At Risk")))))</f>
        <v>At Risk</v>
      </c>
      <c r="K296" t="str">
        <f t="array" ref="K296">IF(OR(J296="VIP", J296="Loyal"), "HIGH",IF(OR(J296="Regular", J296="Recent"), "MEDIUM","LOW"))</f>
        <v>LOW</v>
      </c>
    </row>
    <row r="297" spans="1:11">
      <c r="A297" t="s">
        <v>310</v>
      </c>
      <c r="B297" s="14">
        <f>_xlfn.MINIFS('working sheet'!$B$2:$B$3548, 'working sheet'!$D$2:$D$3548, A297)</f>
        <v>45456.807165312501</v>
      </c>
      <c r="C297" s="17">
        <f>_xlfn.MAXIFS('working sheet'!$B$1:$B$3548,'working sheet'!$D$1:$D$3548,'Customer Portfolio'!A297)</f>
        <v>45456.807165312501</v>
      </c>
      <c r="D297">
        <f>COUNTIFS('working sheet'!$D$1:$D$3548,'Customer Portfolio'!A297)</f>
        <v>1</v>
      </c>
      <c r="E297" s="5">
        <f>SUMIFS('working sheet'!$E$2:$E$3548,'working sheet'!$D$2:$D$3548,'Customer Portfolio'!A297)</f>
        <v>37.72</v>
      </c>
      <c r="F297" s="6">
        <f t="shared" si="8"/>
        <v>37.72</v>
      </c>
      <c r="G297" t="str">
        <f t="array" ref="G297">IFERROR(INDEX('working sheet'!$F$2:$F$3548, MODE(IF('working sheet'!$D$2:$D$3548=A297, MATCH('working sheet'!$F$2:$F$3548, 'working sheet'!$F$2:$F$3548, 0)))),
         INDEX('working sheet'!$F$2:$F$3548, MATCH(A297, 'working sheet'!$D$2:$D$3548, 0)))</f>
        <v>Latte</v>
      </c>
      <c r="H297" s="7">
        <f t="shared" si="9"/>
        <v>1</v>
      </c>
      <c r="I297" s="7">
        <f>MAX('working sheet'!$B$2:$B$3548)-C297</f>
        <v>282.95092074073909</v>
      </c>
      <c r="J297" s="4" t="str">
        <f t="array" ref="J297">IF(AND(I297&lt;=30, D297&gt;=10, E297&gt;=200), "VIP",  IF(AND(I297&lt;=60, D297&gt;=5, E297&gt;=100), "Loyal", IF(AND(I297&lt;=90, D297&gt;=3), "Regular", IF(I297&lt;=30, "Recent", IF(D297&gt;=3, "Occasional", "At Risk")))))</f>
        <v>At Risk</v>
      </c>
      <c r="K297" t="str">
        <f t="array" ref="K297">IF(OR(J297="VIP", J297="Loyal"), "HIGH",IF(OR(J297="Regular", J297="Recent"), "MEDIUM","LOW"))</f>
        <v>LOW</v>
      </c>
    </row>
    <row r="298" spans="1:11">
      <c r="A298" t="s">
        <v>311</v>
      </c>
      <c r="B298" s="14">
        <f>_xlfn.MINIFS('working sheet'!$B$2:$B$3548, 'working sheet'!$D$2:$D$3548, A298)</f>
        <v>45457.437865555556</v>
      </c>
      <c r="C298" s="17">
        <f>_xlfn.MAXIFS('working sheet'!$B$1:$B$3548,'working sheet'!$D$1:$D$3548,'Customer Portfolio'!A298)</f>
        <v>45457.437865555556</v>
      </c>
      <c r="D298">
        <f>COUNTIFS('working sheet'!$D$1:$D$3548,'Customer Portfolio'!A298)</f>
        <v>1</v>
      </c>
      <c r="E298" s="5">
        <f>SUMIFS('working sheet'!$E$2:$E$3548,'working sheet'!$D$2:$D$3548,'Customer Portfolio'!A298)</f>
        <v>27.92</v>
      </c>
      <c r="F298" s="6">
        <f t="shared" si="8"/>
        <v>27.92</v>
      </c>
      <c r="G298" t="str">
        <f t="array" ref="G298">IFERROR(INDEX('working sheet'!$F$2:$F$3548, MODE(IF('working sheet'!$D$2:$D$3548=A298, MATCH('working sheet'!$F$2:$F$3548, 'working sheet'!$F$2:$F$3548, 0)))),
         INDEX('working sheet'!$F$2:$F$3548, MATCH(A298, 'working sheet'!$D$2:$D$3548, 0)))</f>
        <v>Americano</v>
      </c>
      <c r="H298" s="7">
        <f t="shared" si="9"/>
        <v>1</v>
      </c>
      <c r="I298" s="7">
        <f>MAX('working sheet'!$B$2:$B$3548)-C298</f>
        <v>282.3202204976842</v>
      </c>
      <c r="J298" s="4" t="str">
        <f t="array" ref="J298">IF(AND(I298&lt;=30, D298&gt;=10, E298&gt;=200), "VIP",  IF(AND(I298&lt;=60, D298&gt;=5, E298&gt;=100), "Loyal", IF(AND(I298&lt;=90, D298&gt;=3), "Regular", IF(I298&lt;=30, "Recent", IF(D298&gt;=3, "Occasional", "At Risk")))))</f>
        <v>At Risk</v>
      </c>
      <c r="K298" t="str">
        <f t="array" ref="K298">IF(OR(J298="VIP", J298="Loyal"), "HIGH",IF(OR(J298="Regular", J298="Recent"), "MEDIUM","LOW"))</f>
        <v>LOW</v>
      </c>
    </row>
    <row r="299" spans="1:11">
      <c r="A299" t="s">
        <v>312</v>
      </c>
      <c r="B299" s="14">
        <f>_xlfn.MINIFS('working sheet'!$B$2:$B$3548, 'working sheet'!$D$2:$D$3548, A299)</f>
        <v>45457.77075693287</v>
      </c>
      <c r="C299" s="17">
        <f>_xlfn.MAXIFS('working sheet'!$B$1:$B$3548,'working sheet'!$D$1:$D$3548,'Customer Portfolio'!A299)</f>
        <v>45457.77075693287</v>
      </c>
      <c r="D299">
        <f>COUNTIFS('working sheet'!$D$1:$D$3548,'Customer Portfolio'!A299)</f>
        <v>1</v>
      </c>
      <c r="E299" s="5">
        <f>SUMIFS('working sheet'!$E$2:$E$3548,'working sheet'!$D$2:$D$3548,'Customer Portfolio'!A299)</f>
        <v>32.82</v>
      </c>
      <c r="F299" s="6">
        <f t="shared" si="8"/>
        <v>32.82</v>
      </c>
      <c r="G299" t="str">
        <f t="array" ref="G299">IFERROR(INDEX('working sheet'!$F$2:$F$3548, MODE(IF('working sheet'!$D$2:$D$3548=A299, MATCH('working sheet'!$F$2:$F$3548, 'working sheet'!$F$2:$F$3548, 0)))),
         INDEX('working sheet'!$F$2:$F$3548, MATCH(A299, 'working sheet'!$D$2:$D$3548, 0)))</f>
        <v>Americano with Milk</v>
      </c>
      <c r="H299" s="7">
        <f t="shared" si="9"/>
        <v>1</v>
      </c>
      <c r="I299" s="7">
        <f>MAX('working sheet'!$B$2:$B$3548)-C299</f>
        <v>281.9873291203694</v>
      </c>
      <c r="J299" s="4" t="str">
        <f t="array" ref="J299">IF(AND(I299&lt;=30, D299&gt;=10, E299&gt;=200), "VIP",  IF(AND(I299&lt;=60, D299&gt;=5, E299&gt;=100), "Loyal", IF(AND(I299&lt;=90, D299&gt;=3), "Regular", IF(I299&lt;=30, "Recent", IF(D299&gt;=3, "Occasional", "At Risk")))))</f>
        <v>At Risk</v>
      </c>
      <c r="K299" t="str">
        <f t="array" ref="K299">IF(OR(J299="VIP", J299="Loyal"), "HIGH",IF(OR(J299="Regular", J299="Recent"), "MEDIUM","LOW"))</f>
        <v>LOW</v>
      </c>
    </row>
    <row r="300" spans="1:11">
      <c r="A300" t="s">
        <v>313</v>
      </c>
      <c r="B300" s="14">
        <f>_xlfn.MINIFS('working sheet'!$B$2:$B$3548, 'working sheet'!$D$2:$D$3548, A300)</f>
        <v>45458.476411736112</v>
      </c>
      <c r="C300" s="17">
        <f>_xlfn.MAXIFS('working sheet'!$B$1:$B$3548,'working sheet'!$D$1:$D$3548,'Customer Portfolio'!A300)</f>
        <v>45461.586948067132</v>
      </c>
      <c r="D300">
        <f>COUNTIFS('working sheet'!$D$1:$D$3548,'Customer Portfolio'!A300)</f>
        <v>3</v>
      </c>
      <c r="E300" s="5">
        <f>SUMIFS('working sheet'!$E$2:$E$3548,'working sheet'!$D$2:$D$3548,'Customer Portfolio'!A300)</f>
        <v>103.36</v>
      </c>
      <c r="F300" s="6">
        <f t="shared" si="8"/>
        <v>34.453333333333333</v>
      </c>
      <c r="G300" t="str">
        <f t="array" ref="G300">IFERROR(INDEX('working sheet'!$F$2:$F$3548, MODE(IF('working sheet'!$D$2:$D$3548=A300, MATCH('working sheet'!$F$2:$F$3548, 'working sheet'!$F$2:$F$3548, 0)))),
         INDEX('working sheet'!$F$2:$F$3548, MATCH(A300, 'working sheet'!$D$2:$D$3548, 0)))</f>
        <v>Cappuccino</v>
      </c>
      <c r="H300" s="7">
        <f t="shared" si="9"/>
        <v>4.11053633101983</v>
      </c>
      <c r="I300" s="7">
        <f>MAX('working sheet'!$B$2:$B$3548)-C300</f>
        <v>278.17113798610808</v>
      </c>
      <c r="J300" s="4" t="str">
        <f t="array" ref="J300">IF(AND(I300&lt;=30, D300&gt;=10, E300&gt;=200), "VIP",  IF(AND(I300&lt;=60, D300&gt;=5, E300&gt;=100), "Loyal", IF(AND(I300&lt;=90, D300&gt;=3), "Regular", IF(I300&lt;=30, "Recent", IF(D300&gt;=3, "Occasional", "At Risk")))))</f>
        <v>Occasional</v>
      </c>
      <c r="K300" t="str">
        <f t="array" ref="K300">IF(OR(J300="VIP", J300="Loyal"), "HIGH",IF(OR(J300="Regular", J300="Recent"), "MEDIUM","LOW"))</f>
        <v>LOW</v>
      </c>
    </row>
    <row r="301" spans="1:11">
      <c r="A301" t="s">
        <v>314</v>
      </c>
      <c r="B301" s="14">
        <f>_xlfn.MINIFS('working sheet'!$B$2:$B$3548, 'working sheet'!$D$2:$D$3548, A301)</f>
        <v>45458.514908969904</v>
      </c>
      <c r="C301" s="17">
        <f>_xlfn.MAXIFS('working sheet'!$B$1:$B$3548,'working sheet'!$D$1:$D$3548,'Customer Portfolio'!A301)</f>
        <v>45458.517638425925</v>
      </c>
      <c r="D301">
        <f>COUNTIFS('working sheet'!$D$1:$D$3548,'Customer Portfolio'!A301)</f>
        <v>5</v>
      </c>
      <c r="E301" s="5">
        <f>SUMIFS('working sheet'!$E$2:$E$3548,'working sheet'!$D$2:$D$3548,'Customer Portfolio'!A301)</f>
        <v>164.09999999999997</v>
      </c>
      <c r="F301" s="6">
        <f t="shared" si="8"/>
        <v>32.819999999999993</v>
      </c>
      <c r="G301" t="str">
        <f t="array" ref="G301">IFERROR(INDEX('working sheet'!$F$2:$F$3548, MODE(IF('working sheet'!$D$2:$D$3548=A301, MATCH('working sheet'!$F$2:$F$3548, 'working sheet'!$F$2:$F$3548, 0)))),
         INDEX('working sheet'!$F$2:$F$3548, MATCH(A301, 'working sheet'!$D$2:$D$3548, 0)))</f>
        <v>Americano with Milk</v>
      </c>
      <c r="H301" s="7">
        <f t="shared" si="9"/>
        <v>1.0027294560204609</v>
      </c>
      <c r="I301" s="7">
        <f>MAX('working sheet'!$B$2:$B$3548)-C301</f>
        <v>281.24044762731501</v>
      </c>
      <c r="J301" s="4" t="str">
        <f t="array" ref="J301">IF(AND(I301&lt;=30, D301&gt;=10, E301&gt;=200), "VIP",  IF(AND(I301&lt;=60, D301&gt;=5, E301&gt;=100), "Loyal", IF(AND(I301&lt;=90, D301&gt;=3), "Regular", IF(I301&lt;=30, "Recent", IF(D301&gt;=3, "Occasional", "At Risk")))))</f>
        <v>Occasional</v>
      </c>
      <c r="K301" t="str">
        <f t="array" ref="K301">IF(OR(J301="VIP", J301="Loyal"), "HIGH",IF(OR(J301="Regular", J301="Recent"), "MEDIUM","LOW"))</f>
        <v>LOW</v>
      </c>
    </row>
    <row r="302" spans="1:11">
      <c r="A302" t="s">
        <v>315</v>
      </c>
      <c r="B302" s="14">
        <f>_xlfn.MINIFS('working sheet'!$B$2:$B$3548, 'working sheet'!$D$2:$D$3548, A302)</f>
        <v>45458.669096168982</v>
      </c>
      <c r="C302" s="17">
        <f>_xlfn.MAXIFS('working sheet'!$B$1:$B$3548,'working sheet'!$D$1:$D$3548,'Customer Portfolio'!A302)</f>
        <v>45458.669096168982</v>
      </c>
      <c r="D302">
        <f>COUNTIFS('working sheet'!$D$1:$D$3548,'Customer Portfolio'!A302)</f>
        <v>1</v>
      </c>
      <c r="E302" s="5">
        <f>SUMIFS('working sheet'!$E$2:$E$3548,'working sheet'!$D$2:$D$3548,'Customer Portfolio'!A302)</f>
        <v>32.82</v>
      </c>
      <c r="F302" s="6">
        <f t="shared" si="8"/>
        <v>32.82</v>
      </c>
      <c r="G302" t="str">
        <f t="array" ref="G302">IFERROR(INDEX('working sheet'!$F$2:$F$3548, MODE(IF('working sheet'!$D$2:$D$3548=A302, MATCH('working sheet'!$F$2:$F$3548, 'working sheet'!$F$2:$F$3548, 0)))),
         INDEX('working sheet'!$F$2:$F$3548, MATCH(A302, 'working sheet'!$D$2:$D$3548, 0)))</f>
        <v>Americano with Milk</v>
      </c>
      <c r="H302" s="7">
        <f t="shared" si="9"/>
        <v>1</v>
      </c>
      <c r="I302" s="7">
        <f>MAX('working sheet'!$B$2:$B$3548)-C302</f>
        <v>281.0889898842579</v>
      </c>
      <c r="J302" s="4" t="str">
        <f t="array" ref="J302">IF(AND(I302&lt;=30, D302&gt;=10, E302&gt;=200), "VIP",  IF(AND(I302&lt;=60, D302&gt;=5, E302&gt;=100), "Loyal", IF(AND(I302&lt;=90, D302&gt;=3), "Regular", IF(I302&lt;=30, "Recent", IF(D302&gt;=3, "Occasional", "At Risk")))))</f>
        <v>At Risk</v>
      </c>
      <c r="K302" t="str">
        <f t="array" ref="K302">IF(OR(J302="VIP", J302="Loyal"), "HIGH",IF(OR(J302="Regular", J302="Recent"), "MEDIUM","LOW"))</f>
        <v>LOW</v>
      </c>
    </row>
    <row r="303" spans="1:11">
      <c r="A303" t="s">
        <v>316</v>
      </c>
      <c r="B303" s="14">
        <f>_xlfn.MINIFS('working sheet'!$B$2:$B$3548, 'working sheet'!$D$2:$D$3548, A303)</f>
        <v>45458.759775729166</v>
      </c>
      <c r="C303" s="17">
        <f>_xlfn.MAXIFS('working sheet'!$B$1:$B$3548,'working sheet'!$D$1:$D$3548,'Customer Portfolio'!A303)</f>
        <v>45612.485705706022</v>
      </c>
      <c r="D303">
        <f>COUNTIFS('working sheet'!$D$1:$D$3548,'Customer Portfolio'!A303)</f>
        <v>2</v>
      </c>
      <c r="E303" s="5">
        <f>SUMIFS('working sheet'!$E$2:$E$3548,'working sheet'!$D$2:$D$3548,'Customer Portfolio'!A303)</f>
        <v>53.88</v>
      </c>
      <c r="F303" s="6">
        <f t="shared" si="8"/>
        <v>26.94</v>
      </c>
      <c r="G303" t="str">
        <f t="array" ref="G303">IFERROR(INDEX('working sheet'!$F$2:$F$3548, MODE(IF('working sheet'!$D$2:$D$3548=A303, MATCH('working sheet'!$F$2:$F$3548, 'working sheet'!$F$2:$F$3548, 0)))),
         INDEX('working sheet'!$F$2:$F$3548, MATCH(A303, 'working sheet'!$D$2:$D$3548, 0)))</f>
        <v>Americano</v>
      </c>
      <c r="H303" s="7">
        <f t="shared" si="9"/>
        <v>154.7259299768557</v>
      </c>
      <c r="I303" s="7">
        <f>MAX('working sheet'!$B$2:$B$3548)-C303</f>
        <v>127.27238034721813</v>
      </c>
      <c r="J303" s="4" t="str">
        <f t="array" ref="J303">IF(AND(I303&lt;=30, D303&gt;=10, E303&gt;=200), "VIP",  IF(AND(I303&lt;=60, D303&gt;=5, E303&gt;=100), "Loyal", IF(AND(I303&lt;=90, D303&gt;=3), "Regular", IF(I303&lt;=30, "Recent", IF(D303&gt;=3, "Occasional", "At Risk")))))</f>
        <v>At Risk</v>
      </c>
      <c r="K303" t="str">
        <f t="array" ref="K303">IF(OR(J303="VIP", J303="Loyal"), "HIGH",IF(OR(J303="Regular", J303="Recent"), "MEDIUM","LOW"))</f>
        <v>LOW</v>
      </c>
    </row>
    <row r="304" spans="1:11">
      <c r="A304" t="s">
        <v>317</v>
      </c>
      <c r="B304" s="14">
        <f>_xlfn.MINIFS('working sheet'!$B$2:$B$3548, 'working sheet'!$D$2:$D$3548, A304)</f>
        <v>45459.457423217595</v>
      </c>
      <c r="C304" s="17">
        <f>_xlfn.MAXIFS('working sheet'!$B$1:$B$3548,'working sheet'!$D$1:$D$3548,'Customer Portfolio'!A304)</f>
        <v>45480.378011215274</v>
      </c>
      <c r="D304">
        <f>COUNTIFS('working sheet'!$D$1:$D$3548,'Customer Portfolio'!A304)</f>
        <v>4</v>
      </c>
      <c r="E304" s="5">
        <f>SUMIFS('working sheet'!$E$2:$E$3548,'working sheet'!$D$2:$D$3548,'Customer Portfolio'!A304)</f>
        <v>145.97999999999999</v>
      </c>
      <c r="F304" s="6">
        <f t="shared" si="8"/>
        <v>36.494999999999997</v>
      </c>
      <c r="G304" t="str">
        <f t="array" ref="G304">IFERROR(INDEX('working sheet'!$F$2:$F$3548, MODE(IF('working sheet'!$D$2:$D$3548=A304, MATCH('working sheet'!$F$2:$F$3548, 'working sheet'!$F$2:$F$3548, 0)))),
         INDEX('working sheet'!$F$2:$F$3548, MATCH(A304, 'working sheet'!$D$2:$D$3548, 0)))</f>
        <v>Hot Chocolate</v>
      </c>
      <c r="H304" s="7">
        <f t="shared" si="9"/>
        <v>21.920587997679831</v>
      </c>
      <c r="I304" s="7">
        <f>MAX('working sheet'!$B$2:$B$3548)-C304</f>
        <v>259.38007483796537</v>
      </c>
      <c r="J304" s="4" t="str">
        <f t="array" ref="J304">IF(AND(I304&lt;=30, D304&gt;=10, E304&gt;=200), "VIP",  IF(AND(I304&lt;=60, D304&gt;=5, E304&gt;=100), "Loyal", IF(AND(I304&lt;=90, D304&gt;=3), "Regular", IF(I304&lt;=30, "Recent", IF(D304&gt;=3, "Occasional", "At Risk")))))</f>
        <v>Occasional</v>
      </c>
      <c r="K304" t="str">
        <f t="array" ref="K304">IF(OR(J304="VIP", J304="Loyal"), "HIGH",IF(OR(J304="Regular", J304="Recent"), "MEDIUM","LOW"))</f>
        <v>LOW</v>
      </c>
    </row>
    <row r="305" spans="1:11">
      <c r="A305" t="s">
        <v>318</v>
      </c>
      <c r="B305" s="14">
        <f>_xlfn.MINIFS('working sheet'!$B$2:$B$3548, 'working sheet'!$D$2:$D$3548, A305)</f>
        <v>45459.626809398149</v>
      </c>
      <c r="C305" s="17">
        <f>_xlfn.MAXIFS('working sheet'!$B$1:$B$3548,'working sheet'!$D$1:$D$3548,'Customer Portfolio'!A305)</f>
        <v>45689.368328819444</v>
      </c>
      <c r="D305">
        <f>COUNTIFS('working sheet'!$D$1:$D$3548,'Customer Portfolio'!A305)</f>
        <v>10</v>
      </c>
      <c r="E305" s="5">
        <f>SUMIFS('working sheet'!$E$2:$E$3548,'working sheet'!$D$2:$D$3548,'Customer Portfolio'!A305)</f>
        <v>295.86000000000007</v>
      </c>
      <c r="F305" s="6">
        <f t="shared" si="8"/>
        <v>29.586000000000006</v>
      </c>
      <c r="G305" t="str">
        <f t="array" ref="G305">IFERROR(INDEX('working sheet'!$F$2:$F$3548, MODE(IF('working sheet'!$D$2:$D$3548=A305, MATCH('working sheet'!$F$2:$F$3548, 'working sheet'!$F$2:$F$3548, 0)))),
         INDEX('working sheet'!$F$2:$F$3548, MATCH(A305, 'working sheet'!$D$2:$D$3548, 0)))</f>
        <v>Americano with Milk</v>
      </c>
      <c r="H305" s="7">
        <f t="shared" si="9"/>
        <v>230.74151942129538</v>
      </c>
      <c r="I305" s="7">
        <f>MAX('working sheet'!$B$2:$B$3548)-C305</f>
        <v>50.389757233795535</v>
      </c>
      <c r="J305" s="4" t="str">
        <f t="array" ref="J305">IF(AND(I305&lt;=30, D305&gt;=10, E305&gt;=200), "VIP",  IF(AND(I305&lt;=60, D305&gt;=5, E305&gt;=100), "Loyal", IF(AND(I305&lt;=90, D305&gt;=3), "Regular", IF(I305&lt;=30, "Recent", IF(D305&gt;=3, "Occasional", "At Risk")))))</f>
        <v>Loyal</v>
      </c>
      <c r="K305" t="str">
        <f t="array" ref="K305">IF(OR(J305="VIP", J305="Loyal"), "HIGH",IF(OR(J305="Regular", J305="Recent"), "MEDIUM","LOW"))</f>
        <v>HIGH</v>
      </c>
    </row>
    <row r="306" spans="1:11">
      <c r="A306" t="s">
        <v>319</v>
      </c>
      <c r="B306" s="14">
        <f>_xlfn.MINIFS('working sheet'!$B$2:$B$3548, 'working sheet'!$D$2:$D$3548, A306)</f>
        <v>45459.655550844909</v>
      </c>
      <c r="C306" s="17">
        <f>_xlfn.MAXIFS('working sheet'!$B$1:$B$3548,'working sheet'!$D$1:$D$3548,'Customer Portfolio'!A306)</f>
        <v>45459.655550844909</v>
      </c>
      <c r="D306">
        <f>COUNTIFS('working sheet'!$D$1:$D$3548,'Customer Portfolio'!A306)</f>
        <v>1</v>
      </c>
      <c r="E306" s="5">
        <f>SUMIFS('working sheet'!$E$2:$E$3548,'working sheet'!$D$2:$D$3548,'Customer Portfolio'!A306)</f>
        <v>37.72</v>
      </c>
      <c r="F306" s="6">
        <f t="shared" si="8"/>
        <v>37.72</v>
      </c>
      <c r="G306" t="str">
        <f t="array" ref="G306">IFERROR(INDEX('working sheet'!$F$2:$F$3548, MODE(IF('working sheet'!$D$2:$D$3548=A306, MATCH('working sheet'!$F$2:$F$3548, 'working sheet'!$F$2:$F$3548, 0)))),
         INDEX('working sheet'!$F$2:$F$3548, MATCH(A306, 'working sheet'!$D$2:$D$3548, 0)))</f>
        <v>Hot Chocolate</v>
      </c>
      <c r="H306" s="7">
        <f t="shared" si="9"/>
        <v>1</v>
      </c>
      <c r="I306" s="7">
        <f>MAX('working sheet'!$B$2:$B$3548)-C306</f>
        <v>280.10253520833066</v>
      </c>
      <c r="J306" s="4" t="str">
        <f t="array" ref="J306">IF(AND(I306&lt;=30, D306&gt;=10, E306&gt;=200), "VIP",  IF(AND(I306&lt;=60, D306&gt;=5, E306&gt;=100), "Loyal", IF(AND(I306&lt;=90, D306&gt;=3), "Regular", IF(I306&lt;=30, "Recent", IF(D306&gt;=3, "Occasional", "At Risk")))))</f>
        <v>At Risk</v>
      </c>
      <c r="K306" t="str">
        <f t="array" ref="K306">IF(OR(J306="VIP", J306="Loyal"), "HIGH",IF(OR(J306="Regular", J306="Recent"), "MEDIUM","LOW"))</f>
        <v>LOW</v>
      </c>
    </row>
    <row r="307" spans="1:11">
      <c r="A307" t="s">
        <v>320</v>
      </c>
      <c r="B307" s="14">
        <f>_xlfn.MINIFS('working sheet'!$B$2:$B$3548, 'working sheet'!$D$2:$D$3548, A307)</f>
        <v>45459.699728252315</v>
      </c>
      <c r="C307" s="17">
        <f>_xlfn.MAXIFS('working sheet'!$B$1:$B$3548,'working sheet'!$D$1:$D$3548,'Customer Portfolio'!A307)</f>
        <v>45459.699728252315</v>
      </c>
      <c r="D307">
        <f>COUNTIFS('working sheet'!$D$1:$D$3548,'Customer Portfolio'!A307)</f>
        <v>1</v>
      </c>
      <c r="E307" s="5">
        <f>SUMIFS('working sheet'!$E$2:$E$3548,'working sheet'!$D$2:$D$3548,'Customer Portfolio'!A307)</f>
        <v>37.72</v>
      </c>
      <c r="F307" s="6">
        <f t="shared" si="8"/>
        <v>37.72</v>
      </c>
      <c r="G307" t="str">
        <f t="array" ref="G307">IFERROR(INDEX('working sheet'!$F$2:$F$3548, MODE(IF('working sheet'!$D$2:$D$3548=A307, MATCH('working sheet'!$F$2:$F$3548, 'working sheet'!$F$2:$F$3548, 0)))),
         INDEX('working sheet'!$F$2:$F$3548, MATCH(A307, 'working sheet'!$D$2:$D$3548, 0)))</f>
        <v>Hot Chocolate</v>
      </c>
      <c r="H307" s="7">
        <f t="shared" si="9"/>
        <v>1</v>
      </c>
      <c r="I307" s="7">
        <f>MAX('working sheet'!$B$2:$B$3548)-C307</f>
        <v>280.05835780092457</v>
      </c>
      <c r="J307" s="4" t="str">
        <f t="array" ref="J307">IF(AND(I307&lt;=30, D307&gt;=10, E307&gt;=200), "VIP",  IF(AND(I307&lt;=60, D307&gt;=5, E307&gt;=100), "Loyal", IF(AND(I307&lt;=90, D307&gt;=3), "Regular", IF(I307&lt;=30, "Recent", IF(D307&gt;=3, "Occasional", "At Risk")))))</f>
        <v>At Risk</v>
      </c>
      <c r="K307" t="str">
        <f t="array" ref="K307">IF(OR(J307="VIP", J307="Loyal"), "HIGH",IF(OR(J307="Regular", J307="Recent"), "MEDIUM","LOW"))</f>
        <v>LOW</v>
      </c>
    </row>
    <row r="308" spans="1:11">
      <c r="A308" t="s">
        <v>321</v>
      </c>
      <c r="B308" s="14">
        <f>_xlfn.MINIFS('working sheet'!$B$2:$B$3548, 'working sheet'!$D$2:$D$3548, A308)</f>
        <v>45460.373194953703</v>
      </c>
      <c r="C308" s="17">
        <f>_xlfn.MAXIFS('working sheet'!$B$1:$B$3548,'working sheet'!$D$1:$D$3548,'Customer Portfolio'!A308)</f>
        <v>45460.373194953703</v>
      </c>
      <c r="D308">
        <f>COUNTIFS('working sheet'!$D$1:$D$3548,'Customer Portfolio'!A308)</f>
        <v>1</v>
      </c>
      <c r="E308" s="5">
        <f>SUMIFS('working sheet'!$E$2:$E$3548,'working sheet'!$D$2:$D$3548,'Customer Portfolio'!A308)</f>
        <v>27.92</v>
      </c>
      <c r="F308" s="6">
        <f t="shared" si="8"/>
        <v>27.92</v>
      </c>
      <c r="G308" t="str">
        <f t="array" ref="G308">IFERROR(INDEX('working sheet'!$F$2:$F$3548, MODE(IF('working sheet'!$D$2:$D$3548=A308, MATCH('working sheet'!$F$2:$F$3548, 'working sheet'!$F$2:$F$3548, 0)))),
         INDEX('working sheet'!$F$2:$F$3548, MATCH(A308, 'working sheet'!$D$2:$D$3548, 0)))</f>
        <v>Americano</v>
      </c>
      <c r="H308" s="7">
        <f t="shared" si="9"/>
        <v>1</v>
      </c>
      <c r="I308" s="7">
        <f>MAX('working sheet'!$B$2:$B$3548)-C308</f>
        <v>279.38489109953662</v>
      </c>
      <c r="J308" s="4" t="str">
        <f t="array" ref="J308">IF(AND(I308&lt;=30, D308&gt;=10, E308&gt;=200), "VIP",  IF(AND(I308&lt;=60, D308&gt;=5, E308&gt;=100), "Loyal", IF(AND(I308&lt;=90, D308&gt;=3), "Regular", IF(I308&lt;=30, "Recent", IF(D308&gt;=3, "Occasional", "At Risk")))))</f>
        <v>At Risk</v>
      </c>
      <c r="K308" t="str">
        <f t="array" ref="K308">IF(OR(J308="VIP", J308="Loyal"), "HIGH",IF(OR(J308="Regular", J308="Recent"), "MEDIUM","LOW"))</f>
        <v>LOW</v>
      </c>
    </row>
    <row r="309" spans="1:11">
      <c r="A309" t="s">
        <v>322</v>
      </c>
      <c r="B309" s="14">
        <f>_xlfn.MINIFS('working sheet'!$B$2:$B$3548, 'working sheet'!$D$2:$D$3548, A309)</f>
        <v>45460.425059479167</v>
      </c>
      <c r="C309" s="17">
        <f>_xlfn.MAXIFS('working sheet'!$B$1:$B$3548,'working sheet'!$D$1:$D$3548,'Customer Portfolio'!A309)</f>
        <v>45460.426129340274</v>
      </c>
      <c r="D309">
        <f>COUNTIFS('working sheet'!$D$1:$D$3548,'Customer Portfolio'!A309)</f>
        <v>2</v>
      </c>
      <c r="E309" s="5">
        <f>SUMIFS('working sheet'!$E$2:$E$3548,'working sheet'!$D$2:$D$3548,'Customer Portfolio'!A309)</f>
        <v>55.84</v>
      </c>
      <c r="F309" s="6">
        <f t="shared" si="8"/>
        <v>27.92</v>
      </c>
      <c r="G309" t="str">
        <f t="array" ref="G309">IFERROR(INDEX('working sheet'!$F$2:$F$3548, MODE(IF('working sheet'!$D$2:$D$3548=A309, MATCH('working sheet'!$F$2:$F$3548, 'working sheet'!$F$2:$F$3548, 0)))),
         INDEX('working sheet'!$F$2:$F$3548, MATCH(A309, 'working sheet'!$D$2:$D$3548, 0)))</f>
        <v>Cortado</v>
      </c>
      <c r="H309" s="7">
        <f t="shared" si="9"/>
        <v>1.0010698611076805</v>
      </c>
      <c r="I309" s="7">
        <f>MAX('working sheet'!$B$2:$B$3548)-C309</f>
        <v>279.33195671296562</v>
      </c>
      <c r="J309" s="4" t="str">
        <f t="array" ref="J309">IF(AND(I309&lt;=30, D309&gt;=10, E309&gt;=200), "VIP",  IF(AND(I309&lt;=60, D309&gt;=5, E309&gt;=100), "Loyal", IF(AND(I309&lt;=90, D309&gt;=3), "Regular", IF(I309&lt;=30, "Recent", IF(D309&gt;=3, "Occasional", "At Risk")))))</f>
        <v>At Risk</v>
      </c>
      <c r="K309" t="str">
        <f t="array" ref="K309">IF(OR(J309="VIP", J309="Loyal"), "HIGH",IF(OR(J309="Regular", J309="Recent"), "MEDIUM","LOW"))</f>
        <v>LOW</v>
      </c>
    </row>
    <row r="310" spans="1:11">
      <c r="A310" t="s">
        <v>323</v>
      </c>
      <c r="B310" s="14">
        <f>_xlfn.MINIFS('working sheet'!$B$2:$B$3548, 'working sheet'!$D$2:$D$3548, A310)</f>
        <v>45460.785643877316</v>
      </c>
      <c r="C310" s="17">
        <f>_xlfn.MAXIFS('working sheet'!$B$1:$B$3548,'working sheet'!$D$1:$D$3548,'Customer Portfolio'!A310)</f>
        <v>45460.785643877316</v>
      </c>
      <c r="D310">
        <f>COUNTIFS('working sheet'!$D$1:$D$3548,'Customer Portfolio'!A310)</f>
        <v>1</v>
      </c>
      <c r="E310" s="5">
        <f>SUMIFS('working sheet'!$E$2:$E$3548,'working sheet'!$D$2:$D$3548,'Customer Portfolio'!A310)</f>
        <v>27.92</v>
      </c>
      <c r="F310" s="6">
        <f t="shared" si="8"/>
        <v>27.92</v>
      </c>
      <c r="G310" t="str">
        <f t="array" ref="G310">IFERROR(INDEX('working sheet'!$F$2:$F$3548, MODE(IF('working sheet'!$D$2:$D$3548=A310, MATCH('working sheet'!$F$2:$F$3548, 'working sheet'!$F$2:$F$3548, 0)))),
         INDEX('working sheet'!$F$2:$F$3548, MATCH(A310, 'working sheet'!$D$2:$D$3548, 0)))</f>
        <v>Americano</v>
      </c>
      <c r="H310" s="7">
        <f t="shared" si="9"/>
        <v>1</v>
      </c>
      <c r="I310" s="7">
        <f>MAX('working sheet'!$B$2:$B$3548)-C310</f>
        <v>278.97244217592379</v>
      </c>
      <c r="J310" s="4" t="str">
        <f t="array" ref="J310">IF(AND(I310&lt;=30, D310&gt;=10, E310&gt;=200), "VIP",  IF(AND(I310&lt;=60, D310&gt;=5, E310&gt;=100), "Loyal", IF(AND(I310&lt;=90, D310&gt;=3), "Regular", IF(I310&lt;=30, "Recent", IF(D310&gt;=3, "Occasional", "At Risk")))))</f>
        <v>At Risk</v>
      </c>
      <c r="K310" t="str">
        <f t="array" ref="K310">IF(OR(J310="VIP", J310="Loyal"), "HIGH",IF(OR(J310="Regular", J310="Recent"), "MEDIUM","LOW"))</f>
        <v>LOW</v>
      </c>
    </row>
    <row r="311" spans="1:11">
      <c r="A311" t="s">
        <v>324</v>
      </c>
      <c r="B311" s="14">
        <f>_xlfn.MINIFS('working sheet'!$B$2:$B$3548, 'working sheet'!$D$2:$D$3548, A311)</f>
        <v>45461.858211770836</v>
      </c>
      <c r="C311" s="17">
        <f>_xlfn.MAXIFS('working sheet'!$B$1:$B$3548,'working sheet'!$D$1:$D$3548,'Customer Portfolio'!A311)</f>
        <v>45461.858211770836</v>
      </c>
      <c r="D311">
        <f>COUNTIFS('working sheet'!$D$1:$D$3548,'Customer Portfolio'!A311)</f>
        <v>1</v>
      </c>
      <c r="E311" s="5">
        <f>SUMIFS('working sheet'!$E$2:$E$3548,'working sheet'!$D$2:$D$3548,'Customer Portfolio'!A311)</f>
        <v>27.92</v>
      </c>
      <c r="F311" s="6">
        <f t="shared" si="8"/>
        <v>27.92</v>
      </c>
      <c r="G311" t="str">
        <f t="array" ref="G311">IFERROR(INDEX('working sheet'!$F$2:$F$3548, MODE(IF('working sheet'!$D$2:$D$3548=A311, MATCH('working sheet'!$F$2:$F$3548, 'working sheet'!$F$2:$F$3548, 0)))),
         INDEX('working sheet'!$F$2:$F$3548, MATCH(A311, 'working sheet'!$D$2:$D$3548, 0)))</f>
        <v>Cortado</v>
      </c>
      <c r="H311" s="7">
        <f t="shared" si="9"/>
        <v>1</v>
      </c>
      <c r="I311" s="7">
        <f>MAX('working sheet'!$B$2:$B$3548)-C311</f>
        <v>277.8998742824042</v>
      </c>
      <c r="J311" s="4" t="str">
        <f t="array" ref="J311">IF(AND(I311&lt;=30, D311&gt;=10, E311&gt;=200), "VIP",  IF(AND(I311&lt;=60, D311&gt;=5, E311&gt;=100), "Loyal", IF(AND(I311&lt;=90, D311&gt;=3), "Regular", IF(I311&lt;=30, "Recent", IF(D311&gt;=3, "Occasional", "At Risk")))))</f>
        <v>At Risk</v>
      </c>
      <c r="K311" t="str">
        <f t="array" ref="K311">IF(OR(J311="VIP", J311="Loyal"), "HIGH",IF(OR(J311="Regular", J311="Recent"), "MEDIUM","LOW"))</f>
        <v>LOW</v>
      </c>
    </row>
    <row r="312" spans="1:11">
      <c r="A312" t="s">
        <v>325</v>
      </c>
      <c r="B312" s="14">
        <f>_xlfn.MINIFS('working sheet'!$B$2:$B$3548, 'working sheet'!$D$2:$D$3548, A312)</f>
        <v>45462.32453510417</v>
      </c>
      <c r="C312" s="17">
        <f>_xlfn.MAXIFS('working sheet'!$B$1:$B$3548,'working sheet'!$D$1:$D$3548,'Customer Portfolio'!A312)</f>
        <v>45513.435268217596</v>
      </c>
      <c r="D312">
        <f>COUNTIFS('working sheet'!$D$1:$D$3548,'Customer Portfolio'!A312)</f>
        <v>6</v>
      </c>
      <c r="E312" s="5">
        <f>SUMIFS('working sheet'!$E$2:$E$3548,'working sheet'!$D$2:$D$3548,'Customer Portfolio'!A312)</f>
        <v>196.92000000000002</v>
      </c>
      <c r="F312" s="6">
        <f t="shared" si="8"/>
        <v>32.82</v>
      </c>
      <c r="G312" t="str">
        <f t="array" ref="G312">IFERROR(INDEX('working sheet'!$F$2:$F$3548, MODE(IF('working sheet'!$D$2:$D$3548=A312, MATCH('working sheet'!$F$2:$F$3548, 'working sheet'!$F$2:$F$3548, 0)))),
         INDEX('working sheet'!$F$2:$F$3548, MATCH(A312, 'working sheet'!$D$2:$D$3548, 0)))</f>
        <v>Americano with Milk</v>
      </c>
      <c r="H312" s="7">
        <f t="shared" si="9"/>
        <v>52.110733113426249</v>
      </c>
      <c r="I312" s="7">
        <f>MAX('working sheet'!$B$2:$B$3548)-C312</f>
        <v>226.32281783564395</v>
      </c>
      <c r="J312" s="4" t="str">
        <f t="array" ref="J312">IF(AND(I312&lt;=30, D312&gt;=10, E312&gt;=200), "VIP",  IF(AND(I312&lt;=60, D312&gt;=5, E312&gt;=100), "Loyal", IF(AND(I312&lt;=90, D312&gt;=3), "Regular", IF(I312&lt;=30, "Recent", IF(D312&gt;=3, "Occasional", "At Risk")))))</f>
        <v>Occasional</v>
      </c>
      <c r="K312" t="str">
        <f t="array" ref="K312">IF(OR(J312="VIP", J312="Loyal"), "HIGH",IF(OR(J312="Regular", J312="Recent"), "MEDIUM","LOW"))</f>
        <v>LOW</v>
      </c>
    </row>
    <row r="313" spans="1:11">
      <c r="A313" t="s">
        <v>326</v>
      </c>
      <c r="B313" s="14">
        <f>_xlfn.MINIFS('working sheet'!$B$2:$B$3548, 'working sheet'!$D$2:$D$3548, A313)</f>
        <v>45462.454172361111</v>
      </c>
      <c r="C313" s="17">
        <f>_xlfn.MAXIFS('working sheet'!$B$1:$B$3548,'working sheet'!$D$1:$D$3548,'Customer Portfolio'!A313)</f>
        <v>45462.454172361111</v>
      </c>
      <c r="D313">
        <f>COUNTIFS('working sheet'!$D$1:$D$3548,'Customer Portfolio'!A313)</f>
        <v>1</v>
      </c>
      <c r="E313" s="5">
        <f>SUMIFS('working sheet'!$E$2:$E$3548,'working sheet'!$D$2:$D$3548,'Customer Portfolio'!A313)</f>
        <v>27.92</v>
      </c>
      <c r="F313" s="6">
        <f t="shared" si="8"/>
        <v>27.92</v>
      </c>
      <c r="G313" t="str">
        <f t="array" ref="G313">IFERROR(INDEX('working sheet'!$F$2:$F$3548, MODE(IF('working sheet'!$D$2:$D$3548=A313, MATCH('working sheet'!$F$2:$F$3548, 'working sheet'!$F$2:$F$3548, 0)))),
         INDEX('working sheet'!$F$2:$F$3548, MATCH(A313, 'working sheet'!$D$2:$D$3548, 0)))</f>
        <v>Americano</v>
      </c>
      <c r="H313" s="7">
        <f t="shared" si="9"/>
        <v>1</v>
      </c>
      <c r="I313" s="7">
        <f>MAX('working sheet'!$B$2:$B$3548)-C313</f>
        <v>277.30391369212884</v>
      </c>
      <c r="J313" s="4" t="str">
        <f t="array" ref="J313">IF(AND(I313&lt;=30, D313&gt;=10, E313&gt;=200), "VIP",  IF(AND(I313&lt;=60, D313&gt;=5, E313&gt;=100), "Loyal", IF(AND(I313&lt;=90, D313&gt;=3), "Regular", IF(I313&lt;=30, "Recent", IF(D313&gt;=3, "Occasional", "At Risk")))))</f>
        <v>At Risk</v>
      </c>
      <c r="K313" t="str">
        <f t="array" ref="K313">IF(OR(J313="VIP", J313="Loyal"), "HIGH",IF(OR(J313="Regular", J313="Recent"), "MEDIUM","LOW"))</f>
        <v>LOW</v>
      </c>
    </row>
    <row r="314" spans="1:11">
      <c r="A314" t="s">
        <v>327</v>
      </c>
      <c r="B314" s="14">
        <f>_xlfn.MINIFS('working sheet'!$B$2:$B$3548, 'working sheet'!$D$2:$D$3548, A314)</f>
        <v>45462.466294062498</v>
      </c>
      <c r="C314" s="17">
        <f>_xlfn.MAXIFS('working sheet'!$B$1:$B$3548,'working sheet'!$D$1:$D$3548,'Customer Portfolio'!A314)</f>
        <v>45582.44784990741</v>
      </c>
      <c r="D314">
        <f>COUNTIFS('working sheet'!$D$1:$D$3548,'Customer Portfolio'!A314)</f>
        <v>3</v>
      </c>
      <c r="E314" s="5">
        <f>SUMIFS('working sheet'!$E$2:$E$3548,'working sheet'!$D$2:$D$3548,'Customer Portfolio'!A314)</f>
        <v>111.19999999999999</v>
      </c>
      <c r="F314" s="6">
        <f t="shared" si="8"/>
        <v>37.066666666666663</v>
      </c>
      <c r="G314" t="str">
        <f t="array" ref="G314">IFERROR(INDEX('working sheet'!$F$2:$F$3548, MODE(IF('working sheet'!$D$2:$D$3548=A314, MATCH('working sheet'!$F$2:$F$3548, 'working sheet'!$F$2:$F$3548, 0)))),
         INDEX('working sheet'!$F$2:$F$3548, MATCH(A314, 'working sheet'!$D$2:$D$3548, 0)))</f>
        <v>Latte</v>
      </c>
      <c r="H314" s="7">
        <f t="shared" si="9"/>
        <v>120.98155584491178</v>
      </c>
      <c r="I314" s="7">
        <f>MAX('working sheet'!$B$2:$B$3548)-C314</f>
        <v>157.31023614582955</v>
      </c>
      <c r="J314" s="4" t="str">
        <f t="array" ref="J314">IF(AND(I314&lt;=30, D314&gt;=10, E314&gt;=200), "VIP",  IF(AND(I314&lt;=60, D314&gt;=5, E314&gt;=100), "Loyal", IF(AND(I314&lt;=90, D314&gt;=3), "Regular", IF(I314&lt;=30, "Recent", IF(D314&gt;=3, "Occasional", "At Risk")))))</f>
        <v>Occasional</v>
      </c>
      <c r="K314" t="str">
        <f t="array" ref="K314">IF(OR(J314="VIP", J314="Loyal"), "HIGH",IF(OR(J314="Regular", J314="Recent"), "MEDIUM","LOW"))</f>
        <v>LOW</v>
      </c>
    </row>
    <row r="315" spans="1:11">
      <c r="A315" t="s">
        <v>328</v>
      </c>
      <c r="B315" s="14">
        <f>_xlfn.MINIFS('working sheet'!$B$2:$B$3548, 'working sheet'!$D$2:$D$3548, A315)</f>
        <v>45463.790996319447</v>
      </c>
      <c r="C315" s="17">
        <f>_xlfn.MAXIFS('working sheet'!$B$1:$B$3548,'working sheet'!$D$1:$D$3548,'Customer Portfolio'!A315)</f>
        <v>45463.791669409722</v>
      </c>
      <c r="D315">
        <f>COUNTIFS('working sheet'!$D$1:$D$3548,'Customer Portfolio'!A315)</f>
        <v>2</v>
      </c>
      <c r="E315" s="5">
        <f>SUMIFS('working sheet'!$E$2:$E$3548,'working sheet'!$D$2:$D$3548,'Customer Portfolio'!A315)</f>
        <v>75.44</v>
      </c>
      <c r="F315" s="6">
        <f t="shared" si="8"/>
        <v>37.72</v>
      </c>
      <c r="G315" t="str">
        <f t="array" ref="G315">IFERROR(INDEX('working sheet'!$F$2:$F$3548, MODE(IF('working sheet'!$D$2:$D$3548=A315, MATCH('working sheet'!$F$2:$F$3548, 'working sheet'!$F$2:$F$3548, 0)))),
         INDEX('working sheet'!$F$2:$F$3548, MATCH(A315, 'working sheet'!$D$2:$D$3548, 0)))</f>
        <v>Latte</v>
      </c>
      <c r="H315" s="7">
        <f t="shared" si="9"/>
        <v>1.000673090275086</v>
      </c>
      <c r="I315" s="7">
        <f>MAX('working sheet'!$B$2:$B$3548)-C315</f>
        <v>275.96641664351773</v>
      </c>
      <c r="J315" s="4" t="str">
        <f t="array" ref="J315">IF(AND(I315&lt;=30, D315&gt;=10, E315&gt;=200), "VIP",  IF(AND(I315&lt;=60, D315&gt;=5, E315&gt;=100), "Loyal", IF(AND(I315&lt;=90, D315&gt;=3), "Regular", IF(I315&lt;=30, "Recent", IF(D315&gt;=3, "Occasional", "At Risk")))))</f>
        <v>At Risk</v>
      </c>
      <c r="K315" t="str">
        <f t="array" ref="K315">IF(OR(J315="VIP", J315="Loyal"), "HIGH",IF(OR(J315="Regular", J315="Recent"), "MEDIUM","LOW"))</f>
        <v>LOW</v>
      </c>
    </row>
    <row r="316" spans="1:11">
      <c r="A316" t="s">
        <v>329</v>
      </c>
      <c r="B316" s="14">
        <f>_xlfn.MINIFS('working sheet'!$B$2:$B$3548, 'working sheet'!$D$2:$D$3548, A316)</f>
        <v>45464.417826192126</v>
      </c>
      <c r="C316" s="17">
        <f>_xlfn.MAXIFS('working sheet'!$B$1:$B$3548,'working sheet'!$D$1:$D$3548,'Customer Portfolio'!A316)</f>
        <v>45464.417826192126</v>
      </c>
      <c r="D316">
        <f>COUNTIFS('working sheet'!$D$1:$D$3548,'Customer Portfolio'!A316)</f>
        <v>1</v>
      </c>
      <c r="E316" s="5">
        <f>SUMIFS('working sheet'!$E$2:$E$3548,'working sheet'!$D$2:$D$3548,'Customer Portfolio'!A316)</f>
        <v>27.92</v>
      </c>
      <c r="F316" s="6">
        <f t="shared" si="8"/>
        <v>27.92</v>
      </c>
      <c r="G316" t="str">
        <f t="array" ref="G316">IFERROR(INDEX('working sheet'!$F$2:$F$3548, MODE(IF('working sheet'!$D$2:$D$3548=A316, MATCH('working sheet'!$F$2:$F$3548, 'working sheet'!$F$2:$F$3548, 0)))),
         INDEX('working sheet'!$F$2:$F$3548, MATCH(A316, 'working sheet'!$D$2:$D$3548, 0)))</f>
        <v>Americano</v>
      </c>
      <c r="H316" s="7">
        <f t="shared" si="9"/>
        <v>1</v>
      </c>
      <c r="I316" s="7">
        <f>MAX('working sheet'!$B$2:$B$3548)-C316</f>
        <v>275.34025986111374</v>
      </c>
      <c r="J316" s="4" t="str">
        <f t="array" ref="J316">IF(AND(I316&lt;=30, D316&gt;=10, E316&gt;=200), "VIP",  IF(AND(I316&lt;=60, D316&gt;=5, E316&gt;=100), "Loyal", IF(AND(I316&lt;=90, D316&gt;=3), "Regular", IF(I316&lt;=30, "Recent", IF(D316&gt;=3, "Occasional", "At Risk")))))</f>
        <v>At Risk</v>
      </c>
      <c r="K316" t="str">
        <f t="array" ref="K316">IF(OR(J316="VIP", J316="Loyal"), "HIGH",IF(OR(J316="Regular", J316="Recent"), "MEDIUM","LOW"))</f>
        <v>LOW</v>
      </c>
    </row>
    <row r="317" spans="1:11">
      <c r="A317" t="s">
        <v>330</v>
      </c>
      <c r="B317" s="14">
        <f>_xlfn.MINIFS('working sheet'!$B$2:$B$3548, 'working sheet'!$D$2:$D$3548, A317)</f>
        <v>45464.75851925926</v>
      </c>
      <c r="C317" s="17">
        <f>_xlfn.MAXIFS('working sheet'!$B$1:$B$3548,'working sheet'!$D$1:$D$3548,'Customer Portfolio'!A317)</f>
        <v>45464.75851925926</v>
      </c>
      <c r="D317">
        <f>COUNTIFS('working sheet'!$D$1:$D$3548,'Customer Portfolio'!A317)</f>
        <v>1</v>
      </c>
      <c r="E317" s="5">
        <f>SUMIFS('working sheet'!$E$2:$E$3548,'working sheet'!$D$2:$D$3548,'Customer Portfolio'!A317)</f>
        <v>23.02</v>
      </c>
      <c r="F317" s="6">
        <f t="shared" si="8"/>
        <v>23.02</v>
      </c>
      <c r="G317" t="str">
        <f t="array" ref="G317">IFERROR(INDEX('working sheet'!$F$2:$F$3548, MODE(IF('working sheet'!$D$2:$D$3548=A317, MATCH('working sheet'!$F$2:$F$3548, 'working sheet'!$F$2:$F$3548, 0)))),
         INDEX('working sheet'!$F$2:$F$3548, MATCH(A317, 'working sheet'!$D$2:$D$3548, 0)))</f>
        <v>Espresso</v>
      </c>
      <c r="H317" s="7">
        <f t="shared" si="9"/>
        <v>1</v>
      </c>
      <c r="I317" s="7">
        <f>MAX('working sheet'!$B$2:$B$3548)-C317</f>
        <v>274.99956679398019</v>
      </c>
      <c r="J317" s="4" t="str">
        <f t="array" ref="J317">IF(AND(I317&lt;=30, D317&gt;=10, E317&gt;=200), "VIP",  IF(AND(I317&lt;=60, D317&gt;=5, E317&gt;=100), "Loyal", IF(AND(I317&lt;=90, D317&gt;=3), "Regular", IF(I317&lt;=30, "Recent", IF(D317&gt;=3, "Occasional", "At Risk")))))</f>
        <v>At Risk</v>
      </c>
      <c r="K317" t="str">
        <f t="array" ref="K317">IF(OR(J317="VIP", J317="Loyal"), "HIGH",IF(OR(J317="Regular", J317="Recent"), "MEDIUM","LOW"))</f>
        <v>LOW</v>
      </c>
    </row>
    <row r="318" spans="1:11">
      <c r="A318" t="s">
        <v>331</v>
      </c>
      <c r="B318" s="14">
        <f>_xlfn.MINIFS('working sheet'!$B$2:$B$3548, 'working sheet'!$D$2:$D$3548, A318)</f>
        <v>45465.53698542824</v>
      </c>
      <c r="C318" s="17">
        <f>_xlfn.MAXIFS('working sheet'!$B$1:$B$3548,'working sheet'!$D$1:$D$3548,'Customer Portfolio'!A318)</f>
        <v>45465.53698542824</v>
      </c>
      <c r="D318">
        <f>COUNTIFS('working sheet'!$D$1:$D$3548,'Customer Portfolio'!A318)</f>
        <v>1</v>
      </c>
      <c r="E318" s="5">
        <f>SUMIFS('working sheet'!$E$2:$E$3548,'working sheet'!$D$2:$D$3548,'Customer Portfolio'!A318)</f>
        <v>32.82</v>
      </c>
      <c r="F318" s="6">
        <f t="shared" si="8"/>
        <v>32.82</v>
      </c>
      <c r="G318" t="str">
        <f t="array" ref="G318">IFERROR(INDEX('working sheet'!$F$2:$F$3548, MODE(IF('working sheet'!$D$2:$D$3548=A318, MATCH('working sheet'!$F$2:$F$3548, 'working sheet'!$F$2:$F$3548, 0)))),
         INDEX('working sheet'!$F$2:$F$3548, MATCH(A318, 'working sheet'!$D$2:$D$3548, 0)))</f>
        <v>Americano with Milk</v>
      </c>
      <c r="H318" s="7">
        <f t="shared" si="9"/>
        <v>1</v>
      </c>
      <c r="I318" s="7">
        <f>MAX('working sheet'!$B$2:$B$3548)-C318</f>
        <v>274.22110062499996</v>
      </c>
      <c r="J318" s="4" t="str">
        <f t="array" ref="J318">IF(AND(I318&lt;=30, D318&gt;=10, E318&gt;=200), "VIP",  IF(AND(I318&lt;=60, D318&gt;=5, E318&gt;=100), "Loyal", IF(AND(I318&lt;=90, D318&gt;=3), "Regular", IF(I318&lt;=30, "Recent", IF(D318&gt;=3, "Occasional", "At Risk")))))</f>
        <v>At Risk</v>
      </c>
      <c r="K318" t="str">
        <f t="array" ref="K318">IF(OR(J318="VIP", J318="Loyal"), "HIGH",IF(OR(J318="Regular", J318="Recent"), "MEDIUM","LOW"))</f>
        <v>LOW</v>
      </c>
    </row>
    <row r="319" spans="1:11">
      <c r="A319" t="s">
        <v>332</v>
      </c>
      <c r="B319" s="14">
        <f>_xlfn.MINIFS('working sheet'!$B$2:$B$3548, 'working sheet'!$D$2:$D$3548, A319)</f>
        <v>45465.923877291665</v>
      </c>
      <c r="C319" s="17">
        <f>_xlfn.MAXIFS('working sheet'!$B$1:$B$3548,'working sheet'!$D$1:$D$3548,'Customer Portfolio'!A319)</f>
        <v>45465.923877291665</v>
      </c>
      <c r="D319">
        <f>COUNTIFS('working sheet'!$D$1:$D$3548,'Customer Portfolio'!A319)</f>
        <v>1</v>
      </c>
      <c r="E319" s="5">
        <f>SUMIFS('working sheet'!$E$2:$E$3548,'working sheet'!$D$2:$D$3548,'Customer Portfolio'!A319)</f>
        <v>37.72</v>
      </c>
      <c r="F319" s="6">
        <f t="shared" si="8"/>
        <v>37.72</v>
      </c>
      <c r="G319" t="str">
        <f t="array" ref="G319">IFERROR(INDEX('working sheet'!$F$2:$F$3548, MODE(IF('working sheet'!$D$2:$D$3548=A319, MATCH('working sheet'!$F$2:$F$3548, 'working sheet'!$F$2:$F$3548, 0)))),
         INDEX('working sheet'!$F$2:$F$3548, MATCH(A319, 'working sheet'!$D$2:$D$3548, 0)))</f>
        <v>Cappuccino</v>
      </c>
      <c r="H319" s="7">
        <f t="shared" si="9"/>
        <v>1</v>
      </c>
      <c r="I319" s="7">
        <f>MAX('working sheet'!$B$2:$B$3548)-C319</f>
        <v>273.8342087615747</v>
      </c>
      <c r="J319" s="4" t="str">
        <f t="array" ref="J319">IF(AND(I319&lt;=30, D319&gt;=10, E319&gt;=200), "VIP",  IF(AND(I319&lt;=60, D319&gt;=5, E319&gt;=100), "Loyal", IF(AND(I319&lt;=90, D319&gt;=3), "Regular", IF(I319&lt;=30, "Recent", IF(D319&gt;=3, "Occasional", "At Risk")))))</f>
        <v>At Risk</v>
      </c>
      <c r="K319" t="str">
        <f t="array" ref="K319">IF(OR(J319="VIP", J319="Loyal"), "HIGH",IF(OR(J319="Regular", J319="Recent"), "MEDIUM","LOW"))</f>
        <v>LOW</v>
      </c>
    </row>
    <row r="320" spans="1:11">
      <c r="A320" t="s">
        <v>333</v>
      </c>
      <c r="B320" s="14">
        <f>_xlfn.MINIFS('working sheet'!$B$2:$B$3548, 'working sheet'!$D$2:$D$3548, A320)</f>
        <v>45466.879710138892</v>
      </c>
      <c r="C320" s="17">
        <f>_xlfn.MAXIFS('working sheet'!$B$1:$B$3548,'working sheet'!$D$1:$D$3548,'Customer Portfolio'!A320)</f>
        <v>45547.884222314817</v>
      </c>
      <c r="D320">
        <f>COUNTIFS('working sheet'!$D$1:$D$3548,'Customer Portfolio'!A320)</f>
        <v>2</v>
      </c>
      <c r="E320" s="5">
        <f>SUMIFS('working sheet'!$E$2:$E$3548,'working sheet'!$D$2:$D$3548,'Customer Portfolio'!A320)</f>
        <v>60.739999999999995</v>
      </c>
      <c r="F320" s="6">
        <f t="shared" si="8"/>
        <v>30.369999999999997</v>
      </c>
      <c r="G320" t="str">
        <f t="array" ref="G320">IFERROR(INDEX('working sheet'!$F$2:$F$3548, MODE(IF('working sheet'!$D$2:$D$3548=A320, MATCH('working sheet'!$F$2:$F$3548, 'working sheet'!$F$2:$F$3548, 0)))),
         INDEX('working sheet'!$F$2:$F$3548, MATCH(A320, 'working sheet'!$D$2:$D$3548, 0)))</f>
        <v>Cappuccino</v>
      </c>
      <c r="H320" s="7">
        <f t="shared" si="9"/>
        <v>82.004512175924901</v>
      </c>
      <c r="I320" s="7">
        <f>MAX('working sheet'!$B$2:$B$3548)-C320</f>
        <v>191.8738637384231</v>
      </c>
      <c r="J320" s="4" t="str">
        <f t="array" ref="J320">IF(AND(I320&lt;=30, D320&gt;=10, E320&gt;=200), "VIP",  IF(AND(I320&lt;=60, D320&gt;=5, E320&gt;=100), "Loyal", IF(AND(I320&lt;=90, D320&gt;=3), "Regular", IF(I320&lt;=30, "Recent", IF(D320&gt;=3, "Occasional", "At Risk")))))</f>
        <v>At Risk</v>
      </c>
      <c r="K320" t="str">
        <f t="array" ref="K320">IF(OR(J320="VIP", J320="Loyal"), "HIGH",IF(OR(J320="Regular", J320="Recent"), "MEDIUM","LOW"))</f>
        <v>LOW</v>
      </c>
    </row>
    <row r="321" spans="1:11">
      <c r="A321" t="s">
        <v>334</v>
      </c>
      <c r="B321" s="14">
        <f>_xlfn.MINIFS('working sheet'!$B$2:$B$3548, 'working sheet'!$D$2:$D$3548, A321)</f>
        <v>45466.89522943287</v>
      </c>
      <c r="C321" s="17">
        <f>_xlfn.MAXIFS('working sheet'!$B$1:$B$3548,'working sheet'!$D$1:$D$3548,'Customer Portfolio'!A321)</f>
        <v>45466.896254340281</v>
      </c>
      <c r="D321">
        <f>COUNTIFS('working sheet'!$D$1:$D$3548,'Customer Portfolio'!A321)</f>
        <v>2</v>
      </c>
      <c r="E321" s="5">
        <f>SUMIFS('working sheet'!$E$2:$E$3548,'working sheet'!$D$2:$D$3548,'Customer Portfolio'!A321)</f>
        <v>75.44</v>
      </c>
      <c r="F321" s="6">
        <f t="shared" si="8"/>
        <v>37.72</v>
      </c>
      <c r="G321" t="str">
        <f t="array" ref="G321">IFERROR(INDEX('working sheet'!$F$2:$F$3548, MODE(IF('working sheet'!$D$2:$D$3548=A321, MATCH('working sheet'!$F$2:$F$3548, 'working sheet'!$F$2:$F$3548, 0)))),
         INDEX('working sheet'!$F$2:$F$3548, MATCH(A321, 'working sheet'!$D$2:$D$3548, 0)))</f>
        <v>Latte</v>
      </c>
      <c r="H321" s="7">
        <f t="shared" si="9"/>
        <v>1.0010249074111925</v>
      </c>
      <c r="I321" s="7">
        <f>MAX('working sheet'!$B$2:$B$3548)-C321</f>
        <v>272.86183171295852</v>
      </c>
      <c r="J321" s="4" t="str">
        <f t="array" ref="J321">IF(AND(I321&lt;=30, D321&gt;=10, E321&gt;=200), "VIP",  IF(AND(I321&lt;=60, D321&gt;=5, E321&gt;=100), "Loyal", IF(AND(I321&lt;=90, D321&gt;=3), "Regular", IF(I321&lt;=30, "Recent", IF(D321&gt;=3, "Occasional", "At Risk")))))</f>
        <v>At Risk</v>
      </c>
      <c r="K321" t="str">
        <f t="array" ref="K321">IF(OR(J321="VIP", J321="Loyal"), "HIGH",IF(OR(J321="Regular", J321="Recent"), "MEDIUM","LOW"))</f>
        <v>LOW</v>
      </c>
    </row>
    <row r="322" spans="1:11">
      <c r="A322" t="s">
        <v>335</v>
      </c>
      <c r="B322" s="14">
        <f>_xlfn.MINIFS('working sheet'!$B$2:$B$3548, 'working sheet'!$D$2:$D$3548, A322)</f>
        <v>45467.626724479167</v>
      </c>
      <c r="C322" s="17">
        <f>_xlfn.MAXIFS('working sheet'!$B$1:$B$3548,'working sheet'!$D$1:$D$3548,'Customer Portfolio'!A322)</f>
        <v>45467.626724479167</v>
      </c>
      <c r="D322">
        <f>COUNTIFS('working sheet'!$D$1:$D$3548,'Customer Portfolio'!A322)</f>
        <v>1</v>
      </c>
      <c r="E322" s="5">
        <f>SUMIFS('working sheet'!$E$2:$E$3548,'working sheet'!$D$2:$D$3548,'Customer Portfolio'!A322)</f>
        <v>37.72</v>
      </c>
      <c r="F322" s="6">
        <f t="shared" si="8"/>
        <v>37.72</v>
      </c>
      <c r="G322" t="str">
        <f t="array" ref="G322">IFERROR(INDEX('working sheet'!$F$2:$F$3548, MODE(IF('working sheet'!$D$2:$D$3548=A322, MATCH('working sheet'!$F$2:$F$3548, 'working sheet'!$F$2:$F$3548, 0)))),
         INDEX('working sheet'!$F$2:$F$3548, MATCH(A322, 'working sheet'!$D$2:$D$3548, 0)))</f>
        <v>Latte</v>
      </c>
      <c r="H322" s="7">
        <f t="shared" si="9"/>
        <v>1</v>
      </c>
      <c r="I322" s="7">
        <f>MAX('working sheet'!$B$2:$B$3548)-C322</f>
        <v>272.1313615740728</v>
      </c>
      <c r="J322" s="4" t="str">
        <f t="array" ref="J322">IF(AND(I322&lt;=30, D322&gt;=10, E322&gt;=200), "VIP",  IF(AND(I322&lt;=60, D322&gt;=5, E322&gt;=100), "Loyal", IF(AND(I322&lt;=90, D322&gt;=3), "Regular", IF(I322&lt;=30, "Recent", IF(D322&gt;=3, "Occasional", "At Risk")))))</f>
        <v>At Risk</v>
      </c>
      <c r="K322" t="str">
        <f t="array" ref="K322">IF(OR(J322="VIP", J322="Loyal"), "HIGH",IF(OR(J322="Regular", J322="Recent"), "MEDIUM","LOW"))</f>
        <v>LOW</v>
      </c>
    </row>
    <row r="323" spans="1:11">
      <c r="A323" t="s">
        <v>336</v>
      </c>
      <c r="B323" s="14">
        <f>_xlfn.MINIFS('working sheet'!$B$2:$B$3548, 'working sheet'!$D$2:$D$3548, A323)</f>
        <v>45468.346808379632</v>
      </c>
      <c r="C323" s="17">
        <f>_xlfn.MAXIFS('working sheet'!$B$1:$B$3548,'working sheet'!$D$1:$D$3548,'Customer Portfolio'!A323)</f>
        <v>45507.704165821757</v>
      </c>
      <c r="D323">
        <f>COUNTIFS('working sheet'!$D$1:$D$3548,'Customer Portfolio'!A323)</f>
        <v>2</v>
      </c>
      <c r="E323" s="5">
        <f>SUMIFS('working sheet'!$E$2:$E$3548,'working sheet'!$D$2:$D$3548,'Customer Portfolio'!A323)</f>
        <v>65.64</v>
      </c>
      <c r="F323" s="6">
        <f t="shared" ref="F323:F386" si="10">E323/D323</f>
        <v>32.82</v>
      </c>
      <c r="G323" t="str">
        <f t="array" ref="G323">IFERROR(INDEX('working sheet'!$F$2:$F$3548, MODE(IF('working sheet'!$D$2:$D$3548=A323, MATCH('working sheet'!$F$2:$F$3548, 'working sheet'!$F$2:$F$3548, 0)))),
         INDEX('working sheet'!$F$2:$F$3548, MATCH(A323, 'working sheet'!$D$2:$D$3548, 0)))</f>
        <v>Latte</v>
      </c>
      <c r="H323" s="7">
        <f t="shared" ref="H323:H386" si="11">C323-B323+1</f>
        <v>40.357357442124339</v>
      </c>
      <c r="I323" s="7">
        <f>MAX('working sheet'!$B$2:$B$3548)-C323</f>
        <v>232.05392023148306</v>
      </c>
      <c r="J323" s="4" t="str">
        <f t="array" ref="J323">IF(AND(I323&lt;=30, D323&gt;=10, E323&gt;=200), "VIP",  IF(AND(I323&lt;=60, D323&gt;=5, E323&gt;=100), "Loyal", IF(AND(I323&lt;=90, D323&gt;=3), "Regular", IF(I323&lt;=30, "Recent", IF(D323&gt;=3, "Occasional", "At Risk")))))</f>
        <v>At Risk</v>
      </c>
      <c r="K323" t="str">
        <f t="array" ref="K323">IF(OR(J323="VIP", J323="Loyal"), "HIGH",IF(OR(J323="Regular", J323="Recent"), "MEDIUM","LOW"))</f>
        <v>LOW</v>
      </c>
    </row>
    <row r="324" spans="1:11">
      <c r="A324" t="s">
        <v>337</v>
      </c>
      <c r="B324" s="14">
        <f>_xlfn.MINIFS('working sheet'!$B$2:$B$3548, 'working sheet'!$D$2:$D$3548, A324)</f>
        <v>45469.397936412039</v>
      </c>
      <c r="C324" s="17">
        <f>_xlfn.MAXIFS('working sheet'!$B$1:$B$3548,'working sheet'!$D$1:$D$3548,'Customer Portfolio'!A324)</f>
        <v>45469.397936412039</v>
      </c>
      <c r="D324">
        <f>COUNTIFS('working sheet'!$D$1:$D$3548,'Customer Portfolio'!A324)</f>
        <v>1</v>
      </c>
      <c r="E324" s="5">
        <f>SUMIFS('working sheet'!$E$2:$E$3548,'working sheet'!$D$2:$D$3548,'Customer Portfolio'!A324)</f>
        <v>37.72</v>
      </c>
      <c r="F324" s="6">
        <f t="shared" si="10"/>
        <v>37.72</v>
      </c>
      <c r="G324" t="str">
        <f t="array" ref="G324">IFERROR(INDEX('working sheet'!$F$2:$F$3548, MODE(IF('working sheet'!$D$2:$D$3548=A324, MATCH('working sheet'!$F$2:$F$3548, 'working sheet'!$F$2:$F$3548, 0)))),
         INDEX('working sheet'!$F$2:$F$3548, MATCH(A324, 'working sheet'!$D$2:$D$3548, 0)))</f>
        <v>Latte</v>
      </c>
      <c r="H324" s="7">
        <f t="shared" si="11"/>
        <v>1</v>
      </c>
      <c r="I324" s="7">
        <f>MAX('working sheet'!$B$2:$B$3548)-C324</f>
        <v>270.36014964120113</v>
      </c>
      <c r="J324" s="4" t="str">
        <f t="array" ref="J324">IF(AND(I324&lt;=30, D324&gt;=10, E324&gt;=200), "VIP",  IF(AND(I324&lt;=60, D324&gt;=5, E324&gt;=100), "Loyal", IF(AND(I324&lt;=90, D324&gt;=3), "Regular", IF(I324&lt;=30, "Recent", IF(D324&gt;=3, "Occasional", "At Risk")))))</f>
        <v>At Risk</v>
      </c>
      <c r="K324" t="str">
        <f t="array" ref="K324">IF(OR(J324="VIP", J324="Loyal"), "HIGH",IF(OR(J324="Regular", J324="Recent"), "MEDIUM","LOW"))</f>
        <v>LOW</v>
      </c>
    </row>
    <row r="325" spans="1:11">
      <c r="A325" t="s">
        <v>338</v>
      </c>
      <c r="B325" s="14">
        <f>_xlfn.MINIFS('working sheet'!$B$2:$B$3548, 'working sheet'!$D$2:$D$3548, A325)</f>
        <v>45469.689229780095</v>
      </c>
      <c r="C325" s="17">
        <f>_xlfn.MAXIFS('working sheet'!$B$1:$B$3548,'working sheet'!$D$1:$D$3548,'Customer Portfolio'!A325)</f>
        <v>45469.689229780095</v>
      </c>
      <c r="D325">
        <f>COUNTIFS('working sheet'!$D$1:$D$3548,'Customer Portfolio'!A325)</f>
        <v>1</v>
      </c>
      <c r="E325" s="5">
        <f>SUMIFS('working sheet'!$E$2:$E$3548,'working sheet'!$D$2:$D$3548,'Customer Portfolio'!A325)</f>
        <v>23.02</v>
      </c>
      <c r="F325" s="6">
        <f t="shared" si="10"/>
        <v>23.02</v>
      </c>
      <c r="G325" t="str">
        <f t="array" ref="G325">IFERROR(INDEX('working sheet'!$F$2:$F$3548, MODE(IF('working sheet'!$D$2:$D$3548=A325, MATCH('working sheet'!$F$2:$F$3548, 'working sheet'!$F$2:$F$3548, 0)))),
         INDEX('working sheet'!$F$2:$F$3548, MATCH(A325, 'working sheet'!$D$2:$D$3548, 0)))</f>
        <v>Espresso</v>
      </c>
      <c r="H325" s="7">
        <f t="shared" si="11"/>
        <v>1</v>
      </c>
      <c r="I325" s="7">
        <f>MAX('working sheet'!$B$2:$B$3548)-C325</f>
        <v>270.06885627314477</v>
      </c>
      <c r="J325" s="4" t="str">
        <f t="array" ref="J325">IF(AND(I325&lt;=30, D325&gt;=10, E325&gt;=200), "VIP",  IF(AND(I325&lt;=60, D325&gt;=5, E325&gt;=100), "Loyal", IF(AND(I325&lt;=90, D325&gt;=3), "Regular", IF(I325&lt;=30, "Recent", IF(D325&gt;=3, "Occasional", "At Risk")))))</f>
        <v>At Risk</v>
      </c>
      <c r="K325" t="str">
        <f t="array" ref="K325">IF(OR(J325="VIP", J325="Loyal"), "HIGH",IF(OR(J325="Regular", J325="Recent"), "MEDIUM","LOW"))</f>
        <v>LOW</v>
      </c>
    </row>
    <row r="326" spans="1:11">
      <c r="A326" t="s">
        <v>339</v>
      </c>
      <c r="B326" s="14">
        <f>_xlfn.MINIFS('working sheet'!$B$2:$B$3548, 'working sheet'!$D$2:$D$3548, A326)</f>
        <v>45469.690296377317</v>
      </c>
      <c r="C326" s="17">
        <f>_xlfn.MAXIFS('working sheet'!$B$1:$B$3548,'working sheet'!$D$1:$D$3548,'Customer Portfolio'!A326)</f>
        <v>45469.690296377317</v>
      </c>
      <c r="D326">
        <f>COUNTIFS('working sheet'!$D$1:$D$3548,'Customer Portfolio'!A326)</f>
        <v>1</v>
      </c>
      <c r="E326" s="5">
        <f>SUMIFS('working sheet'!$E$2:$E$3548,'working sheet'!$D$2:$D$3548,'Customer Portfolio'!A326)</f>
        <v>27.92</v>
      </c>
      <c r="F326" s="6">
        <f t="shared" si="10"/>
        <v>27.92</v>
      </c>
      <c r="G326" t="str">
        <f t="array" ref="G326">IFERROR(INDEX('working sheet'!$F$2:$F$3548, MODE(IF('working sheet'!$D$2:$D$3548=A326, MATCH('working sheet'!$F$2:$F$3548, 'working sheet'!$F$2:$F$3548, 0)))),
         INDEX('working sheet'!$F$2:$F$3548, MATCH(A326, 'working sheet'!$D$2:$D$3548, 0)))</f>
        <v>Americano</v>
      </c>
      <c r="H326" s="7">
        <f t="shared" si="11"/>
        <v>1</v>
      </c>
      <c r="I326" s="7">
        <f>MAX('working sheet'!$B$2:$B$3548)-C326</f>
        <v>270.06778967592254</v>
      </c>
      <c r="J326" s="4" t="str">
        <f t="array" ref="J326">IF(AND(I326&lt;=30, D326&gt;=10, E326&gt;=200), "VIP",  IF(AND(I326&lt;=60, D326&gt;=5, E326&gt;=100), "Loyal", IF(AND(I326&lt;=90, D326&gt;=3), "Regular", IF(I326&lt;=30, "Recent", IF(D326&gt;=3, "Occasional", "At Risk")))))</f>
        <v>At Risk</v>
      </c>
      <c r="K326" t="str">
        <f t="array" ref="K326">IF(OR(J326="VIP", J326="Loyal"), "HIGH",IF(OR(J326="Regular", J326="Recent"), "MEDIUM","LOW"))</f>
        <v>LOW</v>
      </c>
    </row>
    <row r="327" spans="1:11">
      <c r="A327" t="s">
        <v>340</v>
      </c>
      <c r="B327" s="14">
        <f>_xlfn.MINIFS('working sheet'!$B$2:$B$3548, 'working sheet'!$D$2:$D$3548, A327)</f>
        <v>45470.385916354164</v>
      </c>
      <c r="C327" s="17">
        <f>_xlfn.MAXIFS('working sheet'!$B$1:$B$3548,'working sheet'!$D$1:$D$3548,'Customer Portfolio'!A327)</f>
        <v>45470.385916354164</v>
      </c>
      <c r="D327">
        <f>COUNTIFS('working sheet'!$D$1:$D$3548,'Customer Portfolio'!A327)</f>
        <v>1</v>
      </c>
      <c r="E327" s="5">
        <f>SUMIFS('working sheet'!$E$2:$E$3548,'working sheet'!$D$2:$D$3548,'Customer Portfolio'!A327)</f>
        <v>32.82</v>
      </c>
      <c r="F327" s="6">
        <f t="shared" si="10"/>
        <v>32.82</v>
      </c>
      <c r="G327" t="str">
        <f t="array" ref="G327">IFERROR(INDEX('working sheet'!$F$2:$F$3548, MODE(IF('working sheet'!$D$2:$D$3548=A327, MATCH('working sheet'!$F$2:$F$3548, 'working sheet'!$F$2:$F$3548, 0)))),
         INDEX('working sheet'!$F$2:$F$3548, MATCH(A327, 'working sheet'!$D$2:$D$3548, 0)))</f>
        <v>Americano with Milk</v>
      </c>
      <c r="H327" s="7">
        <f t="shared" si="11"/>
        <v>1</v>
      </c>
      <c r="I327" s="7">
        <f>MAX('working sheet'!$B$2:$B$3548)-C327</f>
        <v>269.37216969907604</v>
      </c>
      <c r="J327" s="4" t="str">
        <f t="array" ref="J327">IF(AND(I327&lt;=30, D327&gt;=10, E327&gt;=200), "VIP",  IF(AND(I327&lt;=60, D327&gt;=5, E327&gt;=100), "Loyal", IF(AND(I327&lt;=90, D327&gt;=3), "Regular", IF(I327&lt;=30, "Recent", IF(D327&gt;=3, "Occasional", "At Risk")))))</f>
        <v>At Risk</v>
      </c>
      <c r="K327" t="str">
        <f t="array" ref="K327">IF(OR(J327="VIP", J327="Loyal"), "HIGH",IF(OR(J327="Regular", J327="Recent"), "MEDIUM","LOW"))</f>
        <v>LOW</v>
      </c>
    </row>
    <row r="328" spans="1:11">
      <c r="A328" t="s">
        <v>341</v>
      </c>
      <c r="B328" s="14">
        <f>_xlfn.MINIFS('working sheet'!$B$2:$B$3548, 'working sheet'!$D$2:$D$3548, A328)</f>
        <v>45470.674861111111</v>
      </c>
      <c r="C328" s="17">
        <f>_xlfn.MAXIFS('working sheet'!$B$1:$B$3548,'working sheet'!$D$1:$D$3548,'Customer Portfolio'!A328)</f>
        <v>45470.674861111111</v>
      </c>
      <c r="D328">
        <f>COUNTIFS('working sheet'!$D$1:$D$3548,'Customer Portfolio'!A328)</f>
        <v>1</v>
      </c>
      <c r="E328" s="5">
        <f>SUMIFS('working sheet'!$E$2:$E$3548,'working sheet'!$D$2:$D$3548,'Customer Portfolio'!A328)</f>
        <v>27.92</v>
      </c>
      <c r="F328" s="6">
        <f t="shared" si="10"/>
        <v>27.92</v>
      </c>
      <c r="G328" t="str">
        <f t="array" ref="G328">IFERROR(INDEX('working sheet'!$F$2:$F$3548, MODE(IF('working sheet'!$D$2:$D$3548=A328, MATCH('working sheet'!$F$2:$F$3548, 'working sheet'!$F$2:$F$3548, 0)))),
         INDEX('working sheet'!$F$2:$F$3548, MATCH(A328, 'working sheet'!$D$2:$D$3548, 0)))</f>
        <v>Cortado</v>
      </c>
      <c r="H328" s="7">
        <f t="shared" si="11"/>
        <v>1</v>
      </c>
      <c r="I328" s="7">
        <f>MAX('working sheet'!$B$2:$B$3548)-C328</f>
        <v>269.08322494212916</v>
      </c>
      <c r="J328" s="4" t="str">
        <f t="array" ref="J328">IF(AND(I328&lt;=30, D328&gt;=10, E328&gt;=200), "VIP",  IF(AND(I328&lt;=60, D328&gt;=5, E328&gt;=100), "Loyal", IF(AND(I328&lt;=90, D328&gt;=3), "Regular", IF(I328&lt;=30, "Recent", IF(D328&gt;=3, "Occasional", "At Risk")))))</f>
        <v>At Risk</v>
      </c>
      <c r="K328" t="str">
        <f t="array" ref="K328">IF(OR(J328="VIP", J328="Loyal"), "HIGH",IF(OR(J328="Regular", J328="Recent"), "MEDIUM","LOW"))</f>
        <v>LOW</v>
      </c>
    </row>
    <row r="329" spans="1:11">
      <c r="A329" t="s">
        <v>342</v>
      </c>
      <c r="B329" s="14">
        <f>_xlfn.MINIFS('working sheet'!$B$2:$B$3548, 'working sheet'!$D$2:$D$3548, A329)</f>
        <v>45470.905594583332</v>
      </c>
      <c r="C329" s="17">
        <f>_xlfn.MAXIFS('working sheet'!$B$1:$B$3548,'working sheet'!$D$1:$D$3548,'Customer Portfolio'!A329)</f>
        <v>45511.887638773151</v>
      </c>
      <c r="D329">
        <f>COUNTIFS('working sheet'!$D$1:$D$3548,'Customer Portfolio'!A329)</f>
        <v>5</v>
      </c>
      <c r="E329" s="5">
        <f>SUMIFS('working sheet'!$E$2:$E$3548,'working sheet'!$D$2:$D$3548,'Customer Portfolio'!A329)</f>
        <v>154.29999999999998</v>
      </c>
      <c r="F329" s="6">
        <f t="shared" si="10"/>
        <v>30.859999999999996</v>
      </c>
      <c r="G329" t="str">
        <f t="array" ref="G329">IFERROR(INDEX('working sheet'!$F$2:$F$3548, MODE(IF('working sheet'!$D$2:$D$3548=A329, MATCH('working sheet'!$F$2:$F$3548, 'working sheet'!$F$2:$F$3548, 0)))),
         INDEX('working sheet'!$F$2:$F$3548, MATCH(A329, 'working sheet'!$D$2:$D$3548, 0)))</f>
        <v>Americano with Milk</v>
      </c>
      <c r="H329" s="7">
        <f t="shared" si="11"/>
        <v>41.982044189819135</v>
      </c>
      <c r="I329" s="7">
        <f>MAX('working sheet'!$B$2:$B$3548)-C329</f>
        <v>227.87044728008914</v>
      </c>
      <c r="J329" s="4" t="str">
        <f t="array" ref="J329">IF(AND(I329&lt;=30, D329&gt;=10, E329&gt;=200), "VIP",  IF(AND(I329&lt;=60, D329&gt;=5, E329&gt;=100), "Loyal", IF(AND(I329&lt;=90, D329&gt;=3), "Regular", IF(I329&lt;=30, "Recent", IF(D329&gt;=3, "Occasional", "At Risk")))))</f>
        <v>Occasional</v>
      </c>
      <c r="K329" t="str">
        <f t="array" ref="K329">IF(OR(J329="VIP", J329="Loyal"), "HIGH",IF(OR(J329="Regular", J329="Recent"), "MEDIUM","LOW"))</f>
        <v>LOW</v>
      </c>
    </row>
    <row r="330" spans="1:11">
      <c r="A330" t="s">
        <v>343</v>
      </c>
      <c r="B330" s="14">
        <f>_xlfn.MINIFS('working sheet'!$B$2:$B$3548, 'working sheet'!$D$2:$D$3548, A330)</f>
        <v>45470.910088159719</v>
      </c>
      <c r="C330" s="17">
        <f>_xlfn.MAXIFS('working sheet'!$B$1:$B$3548,'working sheet'!$D$1:$D$3548,'Customer Portfolio'!A330)</f>
        <v>45666.923850659725</v>
      </c>
      <c r="D330">
        <f>COUNTIFS('working sheet'!$D$1:$D$3548,'Customer Portfolio'!A330)</f>
        <v>4</v>
      </c>
      <c r="E330" s="5">
        <f>SUMIFS('working sheet'!$E$2:$E$3548,'working sheet'!$D$2:$D$3548,'Customer Portfolio'!A330)</f>
        <v>137.16</v>
      </c>
      <c r="F330" s="6">
        <f t="shared" si="10"/>
        <v>34.29</v>
      </c>
      <c r="G330" t="str">
        <f t="array" ref="G330">IFERROR(INDEX('working sheet'!$F$2:$F$3548, MODE(IF('working sheet'!$D$2:$D$3548=A330, MATCH('working sheet'!$F$2:$F$3548, 'working sheet'!$F$2:$F$3548, 0)))),
         INDEX('working sheet'!$F$2:$F$3548, MATCH(A330, 'working sheet'!$D$2:$D$3548, 0)))</f>
        <v>Americano with Milk</v>
      </c>
      <c r="H330" s="7">
        <f t="shared" si="11"/>
        <v>197.01376250000612</v>
      </c>
      <c r="I330" s="7">
        <f>MAX('working sheet'!$B$2:$B$3548)-C330</f>
        <v>72.834235393514973</v>
      </c>
      <c r="J330" s="4" t="str">
        <f t="array" ref="J330">IF(AND(I330&lt;=30, D330&gt;=10, E330&gt;=200), "VIP",  IF(AND(I330&lt;=60, D330&gt;=5, E330&gt;=100), "Loyal", IF(AND(I330&lt;=90, D330&gt;=3), "Regular", IF(I330&lt;=30, "Recent", IF(D330&gt;=3, "Occasional", "At Risk")))))</f>
        <v>Regular</v>
      </c>
      <c r="K330" t="str">
        <f t="array" ref="K330">IF(OR(J330="VIP", J330="Loyal"), "HIGH",IF(OR(J330="Regular", J330="Recent"), "MEDIUM","LOW"))</f>
        <v>MEDIUM</v>
      </c>
    </row>
    <row r="331" spans="1:11">
      <c r="A331" t="s">
        <v>344</v>
      </c>
      <c r="B331" s="14">
        <f>_xlfn.MINIFS('working sheet'!$B$2:$B$3548, 'working sheet'!$D$2:$D$3548, A331)</f>
        <v>45471.910363136572</v>
      </c>
      <c r="C331" s="17">
        <f>_xlfn.MAXIFS('working sheet'!$B$1:$B$3548,'working sheet'!$D$1:$D$3548,'Customer Portfolio'!A331)</f>
        <v>45471.910363136572</v>
      </c>
      <c r="D331">
        <f>COUNTIFS('working sheet'!$D$1:$D$3548,'Customer Portfolio'!A331)</f>
        <v>1</v>
      </c>
      <c r="E331" s="5">
        <f>SUMIFS('working sheet'!$E$2:$E$3548,'working sheet'!$D$2:$D$3548,'Customer Portfolio'!A331)</f>
        <v>32.82</v>
      </c>
      <c r="F331" s="6">
        <f t="shared" si="10"/>
        <v>32.82</v>
      </c>
      <c r="G331" t="str">
        <f t="array" ref="G331">IFERROR(INDEX('working sheet'!$F$2:$F$3548, MODE(IF('working sheet'!$D$2:$D$3548=A331, MATCH('working sheet'!$F$2:$F$3548, 'working sheet'!$F$2:$F$3548, 0)))),
         INDEX('working sheet'!$F$2:$F$3548, MATCH(A331, 'working sheet'!$D$2:$D$3548, 0)))</f>
        <v>Americano with Milk</v>
      </c>
      <c r="H331" s="7">
        <f t="shared" si="11"/>
        <v>1</v>
      </c>
      <c r="I331" s="7">
        <f>MAX('working sheet'!$B$2:$B$3548)-C331</f>
        <v>267.84772291666741</v>
      </c>
      <c r="J331" s="4" t="str">
        <f t="array" ref="J331">IF(AND(I331&lt;=30, D331&gt;=10, E331&gt;=200), "VIP",  IF(AND(I331&lt;=60, D331&gt;=5, E331&gt;=100), "Loyal", IF(AND(I331&lt;=90, D331&gt;=3), "Regular", IF(I331&lt;=30, "Recent", IF(D331&gt;=3, "Occasional", "At Risk")))))</f>
        <v>At Risk</v>
      </c>
      <c r="K331" t="str">
        <f t="array" ref="K331">IF(OR(J331="VIP", J331="Loyal"), "HIGH",IF(OR(J331="Regular", J331="Recent"), "MEDIUM","LOW"))</f>
        <v>LOW</v>
      </c>
    </row>
    <row r="332" spans="1:11">
      <c r="A332" t="s">
        <v>345</v>
      </c>
      <c r="B332" s="14">
        <f>_xlfn.MINIFS('working sheet'!$B$2:$B$3548, 'working sheet'!$D$2:$D$3548, A332)</f>
        <v>45471.911132719906</v>
      </c>
      <c r="C332" s="17">
        <f>_xlfn.MAXIFS('working sheet'!$B$1:$B$3548,'working sheet'!$D$1:$D$3548,'Customer Portfolio'!A332)</f>
        <v>45471.911132719906</v>
      </c>
      <c r="D332">
        <f>COUNTIFS('working sheet'!$D$1:$D$3548,'Customer Portfolio'!A332)</f>
        <v>1</v>
      </c>
      <c r="E332" s="5">
        <f>SUMIFS('working sheet'!$E$2:$E$3548,'working sheet'!$D$2:$D$3548,'Customer Portfolio'!A332)</f>
        <v>37.72</v>
      </c>
      <c r="F332" s="6">
        <f t="shared" si="10"/>
        <v>37.72</v>
      </c>
      <c r="G332" t="str">
        <f t="array" ref="G332">IFERROR(INDEX('working sheet'!$F$2:$F$3548, MODE(IF('working sheet'!$D$2:$D$3548=A332, MATCH('working sheet'!$F$2:$F$3548, 'working sheet'!$F$2:$F$3548, 0)))),
         INDEX('working sheet'!$F$2:$F$3548, MATCH(A332, 'working sheet'!$D$2:$D$3548, 0)))</f>
        <v>Latte</v>
      </c>
      <c r="H332" s="7">
        <f t="shared" si="11"/>
        <v>1</v>
      </c>
      <c r="I332" s="7">
        <f>MAX('working sheet'!$B$2:$B$3548)-C332</f>
        <v>267.84695333333366</v>
      </c>
      <c r="J332" s="4" t="str">
        <f t="array" ref="J332">IF(AND(I332&lt;=30, D332&gt;=10, E332&gt;=200), "VIP",  IF(AND(I332&lt;=60, D332&gt;=5, E332&gt;=100), "Loyal", IF(AND(I332&lt;=90, D332&gt;=3), "Regular", IF(I332&lt;=30, "Recent", IF(D332&gt;=3, "Occasional", "At Risk")))))</f>
        <v>At Risk</v>
      </c>
      <c r="K332" t="str">
        <f t="array" ref="K332">IF(OR(J332="VIP", J332="Loyal"), "HIGH",IF(OR(J332="Regular", J332="Recent"), "MEDIUM","LOW"))</f>
        <v>LOW</v>
      </c>
    </row>
    <row r="333" spans="1:11">
      <c r="A333" t="s">
        <v>346</v>
      </c>
      <c r="B333" s="14">
        <f>_xlfn.MINIFS('working sheet'!$B$2:$B$3548, 'working sheet'!$D$2:$D$3548, A333)</f>
        <v>45471.936342314817</v>
      </c>
      <c r="C333" s="17">
        <f>_xlfn.MAXIFS('working sheet'!$B$1:$B$3548,'working sheet'!$D$1:$D$3548,'Customer Portfolio'!A333)</f>
        <v>45471.936342314817</v>
      </c>
      <c r="D333">
        <f>COUNTIFS('working sheet'!$D$1:$D$3548,'Customer Portfolio'!A333)</f>
        <v>1</v>
      </c>
      <c r="E333" s="5">
        <f>SUMIFS('working sheet'!$E$2:$E$3548,'working sheet'!$D$2:$D$3548,'Customer Portfolio'!A333)</f>
        <v>37.72</v>
      </c>
      <c r="F333" s="6">
        <f t="shared" si="10"/>
        <v>37.72</v>
      </c>
      <c r="G333" t="str">
        <f t="array" ref="G333">IFERROR(INDEX('working sheet'!$F$2:$F$3548, MODE(IF('working sheet'!$D$2:$D$3548=A333, MATCH('working sheet'!$F$2:$F$3548, 'working sheet'!$F$2:$F$3548, 0)))),
         INDEX('working sheet'!$F$2:$F$3548, MATCH(A333, 'working sheet'!$D$2:$D$3548, 0)))</f>
        <v>Cappuccino</v>
      </c>
      <c r="H333" s="7">
        <f t="shared" si="11"/>
        <v>1</v>
      </c>
      <c r="I333" s="7">
        <f>MAX('working sheet'!$B$2:$B$3548)-C333</f>
        <v>267.82174373842281</v>
      </c>
      <c r="J333" s="4" t="str">
        <f t="array" ref="J333">IF(AND(I333&lt;=30, D333&gt;=10, E333&gt;=200), "VIP",  IF(AND(I333&lt;=60, D333&gt;=5, E333&gt;=100), "Loyal", IF(AND(I333&lt;=90, D333&gt;=3), "Regular", IF(I333&lt;=30, "Recent", IF(D333&gt;=3, "Occasional", "At Risk")))))</f>
        <v>At Risk</v>
      </c>
      <c r="K333" t="str">
        <f t="array" ref="K333">IF(OR(J333="VIP", J333="Loyal"), "HIGH",IF(OR(J333="Regular", J333="Recent"), "MEDIUM","LOW"))</f>
        <v>LOW</v>
      </c>
    </row>
    <row r="334" spans="1:11">
      <c r="A334" t="s">
        <v>347</v>
      </c>
      <c r="B334" s="14">
        <f>_xlfn.MINIFS('working sheet'!$B$2:$B$3548, 'working sheet'!$D$2:$D$3548, A334)</f>
        <v>45472.486337754628</v>
      </c>
      <c r="C334" s="17">
        <f>_xlfn.MAXIFS('working sheet'!$B$1:$B$3548,'working sheet'!$D$1:$D$3548,'Customer Portfolio'!A334)</f>
        <v>45688.394302523149</v>
      </c>
      <c r="D334">
        <f>COUNTIFS('working sheet'!$D$1:$D$3548,'Customer Portfolio'!A334)</f>
        <v>22</v>
      </c>
      <c r="E334" s="5">
        <f>SUMIFS('working sheet'!$E$2:$E$3548,'working sheet'!$D$2:$D$3548,'Customer Portfolio'!A334)</f>
        <v>677.94000000000017</v>
      </c>
      <c r="F334" s="6">
        <f t="shared" si="10"/>
        <v>30.815454545454553</v>
      </c>
      <c r="G334" t="str">
        <f t="array" ref="G334">IFERROR(INDEX('working sheet'!$F$2:$F$3548, MODE(IF('working sheet'!$D$2:$D$3548=A334, MATCH('working sheet'!$F$2:$F$3548, 'working sheet'!$F$2:$F$3548, 0)))),
         INDEX('working sheet'!$F$2:$F$3548, MATCH(A334, 'working sheet'!$D$2:$D$3548, 0)))</f>
        <v>Americano with Milk</v>
      </c>
      <c r="H334" s="7">
        <f t="shared" si="11"/>
        <v>216.9079647685212</v>
      </c>
      <c r="I334" s="7">
        <f>MAX('working sheet'!$B$2:$B$3548)-C334</f>
        <v>51.363783530090586</v>
      </c>
      <c r="J334" s="4" t="str">
        <f t="array" ref="J334">IF(AND(I334&lt;=30, D334&gt;=10, E334&gt;=200), "VIP",  IF(AND(I334&lt;=60, D334&gt;=5, E334&gt;=100), "Loyal", IF(AND(I334&lt;=90, D334&gt;=3), "Regular", IF(I334&lt;=30, "Recent", IF(D334&gt;=3, "Occasional", "At Risk")))))</f>
        <v>Loyal</v>
      </c>
      <c r="K334" t="str">
        <f t="array" ref="K334">IF(OR(J334="VIP", J334="Loyal"), "HIGH",IF(OR(J334="Regular", J334="Recent"), "MEDIUM","LOW"))</f>
        <v>HIGH</v>
      </c>
    </row>
    <row r="335" spans="1:11">
      <c r="A335" t="s">
        <v>348</v>
      </c>
      <c r="B335" s="14">
        <f>_xlfn.MINIFS('working sheet'!$B$2:$B$3548, 'working sheet'!$D$2:$D$3548, A335)</f>
        <v>45472.521115254633</v>
      </c>
      <c r="C335" s="17">
        <f>_xlfn.MAXIFS('working sheet'!$B$1:$B$3548,'working sheet'!$D$1:$D$3548,'Customer Portfolio'!A335)</f>
        <v>45591.370133750002</v>
      </c>
      <c r="D335">
        <f>COUNTIFS('working sheet'!$D$1:$D$3548,'Customer Portfolio'!A335)</f>
        <v>3</v>
      </c>
      <c r="E335" s="5">
        <f>SUMIFS('working sheet'!$E$2:$E$3548,'working sheet'!$D$2:$D$3548,'Customer Portfolio'!A335)</f>
        <v>111.19999999999999</v>
      </c>
      <c r="F335" s="6">
        <f t="shared" si="10"/>
        <v>37.066666666666663</v>
      </c>
      <c r="G335" t="str">
        <f t="array" ref="G335">IFERROR(INDEX('working sheet'!$F$2:$F$3548, MODE(IF('working sheet'!$D$2:$D$3548=A335, MATCH('working sheet'!$F$2:$F$3548, 'working sheet'!$F$2:$F$3548, 0)))),
         INDEX('working sheet'!$F$2:$F$3548, MATCH(A335, 'working sheet'!$D$2:$D$3548, 0)))</f>
        <v>Cappuccino</v>
      </c>
      <c r="H335" s="7">
        <f t="shared" si="11"/>
        <v>119.84901849536982</v>
      </c>
      <c r="I335" s="7">
        <f>MAX('working sheet'!$B$2:$B$3548)-C335</f>
        <v>148.3879523032374</v>
      </c>
      <c r="J335" s="4" t="str">
        <f t="array" ref="J335">IF(AND(I335&lt;=30, D335&gt;=10, E335&gt;=200), "VIP",  IF(AND(I335&lt;=60, D335&gt;=5, E335&gt;=100), "Loyal", IF(AND(I335&lt;=90, D335&gt;=3), "Regular", IF(I335&lt;=30, "Recent", IF(D335&gt;=3, "Occasional", "At Risk")))))</f>
        <v>Occasional</v>
      </c>
      <c r="K335" t="str">
        <f t="array" ref="K335">IF(OR(J335="VIP", J335="Loyal"), "HIGH",IF(OR(J335="Regular", J335="Recent"), "MEDIUM","LOW"))</f>
        <v>LOW</v>
      </c>
    </row>
    <row r="336" spans="1:11">
      <c r="A336" t="s">
        <v>349</v>
      </c>
      <c r="B336" s="14">
        <f>_xlfn.MINIFS('working sheet'!$B$2:$B$3548, 'working sheet'!$D$2:$D$3548, A336)</f>
        <v>45472.724809988424</v>
      </c>
      <c r="C336" s="17">
        <f>_xlfn.MAXIFS('working sheet'!$B$1:$B$3548,'working sheet'!$D$1:$D$3548,'Customer Portfolio'!A336)</f>
        <v>45472.725606215281</v>
      </c>
      <c r="D336">
        <f>COUNTIFS('working sheet'!$D$1:$D$3548,'Customer Portfolio'!A336)</f>
        <v>2</v>
      </c>
      <c r="E336" s="5">
        <f>SUMIFS('working sheet'!$E$2:$E$3548,'working sheet'!$D$2:$D$3548,'Customer Portfolio'!A336)</f>
        <v>75.44</v>
      </c>
      <c r="F336" s="6">
        <f t="shared" si="10"/>
        <v>37.72</v>
      </c>
      <c r="G336" t="str">
        <f t="array" ref="G336">IFERROR(INDEX('working sheet'!$F$2:$F$3548, MODE(IF('working sheet'!$D$2:$D$3548=A336, MATCH('working sheet'!$F$2:$F$3548, 'working sheet'!$F$2:$F$3548, 0)))),
         INDEX('working sheet'!$F$2:$F$3548, MATCH(A336, 'working sheet'!$D$2:$D$3548, 0)))</f>
        <v>Cappuccino</v>
      </c>
      <c r="H336" s="7">
        <f t="shared" si="11"/>
        <v>1.0007962268573465</v>
      </c>
      <c r="I336" s="7">
        <f>MAX('working sheet'!$B$2:$B$3548)-C336</f>
        <v>267.03247983795882</v>
      </c>
      <c r="J336" s="4" t="str">
        <f t="array" ref="J336">IF(AND(I336&lt;=30, D336&gt;=10, E336&gt;=200), "VIP",  IF(AND(I336&lt;=60, D336&gt;=5, E336&gt;=100), "Loyal", IF(AND(I336&lt;=90, D336&gt;=3), "Regular", IF(I336&lt;=30, "Recent", IF(D336&gt;=3, "Occasional", "At Risk")))))</f>
        <v>At Risk</v>
      </c>
      <c r="K336" t="str">
        <f t="array" ref="K336">IF(OR(J336="VIP", J336="Loyal"), "HIGH",IF(OR(J336="Regular", J336="Recent"), "MEDIUM","LOW"))</f>
        <v>LOW</v>
      </c>
    </row>
    <row r="337" spans="1:11">
      <c r="A337" t="s">
        <v>350</v>
      </c>
      <c r="B337" s="14">
        <f>_xlfn.MINIFS('working sheet'!$B$2:$B$3548, 'working sheet'!$D$2:$D$3548, A337)</f>
        <v>45473.43622502315</v>
      </c>
      <c r="C337" s="17">
        <f>_xlfn.MAXIFS('working sheet'!$B$1:$B$3548,'working sheet'!$D$1:$D$3548,'Customer Portfolio'!A337)</f>
        <v>45473.43622502315</v>
      </c>
      <c r="D337">
        <f>COUNTIFS('working sheet'!$D$1:$D$3548,'Customer Portfolio'!A337)</f>
        <v>1</v>
      </c>
      <c r="E337" s="5">
        <f>SUMIFS('working sheet'!$E$2:$E$3548,'working sheet'!$D$2:$D$3548,'Customer Portfolio'!A337)</f>
        <v>37.72</v>
      </c>
      <c r="F337" s="6">
        <f t="shared" si="10"/>
        <v>37.72</v>
      </c>
      <c r="G337" t="str">
        <f t="array" ref="G337">IFERROR(INDEX('working sheet'!$F$2:$F$3548, MODE(IF('working sheet'!$D$2:$D$3548=A337, MATCH('working sheet'!$F$2:$F$3548, 'working sheet'!$F$2:$F$3548, 0)))),
         INDEX('working sheet'!$F$2:$F$3548, MATCH(A337, 'working sheet'!$D$2:$D$3548, 0)))</f>
        <v>Latte</v>
      </c>
      <c r="H337" s="7">
        <f t="shared" si="11"/>
        <v>1</v>
      </c>
      <c r="I337" s="7">
        <f>MAX('working sheet'!$B$2:$B$3548)-C337</f>
        <v>266.32186103009008</v>
      </c>
      <c r="J337" s="4" t="str">
        <f t="array" ref="J337">IF(AND(I337&lt;=30, D337&gt;=10, E337&gt;=200), "VIP",  IF(AND(I337&lt;=60, D337&gt;=5, E337&gt;=100), "Loyal", IF(AND(I337&lt;=90, D337&gt;=3), "Regular", IF(I337&lt;=30, "Recent", IF(D337&gt;=3, "Occasional", "At Risk")))))</f>
        <v>At Risk</v>
      </c>
      <c r="K337" t="str">
        <f t="array" ref="K337">IF(OR(J337="VIP", J337="Loyal"), "HIGH",IF(OR(J337="Regular", J337="Recent"), "MEDIUM","LOW"))</f>
        <v>LOW</v>
      </c>
    </row>
    <row r="338" spans="1:11">
      <c r="A338" t="s">
        <v>351</v>
      </c>
      <c r="B338" s="14">
        <f>_xlfn.MINIFS('working sheet'!$B$2:$B$3548, 'working sheet'!$D$2:$D$3548, A338)</f>
        <v>45473.545724768519</v>
      </c>
      <c r="C338" s="17">
        <f>_xlfn.MAXIFS('working sheet'!$B$1:$B$3548,'working sheet'!$D$1:$D$3548,'Customer Portfolio'!A338)</f>
        <v>45473.545724768519</v>
      </c>
      <c r="D338">
        <f>COUNTIFS('working sheet'!$D$1:$D$3548,'Customer Portfolio'!A338)</f>
        <v>1</v>
      </c>
      <c r="E338" s="5">
        <f>SUMIFS('working sheet'!$E$2:$E$3548,'working sheet'!$D$2:$D$3548,'Customer Portfolio'!A338)</f>
        <v>23.02</v>
      </c>
      <c r="F338" s="6">
        <f t="shared" si="10"/>
        <v>23.02</v>
      </c>
      <c r="G338" t="str">
        <f t="array" ref="G338">IFERROR(INDEX('working sheet'!$F$2:$F$3548, MODE(IF('working sheet'!$D$2:$D$3548=A338, MATCH('working sheet'!$F$2:$F$3548, 'working sheet'!$F$2:$F$3548, 0)))),
         INDEX('working sheet'!$F$2:$F$3548, MATCH(A338, 'working sheet'!$D$2:$D$3548, 0)))</f>
        <v>Espresso</v>
      </c>
      <c r="H338" s="7">
        <f t="shared" si="11"/>
        <v>1</v>
      </c>
      <c r="I338" s="7">
        <f>MAX('working sheet'!$B$2:$B$3548)-C338</f>
        <v>266.21236128472083</v>
      </c>
      <c r="J338" s="4" t="str">
        <f t="array" ref="J338">IF(AND(I338&lt;=30, D338&gt;=10, E338&gt;=200), "VIP",  IF(AND(I338&lt;=60, D338&gt;=5, E338&gt;=100), "Loyal", IF(AND(I338&lt;=90, D338&gt;=3), "Regular", IF(I338&lt;=30, "Recent", IF(D338&gt;=3, "Occasional", "At Risk")))))</f>
        <v>At Risk</v>
      </c>
      <c r="K338" t="str">
        <f t="array" ref="K338">IF(OR(J338="VIP", J338="Loyal"), "HIGH",IF(OR(J338="Regular", J338="Recent"), "MEDIUM","LOW"))</f>
        <v>LOW</v>
      </c>
    </row>
    <row r="339" spans="1:11">
      <c r="A339" t="s">
        <v>352</v>
      </c>
      <c r="B339" s="14">
        <f>_xlfn.MINIFS('working sheet'!$B$2:$B$3548, 'working sheet'!$D$2:$D$3548, A339)</f>
        <v>45474.789488935188</v>
      </c>
      <c r="C339" s="17">
        <f>_xlfn.MAXIFS('working sheet'!$B$1:$B$3548,'working sheet'!$D$1:$D$3548,'Customer Portfolio'!A339)</f>
        <v>45474.789488935188</v>
      </c>
      <c r="D339">
        <f>COUNTIFS('working sheet'!$D$1:$D$3548,'Customer Portfolio'!A339)</f>
        <v>1</v>
      </c>
      <c r="E339" s="5">
        <f>SUMIFS('working sheet'!$E$2:$E$3548,'working sheet'!$D$2:$D$3548,'Customer Portfolio'!A339)</f>
        <v>37.72</v>
      </c>
      <c r="F339" s="6">
        <f t="shared" si="10"/>
        <v>37.72</v>
      </c>
      <c r="G339" t="str">
        <f t="array" ref="G339">IFERROR(INDEX('working sheet'!$F$2:$F$3548, MODE(IF('working sheet'!$D$2:$D$3548=A339, MATCH('working sheet'!$F$2:$F$3548, 'working sheet'!$F$2:$F$3548, 0)))),
         INDEX('working sheet'!$F$2:$F$3548, MATCH(A339, 'working sheet'!$D$2:$D$3548, 0)))</f>
        <v>Cappuccino</v>
      </c>
      <c r="H339" s="7">
        <f t="shared" si="11"/>
        <v>1</v>
      </c>
      <c r="I339" s="7">
        <f>MAX('working sheet'!$B$2:$B$3548)-C339</f>
        <v>264.96859711805155</v>
      </c>
      <c r="J339" s="4" t="str">
        <f t="array" ref="J339">IF(AND(I339&lt;=30, D339&gt;=10, E339&gt;=200), "VIP",  IF(AND(I339&lt;=60, D339&gt;=5, E339&gt;=100), "Loyal", IF(AND(I339&lt;=90, D339&gt;=3), "Regular", IF(I339&lt;=30, "Recent", IF(D339&gt;=3, "Occasional", "At Risk")))))</f>
        <v>At Risk</v>
      </c>
      <c r="K339" t="str">
        <f t="array" ref="K339">IF(OR(J339="VIP", J339="Loyal"), "HIGH",IF(OR(J339="Regular", J339="Recent"), "MEDIUM","LOW"))</f>
        <v>LOW</v>
      </c>
    </row>
    <row r="340" spans="1:11">
      <c r="A340" t="s">
        <v>353</v>
      </c>
      <c r="B340" s="14">
        <f>_xlfn.MINIFS('working sheet'!$B$2:$B$3548, 'working sheet'!$D$2:$D$3548, A340)</f>
        <v>45474.790211423613</v>
      </c>
      <c r="C340" s="17">
        <f>_xlfn.MAXIFS('working sheet'!$B$1:$B$3548,'working sheet'!$D$1:$D$3548,'Customer Portfolio'!A340)</f>
        <v>45499.520343842596</v>
      </c>
      <c r="D340">
        <f>COUNTIFS('working sheet'!$D$1:$D$3548,'Customer Portfolio'!A340)</f>
        <v>3</v>
      </c>
      <c r="E340" s="5">
        <f>SUMIFS('working sheet'!$E$2:$E$3548,'working sheet'!$D$2:$D$3548,'Customer Portfolio'!A340)</f>
        <v>103.35999999999999</v>
      </c>
      <c r="F340" s="6">
        <f t="shared" si="10"/>
        <v>34.453333333333326</v>
      </c>
      <c r="G340" t="str">
        <f t="array" ref="G340">IFERROR(INDEX('working sheet'!$F$2:$F$3548, MODE(IF('working sheet'!$D$2:$D$3548=A340, MATCH('working sheet'!$F$2:$F$3548, 'working sheet'!$F$2:$F$3548, 0)))),
         INDEX('working sheet'!$F$2:$F$3548, MATCH(A340, 'working sheet'!$D$2:$D$3548, 0)))</f>
        <v>Cappuccino</v>
      </c>
      <c r="H340" s="7">
        <f t="shared" si="11"/>
        <v>25.730132418982976</v>
      </c>
      <c r="I340" s="7">
        <f>MAX('working sheet'!$B$2:$B$3548)-C340</f>
        <v>240.23774221064377</v>
      </c>
      <c r="J340" s="4" t="str">
        <f t="array" ref="J340">IF(AND(I340&lt;=30, D340&gt;=10, E340&gt;=200), "VIP",  IF(AND(I340&lt;=60, D340&gt;=5, E340&gt;=100), "Loyal", IF(AND(I340&lt;=90, D340&gt;=3), "Regular", IF(I340&lt;=30, "Recent", IF(D340&gt;=3, "Occasional", "At Risk")))))</f>
        <v>Occasional</v>
      </c>
      <c r="K340" t="str">
        <f t="array" ref="K340">IF(OR(J340="VIP", J340="Loyal"), "HIGH",IF(OR(J340="Regular", J340="Recent"), "MEDIUM","LOW"))</f>
        <v>LOW</v>
      </c>
    </row>
    <row r="341" spans="1:11">
      <c r="A341" t="s">
        <v>354</v>
      </c>
      <c r="B341" s="14">
        <f>_xlfn.MINIFS('working sheet'!$B$2:$B$3548, 'working sheet'!$D$2:$D$3548, A341)</f>
        <v>45475.585569803239</v>
      </c>
      <c r="C341" s="17">
        <f>_xlfn.MAXIFS('working sheet'!$B$1:$B$3548,'working sheet'!$D$1:$D$3548,'Customer Portfolio'!A341)</f>
        <v>45475.585569803239</v>
      </c>
      <c r="D341">
        <f>COUNTIFS('working sheet'!$D$1:$D$3548,'Customer Portfolio'!A341)</f>
        <v>1</v>
      </c>
      <c r="E341" s="5">
        <f>SUMIFS('working sheet'!$E$2:$E$3548,'working sheet'!$D$2:$D$3548,'Customer Portfolio'!A341)</f>
        <v>27.92</v>
      </c>
      <c r="F341" s="6">
        <f t="shared" si="10"/>
        <v>27.92</v>
      </c>
      <c r="G341" t="str">
        <f t="array" ref="G341">IFERROR(INDEX('working sheet'!$F$2:$F$3548, MODE(IF('working sheet'!$D$2:$D$3548=A341, MATCH('working sheet'!$F$2:$F$3548, 'working sheet'!$F$2:$F$3548, 0)))),
         INDEX('working sheet'!$F$2:$F$3548, MATCH(A341, 'working sheet'!$D$2:$D$3548, 0)))</f>
        <v>Americano</v>
      </c>
      <c r="H341" s="7">
        <f t="shared" si="11"/>
        <v>1</v>
      </c>
      <c r="I341" s="7">
        <f>MAX('working sheet'!$B$2:$B$3548)-C341</f>
        <v>264.17251625000063</v>
      </c>
      <c r="J341" s="4" t="str">
        <f t="array" ref="J341">IF(AND(I341&lt;=30, D341&gt;=10, E341&gt;=200), "VIP",  IF(AND(I341&lt;=60, D341&gt;=5, E341&gt;=100), "Loyal", IF(AND(I341&lt;=90, D341&gt;=3), "Regular", IF(I341&lt;=30, "Recent", IF(D341&gt;=3, "Occasional", "At Risk")))))</f>
        <v>At Risk</v>
      </c>
      <c r="K341" t="str">
        <f t="array" ref="K341">IF(OR(J341="VIP", J341="Loyal"), "HIGH",IF(OR(J341="Regular", J341="Recent"), "MEDIUM","LOW"))</f>
        <v>LOW</v>
      </c>
    </row>
    <row r="342" spans="1:11">
      <c r="A342" t="s">
        <v>355</v>
      </c>
      <c r="B342" s="14">
        <f>_xlfn.MINIFS('working sheet'!$B$2:$B$3548, 'working sheet'!$D$2:$D$3548, A342)</f>
        <v>45475.688476122683</v>
      </c>
      <c r="C342" s="17">
        <f>_xlfn.MAXIFS('working sheet'!$B$1:$B$3548,'working sheet'!$D$1:$D$3548,'Customer Portfolio'!A342)</f>
        <v>45475.688476122683</v>
      </c>
      <c r="D342">
        <f>COUNTIFS('working sheet'!$D$1:$D$3548,'Customer Portfolio'!A342)</f>
        <v>1</v>
      </c>
      <c r="E342" s="5">
        <f>SUMIFS('working sheet'!$E$2:$E$3548,'working sheet'!$D$2:$D$3548,'Customer Portfolio'!A342)</f>
        <v>32.82</v>
      </c>
      <c r="F342" s="6">
        <f t="shared" si="10"/>
        <v>32.82</v>
      </c>
      <c r="G342" t="str">
        <f t="array" ref="G342">IFERROR(INDEX('working sheet'!$F$2:$F$3548, MODE(IF('working sheet'!$D$2:$D$3548=A342, MATCH('working sheet'!$F$2:$F$3548, 'working sheet'!$F$2:$F$3548, 0)))),
         INDEX('working sheet'!$F$2:$F$3548, MATCH(A342, 'working sheet'!$D$2:$D$3548, 0)))</f>
        <v>Americano with Milk</v>
      </c>
      <c r="H342" s="7">
        <f t="shared" si="11"/>
        <v>1</v>
      </c>
      <c r="I342" s="7">
        <f>MAX('working sheet'!$B$2:$B$3548)-C342</f>
        <v>264.06960993055691</v>
      </c>
      <c r="J342" s="4" t="str">
        <f t="array" ref="J342">IF(AND(I342&lt;=30, D342&gt;=10, E342&gt;=200), "VIP",  IF(AND(I342&lt;=60, D342&gt;=5, E342&gt;=100), "Loyal", IF(AND(I342&lt;=90, D342&gt;=3), "Regular", IF(I342&lt;=30, "Recent", IF(D342&gt;=3, "Occasional", "At Risk")))))</f>
        <v>At Risk</v>
      </c>
      <c r="K342" t="str">
        <f t="array" ref="K342">IF(OR(J342="VIP", J342="Loyal"), "HIGH",IF(OR(J342="Regular", J342="Recent"), "MEDIUM","LOW"))</f>
        <v>LOW</v>
      </c>
    </row>
    <row r="343" spans="1:11">
      <c r="A343" t="s">
        <v>356</v>
      </c>
      <c r="B343" s="14">
        <f>_xlfn.MINIFS('working sheet'!$B$2:$B$3548, 'working sheet'!$D$2:$D$3548, A343)</f>
        <v>45476.667552708335</v>
      </c>
      <c r="C343" s="17">
        <f>_xlfn.MAXIFS('working sheet'!$B$1:$B$3548,'working sheet'!$D$1:$D$3548,'Customer Portfolio'!A343)</f>
        <v>45476.667552708335</v>
      </c>
      <c r="D343">
        <f>COUNTIFS('working sheet'!$D$1:$D$3548,'Customer Portfolio'!A343)</f>
        <v>1</v>
      </c>
      <c r="E343" s="5">
        <f>SUMIFS('working sheet'!$E$2:$E$3548,'working sheet'!$D$2:$D$3548,'Customer Portfolio'!A343)</f>
        <v>37.72</v>
      </c>
      <c r="F343" s="6">
        <f t="shared" si="10"/>
        <v>37.72</v>
      </c>
      <c r="G343" t="str">
        <f t="array" ref="G343">IFERROR(INDEX('working sheet'!$F$2:$F$3548, MODE(IF('working sheet'!$D$2:$D$3548=A343, MATCH('working sheet'!$F$2:$F$3548, 'working sheet'!$F$2:$F$3548, 0)))),
         INDEX('working sheet'!$F$2:$F$3548, MATCH(A343, 'working sheet'!$D$2:$D$3548, 0)))</f>
        <v>Cappuccino</v>
      </c>
      <c r="H343" s="7">
        <f t="shared" si="11"/>
        <v>1</v>
      </c>
      <c r="I343" s="7">
        <f>MAX('working sheet'!$B$2:$B$3548)-C343</f>
        <v>263.09053334490454</v>
      </c>
      <c r="J343" s="4" t="str">
        <f t="array" ref="J343">IF(AND(I343&lt;=30, D343&gt;=10, E343&gt;=200), "VIP",  IF(AND(I343&lt;=60, D343&gt;=5, E343&gt;=100), "Loyal", IF(AND(I343&lt;=90, D343&gt;=3), "Regular", IF(I343&lt;=30, "Recent", IF(D343&gt;=3, "Occasional", "At Risk")))))</f>
        <v>At Risk</v>
      </c>
      <c r="K343" t="str">
        <f t="array" ref="K343">IF(OR(J343="VIP", J343="Loyal"), "HIGH",IF(OR(J343="Regular", J343="Recent"), "MEDIUM","LOW"))</f>
        <v>LOW</v>
      </c>
    </row>
    <row r="344" spans="1:11">
      <c r="A344" t="s">
        <v>357</v>
      </c>
      <c r="B344" s="14">
        <f>_xlfn.MINIFS('working sheet'!$B$2:$B$3548, 'working sheet'!$D$2:$D$3548, A344)</f>
        <v>45476.70168082176</v>
      </c>
      <c r="C344" s="17">
        <f>_xlfn.MAXIFS('working sheet'!$B$1:$B$3548,'working sheet'!$D$1:$D$3548,'Customer Portfolio'!A344)</f>
        <v>45476.70168082176</v>
      </c>
      <c r="D344">
        <f>COUNTIFS('working sheet'!$D$1:$D$3548,'Customer Portfolio'!A344)</f>
        <v>1</v>
      </c>
      <c r="E344" s="5">
        <f>SUMIFS('working sheet'!$E$2:$E$3548,'working sheet'!$D$2:$D$3548,'Customer Portfolio'!A344)</f>
        <v>37.72</v>
      </c>
      <c r="F344" s="6">
        <f t="shared" si="10"/>
        <v>37.72</v>
      </c>
      <c r="G344" t="str">
        <f t="array" ref="G344">IFERROR(INDEX('working sheet'!$F$2:$F$3548, MODE(IF('working sheet'!$D$2:$D$3548=A344, MATCH('working sheet'!$F$2:$F$3548, 'working sheet'!$F$2:$F$3548, 0)))),
         INDEX('working sheet'!$F$2:$F$3548, MATCH(A344, 'working sheet'!$D$2:$D$3548, 0)))</f>
        <v>Cappuccino</v>
      </c>
      <c r="H344" s="7">
        <f t="shared" si="11"/>
        <v>1</v>
      </c>
      <c r="I344" s="7">
        <f>MAX('working sheet'!$B$2:$B$3548)-C344</f>
        <v>263.05640523148031</v>
      </c>
      <c r="J344" s="4" t="str">
        <f t="array" ref="J344">IF(AND(I344&lt;=30, D344&gt;=10, E344&gt;=200), "VIP",  IF(AND(I344&lt;=60, D344&gt;=5, E344&gt;=100), "Loyal", IF(AND(I344&lt;=90, D344&gt;=3), "Regular", IF(I344&lt;=30, "Recent", IF(D344&gt;=3, "Occasional", "At Risk")))))</f>
        <v>At Risk</v>
      </c>
      <c r="K344" t="str">
        <f t="array" ref="K344">IF(OR(J344="VIP", J344="Loyal"), "HIGH",IF(OR(J344="Regular", J344="Recent"), "MEDIUM","LOW"))</f>
        <v>LOW</v>
      </c>
    </row>
    <row r="345" spans="1:11">
      <c r="A345" t="s">
        <v>358</v>
      </c>
      <c r="B345" s="14">
        <f>_xlfn.MINIFS('working sheet'!$B$2:$B$3548, 'working sheet'!$D$2:$D$3548, A345)</f>
        <v>45476.70443179398</v>
      </c>
      <c r="C345" s="17">
        <f>_xlfn.MAXIFS('working sheet'!$B$1:$B$3548,'working sheet'!$D$1:$D$3548,'Customer Portfolio'!A345)</f>
        <v>45476.70443179398</v>
      </c>
      <c r="D345">
        <f>COUNTIFS('working sheet'!$D$1:$D$3548,'Customer Portfolio'!A345)</f>
        <v>1</v>
      </c>
      <c r="E345" s="5">
        <f>SUMIFS('working sheet'!$E$2:$E$3548,'working sheet'!$D$2:$D$3548,'Customer Portfolio'!A345)</f>
        <v>32.82</v>
      </c>
      <c r="F345" s="6">
        <f t="shared" si="10"/>
        <v>32.82</v>
      </c>
      <c r="G345" t="str">
        <f t="array" ref="G345">IFERROR(INDEX('working sheet'!$F$2:$F$3548, MODE(IF('working sheet'!$D$2:$D$3548=A345, MATCH('working sheet'!$F$2:$F$3548, 'working sheet'!$F$2:$F$3548, 0)))),
         INDEX('working sheet'!$F$2:$F$3548, MATCH(A345, 'working sheet'!$D$2:$D$3548, 0)))</f>
        <v>Americano with Milk</v>
      </c>
      <c r="H345" s="7">
        <f t="shared" si="11"/>
        <v>1</v>
      </c>
      <c r="I345" s="7">
        <f>MAX('working sheet'!$B$2:$B$3548)-C345</f>
        <v>263.05365425925993</v>
      </c>
      <c r="J345" s="4" t="str">
        <f t="array" ref="J345">IF(AND(I345&lt;=30, D345&gt;=10, E345&gt;=200), "VIP",  IF(AND(I345&lt;=60, D345&gt;=5, E345&gt;=100), "Loyal", IF(AND(I345&lt;=90, D345&gt;=3), "Regular", IF(I345&lt;=30, "Recent", IF(D345&gt;=3, "Occasional", "At Risk")))))</f>
        <v>At Risk</v>
      </c>
      <c r="K345" t="str">
        <f t="array" ref="K345">IF(OR(J345="VIP", J345="Loyal"), "HIGH",IF(OR(J345="Regular", J345="Recent"), "MEDIUM","LOW"))</f>
        <v>LOW</v>
      </c>
    </row>
    <row r="346" spans="1:11">
      <c r="A346" t="s">
        <v>359</v>
      </c>
      <c r="B346" s="14">
        <f>_xlfn.MINIFS('working sheet'!$B$2:$B$3548, 'working sheet'!$D$2:$D$3548, A346)</f>
        <v>45476.707934953702</v>
      </c>
      <c r="C346" s="17">
        <f>_xlfn.MAXIFS('working sheet'!$B$1:$B$3548,'working sheet'!$D$1:$D$3548,'Customer Portfolio'!A346)</f>
        <v>45476.707934953702</v>
      </c>
      <c r="D346">
        <f>COUNTIFS('working sheet'!$D$1:$D$3548,'Customer Portfolio'!A346)</f>
        <v>1</v>
      </c>
      <c r="E346" s="5">
        <f>SUMIFS('working sheet'!$E$2:$E$3548,'working sheet'!$D$2:$D$3548,'Customer Portfolio'!A346)</f>
        <v>23.02</v>
      </c>
      <c r="F346" s="6">
        <f t="shared" si="10"/>
        <v>23.02</v>
      </c>
      <c r="G346" t="str">
        <f t="array" ref="G346">IFERROR(INDEX('working sheet'!$F$2:$F$3548, MODE(IF('working sheet'!$D$2:$D$3548=A346, MATCH('working sheet'!$F$2:$F$3548, 'working sheet'!$F$2:$F$3548, 0)))),
         INDEX('working sheet'!$F$2:$F$3548, MATCH(A346, 'working sheet'!$D$2:$D$3548, 0)))</f>
        <v>Espresso</v>
      </c>
      <c r="H346" s="7">
        <f t="shared" si="11"/>
        <v>1</v>
      </c>
      <c r="I346" s="7">
        <f>MAX('working sheet'!$B$2:$B$3548)-C346</f>
        <v>263.0501510995382</v>
      </c>
      <c r="J346" s="4" t="str">
        <f t="array" ref="J346">IF(AND(I346&lt;=30, D346&gt;=10, E346&gt;=200), "VIP",  IF(AND(I346&lt;=60, D346&gt;=5, E346&gt;=100), "Loyal", IF(AND(I346&lt;=90, D346&gt;=3), "Regular", IF(I346&lt;=30, "Recent", IF(D346&gt;=3, "Occasional", "At Risk")))))</f>
        <v>At Risk</v>
      </c>
      <c r="K346" t="str">
        <f t="array" ref="K346">IF(OR(J346="VIP", J346="Loyal"), "HIGH",IF(OR(J346="Regular", J346="Recent"), "MEDIUM","LOW"))</f>
        <v>LOW</v>
      </c>
    </row>
    <row r="347" spans="1:11">
      <c r="A347" t="s">
        <v>360</v>
      </c>
      <c r="B347" s="14">
        <f>_xlfn.MINIFS('working sheet'!$B$2:$B$3548, 'working sheet'!$D$2:$D$3548, A347)</f>
        <v>45476.749326701392</v>
      </c>
      <c r="C347" s="17">
        <f>_xlfn.MAXIFS('working sheet'!$B$1:$B$3548,'working sheet'!$D$1:$D$3548,'Customer Portfolio'!A347)</f>
        <v>45476.749326701392</v>
      </c>
      <c r="D347">
        <f>COUNTIFS('working sheet'!$D$1:$D$3548,'Customer Portfolio'!A347)</f>
        <v>1</v>
      </c>
      <c r="E347" s="5">
        <f>SUMIFS('working sheet'!$E$2:$E$3548,'working sheet'!$D$2:$D$3548,'Customer Portfolio'!A347)</f>
        <v>37.72</v>
      </c>
      <c r="F347" s="6">
        <f t="shared" si="10"/>
        <v>37.72</v>
      </c>
      <c r="G347" t="str">
        <f t="array" ref="G347">IFERROR(INDEX('working sheet'!$F$2:$F$3548, MODE(IF('working sheet'!$D$2:$D$3548=A347, MATCH('working sheet'!$F$2:$F$3548, 'working sheet'!$F$2:$F$3548, 0)))),
         INDEX('working sheet'!$F$2:$F$3548, MATCH(A347, 'working sheet'!$D$2:$D$3548, 0)))</f>
        <v>Cappuccino</v>
      </c>
      <c r="H347" s="7">
        <f t="shared" si="11"/>
        <v>1</v>
      </c>
      <c r="I347" s="7">
        <f>MAX('working sheet'!$B$2:$B$3548)-C347</f>
        <v>263.0087593518474</v>
      </c>
      <c r="J347" s="4" t="str">
        <f t="array" ref="J347">IF(AND(I347&lt;=30, D347&gt;=10, E347&gt;=200), "VIP",  IF(AND(I347&lt;=60, D347&gt;=5, E347&gt;=100), "Loyal", IF(AND(I347&lt;=90, D347&gt;=3), "Regular", IF(I347&lt;=30, "Recent", IF(D347&gt;=3, "Occasional", "At Risk")))))</f>
        <v>At Risk</v>
      </c>
      <c r="K347" t="str">
        <f t="array" ref="K347">IF(OR(J347="VIP", J347="Loyal"), "HIGH",IF(OR(J347="Regular", J347="Recent"), "MEDIUM","LOW"))</f>
        <v>LOW</v>
      </c>
    </row>
    <row r="348" spans="1:11">
      <c r="A348" t="s">
        <v>361</v>
      </c>
      <c r="B348" s="14">
        <f>_xlfn.MINIFS('working sheet'!$B$2:$B$3548, 'working sheet'!$D$2:$D$3548, A348)</f>
        <v>45478.572729502317</v>
      </c>
      <c r="C348" s="17">
        <f>_xlfn.MAXIFS('working sheet'!$B$1:$B$3548,'working sheet'!$D$1:$D$3548,'Customer Portfolio'!A348)</f>
        <v>45592.459686365743</v>
      </c>
      <c r="D348">
        <f>COUNTIFS('working sheet'!$D$1:$D$3548,'Customer Portfolio'!A348)</f>
        <v>8</v>
      </c>
      <c r="E348" s="5">
        <f>SUMIFS('working sheet'!$E$2:$E$3548,'working sheet'!$D$2:$D$3548,'Customer Portfolio'!A348)</f>
        <v>206.7</v>
      </c>
      <c r="F348" s="6">
        <f t="shared" si="10"/>
        <v>25.837499999999999</v>
      </c>
      <c r="G348" t="str">
        <f t="array" ref="G348">IFERROR(INDEX('working sheet'!$F$2:$F$3548, MODE(IF('working sheet'!$D$2:$D$3548=A348, MATCH('working sheet'!$F$2:$F$3548, 'working sheet'!$F$2:$F$3548, 0)))),
         INDEX('working sheet'!$F$2:$F$3548, MATCH(A348, 'working sheet'!$D$2:$D$3548, 0)))</f>
        <v>Americano with Milk</v>
      </c>
      <c r="H348" s="7">
        <f t="shared" si="11"/>
        <v>114.88695686342544</v>
      </c>
      <c r="I348" s="7">
        <f>MAX('working sheet'!$B$2:$B$3548)-C348</f>
        <v>147.29839968749729</v>
      </c>
      <c r="J348" s="4" t="str">
        <f t="array" ref="J348">IF(AND(I348&lt;=30, D348&gt;=10, E348&gt;=200), "VIP",  IF(AND(I348&lt;=60, D348&gt;=5, E348&gt;=100), "Loyal", IF(AND(I348&lt;=90, D348&gt;=3), "Regular", IF(I348&lt;=30, "Recent", IF(D348&gt;=3, "Occasional", "At Risk")))))</f>
        <v>Occasional</v>
      </c>
      <c r="K348" t="str">
        <f t="array" ref="K348">IF(OR(J348="VIP", J348="Loyal"), "HIGH",IF(OR(J348="Regular", J348="Recent"), "MEDIUM","LOW"))</f>
        <v>LOW</v>
      </c>
    </row>
    <row r="349" spans="1:11">
      <c r="A349" t="s">
        <v>362</v>
      </c>
      <c r="B349" s="14">
        <f>_xlfn.MINIFS('working sheet'!$B$2:$B$3548, 'working sheet'!$D$2:$D$3548, A349)</f>
        <v>45478.788846157404</v>
      </c>
      <c r="C349" s="17">
        <f>_xlfn.MAXIFS('working sheet'!$B$1:$B$3548,'working sheet'!$D$1:$D$3548,'Customer Portfolio'!A349)</f>
        <v>45666.602357430558</v>
      </c>
      <c r="D349">
        <f>COUNTIFS('working sheet'!$D$1:$D$3548,'Customer Portfolio'!A349)</f>
        <v>2</v>
      </c>
      <c r="E349" s="5">
        <f>SUMIFS('working sheet'!$E$2:$E$3548,'working sheet'!$D$2:$D$3548,'Customer Portfolio'!A349)</f>
        <v>44.08</v>
      </c>
      <c r="F349" s="6">
        <f t="shared" si="10"/>
        <v>22.04</v>
      </c>
      <c r="G349" t="str">
        <f t="array" ref="G349">IFERROR(INDEX('working sheet'!$F$2:$F$3548, MODE(IF('working sheet'!$D$2:$D$3548=A349, MATCH('working sheet'!$F$2:$F$3548, 'working sheet'!$F$2:$F$3548, 0)))),
         INDEX('working sheet'!$F$2:$F$3548, MATCH(A349, 'working sheet'!$D$2:$D$3548, 0)))</f>
        <v>Espresso</v>
      </c>
      <c r="H349" s="7">
        <f t="shared" si="11"/>
        <v>188.81351127315429</v>
      </c>
      <c r="I349" s="7">
        <f>MAX('working sheet'!$B$2:$B$3548)-C349</f>
        <v>73.155728622681636</v>
      </c>
      <c r="J349" s="4" t="str">
        <f t="array" ref="J349">IF(AND(I349&lt;=30, D349&gt;=10, E349&gt;=200), "VIP",  IF(AND(I349&lt;=60, D349&gt;=5, E349&gt;=100), "Loyal", IF(AND(I349&lt;=90, D349&gt;=3), "Regular", IF(I349&lt;=30, "Recent", IF(D349&gt;=3, "Occasional", "At Risk")))))</f>
        <v>At Risk</v>
      </c>
      <c r="K349" t="str">
        <f t="array" ref="K349">IF(OR(J349="VIP", J349="Loyal"), "HIGH",IF(OR(J349="Regular", J349="Recent"), "MEDIUM","LOW"))</f>
        <v>LOW</v>
      </c>
    </row>
    <row r="350" spans="1:11">
      <c r="A350" t="s">
        <v>363</v>
      </c>
      <c r="B350" s="14">
        <f>_xlfn.MINIFS('working sheet'!$B$2:$B$3548, 'working sheet'!$D$2:$D$3548, A350)</f>
        <v>45478.924959155091</v>
      </c>
      <c r="C350" s="17">
        <f>_xlfn.MAXIFS('working sheet'!$B$1:$B$3548,'working sheet'!$D$1:$D$3548,'Customer Portfolio'!A350)</f>
        <v>45478.924959155091</v>
      </c>
      <c r="D350">
        <f>COUNTIFS('working sheet'!$D$1:$D$3548,'Customer Portfolio'!A350)</f>
        <v>1</v>
      </c>
      <c r="E350" s="5">
        <f>SUMIFS('working sheet'!$E$2:$E$3548,'working sheet'!$D$2:$D$3548,'Customer Portfolio'!A350)</f>
        <v>23.02</v>
      </c>
      <c r="F350" s="6">
        <f t="shared" si="10"/>
        <v>23.02</v>
      </c>
      <c r="G350" t="str">
        <f t="array" ref="G350">IFERROR(INDEX('working sheet'!$F$2:$F$3548, MODE(IF('working sheet'!$D$2:$D$3548=A350, MATCH('working sheet'!$F$2:$F$3548, 'working sheet'!$F$2:$F$3548, 0)))),
         INDEX('working sheet'!$F$2:$F$3548, MATCH(A350, 'working sheet'!$D$2:$D$3548, 0)))</f>
        <v>Espresso</v>
      </c>
      <c r="H350" s="7">
        <f t="shared" si="11"/>
        <v>1</v>
      </c>
      <c r="I350" s="7">
        <f>MAX('working sheet'!$B$2:$B$3548)-C350</f>
        <v>260.8331268981492</v>
      </c>
      <c r="J350" s="4" t="str">
        <f t="array" ref="J350">IF(AND(I350&lt;=30, D350&gt;=10, E350&gt;=200), "VIP",  IF(AND(I350&lt;=60, D350&gt;=5, E350&gt;=100), "Loyal", IF(AND(I350&lt;=90, D350&gt;=3), "Regular", IF(I350&lt;=30, "Recent", IF(D350&gt;=3, "Occasional", "At Risk")))))</f>
        <v>At Risk</v>
      </c>
      <c r="K350" t="str">
        <f t="array" ref="K350">IF(OR(J350="VIP", J350="Loyal"), "HIGH",IF(OR(J350="Regular", J350="Recent"), "MEDIUM","LOW"))</f>
        <v>LOW</v>
      </c>
    </row>
    <row r="351" spans="1:11">
      <c r="A351" t="s">
        <v>364</v>
      </c>
      <c r="B351" s="14">
        <f>_xlfn.MINIFS('working sheet'!$B$2:$B$3548, 'working sheet'!$D$2:$D$3548, A351)</f>
        <v>45478.929205138891</v>
      </c>
      <c r="C351" s="17">
        <f>_xlfn.MAXIFS('working sheet'!$B$1:$B$3548,'working sheet'!$D$1:$D$3548,'Customer Portfolio'!A351)</f>
        <v>45478.929825752311</v>
      </c>
      <c r="D351">
        <f>COUNTIFS('working sheet'!$D$1:$D$3548,'Customer Portfolio'!A351)</f>
        <v>2</v>
      </c>
      <c r="E351" s="5">
        <f>SUMIFS('working sheet'!$E$2:$E$3548,'working sheet'!$D$2:$D$3548,'Customer Portfolio'!A351)</f>
        <v>55.84</v>
      </c>
      <c r="F351" s="6">
        <f t="shared" si="10"/>
        <v>27.92</v>
      </c>
      <c r="G351" t="str">
        <f t="array" ref="G351">IFERROR(INDEX('working sheet'!$F$2:$F$3548, MODE(IF('working sheet'!$D$2:$D$3548=A351, MATCH('working sheet'!$F$2:$F$3548, 'working sheet'!$F$2:$F$3548, 0)))),
         INDEX('working sheet'!$F$2:$F$3548, MATCH(A351, 'working sheet'!$D$2:$D$3548, 0)))</f>
        <v>Americano</v>
      </c>
      <c r="H351" s="7">
        <f t="shared" si="11"/>
        <v>1.0006206134203239</v>
      </c>
      <c r="I351" s="7">
        <f>MAX('working sheet'!$B$2:$B$3548)-C351</f>
        <v>260.82826030092838</v>
      </c>
      <c r="J351" s="4" t="str">
        <f t="array" ref="J351">IF(AND(I351&lt;=30, D351&gt;=10, E351&gt;=200), "VIP",  IF(AND(I351&lt;=60, D351&gt;=5, E351&gt;=100), "Loyal", IF(AND(I351&lt;=90, D351&gt;=3), "Regular", IF(I351&lt;=30, "Recent", IF(D351&gt;=3, "Occasional", "At Risk")))))</f>
        <v>At Risk</v>
      </c>
      <c r="K351" t="str">
        <f t="array" ref="K351">IF(OR(J351="VIP", J351="Loyal"), "HIGH",IF(OR(J351="Regular", J351="Recent"), "MEDIUM","LOW"))</f>
        <v>LOW</v>
      </c>
    </row>
    <row r="352" spans="1:11">
      <c r="A352" t="s">
        <v>365</v>
      </c>
      <c r="B352" s="14">
        <f>_xlfn.MINIFS('working sheet'!$B$2:$B$3548, 'working sheet'!$D$2:$D$3548, A352)</f>
        <v>45478.930568854164</v>
      </c>
      <c r="C352" s="17">
        <f>_xlfn.MAXIFS('working sheet'!$B$1:$B$3548,'working sheet'!$D$1:$D$3548,'Customer Portfolio'!A352)</f>
        <v>45478.931359456015</v>
      </c>
      <c r="D352">
        <f>COUNTIFS('working sheet'!$D$1:$D$3548,'Customer Portfolio'!A352)</f>
        <v>2</v>
      </c>
      <c r="E352" s="5">
        <f>SUMIFS('working sheet'!$E$2:$E$3548,'working sheet'!$D$2:$D$3548,'Customer Portfolio'!A352)</f>
        <v>70.539999999999992</v>
      </c>
      <c r="F352" s="6">
        <f t="shared" si="10"/>
        <v>35.269999999999996</v>
      </c>
      <c r="G352" t="str">
        <f t="array" ref="G352">IFERROR(INDEX('working sheet'!$F$2:$F$3548, MODE(IF('working sheet'!$D$2:$D$3548=A352, MATCH('working sheet'!$F$2:$F$3548, 'working sheet'!$F$2:$F$3548, 0)))),
         INDEX('working sheet'!$F$2:$F$3548, MATCH(A352, 'working sheet'!$D$2:$D$3548, 0)))</f>
        <v>Cappuccino</v>
      </c>
      <c r="H352" s="7">
        <f t="shared" si="11"/>
        <v>1.0007906018508947</v>
      </c>
      <c r="I352" s="7">
        <f>MAX('working sheet'!$B$2:$B$3548)-C352</f>
        <v>260.82672659722448</v>
      </c>
      <c r="J352" s="4" t="str">
        <f t="array" ref="J352">IF(AND(I352&lt;=30, D352&gt;=10, E352&gt;=200), "VIP",  IF(AND(I352&lt;=60, D352&gt;=5, E352&gt;=100), "Loyal", IF(AND(I352&lt;=90, D352&gt;=3), "Regular", IF(I352&lt;=30, "Recent", IF(D352&gt;=3, "Occasional", "At Risk")))))</f>
        <v>At Risk</v>
      </c>
      <c r="K352" t="str">
        <f t="array" ref="K352">IF(OR(J352="VIP", J352="Loyal"), "HIGH",IF(OR(J352="Regular", J352="Recent"), "MEDIUM","LOW"))</f>
        <v>LOW</v>
      </c>
    </row>
    <row r="353" spans="1:11">
      <c r="A353" t="s">
        <v>366</v>
      </c>
      <c r="B353" s="14">
        <f>_xlfn.MINIFS('working sheet'!$B$2:$B$3548, 'working sheet'!$D$2:$D$3548, A353)</f>
        <v>45479.436190115739</v>
      </c>
      <c r="C353" s="17">
        <f>_xlfn.MAXIFS('working sheet'!$B$1:$B$3548,'working sheet'!$D$1:$D$3548,'Customer Portfolio'!A353)</f>
        <v>45479.436190115739</v>
      </c>
      <c r="D353">
        <f>COUNTIFS('working sheet'!$D$1:$D$3548,'Customer Portfolio'!A353)</f>
        <v>1</v>
      </c>
      <c r="E353" s="5">
        <f>SUMIFS('working sheet'!$E$2:$E$3548,'working sheet'!$D$2:$D$3548,'Customer Portfolio'!A353)</f>
        <v>37.72</v>
      </c>
      <c r="F353" s="6">
        <f t="shared" si="10"/>
        <v>37.72</v>
      </c>
      <c r="G353" t="str">
        <f t="array" ref="G353">IFERROR(INDEX('working sheet'!$F$2:$F$3548, MODE(IF('working sheet'!$D$2:$D$3548=A353, MATCH('working sheet'!$F$2:$F$3548, 'working sheet'!$F$2:$F$3548, 0)))),
         INDEX('working sheet'!$F$2:$F$3548, MATCH(A353, 'working sheet'!$D$2:$D$3548, 0)))</f>
        <v>Latte</v>
      </c>
      <c r="H353" s="7">
        <f t="shared" si="11"/>
        <v>1</v>
      </c>
      <c r="I353" s="7">
        <f>MAX('working sheet'!$B$2:$B$3548)-C353</f>
        <v>260.32189593750081</v>
      </c>
      <c r="J353" s="4" t="str">
        <f t="array" ref="J353">IF(AND(I353&lt;=30, D353&gt;=10, E353&gt;=200), "VIP",  IF(AND(I353&lt;=60, D353&gt;=5, E353&gt;=100), "Loyal", IF(AND(I353&lt;=90, D353&gt;=3), "Regular", IF(I353&lt;=30, "Recent", IF(D353&gt;=3, "Occasional", "At Risk")))))</f>
        <v>At Risk</v>
      </c>
      <c r="K353" t="str">
        <f t="array" ref="K353">IF(OR(J353="VIP", J353="Loyal"), "HIGH",IF(OR(J353="Regular", J353="Recent"), "MEDIUM","LOW"))</f>
        <v>LOW</v>
      </c>
    </row>
    <row r="354" spans="1:11">
      <c r="A354" t="s">
        <v>367</v>
      </c>
      <c r="B354" s="14">
        <f>_xlfn.MINIFS('working sheet'!$B$2:$B$3548, 'working sheet'!$D$2:$D$3548, A354)</f>
        <v>45480.385060474538</v>
      </c>
      <c r="C354" s="17">
        <f>_xlfn.MAXIFS('working sheet'!$B$1:$B$3548,'working sheet'!$D$1:$D$3548,'Customer Portfolio'!A354)</f>
        <v>45480.385842766205</v>
      </c>
      <c r="D354">
        <f>COUNTIFS('working sheet'!$D$1:$D$3548,'Customer Portfolio'!A354)</f>
        <v>2</v>
      </c>
      <c r="E354" s="5">
        <f>SUMIFS('working sheet'!$E$2:$E$3548,'working sheet'!$D$2:$D$3548,'Customer Portfolio'!A354)</f>
        <v>55.84</v>
      </c>
      <c r="F354" s="6">
        <f t="shared" si="10"/>
        <v>27.92</v>
      </c>
      <c r="G354" t="str">
        <f t="array" ref="G354">IFERROR(INDEX('working sheet'!$F$2:$F$3548, MODE(IF('working sheet'!$D$2:$D$3548=A354, MATCH('working sheet'!$F$2:$F$3548, 'working sheet'!$F$2:$F$3548, 0)))),
         INDEX('working sheet'!$F$2:$F$3548, MATCH(A354, 'working sheet'!$D$2:$D$3548, 0)))</f>
        <v>Americano with Milk</v>
      </c>
      <c r="H354" s="7">
        <f t="shared" si="11"/>
        <v>1.0007822916668374</v>
      </c>
      <c r="I354" s="7">
        <f>MAX('working sheet'!$B$2:$B$3548)-C354</f>
        <v>259.37224328703451</v>
      </c>
      <c r="J354" s="4" t="str">
        <f t="array" ref="J354">IF(AND(I354&lt;=30, D354&gt;=10, E354&gt;=200), "VIP",  IF(AND(I354&lt;=60, D354&gt;=5, E354&gt;=100), "Loyal", IF(AND(I354&lt;=90, D354&gt;=3), "Regular", IF(I354&lt;=30, "Recent", IF(D354&gt;=3, "Occasional", "At Risk")))))</f>
        <v>At Risk</v>
      </c>
      <c r="K354" t="str">
        <f t="array" ref="K354">IF(OR(J354="VIP", J354="Loyal"), "HIGH",IF(OR(J354="Regular", J354="Recent"), "MEDIUM","LOW"))</f>
        <v>LOW</v>
      </c>
    </row>
    <row r="355" spans="1:11">
      <c r="A355" t="s">
        <v>368</v>
      </c>
      <c r="B355" s="14">
        <f>_xlfn.MINIFS('working sheet'!$B$2:$B$3548, 'working sheet'!$D$2:$D$3548, A355)</f>
        <v>45480.395010138891</v>
      </c>
      <c r="C355" s="17">
        <f>_xlfn.MAXIFS('working sheet'!$B$1:$B$3548,'working sheet'!$D$1:$D$3548,'Customer Portfolio'!A355)</f>
        <v>45480.395789224538</v>
      </c>
      <c r="D355">
        <f>COUNTIFS('working sheet'!$D$1:$D$3548,'Customer Portfolio'!A355)</f>
        <v>2</v>
      </c>
      <c r="E355" s="5">
        <f>SUMIFS('working sheet'!$E$2:$E$3548,'working sheet'!$D$2:$D$3548,'Customer Portfolio'!A355)</f>
        <v>65.64</v>
      </c>
      <c r="F355" s="6">
        <f t="shared" si="10"/>
        <v>32.82</v>
      </c>
      <c r="G355" t="str">
        <f t="array" ref="G355">IFERROR(INDEX('working sheet'!$F$2:$F$3548, MODE(IF('working sheet'!$D$2:$D$3548=A355, MATCH('working sheet'!$F$2:$F$3548, 'working sheet'!$F$2:$F$3548, 0)))),
         INDEX('working sheet'!$F$2:$F$3548, MATCH(A355, 'working sheet'!$D$2:$D$3548, 0)))</f>
        <v>Cappuccino</v>
      </c>
      <c r="H355" s="7">
        <f t="shared" si="11"/>
        <v>1.000779085647082</v>
      </c>
      <c r="I355" s="7">
        <f>MAX('working sheet'!$B$2:$B$3548)-C355</f>
        <v>259.3622968287018</v>
      </c>
      <c r="J355" s="4" t="str">
        <f t="array" ref="J355">IF(AND(I355&lt;=30, D355&gt;=10, E355&gt;=200), "VIP",  IF(AND(I355&lt;=60, D355&gt;=5, E355&gt;=100), "Loyal", IF(AND(I355&lt;=90, D355&gt;=3), "Regular", IF(I355&lt;=30, "Recent", IF(D355&gt;=3, "Occasional", "At Risk")))))</f>
        <v>At Risk</v>
      </c>
      <c r="K355" t="str">
        <f t="array" ref="K355">IF(OR(J355="VIP", J355="Loyal"), "HIGH",IF(OR(J355="Regular", J355="Recent"), "MEDIUM","LOW"))</f>
        <v>LOW</v>
      </c>
    </row>
    <row r="356" spans="1:11">
      <c r="A356" t="s">
        <v>369</v>
      </c>
      <c r="B356" s="14">
        <f>_xlfn.MINIFS('working sheet'!$B$2:$B$3548, 'working sheet'!$D$2:$D$3548, A356)</f>
        <v>45480.622571678243</v>
      </c>
      <c r="C356" s="17">
        <f>_xlfn.MAXIFS('working sheet'!$B$1:$B$3548,'working sheet'!$D$1:$D$3548,'Customer Portfolio'!A356)</f>
        <v>45584.590655196756</v>
      </c>
      <c r="D356">
        <f>COUNTIFS('working sheet'!$D$1:$D$3548,'Customer Portfolio'!A356)</f>
        <v>3</v>
      </c>
      <c r="E356" s="5">
        <f>SUMIFS('working sheet'!$E$2:$E$3548,'working sheet'!$D$2:$D$3548,'Customer Portfolio'!A356)</f>
        <v>101.4</v>
      </c>
      <c r="F356" s="6">
        <f t="shared" si="10"/>
        <v>33.800000000000004</v>
      </c>
      <c r="G356" t="str">
        <f t="array" ref="G356">IFERROR(INDEX('working sheet'!$F$2:$F$3548, MODE(IF('working sheet'!$D$2:$D$3548=A356, MATCH('working sheet'!$F$2:$F$3548, 'working sheet'!$F$2:$F$3548, 0)))),
         INDEX('working sheet'!$F$2:$F$3548, MATCH(A356, 'working sheet'!$D$2:$D$3548, 0)))</f>
        <v>Hot Chocolate</v>
      </c>
      <c r="H356" s="7">
        <f t="shared" si="11"/>
        <v>104.96808351851359</v>
      </c>
      <c r="I356" s="7">
        <f>MAX('working sheet'!$B$2:$B$3548)-C356</f>
        <v>155.16743085648341</v>
      </c>
      <c r="J356" s="4" t="str">
        <f t="array" ref="J356">IF(AND(I356&lt;=30, D356&gt;=10, E356&gt;=200), "VIP",  IF(AND(I356&lt;=60, D356&gt;=5, E356&gt;=100), "Loyal", IF(AND(I356&lt;=90, D356&gt;=3), "Regular", IF(I356&lt;=30, "Recent", IF(D356&gt;=3, "Occasional", "At Risk")))))</f>
        <v>Occasional</v>
      </c>
      <c r="K356" t="str">
        <f t="array" ref="K356">IF(OR(J356="VIP", J356="Loyal"), "HIGH",IF(OR(J356="Regular", J356="Recent"), "MEDIUM","LOW"))</f>
        <v>LOW</v>
      </c>
    </row>
    <row r="357" spans="1:11">
      <c r="A357" t="s">
        <v>370</v>
      </c>
      <c r="B357" s="14">
        <f>_xlfn.MINIFS('working sheet'!$B$2:$B$3548, 'working sheet'!$D$2:$D$3548, A357)</f>
        <v>45480.713776435186</v>
      </c>
      <c r="C357" s="17">
        <f>_xlfn.MAXIFS('working sheet'!$B$1:$B$3548,'working sheet'!$D$1:$D$3548,'Customer Portfolio'!A357)</f>
        <v>45480.713776435186</v>
      </c>
      <c r="D357">
        <f>COUNTIFS('working sheet'!$D$1:$D$3548,'Customer Portfolio'!A357)</f>
        <v>1</v>
      </c>
      <c r="E357" s="5">
        <f>SUMIFS('working sheet'!$E$2:$E$3548,'working sheet'!$D$2:$D$3548,'Customer Portfolio'!A357)</f>
        <v>32.82</v>
      </c>
      <c r="F357" s="6">
        <f t="shared" si="10"/>
        <v>32.82</v>
      </c>
      <c r="G357" t="str">
        <f t="array" ref="G357">IFERROR(INDEX('working sheet'!$F$2:$F$3548, MODE(IF('working sheet'!$D$2:$D$3548=A357, MATCH('working sheet'!$F$2:$F$3548, 'working sheet'!$F$2:$F$3548, 0)))),
         INDEX('working sheet'!$F$2:$F$3548, MATCH(A357, 'working sheet'!$D$2:$D$3548, 0)))</f>
        <v>Latte</v>
      </c>
      <c r="H357" s="7">
        <f t="shared" si="11"/>
        <v>1</v>
      </c>
      <c r="I357" s="7">
        <f>MAX('working sheet'!$B$2:$B$3548)-C357</f>
        <v>259.04430961805338</v>
      </c>
      <c r="J357" s="4" t="str">
        <f t="array" ref="J357">IF(AND(I357&lt;=30, D357&gt;=10, E357&gt;=200), "VIP",  IF(AND(I357&lt;=60, D357&gt;=5, E357&gt;=100), "Loyal", IF(AND(I357&lt;=90, D357&gt;=3), "Regular", IF(I357&lt;=30, "Recent", IF(D357&gt;=3, "Occasional", "At Risk")))))</f>
        <v>At Risk</v>
      </c>
      <c r="K357" t="str">
        <f t="array" ref="K357">IF(OR(J357="VIP", J357="Loyal"), "HIGH",IF(OR(J357="Regular", J357="Recent"), "MEDIUM","LOW"))</f>
        <v>LOW</v>
      </c>
    </row>
    <row r="358" spans="1:11">
      <c r="A358" t="s">
        <v>371</v>
      </c>
      <c r="B358" s="14">
        <f>_xlfn.MINIFS('working sheet'!$B$2:$B$3548, 'working sheet'!$D$2:$D$3548, A358)</f>
        <v>45480.814897997683</v>
      </c>
      <c r="C358" s="17">
        <f>_xlfn.MAXIFS('working sheet'!$B$1:$B$3548,'working sheet'!$D$1:$D$3548,'Customer Portfolio'!A358)</f>
        <v>45480.814897997683</v>
      </c>
      <c r="D358">
        <f>COUNTIFS('working sheet'!$D$1:$D$3548,'Customer Portfolio'!A358)</f>
        <v>1</v>
      </c>
      <c r="E358" s="5">
        <f>SUMIFS('working sheet'!$E$2:$E$3548,'working sheet'!$D$2:$D$3548,'Customer Portfolio'!A358)</f>
        <v>32.82</v>
      </c>
      <c r="F358" s="6">
        <f t="shared" si="10"/>
        <v>32.82</v>
      </c>
      <c r="G358" t="str">
        <f t="array" ref="G358">IFERROR(INDEX('working sheet'!$F$2:$F$3548, MODE(IF('working sheet'!$D$2:$D$3548=A358, MATCH('working sheet'!$F$2:$F$3548, 'working sheet'!$F$2:$F$3548, 0)))),
         INDEX('working sheet'!$F$2:$F$3548, MATCH(A358, 'working sheet'!$D$2:$D$3548, 0)))</f>
        <v>Cappuccino</v>
      </c>
      <c r="H358" s="7">
        <f t="shared" si="11"/>
        <v>1</v>
      </c>
      <c r="I358" s="7">
        <f>MAX('working sheet'!$B$2:$B$3548)-C358</f>
        <v>258.94318805555667</v>
      </c>
      <c r="J358" s="4" t="str">
        <f t="array" ref="J358">IF(AND(I358&lt;=30, D358&gt;=10, E358&gt;=200), "VIP",  IF(AND(I358&lt;=60, D358&gt;=5, E358&gt;=100), "Loyal", IF(AND(I358&lt;=90, D358&gt;=3), "Regular", IF(I358&lt;=30, "Recent", IF(D358&gt;=3, "Occasional", "At Risk")))))</f>
        <v>At Risk</v>
      </c>
      <c r="K358" t="str">
        <f t="array" ref="K358">IF(OR(J358="VIP", J358="Loyal"), "HIGH",IF(OR(J358="Regular", J358="Recent"), "MEDIUM","LOW"))</f>
        <v>LOW</v>
      </c>
    </row>
    <row r="359" spans="1:11">
      <c r="A359" t="s">
        <v>372</v>
      </c>
      <c r="B359" s="14">
        <f>_xlfn.MINIFS('working sheet'!$B$2:$B$3548, 'working sheet'!$D$2:$D$3548, A359)</f>
        <v>45480.834394131947</v>
      </c>
      <c r="C359" s="17">
        <f>_xlfn.MAXIFS('working sheet'!$B$1:$B$3548,'working sheet'!$D$1:$D$3548,'Customer Portfolio'!A359)</f>
        <v>45480.834394131947</v>
      </c>
      <c r="D359">
        <f>COUNTIFS('working sheet'!$D$1:$D$3548,'Customer Portfolio'!A359)</f>
        <v>1</v>
      </c>
      <c r="E359" s="5">
        <f>SUMIFS('working sheet'!$E$2:$E$3548,'working sheet'!$D$2:$D$3548,'Customer Portfolio'!A359)</f>
        <v>32.82</v>
      </c>
      <c r="F359" s="6">
        <f t="shared" si="10"/>
        <v>32.82</v>
      </c>
      <c r="G359" t="str">
        <f t="array" ref="G359">IFERROR(INDEX('working sheet'!$F$2:$F$3548, MODE(IF('working sheet'!$D$2:$D$3548=A359, MATCH('working sheet'!$F$2:$F$3548, 'working sheet'!$F$2:$F$3548, 0)))),
         INDEX('working sheet'!$F$2:$F$3548, MATCH(A359, 'working sheet'!$D$2:$D$3548, 0)))</f>
        <v>Hot Chocolate</v>
      </c>
      <c r="H359" s="7">
        <f t="shared" si="11"/>
        <v>1</v>
      </c>
      <c r="I359" s="7">
        <f>MAX('working sheet'!$B$2:$B$3548)-C359</f>
        <v>258.92369192129263</v>
      </c>
      <c r="J359" s="4" t="str">
        <f t="array" ref="J359">IF(AND(I359&lt;=30, D359&gt;=10, E359&gt;=200), "VIP",  IF(AND(I359&lt;=60, D359&gt;=5, E359&gt;=100), "Loyal", IF(AND(I359&lt;=90, D359&gt;=3), "Regular", IF(I359&lt;=30, "Recent", IF(D359&gt;=3, "Occasional", "At Risk")))))</f>
        <v>At Risk</v>
      </c>
      <c r="K359" t="str">
        <f t="array" ref="K359">IF(OR(J359="VIP", J359="Loyal"), "HIGH",IF(OR(J359="Regular", J359="Recent"), "MEDIUM","LOW"))</f>
        <v>LOW</v>
      </c>
    </row>
    <row r="360" spans="1:11">
      <c r="A360" t="s">
        <v>373</v>
      </c>
      <c r="B360" s="14">
        <f>_xlfn.MINIFS('working sheet'!$B$2:$B$3548, 'working sheet'!$D$2:$D$3548, A360)</f>
        <v>45480.940002951385</v>
      </c>
      <c r="C360" s="17">
        <f>_xlfn.MAXIFS('working sheet'!$B$1:$B$3548,'working sheet'!$D$1:$D$3548,'Customer Portfolio'!A360)</f>
        <v>45480.940002951385</v>
      </c>
      <c r="D360">
        <f>COUNTIFS('working sheet'!$D$1:$D$3548,'Customer Portfolio'!A360)</f>
        <v>1</v>
      </c>
      <c r="E360" s="5">
        <f>SUMIFS('working sheet'!$E$2:$E$3548,'working sheet'!$D$2:$D$3548,'Customer Portfolio'!A360)</f>
        <v>27.92</v>
      </c>
      <c r="F360" s="6">
        <f t="shared" si="10"/>
        <v>27.92</v>
      </c>
      <c r="G360" t="str">
        <f t="array" ref="G360">IFERROR(INDEX('working sheet'!$F$2:$F$3548, MODE(IF('working sheet'!$D$2:$D$3548=A360, MATCH('working sheet'!$F$2:$F$3548, 'working sheet'!$F$2:$F$3548, 0)))),
         INDEX('working sheet'!$F$2:$F$3548, MATCH(A360, 'working sheet'!$D$2:$D$3548, 0)))</f>
        <v>Americano with Milk</v>
      </c>
      <c r="H360" s="7">
        <f t="shared" si="11"/>
        <v>1</v>
      </c>
      <c r="I360" s="7">
        <f>MAX('working sheet'!$B$2:$B$3548)-C360</f>
        <v>258.81808310185443</v>
      </c>
      <c r="J360" s="4" t="str">
        <f t="array" ref="J360">IF(AND(I360&lt;=30, D360&gt;=10, E360&gt;=200), "VIP",  IF(AND(I360&lt;=60, D360&gt;=5, E360&gt;=100), "Loyal", IF(AND(I360&lt;=90, D360&gt;=3), "Regular", IF(I360&lt;=30, "Recent", IF(D360&gt;=3, "Occasional", "At Risk")))))</f>
        <v>At Risk</v>
      </c>
      <c r="K360" t="str">
        <f t="array" ref="K360">IF(OR(J360="VIP", J360="Loyal"), "HIGH",IF(OR(J360="Regular", J360="Recent"), "MEDIUM","LOW"))</f>
        <v>LOW</v>
      </c>
    </row>
    <row r="361" spans="1:11">
      <c r="A361" t="s">
        <v>374</v>
      </c>
      <c r="B361" s="14">
        <f>_xlfn.MINIFS('working sheet'!$B$2:$B$3548, 'working sheet'!$D$2:$D$3548, A361)</f>
        <v>45481.314672731482</v>
      </c>
      <c r="C361" s="17">
        <f>_xlfn.MAXIFS('working sheet'!$B$1:$B$3548,'working sheet'!$D$1:$D$3548,'Customer Portfolio'!A361)</f>
        <v>45481.314672731482</v>
      </c>
      <c r="D361">
        <f>COUNTIFS('working sheet'!$D$1:$D$3548,'Customer Portfolio'!A361)</f>
        <v>1</v>
      </c>
      <c r="E361" s="5">
        <f>SUMIFS('working sheet'!$E$2:$E$3548,'working sheet'!$D$2:$D$3548,'Customer Portfolio'!A361)</f>
        <v>32.82</v>
      </c>
      <c r="F361" s="6">
        <f t="shared" si="10"/>
        <v>32.82</v>
      </c>
      <c r="G361" t="str">
        <f t="array" ref="G361">IFERROR(INDEX('working sheet'!$F$2:$F$3548, MODE(IF('working sheet'!$D$2:$D$3548=A361, MATCH('working sheet'!$F$2:$F$3548, 'working sheet'!$F$2:$F$3548, 0)))),
         INDEX('working sheet'!$F$2:$F$3548, MATCH(A361, 'working sheet'!$D$2:$D$3548, 0)))</f>
        <v>Latte</v>
      </c>
      <c r="H361" s="7">
        <f t="shared" si="11"/>
        <v>1</v>
      </c>
      <c r="I361" s="7">
        <f>MAX('working sheet'!$B$2:$B$3548)-C361</f>
        <v>258.44341332175827</v>
      </c>
      <c r="J361" s="4" t="str">
        <f t="array" ref="J361">IF(AND(I361&lt;=30, D361&gt;=10, E361&gt;=200), "VIP",  IF(AND(I361&lt;=60, D361&gt;=5, E361&gt;=100), "Loyal", IF(AND(I361&lt;=90, D361&gt;=3), "Regular", IF(I361&lt;=30, "Recent", IF(D361&gt;=3, "Occasional", "At Risk")))))</f>
        <v>At Risk</v>
      </c>
      <c r="K361" t="str">
        <f t="array" ref="K361">IF(OR(J361="VIP", J361="Loyal"), "HIGH",IF(OR(J361="Regular", J361="Recent"), "MEDIUM","LOW"))</f>
        <v>LOW</v>
      </c>
    </row>
    <row r="362" spans="1:11">
      <c r="A362" t="s">
        <v>375</v>
      </c>
      <c r="B362" s="14">
        <f>_xlfn.MINIFS('working sheet'!$B$2:$B$3548, 'working sheet'!$D$2:$D$3548, A362)</f>
        <v>45481.501972465281</v>
      </c>
      <c r="C362" s="17">
        <f>_xlfn.MAXIFS('working sheet'!$B$1:$B$3548,'working sheet'!$D$1:$D$3548,'Customer Portfolio'!A362)</f>
        <v>45481.501972465281</v>
      </c>
      <c r="D362">
        <f>COUNTIFS('working sheet'!$D$1:$D$3548,'Customer Portfolio'!A362)</f>
        <v>1</v>
      </c>
      <c r="E362" s="5">
        <f>SUMIFS('working sheet'!$E$2:$E$3548,'working sheet'!$D$2:$D$3548,'Customer Portfolio'!A362)</f>
        <v>23.02</v>
      </c>
      <c r="F362" s="6">
        <f t="shared" si="10"/>
        <v>23.02</v>
      </c>
      <c r="G362" t="str">
        <f t="array" ref="G362">IFERROR(INDEX('working sheet'!$F$2:$F$3548, MODE(IF('working sheet'!$D$2:$D$3548=A362, MATCH('working sheet'!$F$2:$F$3548, 'working sheet'!$F$2:$F$3548, 0)))),
         INDEX('working sheet'!$F$2:$F$3548, MATCH(A362, 'working sheet'!$D$2:$D$3548, 0)))</f>
        <v>Americano</v>
      </c>
      <c r="H362" s="7">
        <f t="shared" si="11"/>
        <v>1</v>
      </c>
      <c r="I362" s="7">
        <f>MAX('working sheet'!$B$2:$B$3548)-C362</f>
        <v>258.25611358795868</v>
      </c>
      <c r="J362" s="4" t="str">
        <f t="array" ref="J362">IF(AND(I362&lt;=30, D362&gt;=10, E362&gt;=200), "VIP",  IF(AND(I362&lt;=60, D362&gt;=5, E362&gt;=100), "Loyal", IF(AND(I362&lt;=90, D362&gt;=3), "Regular", IF(I362&lt;=30, "Recent", IF(D362&gt;=3, "Occasional", "At Risk")))))</f>
        <v>At Risk</v>
      </c>
      <c r="K362" t="str">
        <f t="array" ref="K362">IF(OR(J362="VIP", J362="Loyal"), "HIGH",IF(OR(J362="Regular", J362="Recent"), "MEDIUM","LOW"))</f>
        <v>LOW</v>
      </c>
    </row>
    <row r="363" spans="1:11">
      <c r="A363" t="s">
        <v>376</v>
      </c>
      <c r="B363" s="14">
        <f>_xlfn.MINIFS('working sheet'!$B$2:$B$3548, 'working sheet'!$D$2:$D$3548, A363)</f>
        <v>45481.611392939813</v>
      </c>
      <c r="C363" s="17">
        <f>_xlfn.MAXIFS('working sheet'!$B$1:$B$3548,'working sheet'!$D$1:$D$3548,'Customer Portfolio'!A363)</f>
        <v>45481.611392939813</v>
      </c>
      <c r="D363">
        <f>COUNTIFS('working sheet'!$D$1:$D$3548,'Customer Portfolio'!A363)</f>
        <v>1</v>
      </c>
      <c r="E363" s="5">
        <f>SUMIFS('working sheet'!$E$2:$E$3548,'working sheet'!$D$2:$D$3548,'Customer Portfolio'!A363)</f>
        <v>23.02</v>
      </c>
      <c r="F363" s="6">
        <f t="shared" si="10"/>
        <v>23.02</v>
      </c>
      <c r="G363" t="str">
        <f t="array" ref="G363">IFERROR(INDEX('working sheet'!$F$2:$F$3548, MODE(IF('working sheet'!$D$2:$D$3548=A363, MATCH('working sheet'!$F$2:$F$3548, 'working sheet'!$F$2:$F$3548, 0)))),
         INDEX('working sheet'!$F$2:$F$3548, MATCH(A363, 'working sheet'!$D$2:$D$3548, 0)))</f>
        <v>Americano</v>
      </c>
      <c r="H363" s="7">
        <f t="shared" si="11"/>
        <v>1</v>
      </c>
      <c r="I363" s="7">
        <f>MAX('working sheet'!$B$2:$B$3548)-C363</f>
        <v>258.14669311342732</v>
      </c>
      <c r="J363" s="4" t="str">
        <f t="array" ref="J363">IF(AND(I363&lt;=30, D363&gt;=10, E363&gt;=200), "VIP",  IF(AND(I363&lt;=60, D363&gt;=5, E363&gt;=100), "Loyal", IF(AND(I363&lt;=90, D363&gt;=3), "Regular", IF(I363&lt;=30, "Recent", IF(D363&gt;=3, "Occasional", "At Risk")))))</f>
        <v>At Risk</v>
      </c>
      <c r="K363" t="str">
        <f t="array" ref="K363">IF(OR(J363="VIP", J363="Loyal"), "HIGH",IF(OR(J363="Regular", J363="Recent"), "MEDIUM","LOW"))</f>
        <v>LOW</v>
      </c>
    </row>
    <row r="364" spans="1:11">
      <c r="A364" t="s">
        <v>377</v>
      </c>
      <c r="B364" s="14">
        <f>_xlfn.MINIFS('working sheet'!$B$2:$B$3548, 'working sheet'!$D$2:$D$3548, A364)</f>
        <v>45481.812904814811</v>
      </c>
      <c r="C364" s="17">
        <f>_xlfn.MAXIFS('working sheet'!$B$1:$B$3548,'working sheet'!$D$1:$D$3548,'Customer Portfolio'!A364)</f>
        <v>45481.812904814811</v>
      </c>
      <c r="D364">
        <f>COUNTIFS('working sheet'!$D$1:$D$3548,'Customer Portfolio'!A364)</f>
        <v>1</v>
      </c>
      <c r="E364" s="5">
        <f>SUMIFS('working sheet'!$E$2:$E$3548,'working sheet'!$D$2:$D$3548,'Customer Portfolio'!A364)</f>
        <v>27.92</v>
      </c>
      <c r="F364" s="6">
        <f t="shared" si="10"/>
        <v>27.92</v>
      </c>
      <c r="G364" t="str">
        <f t="array" ref="G364">IFERROR(INDEX('working sheet'!$F$2:$F$3548, MODE(IF('working sheet'!$D$2:$D$3548=A364, MATCH('working sheet'!$F$2:$F$3548, 'working sheet'!$F$2:$F$3548, 0)))),
         INDEX('working sheet'!$F$2:$F$3548, MATCH(A364, 'working sheet'!$D$2:$D$3548, 0)))</f>
        <v>Americano with Milk</v>
      </c>
      <c r="H364" s="7">
        <f t="shared" si="11"/>
        <v>1</v>
      </c>
      <c r="I364" s="7">
        <f>MAX('working sheet'!$B$2:$B$3548)-C364</f>
        <v>257.94518123842863</v>
      </c>
      <c r="J364" s="4" t="str">
        <f t="array" ref="J364">IF(AND(I364&lt;=30, D364&gt;=10, E364&gt;=200), "VIP",  IF(AND(I364&lt;=60, D364&gt;=5, E364&gt;=100), "Loyal", IF(AND(I364&lt;=90, D364&gt;=3), "Regular", IF(I364&lt;=30, "Recent", IF(D364&gt;=3, "Occasional", "At Risk")))))</f>
        <v>At Risk</v>
      </c>
      <c r="K364" t="str">
        <f t="array" ref="K364">IF(OR(J364="VIP", J364="Loyal"), "HIGH",IF(OR(J364="Regular", J364="Recent"), "MEDIUM","LOW"))</f>
        <v>LOW</v>
      </c>
    </row>
    <row r="365" spans="1:11">
      <c r="A365" t="s">
        <v>378</v>
      </c>
      <c r="B365" s="14">
        <f>_xlfn.MINIFS('working sheet'!$B$2:$B$3548, 'working sheet'!$D$2:$D$3548, A365)</f>
        <v>45482.696522395832</v>
      </c>
      <c r="C365" s="17">
        <f>_xlfn.MAXIFS('working sheet'!$B$1:$B$3548,'working sheet'!$D$1:$D$3548,'Customer Portfolio'!A365)</f>
        <v>45482.696522395832</v>
      </c>
      <c r="D365">
        <f>COUNTIFS('working sheet'!$D$1:$D$3548,'Customer Portfolio'!A365)</f>
        <v>1</v>
      </c>
      <c r="E365" s="5">
        <f>SUMIFS('working sheet'!$E$2:$E$3548,'working sheet'!$D$2:$D$3548,'Customer Portfolio'!A365)</f>
        <v>27.92</v>
      </c>
      <c r="F365" s="6">
        <f t="shared" si="10"/>
        <v>27.92</v>
      </c>
      <c r="G365" t="str">
        <f t="array" ref="G365">IFERROR(INDEX('working sheet'!$F$2:$F$3548, MODE(IF('working sheet'!$D$2:$D$3548=A365, MATCH('working sheet'!$F$2:$F$3548, 'working sheet'!$F$2:$F$3548, 0)))),
         INDEX('working sheet'!$F$2:$F$3548, MATCH(A365, 'working sheet'!$D$2:$D$3548, 0)))</f>
        <v>Americano with Milk</v>
      </c>
      <c r="H365" s="7">
        <f t="shared" si="11"/>
        <v>1</v>
      </c>
      <c r="I365" s="7">
        <f>MAX('working sheet'!$B$2:$B$3548)-C365</f>
        <v>257.06156365740753</v>
      </c>
      <c r="J365" s="4" t="str">
        <f t="array" ref="J365">IF(AND(I365&lt;=30, D365&gt;=10, E365&gt;=200), "VIP",  IF(AND(I365&lt;=60, D365&gt;=5, E365&gt;=100), "Loyal", IF(AND(I365&lt;=90, D365&gt;=3), "Regular", IF(I365&lt;=30, "Recent", IF(D365&gt;=3, "Occasional", "At Risk")))))</f>
        <v>At Risk</v>
      </c>
      <c r="K365" t="str">
        <f t="array" ref="K365">IF(OR(J365="VIP", J365="Loyal"), "HIGH",IF(OR(J365="Regular", J365="Recent"), "MEDIUM","LOW"))</f>
        <v>LOW</v>
      </c>
    </row>
    <row r="366" spans="1:11">
      <c r="A366" t="s">
        <v>379</v>
      </c>
      <c r="B366" s="14">
        <f>_xlfn.MINIFS('working sheet'!$B$2:$B$3548, 'working sheet'!$D$2:$D$3548, A366)</f>
        <v>45483.465760300925</v>
      </c>
      <c r="C366" s="17">
        <f>_xlfn.MAXIFS('working sheet'!$B$1:$B$3548,'working sheet'!$D$1:$D$3548,'Customer Portfolio'!A366)</f>
        <v>45486.487246400466</v>
      </c>
      <c r="D366">
        <f>COUNTIFS('working sheet'!$D$1:$D$3548,'Customer Portfolio'!A366)</f>
        <v>3</v>
      </c>
      <c r="E366" s="5">
        <f>SUMIFS('working sheet'!$E$2:$E$3548,'working sheet'!$D$2:$D$3548,'Customer Portfolio'!A366)</f>
        <v>88.66</v>
      </c>
      <c r="F366" s="6">
        <f t="shared" si="10"/>
        <v>29.553333333333331</v>
      </c>
      <c r="G366" t="str">
        <f t="array" ref="G366">IFERROR(INDEX('working sheet'!$F$2:$F$3548, MODE(IF('working sheet'!$D$2:$D$3548=A366, MATCH('working sheet'!$F$2:$F$3548, 'working sheet'!$F$2:$F$3548, 0)))),
         INDEX('working sheet'!$F$2:$F$3548, MATCH(A366, 'working sheet'!$D$2:$D$3548, 0)))</f>
        <v>Latte</v>
      </c>
      <c r="H366" s="7">
        <f t="shared" si="11"/>
        <v>4.0214860995401978</v>
      </c>
      <c r="I366" s="7">
        <f>MAX('working sheet'!$B$2:$B$3548)-C366</f>
        <v>253.27083965277416</v>
      </c>
      <c r="J366" s="4" t="str">
        <f t="array" ref="J366">IF(AND(I366&lt;=30, D366&gt;=10, E366&gt;=200), "VIP",  IF(AND(I366&lt;=60, D366&gt;=5, E366&gt;=100), "Loyal", IF(AND(I366&lt;=90, D366&gt;=3), "Regular", IF(I366&lt;=30, "Recent", IF(D366&gt;=3, "Occasional", "At Risk")))))</f>
        <v>Occasional</v>
      </c>
      <c r="K366" t="str">
        <f t="array" ref="K366">IF(OR(J366="VIP", J366="Loyal"), "HIGH",IF(OR(J366="Regular", J366="Recent"), "MEDIUM","LOW"))</f>
        <v>LOW</v>
      </c>
    </row>
    <row r="367" spans="1:11">
      <c r="A367" t="s">
        <v>380</v>
      </c>
      <c r="B367" s="14">
        <f>_xlfn.MINIFS('working sheet'!$B$2:$B$3548, 'working sheet'!$D$2:$D$3548, A367)</f>
        <v>45483.520065497687</v>
      </c>
      <c r="C367" s="17">
        <f>_xlfn.MAXIFS('working sheet'!$B$1:$B$3548,'working sheet'!$D$1:$D$3548,'Customer Portfolio'!A367)</f>
        <v>45483.520065497687</v>
      </c>
      <c r="D367">
        <f>COUNTIFS('working sheet'!$D$1:$D$3548,'Customer Portfolio'!A367)</f>
        <v>1</v>
      </c>
      <c r="E367" s="5">
        <f>SUMIFS('working sheet'!$E$2:$E$3548,'working sheet'!$D$2:$D$3548,'Customer Portfolio'!A367)</f>
        <v>27.92</v>
      </c>
      <c r="F367" s="6">
        <f t="shared" si="10"/>
        <v>27.92</v>
      </c>
      <c r="G367" t="str">
        <f t="array" ref="G367">IFERROR(INDEX('working sheet'!$F$2:$F$3548, MODE(IF('working sheet'!$D$2:$D$3548=A367, MATCH('working sheet'!$F$2:$F$3548, 'working sheet'!$F$2:$F$3548, 0)))),
         INDEX('working sheet'!$F$2:$F$3548, MATCH(A367, 'working sheet'!$D$2:$D$3548, 0)))</f>
        <v>Americano with Milk</v>
      </c>
      <c r="H367" s="7">
        <f t="shared" si="11"/>
        <v>1</v>
      </c>
      <c r="I367" s="7">
        <f>MAX('working sheet'!$B$2:$B$3548)-C367</f>
        <v>256.23802055555279</v>
      </c>
      <c r="J367" s="4" t="str">
        <f t="array" ref="J367">IF(AND(I367&lt;=30, D367&gt;=10, E367&gt;=200), "VIP",  IF(AND(I367&lt;=60, D367&gt;=5, E367&gt;=100), "Loyal", IF(AND(I367&lt;=90, D367&gt;=3), "Regular", IF(I367&lt;=30, "Recent", IF(D367&gt;=3, "Occasional", "At Risk")))))</f>
        <v>At Risk</v>
      </c>
      <c r="K367" t="str">
        <f t="array" ref="K367">IF(OR(J367="VIP", J367="Loyal"), "HIGH",IF(OR(J367="Regular", J367="Recent"), "MEDIUM","LOW"))</f>
        <v>LOW</v>
      </c>
    </row>
    <row r="368" spans="1:11">
      <c r="A368" t="s">
        <v>381</v>
      </c>
      <c r="B368" s="14">
        <f>_xlfn.MINIFS('working sheet'!$B$2:$B$3548, 'working sheet'!$D$2:$D$3548, A368)</f>
        <v>45484.477402337965</v>
      </c>
      <c r="C368" s="17">
        <f>_xlfn.MAXIFS('working sheet'!$B$1:$B$3548,'working sheet'!$D$1:$D$3548,'Customer Portfolio'!A368)</f>
        <v>45516.351614097221</v>
      </c>
      <c r="D368">
        <f>COUNTIFS('working sheet'!$D$1:$D$3548,'Customer Portfolio'!A368)</f>
        <v>4</v>
      </c>
      <c r="E368" s="5">
        <f>SUMIFS('working sheet'!$E$2:$E$3548,'working sheet'!$D$2:$D$3548,'Customer Portfolio'!A368)</f>
        <v>131.28</v>
      </c>
      <c r="F368" s="6">
        <f t="shared" si="10"/>
        <v>32.82</v>
      </c>
      <c r="G368" t="str">
        <f t="array" ref="G368">IFERROR(INDEX('working sheet'!$F$2:$F$3548, MODE(IF('working sheet'!$D$2:$D$3548=A368, MATCH('working sheet'!$F$2:$F$3548, 'working sheet'!$F$2:$F$3548, 0)))),
         INDEX('working sheet'!$F$2:$F$3548, MATCH(A368, 'working sheet'!$D$2:$D$3548, 0)))</f>
        <v>Hot Chocolate</v>
      </c>
      <c r="H368" s="7">
        <f t="shared" si="11"/>
        <v>32.874211759255559</v>
      </c>
      <c r="I368" s="7">
        <f>MAX('working sheet'!$B$2:$B$3548)-C368</f>
        <v>223.40647195601923</v>
      </c>
      <c r="J368" s="4" t="str">
        <f t="array" ref="J368">IF(AND(I368&lt;=30, D368&gt;=10, E368&gt;=200), "VIP",  IF(AND(I368&lt;=60, D368&gt;=5, E368&gt;=100), "Loyal", IF(AND(I368&lt;=90, D368&gt;=3), "Regular", IF(I368&lt;=30, "Recent", IF(D368&gt;=3, "Occasional", "At Risk")))))</f>
        <v>Occasional</v>
      </c>
      <c r="K368" t="str">
        <f t="array" ref="K368">IF(OR(J368="VIP", J368="Loyal"), "HIGH",IF(OR(J368="Regular", J368="Recent"), "MEDIUM","LOW"))</f>
        <v>LOW</v>
      </c>
    </row>
    <row r="369" spans="1:11">
      <c r="A369" t="s">
        <v>382</v>
      </c>
      <c r="B369" s="14">
        <f>_xlfn.MINIFS('working sheet'!$B$2:$B$3548, 'working sheet'!$D$2:$D$3548, A369)</f>
        <v>45484.70021653935</v>
      </c>
      <c r="C369" s="17">
        <f>_xlfn.MAXIFS('working sheet'!$B$1:$B$3548,'working sheet'!$D$1:$D$3548,'Customer Portfolio'!A369)</f>
        <v>45484.70021653935</v>
      </c>
      <c r="D369">
        <f>COUNTIFS('working sheet'!$D$1:$D$3548,'Customer Portfolio'!A369)</f>
        <v>1</v>
      </c>
      <c r="E369" s="5">
        <f>SUMIFS('working sheet'!$E$2:$E$3548,'working sheet'!$D$2:$D$3548,'Customer Portfolio'!A369)</f>
        <v>27.92</v>
      </c>
      <c r="F369" s="6">
        <f t="shared" si="10"/>
        <v>27.92</v>
      </c>
      <c r="G369" t="str">
        <f t="array" ref="G369">IFERROR(INDEX('working sheet'!$F$2:$F$3548, MODE(IF('working sheet'!$D$2:$D$3548=A369, MATCH('working sheet'!$F$2:$F$3548, 'working sheet'!$F$2:$F$3548, 0)))),
         INDEX('working sheet'!$F$2:$F$3548, MATCH(A369, 'working sheet'!$D$2:$D$3548, 0)))</f>
        <v>Americano with Milk</v>
      </c>
      <c r="H369" s="7">
        <f t="shared" si="11"/>
        <v>1</v>
      </c>
      <c r="I369" s="7">
        <f>MAX('working sheet'!$B$2:$B$3548)-C369</f>
        <v>255.05786951389018</v>
      </c>
      <c r="J369" s="4" t="str">
        <f t="array" ref="J369">IF(AND(I369&lt;=30, D369&gt;=10, E369&gt;=200), "VIP",  IF(AND(I369&lt;=60, D369&gt;=5, E369&gt;=100), "Loyal", IF(AND(I369&lt;=90, D369&gt;=3), "Regular", IF(I369&lt;=30, "Recent", IF(D369&gt;=3, "Occasional", "At Risk")))))</f>
        <v>At Risk</v>
      </c>
      <c r="K369" t="str">
        <f t="array" ref="K369">IF(OR(J369="VIP", J369="Loyal"), "HIGH",IF(OR(J369="Regular", J369="Recent"), "MEDIUM","LOW"))</f>
        <v>LOW</v>
      </c>
    </row>
    <row r="370" spans="1:11">
      <c r="A370" t="s">
        <v>383</v>
      </c>
      <c r="B370" s="14">
        <f>_xlfn.MINIFS('working sheet'!$B$2:$B$3548, 'working sheet'!$D$2:$D$3548, A370)</f>
        <v>45484.932102407409</v>
      </c>
      <c r="C370" s="17">
        <f>_xlfn.MAXIFS('working sheet'!$B$1:$B$3548,'working sheet'!$D$1:$D$3548,'Customer Portfolio'!A370)</f>
        <v>45484.932102407409</v>
      </c>
      <c r="D370">
        <f>COUNTIFS('working sheet'!$D$1:$D$3548,'Customer Portfolio'!A370)</f>
        <v>1</v>
      </c>
      <c r="E370" s="5">
        <f>SUMIFS('working sheet'!$E$2:$E$3548,'working sheet'!$D$2:$D$3548,'Customer Portfolio'!A370)</f>
        <v>32.82</v>
      </c>
      <c r="F370" s="6">
        <f t="shared" si="10"/>
        <v>32.82</v>
      </c>
      <c r="G370" t="str">
        <f t="array" ref="G370">IFERROR(INDEX('working sheet'!$F$2:$F$3548, MODE(IF('working sheet'!$D$2:$D$3548=A370, MATCH('working sheet'!$F$2:$F$3548, 'working sheet'!$F$2:$F$3548, 0)))),
         INDEX('working sheet'!$F$2:$F$3548, MATCH(A370, 'working sheet'!$D$2:$D$3548, 0)))</f>
        <v>Latte</v>
      </c>
      <c r="H370" s="7">
        <f t="shared" si="11"/>
        <v>1</v>
      </c>
      <c r="I370" s="7">
        <f>MAX('working sheet'!$B$2:$B$3548)-C370</f>
        <v>254.825983645831</v>
      </c>
      <c r="J370" s="4" t="str">
        <f t="array" ref="J370">IF(AND(I370&lt;=30, D370&gt;=10, E370&gt;=200), "VIP",  IF(AND(I370&lt;=60, D370&gt;=5, E370&gt;=100), "Loyal", IF(AND(I370&lt;=90, D370&gt;=3), "Regular", IF(I370&lt;=30, "Recent", IF(D370&gt;=3, "Occasional", "At Risk")))))</f>
        <v>At Risk</v>
      </c>
      <c r="K370" t="str">
        <f t="array" ref="K370">IF(OR(J370="VIP", J370="Loyal"), "HIGH",IF(OR(J370="Regular", J370="Recent"), "MEDIUM","LOW"))</f>
        <v>LOW</v>
      </c>
    </row>
    <row r="371" spans="1:11">
      <c r="A371" t="s">
        <v>384</v>
      </c>
      <c r="B371" s="14">
        <f>_xlfn.MINIFS('working sheet'!$B$2:$B$3548, 'working sheet'!$D$2:$D$3548, A371)</f>
        <v>45484.938177557873</v>
      </c>
      <c r="C371" s="17">
        <f>_xlfn.MAXIFS('working sheet'!$B$1:$B$3548,'working sheet'!$D$1:$D$3548,'Customer Portfolio'!A371)</f>
        <v>45484.938177557873</v>
      </c>
      <c r="D371">
        <f>COUNTIFS('working sheet'!$D$1:$D$3548,'Customer Portfolio'!A371)</f>
        <v>1</v>
      </c>
      <c r="E371" s="5">
        <f>SUMIFS('working sheet'!$E$2:$E$3548,'working sheet'!$D$2:$D$3548,'Customer Portfolio'!A371)</f>
        <v>23.02</v>
      </c>
      <c r="F371" s="6">
        <f t="shared" si="10"/>
        <v>23.02</v>
      </c>
      <c r="G371" t="str">
        <f t="array" ref="G371">IFERROR(INDEX('working sheet'!$F$2:$F$3548, MODE(IF('working sheet'!$D$2:$D$3548=A371, MATCH('working sheet'!$F$2:$F$3548, 'working sheet'!$F$2:$F$3548, 0)))),
         INDEX('working sheet'!$F$2:$F$3548, MATCH(A371, 'working sheet'!$D$2:$D$3548, 0)))</f>
        <v>Americano</v>
      </c>
      <c r="H371" s="7">
        <f t="shared" si="11"/>
        <v>1</v>
      </c>
      <c r="I371" s="7">
        <f>MAX('working sheet'!$B$2:$B$3548)-C371</f>
        <v>254.81990849536669</v>
      </c>
      <c r="J371" s="4" t="str">
        <f t="array" ref="J371">IF(AND(I371&lt;=30, D371&gt;=10, E371&gt;=200), "VIP",  IF(AND(I371&lt;=60, D371&gt;=5, E371&gt;=100), "Loyal", IF(AND(I371&lt;=90, D371&gt;=3), "Regular", IF(I371&lt;=30, "Recent", IF(D371&gt;=3, "Occasional", "At Risk")))))</f>
        <v>At Risk</v>
      </c>
      <c r="K371" t="str">
        <f t="array" ref="K371">IF(OR(J371="VIP", J371="Loyal"), "HIGH",IF(OR(J371="Regular", J371="Recent"), "MEDIUM","LOW"))</f>
        <v>LOW</v>
      </c>
    </row>
    <row r="372" spans="1:11">
      <c r="A372" t="s">
        <v>385</v>
      </c>
      <c r="B372" s="14">
        <f>_xlfn.MINIFS('working sheet'!$B$2:$B$3548, 'working sheet'!$D$2:$D$3548, A372)</f>
        <v>45485.335619120371</v>
      </c>
      <c r="C372" s="17">
        <f>_xlfn.MAXIFS('working sheet'!$B$1:$B$3548,'working sheet'!$D$1:$D$3548,'Customer Portfolio'!A372)</f>
        <v>45535.380931562497</v>
      </c>
      <c r="D372">
        <f>COUNTIFS('working sheet'!$D$1:$D$3548,'Customer Portfolio'!A372)</f>
        <v>2</v>
      </c>
      <c r="E372" s="5">
        <f>SUMIFS('working sheet'!$E$2:$E$3548,'working sheet'!$D$2:$D$3548,'Customer Portfolio'!A372)</f>
        <v>46.04</v>
      </c>
      <c r="F372" s="6">
        <f t="shared" si="10"/>
        <v>23.02</v>
      </c>
      <c r="G372" t="str">
        <f t="array" ref="G372">IFERROR(INDEX('working sheet'!$F$2:$F$3548, MODE(IF('working sheet'!$D$2:$D$3548=A372, MATCH('working sheet'!$F$2:$F$3548, 'working sheet'!$F$2:$F$3548, 0)))),
         INDEX('working sheet'!$F$2:$F$3548, MATCH(A372, 'working sheet'!$D$2:$D$3548, 0)))</f>
        <v>Cortado</v>
      </c>
      <c r="H372" s="7">
        <f t="shared" si="11"/>
        <v>51.045312442125578</v>
      </c>
      <c r="I372" s="7">
        <f>MAX('working sheet'!$B$2:$B$3548)-C372</f>
        <v>204.37715449074312</v>
      </c>
      <c r="J372" s="4" t="str">
        <f t="array" ref="J372">IF(AND(I372&lt;=30, D372&gt;=10, E372&gt;=200), "VIP",  IF(AND(I372&lt;=60, D372&gt;=5, E372&gt;=100), "Loyal", IF(AND(I372&lt;=90, D372&gt;=3), "Regular", IF(I372&lt;=30, "Recent", IF(D372&gt;=3, "Occasional", "At Risk")))))</f>
        <v>At Risk</v>
      </c>
      <c r="K372" t="str">
        <f t="array" ref="K372">IF(OR(J372="VIP", J372="Loyal"), "HIGH",IF(OR(J372="Regular", J372="Recent"), "MEDIUM","LOW"))</f>
        <v>LOW</v>
      </c>
    </row>
    <row r="373" spans="1:11">
      <c r="A373" t="s">
        <v>386</v>
      </c>
      <c r="B373" s="14">
        <f>_xlfn.MINIFS('working sheet'!$B$2:$B$3548, 'working sheet'!$D$2:$D$3548, A373)</f>
        <v>45485.492053020833</v>
      </c>
      <c r="C373" s="17">
        <f>_xlfn.MAXIFS('working sheet'!$B$1:$B$3548,'working sheet'!$D$1:$D$3548,'Customer Portfolio'!A373)</f>
        <v>45485.492053020833</v>
      </c>
      <c r="D373">
        <f>COUNTIFS('working sheet'!$D$1:$D$3548,'Customer Portfolio'!A373)</f>
        <v>1</v>
      </c>
      <c r="E373" s="5">
        <f>SUMIFS('working sheet'!$E$2:$E$3548,'working sheet'!$D$2:$D$3548,'Customer Portfolio'!A373)</f>
        <v>32.82</v>
      </c>
      <c r="F373" s="6">
        <f t="shared" si="10"/>
        <v>32.82</v>
      </c>
      <c r="G373" t="str">
        <f t="array" ref="G373">IFERROR(INDEX('working sheet'!$F$2:$F$3548, MODE(IF('working sheet'!$D$2:$D$3548=A373, MATCH('working sheet'!$F$2:$F$3548, 'working sheet'!$F$2:$F$3548, 0)))),
         INDEX('working sheet'!$F$2:$F$3548, MATCH(A373, 'working sheet'!$D$2:$D$3548, 0)))</f>
        <v>Hot Chocolate</v>
      </c>
      <c r="H373" s="7">
        <f t="shared" si="11"/>
        <v>1</v>
      </c>
      <c r="I373" s="7">
        <f>MAX('working sheet'!$B$2:$B$3548)-C373</f>
        <v>254.26603303240699</v>
      </c>
      <c r="J373" s="4" t="str">
        <f t="array" ref="J373">IF(AND(I373&lt;=30, D373&gt;=10, E373&gt;=200), "VIP",  IF(AND(I373&lt;=60, D373&gt;=5, E373&gt;=100), "Loyal", IF(AND(I373&lt;=90, D373&gt;=3), "Regular", IF(I373&lt;=30, "Recent", IF(D373&gt;=3, "Occasional", "At Risk")))))</f>
        <v>At Risk</v>
      </c>
      <c r="K373" t="str">
        <f t="array" ref="K373">IF(OR(J373="VIP", J373="Loyal"), "HIGH",IF(OR(J373="Regular", J373="Recent"), "MEDIUM","LOW"))</f>
        <v>LOW</v>
      </c>
    </row>
    <row r="374" spans="1:11">
      <c r="A374" t="s">
        <v>387</v>
      </c>
      <c r="B374" s="14">
        <f>_xlfn.MINIFS('working sheet'!$B$2:$B$3548, 'working sheet'!$D$2:$D$3548, A374)</f>
        <v>45487.454447997683</v>
      </c>
      <c r="C374" s="17">
        <f>_xlfn.MAXIFS('working sheet'!$B$1:$B$3548,'working sheet'!$D$1:$D$3548,'Customer Portfolio'!A374)</f>
        <v>45487.455905682873</v>
      </c>
      <c r="D374">
        <f>COUNTIFS('working sheet'!$D$1:$D$3548,'Customer Portfolio'!A374)</f>
        <v>3</v>
      </c>
      <c r="E374" s="5">
        <f>SUMIFS('working sheet'!$E$2:$E$3548,'working sheet'!$D$2:$D$3548,'Customer Portfolio'!A374)</f>
        <v>83.759999999999991</v>
      </c>
      <c r="F374" s="6">
        <f t="shared" si="10"/>
        <v>27.919999999999998</v>
      </c>
      <c r="G374" t="str">
        <f t="array" ref="G374">IFERROR(INDEX('working sheet'!$F$2:$F$3548, MODE(IF('working sheet'!$D$2:$D$3548=A374, MATCH('working sheet'!$F$2:$F$3548, 'working sheet'!$F$2:$F$3548, 0)))),
         INDEX('working sheet'!$F$2:$F$3548, MATCH(A374, 'working sheet'!$D$2:$D$3548, 0)))</f>
        <v>Americano</v>
      </c>
      <c r="H374" s="7">
        <f t="shared" si="11"/>
        <v>1.0014576851899619</v>
      </c>
      <c r="I374" s="7">
        <f>MAX('working sheet'!$B$2:$B$3548)-C374</f>
        <v>252.30218037036684</v>
      </c>
      <c r="J374" s="4" t="str">
        <f t="array" ref="J374">IF(AND(I374&lt;=30, D374&gt;=10, E374&gt;=200), "VIP",  IF(AND(I374&lt;=60, D374&gt;=5, E374&gt;=100), "Loyal", IF(AND(I374&lt;=90, D374&gt;=3), "Regular", IF(I374&lt;=30, "Recent", IF(D374&gt;=3, "Occasional", "At Risk")))))</f>
        <v>Occasional</v>
      </c>
      <c r="K374" t="str">
        <f t="array" ref="K374">IF(OR(J374="VIP", J374="Loyal"), "HIGH",IF(OR(J374="Regular", J374="Recent"), "MEDIUM","LOW"))</f>
        <v>LOW</v>
      </c>
    </row>
    <row r="375" spans="1:11">
      <c r="A375" t="s">
        <v>388</v>
      </c>
      <c r="B375" s="14">
        <f>_xlfn.MINIFS('working sheet'!$B$2:$B$3548, 'working sheet'!$D$2:$D$3548, A375)</f>
        <v>45487.456875717595</v>
      </c>
      <c r="C375" s="17">
        <f>_xlfn.MAXIFS('working sheet'!$B$1:$B$3548,'working sheet'!$D$1:$D$3548,'Customer Portfolio'!A375)</f>
        <v>45487.456875717595</v>
      </c>
      <c r="D375">
        <f>COUNTIFS('working sheet'!$D$1:$D$3548,'Customer Portfolio'!A375)</f>
        <v>1</v>
      </c>
      <c r="E375" s="5">
        <f>SUMIFS('working sheet'!$E$2:$E$3548,'working sheet'!$D$2:$D$3548,'Customer Portfolio'!A375)</f>
        <v>32.82</v>
      </c>
      <c r="F375" s="6">
        <f t="shared" si="10"/>
        <v>32.82</v>
      </c>
      <c r="G375" t="str">
        <f t="array" ref="G375">IFERROR(INDEX('working sheet'!$F$2:$F$3548, MODE(IF('working sheet'!$D$2:$D$3548=A375, MATCH('working sheet'!$F$2:$F$3548, 'working sheet'!$F$2:$F$3548, 0)))),
         INDEX('working sheet'!$F$2:$F$3548, MATCH(A375, 'working sheet'!$D$2:$D$3548, 0)))</f>
        <v>Latte</v>
      </c>
      <c r="H375" s="7">
        <f t="shared" si="11"/>
        <v>1</v>
      </c>
      <c r="I375" s="7">
        <f>MAX('working sheet'!$B$2:$B$3548)-C375</f>
        <v>252.30121033564501</v>
      </c>
      <c r="J375" s="4" t="str">
        <f t="array" ref="J375">IF(AND(I375&lt;=30, D375&gt;=10, E375&gt;=200), "VIP",  IF(AND(I375&lt;=60, D375&gt;=5, E375&gt;=100), "Loyal", IF(AND(I375&lt;=90, D375&gt;=3), "Regular", IF(I375&lt;=30, "Recent", IF(D375&gt;=3, "Occasional", "At Risk")))))</f>
        <v>At Risk</v>
      </c>
      <c r="K375" t="str">
        <f t="array" ref="K375">IF(OR(J375="VIP", J375="Loyal"), "HIGH",IF(OR(J375="Regular", J375="Recent"), "MEDIUM","LOW"))</f>
        <v>LOW</v>
      </c>
    </row>
    <row r="376" spans="1:11">
      <c r="A376" t="s">
        <v>389</v>
      </c>
      <c r="B376" s="14">
        <f>_xlfn.MINIFS('working sheet'!$B$2:$B$3548, 'working sheet'!$D$2:$D$3548, A376)</f>
        <v>45487.459858773145</v>
      </c>
      <c r="C376" s="17">
        <f>_xlfn.MAXIFS('working sheet'!$B$1:$B$3548,'working sheet'!$D$1:$D$3548,'Customer Portfolio'!A376)</f>
        <v>45604.409024687498</v>
      </c>
      <c r="D376">
        <f>COUNTIFS('working sheet'!$D$1:$D$3548,'Customer Portfolio'!A376)</f>
        <v>20</v>
      </c>
      <c r="E376" s="5">
        <f>SUMIFS('working sheet'!$E$2:$E$3548,'working sheet'!$D$2:$D$3548,'Customer Portfolio'!A376)</f>
        <v>542.71999999999991</v>
      </c>
      <c r="F376" s="6">
        <f t="shared" si="10"/>
        <v>27.135999999999996</v>
      </c>
      <c r="G376" t="str">
        <f t="array" ref="G376">IFERROR(INDEX('working sheet'!$F$2:$F$3548, MODE(IF('working sheet'!$D$2:$D$3548=A376, MATCH('working sheet'!$F$2:$F$3548, 'working sheet'!$F$2:$F$3548, 0)))),
         INDEX('working sheet'!$F$2:$F$3548, MATCH(A376, 'working sheet'!$D$2:$D$3548, 0)))</f>
        <v>Americano</v>
      </c>
      <c r="H376" s="7">
        <f t="shared" si="11"/>
        <v>117.94916591435322</v>
      </c>
      <c r="I376" s="7">
        <f>MAX('working sheet'!$B$2:$B$3548)-C376</f>
        <v>135.34906136574136</v>
      </c>
      <c r="J376" s="4" t="str">
        <f t="array" ref="J376">IF(AND(I376&lt;=30, D376&gt;=10, E376&gt;=200), "VIP",  IF(AND(I376&lt;=60, D376&gt;=5, E376&gt;=100), "Loyal", IF(AND(I376&lt;=90, D376&gt;=3), "Regular", IF(I376&lt;=30, "Recent", IF(D376&gt;=3, "Occasional", "At Risk")))))</f>
        <v>Occasional</v>
      </c>
      <c r="K376" t="str">
        <f t="array" ref="K376">IF(OR(J376="VIP", J376="Loyal"), "HIGH",IF(OR(J376="Regular", J376="Recent"), "MEDIUM","LOW"))</f>
        <v>LOW</v>
      </c>
    </row>
    <row r="377" spans="1:11">
      <c r="A377" t="s">
        <v>390</v>
      </c>
      <c r="B377" s="14">
        <f>_xlfn.MINIFS('working sheet'!$B$2:$B$3548, 'working sheet'!$D$2:$D$3548, A377)</f>
        <v>45487.938541388889</v>
      </c>
      <c r="C377" s="17">
        <f>_xlfn.MAXIFS('working sheet'!$B$1:$B$3548,'working sheet'!$D$1:$D$3548,'Customer Portfolio'!A377)</f>
        <v>45487.938541388889</v>
      </c>
      <c r="D377">
        <f>COUNTIFS('working sheet'!$D$1:$D$3548,'Customer Portfolio'!A377)</f>
        <v>1</v>
      </c>
      <c r="E377" s="5">
        <f>SUMIFS('working sheet'!$E$2:$E$3548,'working sheet'!$D$2:$D$3548,'Customer Portfolio'!A377)</f>
        <v>32.82</v>
      </c>
      <c r="F377" s="6">
        <f t="shared" si="10"/>
        <v>32.82</v>
      </c>
      <c r="G377" t="str">
        <f t="array" ref="G377">IFERROR(INDEX('working sheet'!$F$2:$F$3548, MODE(IF('working sheet'!$D$2:$D$3548=A377, MATCH('working sheet'!$F$2:$F$3548, 'working sheet'!$F$2:$F$3548, 0)))),
         INDEX('working sheet'!$F$2:$F$3548, MATCH(A377, 'working sheet'!$D$2:$D$3548, 0)))</f>
        <v>Latte</v>
      </c>
      <c r="H377" s="7">
        <f t="shared" si="11"/>
        <v>1</v>
      </c>
      <c r="I377" s="7">
        <f>MAX('working sheet'!$B$2:$B$3548)-C377</f>
        <v>251.81954466435127</v>
      </c>
      <c r="J377" s="4" t="str">
        <f t="array" ref="J377">IF(AND(I377&lt;=30, D377&gt;=10, E377&gt;=200), "VIP",  IF(AND(I377&lt;=60, D377&gt;=5, E377&gt;=100), "Loyal", IF(AND(I377&lt;=90, D377&gt;=3), "Regular", IF(I377&lt;=30, "Recent", IF(D377&gt;=3, "Occasional", "At Risk")))))</f>
        <v>At Risk</v>
      </c>
      <c r="K377" t="str">
        <f t="array" ref="K377">IF(OR(J377="VIP", J377="Loyal"), "HIGH",IF(OR(J377="Regular", J377="Recent"), "MEDIUM","LOW"))</f>
        <v>LOW</v>
      </c>
    </row>
    <row r="378" spans="1:11">
      <c r="A378" t="s">
        <v>391</v>
      </c>
      <c r="B378" s="14">
        <f>_xlfn.MINIFS('working sheet'!$B$2:$B$3548, 'working sheet'!$D$2:$D$3548, A378)</f>
        <v>45488.314647650463</v>
      </c>
      <c r="C378" s="17">
        <f>_xlfn.MAXIFS('working sheet'!$B$1:$B$3548,'working sheet'!$D$1:$D$3548,'Customer Portfolio'!A378)</f>
        <v>45488.314647650463</v>
      </c>
      <c r="D378">
        <f>COUNTIFS('working sheet'!$D$1:$D$3548,'Customer Portfolio'!A378)</f>
        <v>1</v>
      </c>
      <c r="E378" s="5">
        <f>SUMIFS('working sheet'!$E$2:$E$3548,'working sheet'!$D$2:$D$3548,'Customer Portfolio'!A378)</f>
        <v>32.82</v>
      </c>
      <c r="F378" s="6">
        <f t="shared" si="10"/>
        <v>32.82</v>
      </c>
      <c r="G378" t="str">
        <f t="array" ref="G378">IFERROR(INDEX('working sheet'!$F$2:$F$3548, MODE(IF('working sheet'!$D$2:$D$3548=A378, MATCH('working sheet'!$F$2:$F$3548, 'working sheet'!$F$2:$F$3548, 0)))),
         INDEX('working sheet'!$F$2:$F$3548, MATCH(A378, 'working sheet'!$D$2:$D$3548, 0)))</f>
        <v>Cappuccino</v>
      </c>
      <c r="H378" s="7">
        <f t="shared" si="11"/>
        <v>1</v>
      </c>
      <c r="I378" s="7">
        <f>MAX('working sheet'!$B$2:$B$3548)-C378</f>
        <v>251.44343840277725</v>
      </c>
      <c r="J378" s="4" t="str">
        <f t="array" ref="J378">IF(AND(I378&lt;=30, D378&gt;=10, E378&gt;=200), "VIP",  IF(AND(I378&lt;=60, D378&gt;=5, E378&gt;=100), "Loyal", IF(AND(I378&lt;=90, D378&gt;=3), "Regular", IF(I378&lt;=30, "Recent", IF(D378&gt;=3, "Occasional", "At Risk")))))</f>
        <v>At Risk</v>
      </c>
      <c r="K378" t="str">
        <f t="array" ref="K378">IF(OR(J378="VIP", J378="Loyal"), "HIGH",IF(OR(J378="Regular", J378="Recent"), "MEDIUM","LOW"))</f>
        <v>LOW</v>
      </c>
    </row>
    <row r="379" spans="1:11">
      <c r="A379" t="s">
        <v>392</v>
      </c>
      <c r="B379" s="14">
        <f>_xlfn.MINIFS('working sheet'!$B$2:$B$3548, 'working sheet'!$D$2:$D$3548, A379)</f>
        <v>45489.516405868053</v>
      </c>
      <c r="C379" s="17">
        <f>_xlfn.MAXIFS('working sheet'!$B$1:$B$3548,'working sheet'!$D$1:$D$3548,'Customer Portfolio'!A379)</f>
        <v>45489.516405868053</v>
      </c>
      <c r="D379">
        <f>COUNTIFS('working sheet'!$D$1:$D$3548,'Customer Portfolio'!A379)</f>
        <v>1</v>
      </c>
      <c r="E379" s="5">
        <f>SUMIFS('working sheet'!$E$2:$E$3548,'working sheet'!$D$2:$D$3548,'Customer Portfolio'!A379)</f>
        <v>27.92</v>
      </c>
      <c r="F379" s="6">
        <f t="shared" si="10"/>
        <v>27.92</v>
      </c>
      <c r="G379" t="str">
        <f t="array" ref="G379">IFERROR(INDEX('working sheet'!$F$2:$F$3548, MODE(IF('working sheet'!$D$2:$D$3548=A379, MATCH('working sheet'!$F$2:$F$3548, 'working sheet'!$F$2:$F$3548, 0)))),
         INDEX('working sheet'!$F$2:$F$3548, MATCH(A379, 'working sheet'!$D$2:$D$3548, 0)))</f>
        <v>Americano with Milk</v>
      </c>
      <c r="H379" s="7">
        <f t="shared" si="11"/>
        <v>1</v>
      </c>
      <c r="I379" s="7">
        <f>MAX('working sheet'!$B$2:$B$3548)-C379</f>
        <v>250.24168018518685</v>
      </c>
      <c r="J379" s="4" t="str">
        <f t="array" ref="J379">IF(AND(I379&lt;=30, D379&gt;=10, E379&gt;=200), "VIP",  IF(AND(I379&lt;=60, D379&gt;=5, E379&gt;=100), "Loyal", IF(AND(I379&lt;=90, D379&gt;=3), "Regular", IF(I379&lt;=30, "Recent", IF(D379&gt;=3, "Occasional", "At Risk")))))</f>
        <v>At Risk</v>
      </c>
      <c r="K379" t="str">
        <f t="array" ref="K379">IF(OR(J379="VIP", J379="Loyal"), "HIGH",IF(OR(J379="Regular", J379="Recent"), "MEDIUM","LOW"))</f>
        <v>LOW</v>
      </c>
    </row>
    <row r="380" spans="1:11">
      <c r="A380" t="s">
        <v>393</v>
      </c>
      <c r="B380" s="14">
        <f>_xlfn.MINIFS('working sheet'!$B$2:$B$3548, 'working sheet'!$D$2:$D$3548, A380)</f>
        <v>45490.545135925924</v>
      </c>
      <c r="C380" s="17">
        <f>_xlfn.MAXIFS('working sheet'!$B$1:$B$3548,'working sheet'!$D$1:$D$3548,'Customer Portfolio'!A380)</f>
        <v>45499.504880439817</v>
      </c>
      <c r="D380">
        <f>COUNTIFS('working sheet'!$D$1:$D$3548,'Customer Portfolio'!A380)</f>
        <v>3</v>
      </c>
      <c r="E380" s="5">
        <f>SUMIFS('working sheet'!$E$2:$E$3548,'working sheet'!$D$2:$D$3548,'Customer Portfolio'!A380)</f>
        <v>88.66</v>
      </c>
      <c r="F380" s="6">
        <f t="shared" si="10"/>
        <v>29.553333333333331</v>
      </c>
      <c r="G380" t="str">
        <f t="array" ref="G380">IFERROR(INDEX('working sheet'!$F$2:$F$3548, MODE(IF('working sheet'!$D$2:$D$3548=A380, MATCH('working sheet'!$F$2:$F$3548, 'working sheet'!$F$2:$F$3548, 0)))),
         INDEX('working sheet'!$F$2:$F$3548, MATCH(A380, 'working sheet'!$D$2:$D$3548, 0)))</f>
        <v>Americano with Milk</v>
      </c>
      <c r="H380" s="7">
        <f t="shared" si="11"/>
        <v>9.9597445138933836</v>
      </c>
      <c r="I380" s="7">
        <f>MAX('working sheet'!$B$2:$B$3548)-C380</f>
        <v>240.25320561342232</v>
      </c>
      <c r="J380" s="4" t="str">
        <f t="array" ref="J380">IF(AND(I380&lt;=30, D380&gt;=10, E380&gt;=200), "VIP",  IF(AND(I380&lt;=60, D380&gt;=5, E380&gt;=100), "Loyal", IF(AND(I380&lt;=90, D380&gt;=3), "Regular", IF(I380&lt;=30, "Recent", IF(D380&gt;=3, "Occasional", "At Risk")))))</f>
        <v>Occasional</v>
      </c>
      <c r="K380" t="str">
        <f t="array" ref="K380">IF(OR(J380="VIP", J380="Loyal"), "HIGH",IF(OR(J380="Regular", J380="Recent"), "MEDIUM","LOW"))</f>
        <v>LOW</v>
      </c>
    </row>
    <row r="381" spans="1:11">
      <c r="A381" t="s">
        <v>394</v>
      </c>
      <c r="B381" s="14">
        <f>_xlfn.MINIFS('working sheet'!$B$2:$B$3548, 'working sheet'!$D$2:$D$3548, A381)</f>
        <v>45491.465432789351</v>
      </c>
      <c r="C381" s="17">
        <f>_xlfn.MAXIFS('working sheet'!$B$1:$B$3548,'working sheet'!$D$1:$D$3548,'Customer Portfolio'!A381)</f>
        <v>45491.465432789351</v>
      </c>
      <c r="D381">
        <f>COUNTIFS('working sheet'!$D$1:$D$3548,'Customer Portfolio'!A381)</f>
        <v>1</v>
      </c>
      <c r="E381" s="5">
        <f>SUMIFS('working sheet'!$E$2:$E$3548,'working sheet'!$D$2:$D$3548,'Customer Portfolio'!A381)</f>
        <v>27.92</v>
      </c>
      <c r="F381" s="6">
        <f t="shared" si="10"/>
        <v>27.92</v>
      </c>
      <c r="G381" t="str">
        <f t="array" ref="G381">IFERROR(INDEX('working sheet'!$F$2:$F$3548, MODE(IF('working sheet'!$D$2:$D$3548=A381, MATCH('working sheet'!$F$2:$F$3548, 'working sheet'!$F$2:$F$3548, 0)))),
         INDEX('working sheet'!$F$2:$F$3548, MATCH(A381, 'working sheet'!$D$2:$D$3548, 0)))</f>
        <v>Americano with Milk</v>
      </c>
      <c r="H381" s="7">
        <f t="shared" si="11"/>
        <v>1</v>
      </c>
      <c r="I381" s="7">
        <f>MAX('working sheet'!$B$2:$B$3548)-C381</f>
        <v>248.2926532638885</v>
      </c>
      <c r="J381" s="4" t="str">
        <f t="array" ref="J381">IF(AND(I381&lt;=30, D381&gt;=10, E381&gt;=200), "VIP",  IF(AND(I381&lt;=60, D381&gt;=5, E381&gt;=100), "Loyal", IF(AND(I381&lt;=90, D381&gt;=3), "Regular", IF(I381&lt;=30, "Recent", IF(D381&gt;=3, "Occasional", "At Risk")))))</f>
        <v>At Risk</v>
      </c>
      <c r="K381" t="str">
        <f t="array" ref="K381">IF(OR(J381="VIP", J381="Loyal"), "HIGH",IF(OR(J381="Regular", J381="Recent"), "MEDIUM","LOW"))</f>
        <v>LOW</v>
      </c>
    </row>
    <row r="382" spans="1:11">
      <c r="A382" t="s">
        <v>395</v>
      </c>
      <c r="B382" s="14">
        <f>_xlfn.MINIFS('working sheet'!$B$2:$B$3548, 'working sheet'!$D$2:$D$3548, A382)</f>
        <v>45491.466243449075</v>
      </c>
      <c r="C382" s="17">
        <f>_xlfn.MAXIFS('working sheet'!$B$1:$B$3548,'working sheet'!$D$1:$D$3548,'Customer Portfolio'!A382)</f>
        <v>45491.466243449075</v>
      </c>
      <c r="D382">
        <f>COUNTIFS('working sheet'!$D$1:$D$3548,'Customer Portfolio'!A382)</f>
        <v>1</v>
      </c>
      <c r="E382" s="5">
        <f>SUMIFS('working sheet'!$E$2:$E$3548,'working sheet'!$D$2:$D$3548,'Customer Portfolio'!A382)</f>
        <v>18.12</v>
      </c>
      <c r="F382" s="6">
        <f t="shared" si="10"/>
        <v>18.12</v>
      </c>
      <c r="G382" t="str">
        <f t="array" ref="G382">IFERROR(INDEX('working sheet'!$F$2:$F$3548, MODE(IF('working sheet'!$D$2:$D$3548=A382, MATCH('working sheet'!$F$2:$F$3548, 'working sheet'!$F$2:$F$3548, 0)))),
         INDEX('working sheet'!$F$2:$F$3548, MATCH(A382, 'working sheet'!$D$2:$D$3548, 0)))</f>
        <v>Espresso</v>
      </c>
      <c r="H382" s="7">
        <f t="shared" si="11"/>
        <v>1</v>
      </c>
      <c r="I382" s="7">
        <f>MAX('working sheet'!$B$2:$B$3548)-C382</f>
        <v>248.29184260416514</v>
      </c>
      <c r="J382" s="4" t="str">
        <f t="array" ref="J382">IF(AND(I382&lt;=30, D382&gt;=10, E382&gt;=200), "VIP",  IF(AND(I382&lt;=60, D382&gt;=5, E382&gt;=100), "Loyal", IF(AND(I382&lt;=90, D382&gt;=3), "Regular", IF(I382&lt;=30, "Recent", IF(D382&gt;=3, "Occasional", "At Risk")))))</f>
        <v>At Risk</v>
      </c>
      <c r="K382" t="str">
        <f t="array" ref="K382">IF(OR(J382="VIP", J382="Loyal"), "HIGH",IF(OR(J382="Regular", J382="Recent"), "MEDIUM","LOW"))</f>
        <v>LOW</v>
      </c>
    </row>
    <row r="383" spans="1:11">
      <c r="A383" t="s">
        <v>396</v>
      </c>
      <c r="B383" s="14">
        <f>_xlfn.MINIFS('working sheet'!$B$2:$B$3548, 'working sheet'!$D$2:$D$3548, A383)</f>
        <v>45491.762770578702</v>
      </c>
      <c r="C383" s="17">
        <f>_xlfn.MAXIFS('working sheet'!$B$1:$B$3548,'working sheet'!$D$1:$D$3548,'Customer Portfolio'!A383)</f>
        <v>45491.762770578702</v>
      </c>
      <c r="D383">
        <f>COUNTIFS('working sheet'!$D$1:$D$3548,'Customer Portfolio'!A383)</f>
        <v>1</v>
      </c>
      <c r="E383" s="5">
        <f>SUMIFS('working sheet'!$E$2:$E$3548,'working sheet'!$D$2:$D$3548,'Customer Portfolio'!A383)</f>
        <v>32.82</v>
      </c>
      <c r="F383" s="6">
        <f t="shared" si="10"/>
        <v>32.82</v>
      </c>
      <c r="G383" t="str">
        <f t="array" ref="G383">IFERROR(INDEX('working sheet'!$F$2:$F$3548, MODE(IF('working sheet'!$D$2:$D$3548=A383, MATCH('working sheet'!$F$2:$F$3548, 'working sheet'!$F$2:$F$3548, 0)))),
         INDEX('working sheet'!$F$2:$F$3548, MATCH(A383, 'working sheet'!$D$2:$D$3548, 0)))</f>
        <v>Cappuccino</v>
      </c>
      <c r="H383" s="7">
        <f t="shared" si="11"/>
        <v>1</v>
      </c>
      <c r="I383" s="7">
        <f>MAX('working sheet'!$B$2:$B$3548)-C383</f>
        <v>247.99531547453807</v>
      </c>
      <c r="J383" s="4" t="str">
        <f t="array" ref="J383">IF(AND(I383&lt;=30, D383&gt;=10, E383&gt;=200), "VIP",  IF(AND(I383&lt;=60, D383&gt;=5, E383&gt;=100), "Loyal", IF(AND(I383&lt;=90, D383&gt;=3), "Regular", IF(I383&lt;=30, "Recent", IF(D383&gt;=3, "Occasional", "At Risk")))))</f>
        <v>At Risk</v>
      </c>
      <c r="K383" t="str">
        <f t="array" ref="K383">IF(OR(J383="VIP", J383="Loyal"), "HIGH",IF(OR(J383="Regular", J383="Recent"), "MEDIUM","LOW"))</f>
        <v>LOW</v>
      </c>
    </row>
    <row r="384" spans="1:11">
      <c r="A384" t="s">
        <v>397</v>
      </c>
      <c r="B384" s="14">
        <f>_xlfn.MINIFS('working sheet'!$B$2:$B$3548, 'working sheet'!$D$2:$D$3548, A384)</f>
        <v>45491.888678402778</v>
      </c>
      <c r="C384" s="17">
        <f>_xlfn.MAXIFS('working sheet'!$B$1:$B$3548,'working sheet'!$D$1:$D$3548,'Customer Portfolio'!A384)</f>
        <v>45491.890276099541</v>
      </c>
      <c r="D384">
        <f>COUNTIFS('working sheet'!$D$1:$D$3548,'Customer Portfolio'!A384)</f>
        <v>2</v>
      </c>
      <c r="E384" s="5">
        <f>SUMIFS('working sheet'!$E$2:$E$3548,'working sheet'!$D$2:$D$3548,'Customer Portfolio'!A384)</f>
        <v>65.64</v>
      </c>
      <c r="F384" s="6">
        <f t="shared" si="10"/>
        <v>32.82</v>
      </c>
      <c r="G384" t="str">
        <f t="array" ref="G384">IFERROR(INDEX('working sheet'!$F$2:$F$3548, MODE(IF('working sheet'!$D$2:$D$3548=A384, MATCH('working sheet'!$F$2:$F$3548, 'working sheet'!$F$2:$F$3548, 0)))),
         INDEX('working sheet'!$F$2:$F$3548, MATCH(A384, 'working sheet'!$D$2:$D$3548, 0)))</f>
        <v>Hot Chocolate</v>
      </c>
      <c r="H384" s="7">
        <f t="shared" si="11"/>
        <v>1.0015976967624738</v>
      </c>
      <c r="I384" s="7">
        <f>MAX('working sheet'!$B$2:$B$3548)-C384</f>
        <v>247.86780995369918</v>
      </c>
      <c r="J384" s="4" t="str">
        <f t="array" ref="J384">IF(AND(I384&lt;=30, D384&gt;=10, E384&gt;=200), "VIP",  IF(AND(I384&lt;=60, D384&gt;=5, E384&gt;=100), "Loyal", IF(AND(I384&lt;=90, D384&gt;=3), "Regular", IF(I384&lt;=30, "Recent", IF(D384&gt;=3, "Occasional", "At Risk")))))</f>
        <v>At Risk</v>
      </c>
      <c r="K384" t="str">
        <f t="array" ref="K384">IF(OR(J384="VIP", J384="Loyal"), "HIGH",IF(OR(J384="Regular", J384="Recent"), "MEDIUM","LOW"))</f>
        <v>LOW</v>
      </c>
    </row>
    <row r="385" spans="1:11">
      <c r="A385" t="s">
        <v>398</v>
      </c>
      <c r="B385" s="14">
        <f>_xlfn.MINIFS('working sheet'!$B$2:$B$3548, 'working sheet'!$D$2:$D$3548, A385)</f>
        <v>45491.907160578703</v>
      </c>
      <c r="C385" s="17">
        <f>_xlfn.MAXIFS('working sheet'!$B$1:$B$3548,'working sheet'!$D$1:$D$3548,'Customer Portfolio'!A385)</f>
        <v>45504.551392199071</v>
      </c>
      <c r="D385">
        <f>COUNTIFS('working sheet'!$D$1:$D$3548,'Customer Portfolio'!A385)</f>
        <v>7</v>
      </c>
      <c r="E385" s="5">
        <f>SUMIFS('working sheet'!$E$2:$E$3548,'working sheet'!$D$2:$D$3548,'Customer Portfolio'!A385)</f>
        <v>229.73999999999998</v>
      </c>
      <c r="F385" s="6">
        <f t="shared" si="10"/>
        <v>32.82</v>
      </c>
      <c r="G385" t="str">
        <f t="array" ref="G385">IFERROR(INDEX('working sheet'!$F$2:$F$3548, MODE(IF('working sheet'!$D$2:$D$3548=A385, MATCH('working sheet'!$F$2:$F$3548, 'working sheet'!$F$2:$F$3548, 0)))),
         INDEX('working sheet'!$F$2:$F$3548, MATCH(A385, 'working sheet'!$D$2:$D$3548, 0)))</f>
        <v>Latte</v>
      </c>
      <c r="H385" s="7">
        <f t="shared" si="11"/>
        <v>13.644231620368373</v>
      </c>
      <c r="I385" s="7">
        <f>MAX('working sheet'!$B$2:$B$3548)-C385</f>
        <v>235.20669385416841</v>
      </c>
      <c r="J385" s="4" t="str">
        <f t="array" ref="J385">IF(AND(I385&lt;=30, D385&gt;=10, E385&gt;=200), "VIP",  IF(AND(I385&lt;=60, D385&gt;=5, E385&gt;=100), "Loyal", IF(AND(I385&lt;=90, D385&gt;=3), "Regular", IF(I385&lt;=30, "Recent", IF(D385&gt;=3, "Occasional", "At Risk")))))</f>
        <v>Occasional</v>
      </c>
      <c r="K385" t="str">
        <f t="array" ref="K385">IF(OR(J385="VIP", J385="Loyal"), "HIGH",IF(OR(J385="Regular", J385="Recent"), "MEDIUM","LOW"))</f>
        <v>LOW</v>
      </c>
    </row>
    <row r="386" spans="1:11">
      <c r="A386" t="s">
        <v>399</v>
      </c>
      <c r="B386" s="14">
        <f>_xlfn.MINIFS('working sheet'!$B$2:$B$3548, 'working sheet'!$D$2:$D$3548, A386)</f>
        <v>45492.469681817129</v>
      </c>
      <c r="C386" s="17">
        <f>_xlfn.MAXIFS('working sheet'!$B$1:$B$3548,'working sheet'!$D$1:$D$3548,'Customer Portfolio'!A386)</f>
        <v>45667.386533541663</v>
      </c>
      <c r="D386">
        <f>COUNTIFS('working sheet'!$D$1:$D$3548,'Customer Portfolio'!A386)</f>
        <v>17</v>
      </c>
      <c r="E386" s="5">
        <f>SUMIFS('working sheet'!$E$2:$E$3548,'working sheet'!$D$2:$D$3548,'Customer Portfolio'!A386)</f>
        <v>503.06000000000017</v>
      </c>
      <c r="F386" s="6">
        <f t="shared" si="10"/>
        <v>29.591764705882362</v>
      </c>
      <c r="G386" t="str">
        <f t="array" ref="G386">IFERROR(INDEX('working sheet'!$F$2:$F$3548, MODE(IF('working sheet'!$D$2:$D$3548=A386, MATCH('working sheet'!$F$2:$F$3548, 'working sheet'!$F$2:$F$3548, 0)))),
         INDEX('working sheet'!$F$2:$F$3548, MATCH(A386, 'working sheet'!$D$2:$D$3548, 0)))</f>
        <v>Americano with Milk</v>
      </c>
      <c r="H386" s="7">
        <f t="shared" si="11"/>
        <v>175.91685172453435</v>
      </c>
      <c r="I386" s="7">
        <f>MAX('working sheet'!$B$2:$B$3548)-C386</f>
        <v>72.371552511576738</v>
      </c>
      <c r="J386" s="4" t="str">
        <f t="array" ref="J386">IF(AND(I386&lt;=30, D386&gt;=10, E386&gt;=200), "VIP",  IF(AND(I386&lt;=60, D386&gt;=5, E386&gt;=100), "Loyal", IF(AND(I386&lt;=90, D386&gt;=3), "Regular", IF(I386&lt;=30, "Recent", IF(D386&gt;=3, "Occasional", "At Risk")))))</f>
        <v>Regular</v>
      </c>
      <c r="K386" t="str">
        <f t="array" ref="K386">IF(OR(J386="VIP", J386="Loyal"), "HIGH",IF(OR(J386="Regular", J386="Recent"), "MEDIUM","LOW"))</f>
        <v>MEDIUM</v>
      </c>
    </row>
    <row r="387" spans="1:11">
      <c r="A387" t="s">
        <v>400</v>
      </c>
      <c r="B387" s="14">
        <f>_xlfn.MINIFS('working sheet'!$B$2:$B$3548, 'working sheet'!$D$2:$D$3548, A387)</f>
        <v>45492.540712511574</v>
      </c>
      <c r="C387" s="17">
        <f>_xlfn.MAXIFS('working sheet'!$B$1:$B$3548,'working sheet'!$D$1:$D$3548,'Customer Portfolio'!A387)</f>
        <v>45492.541613229165</v>
      </c>
      <c r="D387">
        <f>COUNTIFS('working sheet'!$D$1:$D$3548,'Customer Portfolio'!A387)</f>
        <v>2</v>
      </c>
      <c r="E387" s="5">
        <f>SUMIFS('working sheet'!$E$2:$E$3548,'working sheet'!$D$2:$D$3548,'Customer Portfolio'!A387)</f>
        <v>60.74</v>
      </c>
      <c r="F387" s="6">
        <f t="shared" ref="F387:F450" si="12">E387/D387</f>
        <v>30.37</v>
      </c>
      <c r="G387" t="str">
        <f t="array" ref="G387">IFERROR(INDEX('working sheet'!$F$2:$F$3548, MODE(IF('working sheet'!$D$2:$D$3548=A387, MATCH('working sheet'!$F$2:$F$3548, 'working sheet'!$F$2:$F$3548, 0)))),
         INDEX('working sheet'!$F$2:$F$3548, MATCH(A387, 'working sheet'!$D$2:$D$3548, 0)))</f>
        <v>Latte</v>
      </c>
      <c r="H387" s="7">
        <f t="shared" ref="H387:H450" si="13">C387-B387+1</f>
        <v>1.0009007175904117</v>
      </c>
      <c r="I387" s="7">
        <f>MAX('working sheet'!$B$2:$B$3548)-C387</f>
        <v>247.21647282407503</v>
      </c>
      <c r="J387" s="4" t="str">
        <f t="array" ref="J387">IF(AND(I387&lt;=30, D387&gt;=10, E387&gt;=200), "VIP",  IF(AND(I387&lt;=60, D387&gt;=5, E387&gt;=100), "Loyal", IF(AND(I387&lt;=90, D387&gt;=3), "Regular", IF(I387&lt;=30, "Recent", IF(D387&gt;=3, "Occasional", "At Risk")))))</f>
        <v>At Risk</v>
      </c>
      <c r="K387" t="str">
        <f t="array" ref="K387">IF(OR(J387="VIP", J387="Loyal"), "HIGH",IF(OR(J387="Regular", J387="Recent"), "MEDIUM","LOW"))</f>
        <v>LOW</v>
      </c>
    </row>
    <row r="388" spans="1:11">
      <c r="A388" t="s">
        <v>401</v>
      </c>
      <c r="B388" s="14">
        <f>_xlfn.MINIFS('working sheet'!$B$2:$B$3548, 'working sheet'!$D$2:$D$3548, A388)</f>
        <v>45493.337320243052</v>
      </c>
      <c r="C388" s="17">
        <f>_xlfn.MAXIFS('working sheet'!$B$1:$B$3548,'working sheet'!$D$1:$D$3548,'Customer Portfolio'!A388)</f>
        <v>45493.338789733796</v>
      </c>
      <c r="D388">
        <f>COUNTIFS('working sheet'!$D$1:$D$3548,'Customer Portfolio'!A388)</f>
        <v>3</v>
      </c>
      <c r="E388" s="5">
        <f>SUMIFS('working sheet'!$E$2:$E$3548,'working sheet'!$D$2:$D$3548,'Customer Portfolio'!A388)</f>
        <v>78.86</v>
      </c>
      <c r="F388" s="6">
        <f t="shared" si="12"/>
        <v>26.286666666666665</v>
      </c>
      <c r="G388" t="str">
        <f t="array" ref="G388">IFERROR(INDEX('working sheet'!$F$2:$F$3548, MODE(IF('working sheet'!$D$2:$D$3548=A388, MATCH('working sheet'!$F$2:$F$3548, 'working sheet'!$F$2:$F$3548, 0)))),
         INDEX('working sheet'!$F$2:$F$3548, MATCH(A388, 'working sheet'!$D$2:$D$3548, 0)))</f>
        <v>Americano</v>
      </c>
      <c r="H388" s="7">
        <f t="shared" si="13"/>
        <v>1.0014694907440571</v>
      </c>
      <c r="I388" s="7">
        <f>MAX('working sheet'!$B$2:$B$3548)-C388</f>
        <v>246.41929631944367</v>
      </c>
      <c r="J388" s="4" t="str">
        <f t="array" ref="J388">IF(AND(I388&lt;=30, D388&gt;=10, E388&gt;=200), "VIP",  IF(AND(I388&lt;=60, D388&gt;=5, E388&gt;=100), "Loyal", IF(AND(I388&lt;=90, D388&gt;=3), "Regular", IF(I388&lt;=30, "Recent", IF(D388&gt;=3, "Occasional", "At Risk")))))</f>
        <v>Occasional</v>
      </c>
      <c r="K388" t="str">
        <f t="array" ref="K388">IF(OR(J388="VIP", J388="Loyal"), "HIGH",IF(OR(J388="Regular", J388="Recent"), "MEDIUM","LOW"))</f>
        <v>LOW</v>
      </c>
    </row>
    <row r="389" spans="1:11">
      <c r="A389" t="s">
        <v>402</v>
      </c>
      <c r="B389" s="14">
        <f>_xlfn.MINIFS('working sheet'!$B$2:$B$3548, 'working sheet'!$D$2:$D$3548, A389)</f>
        <v>45493.37562042824</v>
      </c>
      <c r="C389" s="17">
        <f>_xlfn.MAXIFS('working sheet'!$B$1:$B$3548,'working sheet'!$D$1:$D$3548,'Customer Portfolio'!A389)</f>
        <v>45504.413716921299</v>
      </c>
      <c r="D389">
        <f>COUNTIFS('working sheet'!$D$1:$D$3548,'Customer Portfolio'!A389)</f>
        <v>3</v>
      </c>
      <c r="E389" s="5">
        <f>SUMIFS('working sheet'!$E$2:$E$3548,'working sheet'!$D$2:$D$3548,'Customer Portfolio'!A389)</f>
        <v>78.86</v>
      </c>
      <c r="F389" s="6">
        <f t="shared" si="12"/>
        <v>26.286666666666665</v>
      </c>
      <c r="G389" t="str">
        <f t="array" ref="G389">IFERROR(INDEX('working sheet'!$F$2:$F$3548, MODE(IF('working sheet'!$D$2:$D$3548=A389, MATCH('working sheet'!$F$2:$F$3548, 'working sheet'!$F$2:$F$3548, 0)))),
         INDEX('working sheet'!$F$2:$F$3548, MATCH(A389, 'working sheet'!$D$2:$D$3548, 0)))</f>
        <v>Americano</v>
      </c>
      <c r="H389" s="7">
        <f t="shared" si="13"/>
        <v>12.038096493059129</v>
      </c>
      <c r="I389" s="7">
        <f>MAX('working sheet'!$B$2:$B$3548)-C389</f>
        <v>235.34436913194077</v>
      </c>
      <c r="J389" s="4" t="str">
        <f t="array" ref="J389">IF(AND(I389&lt;=30, D389&gt;=10, E389&gt;=200), "VIP",  IF(AND(I389&lt;=60, D389&gt;=5, E389&gt;=100), "Loyal", IF(AND(I389&lt;=90, D389&gt;=3), "Regular", IF(I389&lt;=30, "Recent", IF(D389&gt;=3, "Occasional", "At Risk")))))</f>
        <v>Occasional</v>
      </c>
      <c r="K389" t="str">
        <f t="array" ref="K389">IF(OR(J389="VIP", J389="Loyal"), "HIGH",IF(OR(J389="Regular", J389="Recent"), "MEDIUM","LOW"))</f>
        <v>LOW</v>
      </c>
    </row>
    <row r="390" spans="1:11">
      <c r="A390" t="s">
        <v>403</v>
      </c>
      <c r="B390" s="14">
        <f>_xlfn.MINIFS('working sheet'!$B$2:$B$3548, 'working sheet'!$D$2:$D$3548, A390)</f>
        <v>45493.376711203702</v>
      </c>
      <c r="C390" s="17">
        <f>_xlfn.MAXIFS('working sheet'!$B$1:$B$3548,'working sheet'!$D$1:$D$3548,'Customer Portfolio'!A390)</f>
        <v>45493.376711203702</v>
      </c>
      <c r="D390">
        <f>COUNTIFS('working sheet'!$D$1:$D$3548,'Customer Portfolio'!A390)</f>
        <v>1</v>
      </c>
      <c r="E390" s="5">
        <f>SUMIFS('working sheet'!$E$2:$E$3548,'working sheet'!$D$2:$D$3548,'Customer Portfolio'!A390)</f>
        <v>32.82</v>
      </c>
      <c r="F390" s="6">
        <f t="shared" si="12"/>
        <v>32.82</v>
      </c>
      <c r="G390" t="str">
        <f t="array" ref="G390">IFERROR(INDEX('working sheet'!$F$2:$F$3548, MODE(IF('working sheet'!$D$2:$D$3548=A390, MATCH('working sheet'!$F$2:$F$3548, 'working sheet'!$F$2:$F$3548, 0)))),
         INDEX('working sheet'!$F$2:$F$3548, MATCH(A390, 'working sheet'!$D$2:$D$3548, 0)))</f>
        <v>Latte</v>
      </c>
      <c r="H390" s="7">
        <f t="shared" si="13"/>
        <v>1</v>
      </c>
      <c r="I390" s="7">
        <f>MAX('working sheet'!$B$2:$B$3548)-C390</f>
        <v>246.38137484953768</v>
      </c>
      <c r="J390" s="4" t="str">
        <f t="array" ref="J390">IF(AND(I390&lt;=30, D390&gt;=10, E390&gt;=200), "VIP",  IF(AND(I390&lt;=60, D390&gt;=5, E390&gt;=100), "Loyal", IF(AND(I390&lt;=90, D390&gt;=3), "Regular", IF(I390&lt;=30, "Recent", IF(D390&gt;=3, "Occasional", "At Risk")))))</f>
        <v>At Risk</v>
      </c>
      <c r="K390" t="str">
        <f t="array" ref="K390">IF(OR(J390="VIP", J390="Loyal"), "HIGH",IF(OR(J390="Regular", J390="Recent"), "MEDIUM","LOW"))</f>
        <v>LOW</v>
      </c>
    </row>
    <row r="391" spans="1:11">
      <c r="A391" t="s">
        <v>404</v>
      </c>
      <c r="B391" s="14">
        <f>_xlfn.MINIFS('working sheet'!$B$2:$B$3548, 'working sheet'!$D$2:$D$3548, A391)</f>
        <v>45493.443993564812</v>
      </c>
      <c r="C391" s="17">
        <f>_xlfn.MAXIFS('working sheet'!$B$1:$B$3548,'working sheet'!$D$1:$D$3548,'Customer Portfolio'!A391)</f>
        <v>45493.443993564812</v>
      </c>
      <c r="D391">
        <f>COUNTIFS('working sheet'!$D$1:$D$3548,'Customer Portfolio'!A391)</f>
        <v>1</v>
      </c>
      <c r="E391" s="5">
        <f>SUMIFS('working sheet'!$E$2:$E$3548,'working sheet'!$D$2:$D$3548,'Customer Portfolio'!A391)</f>
        <v>23.02</v>
      </c>
      <c r="F391" s="6">
        <f t="shared" si="12"/>
        <v>23.02</v>
      </c>
      <c r="G391" t="str">
        <f t="array" ref="G391">IFERROR(INDEX('working sheet'!$F$2:$F$3548, MODE(IF('working sheet'!$D$2:$D$3548=A391, MATCH('working sheet'!$F$2:$F$3548, 'working sheet'!$F$2:$F$3548, 0)))),
         INDEX('working sheet'!$F$2:$F$3548, MATCH(A391, 'working sheet'!$D$2:$D$3548, 0)))</f>
        <v>Americano</v>
      </c>
      <c r="H391" s="7">
        <f t="shared" si="13"/>
        <v>1</v>
      </c>
      <c r="I391" s="7">
        <f>MAX('working sheet'!$B$2:$B$3548)-C391</f>
        <v>246.31409248842829</v>
      </c>
      <c r="J391" s="4" t="str">
        <f t="array" ref="J391">IF(AND(I391&lt;=30, D391&gt;=10, E391&gt;=200), "VIP",  IF(AND(I391&lt;=60, D391&gt;=5, E391&gt;=100), "Loyal", IF(AND(I391&lt;=90, D391&gt;=3), "Regular", IF(I391&lt;=30, "Recent", IF(D391&gt;=3, "Occasional", "At Risk")))))</f>
        <v>At Risk</v>
      </c>
      <c r="K391" t="str">
        <f t="array" ref="K391">IF(OR(J391="VIP", J391="Loyal"), "HIGH",IF(OR(J391="Regular", J391="Recent"), "MEDIUM","LOW"))</f>
        <v>LOW</v>
      </c>
    </row>
    <row r="392" spans="1:11">
      <c r="A392" t="s">
        <v>405</v>
      </c>
      <c r="B392" s="14">
        <f>_xlfn.MINIFS('working sheet'!$B$2:$B$3548, 'working sheet'!$D$2:$D$3548, A392)</f>
        <v>45493.635523391204</v>
      </c>
      <c r="C392" s="17">
        <f>_xlfn.MAXIFS('working sheet'!$B$1:$B$3548,'working sheet'!$D$1:$D$3548,'Customer Portfolio'!A392)</f>
        <v>45493.635523391204</v>
      </c>
      <c r="D392">
        <f>COUNTIFS('working sheet'!$D$1:$D$3548,'Customer Portfolio'!A392)</f>
        <v>1</v>
      </c>
      <c r="E392" s="5">
        <f>SUMIFS('working sheet'!$E$2:$E$3548,'working sheet'!$D$2:$D$3548,'Customer Portfolio'!A392)</f>
        <v>32.82</v>
      </c>
      <c r="F392" s="6">
        <f t="shared" si="12"/>
        <v>32.82</v>
      </c>
      <c r="G392" t="str">
        <f t="array" ref="G392">IFERROR(INDEX('working sheet'!$F$2:$F$3548, MODE(IF('working sheet'!$D$2:$D$3548=A392, MATCH('working sheet'!$F$2:$F$3548, 'working sheet'!$F$2:$F$3548, 0)))),
         INDEX('working sheet'!$F$2:$F$3548, MATCH(A392, 'working sheet'!$D$2:$D$3548, 0)))</f>
        <v>Latte</v>
      </c>
      <c r="H392" s="7">
        <f t="shared" si="13"/>
        <v>1</v>
      </c>
      <c r="I392" s="7">
        <f>MAX('working sheet'!$B$2:$B$3548)-C392</f>
        <v>246.12256266203622</v>
      </c>
      <c r="J392" s="4" t="str">
        <f t="array" ref="J392">IF(AND(I392&lt;=30, D392&gt;=10, E392&gt;=200), "VIP",  IF(AND(I392&lt;=60, D392&gt;=5, E392&gt;=100), "Loyal", IF(AND(I392&lt;=90, D392&gt;=3), "Regular", IF(I392&lt;=30, "Recent", IF(D392&gt;=3, "Occasional", "At Risk")))))</f>
        <v>At Risk</v>
      </c>
      <c r="K392" t="str">
        <f t="array" ref="K392">IF(OR(J392="VIP", J392="Loyal"), "HIGH",IF(OR(J392="Regular", J392="Recent"), "MEDIUM","LOW"))</f>
        <v>LOW</v>
      </c>
    </row>
    <row r="393" spans="1:11">
      <c r="A393" t="s">
        <v>406</v>
      </c>
      <c r="B393" s="14">
        <f>_xlfn.MINIFS('working sheet'!$B$2:$B$3548, 'working sheet'!$D$2:$D$3548, A393)</f>
        <v>45494.485749722226</v>
      </c>
      <c r="C393" s="17">
        <f>_xlfn.MAXIFS('working sheet'!$B$1:$B$3548,'working sheet'!$D$1:$D$3548,'Customer Portfolio'!A393)</f>
        <v>45494.485749722226</v>
      </c>
      <c r="D393">
        <f>COUNTIFS('working sheet'!$D$1:$D$3548,'Customer Portfolio'!A393)</f>
        <v>1</v>
      </c>
      <c r="E393" s="5">
        <f>SUMIFS('working sheet'!$E$2:$E$3548,'working sheet'!$D$2:$D$3548,'Customer Portfolio'!A393)</f>
        <v>32.82</v>
      </c>
      <c r="F393" s="6">
        <f t="shared" si="12"/>
        <v>32.82</v>
      </c>
      <c r="G393" t="str">
        <f t="array" ref="G393">IFERROR(INDEX('working sheet'!$F$2:$F$3548, MODE(IF('working sheet'!$D$2:$D$3548=A393, MATCH('working sheet'!$F$2:$F$3548, 'working sheet'!$F$2:$F$3548, 0)))),
         INDEX('working sheet'!$F$2:$F$3548, MATCH(A393, 'working sheet'!$D$2:$D$3548, 0)))</f>
        <v>Cappuccino</v>
      </c>
      <c r="H393" s="7">
        <f t="shared" si="13"/>
        <v>1</v>
      </c>
      <c r="I393" s="7">
        <f>MAX('working sheet'!$B$2:$B$3548)-C393</f>
        <v>245.27233633101423</v>
      </c>
      <c r="J393" s="4" t="str">
        <f t="array" ref="J393">IF(AND(I393&lt;=30, D393&gt;=10, E393&gt;=200), "VIP",  IF(AND(I393&lt;=60, D393&gt;=5, E393&gt;=100), "Loyal", IF(AND(I393&lt;=90, D393&gt;=3), "Regular", IF(I393&lt;=30, "Recent", IF(D393&gt;=3, "Occasional", "At Risk")))))</f>
        <v>At Risk</v>
      </c>
      <c r="K393" t="str">
        <f t="array" ref="K393">IF(OR(J393="VIP", J393="Loyal"), "HIGH",IF(OR(J393="Regular", J393="Recent"), "MEDIUM","LOW"))</f>
        <v>LOW</v>
      </c>
    </row>
    <row r="394" spans="1:11">
      <c r="A394" t="s">
        <v>407</v>
      </c>
      <c r="B394" s="14">
        <f>_xlfn.MINIFS('working sheet'!$B$2:$B$3548, 'working sheet'!$D$2:$D$3548, A394)</f>
        <v>45494.565634826387</v>
      </c>
      <c r="C394" s="17">
        <f>_xlfn.MAXIFS('working sheet'!$B$1:$B$3548,'working sheet'!$D$1:$D$3548,'Customer Portfolio'!A394)</f>
        <v>45494.565634826387</v>
      </c>
      <c r="D394">
        <f>COUNTIFS('working sheet'!$D$1:$D$3548,'Customer Portfolio'!A394)</f>
        <v>1</v>
      </c>
      <c r="E394" s="5">
        <f>SUMIFS('working sheet'!$E$2:$E$3548,'working sheet'!$D$2:$D$3548,'Customer Portfolio'!A394)</f>
        <v>23.02</v>
      </c>
      <c r="F394" s="6">
        <f t="shared" si="12"/>
        <v>23.02</v>
      </c>
      <c r="G394" t="str">
        <f t="array" ref="G394">IFERROR(INDEX('working sheet'!$F$2:$F$3548, MODE(IF('working sheet'!$D$2:$D$3548=A394, MATCH('working sheet'!$F$2:$F$3548, 'working sheet'!$F$2:$F$3548, 0)))),
         INDEX('working sheet'!$F$2:$F$3548, MATCH(A394, 'working sheet'!$D$2:$D$3548, 0)))</f>
        <v>Cortado</v>
      </c>
      <c r="H394" s="7">
        <f t="shared" si="13"/>
        <v>1</v>
      </c>
      <c r="I394" s="7">
        <f>MAX('working sheet'!$B$2:$B$3548)-C394</f>
        <v>245.19245122685243</v>
      </c>
      <c r="J394" s="4" t="str">
        <f t="array" ref="J394">IF(AND(I394&lt;=30, D394&gt;=10, E394&gt;=200), "VIP",  IF(AND(I394&lt;=60, D394&gt;=5, E394&gt;=100), "Loyal", IF(AND(I394&lt;=90, D394&gt;=3), "Regular", IF(I394&lt;=30, "Recent", IF(D394&gt;=3, "Occasional", "At Risk")))))</f>
        <v>At Risk</v>
      </c>
      <c r="K394" t="str">
        <f t="array" ref="K394">IF(OR(J394="VIP", J394="Loyal"), "HIGH",IF(OR(J394="Regular", J394="Recent"), "MEDIUM","LOW"))</f>
        <v>LOW</v>
      </c>
    </row>
    <row r="395" spans="1:11">
      <c r="A395" t="s">
        <v>408</v>
      </c>
      <c r="B395" s="14">
        <f>_xlfn.MINIFS('working sheet'!$B$2:$B$3548, 'working sheet'!$D$2:$D$3548, A395)</f>
        <v>45494.571197268517</v>
      </c>
      <c r="C395" s="17">
        <f>_xlfn.MAXIFS('working sheet'!$B$1:$B$3548,'working sheet'!$D$1:$D$3548,'Customer Portfolio'!A395)</f>
        <v>45494.571197268517</v>
      </c>
      <c r="D395">
        <f>COUNTIFS('working sheet'!$D$1:$D$3548,'Customer Portfolio'!A395)</f>
        <v>1</v>
      </c>
      <c r="E395" s="5">
        <f>SUMIFS('working sheet'!$E$2:$E$3548,'working sheet'!$D$2:$D$3548,'Customer Portfolio'!A395)</f>
        <v>32.82</v>
      </c>
      <c r="F395" s="6">
        <f t="shared" si="12"/>
        <v>32.82</v>
      </c>
      <c r="G395" t="str">
        <f t="array" ref="G395">IFERROR(INDEX('working sheet'!$F$2:$F$3548, MODE(IF('working sheet'!$D$2:$D$3548=A395, MATCH('working sheet'!$F$2:$F$3548, 'working sheet'!$F$2:$F$3548, 0)))),
         INDEX('working sheet'!$F$2:$F$3548, MATCH(A395, 'working sheet'!$D$2:$D$3548, 0)))</f>
        <v>Latte</v>
      </c>
      <c r="H395" s="7">
        <f t="shared" si="13"/>
        <v>1</v>
      </c>
      <c r="I395" s="7">
        <f>MAX('working sheet'!$B$2:$B$3548)-C395</f>
        <v>245.18688878472312</v>
      </c>
      <c r="J395" s="4" t="str">
        <f t="array" ref="J395">IF(AND(I395&lt;=30, D395&gt;=10, E395&gt;=200), "VIP",  IF(AND(I395&lt;=60, D395&gt;=5, E395&gt;=100), "Loyal", IF(AND(I395&lt;=90, D395&gt;=3), "Regular", IF(I395&lt;=30, "Recent", IF(D395&gt;=3, "Occasional", "At Risk")))))</f>
        <v>At Risk</v>
      </c>
      <c r="K395" t="str">
        <f t="array" ref="K395">IF(OR(J395="VIP", J395="Loyal"), "HIGH",IF(OR(J395="Regular", J395="Recent"), "MEDIUM","LOW"))</f>
        <v>LOW</v>
      </c>
    </row>
    <row r="396" spans="1:11">
      <c r="A396" t="s">
        <v>409</v>
      </c>
      <c r="B396" s="14">
        <f>_xlfn.MINIFS('working sheet'!$B$2:$B$3548, 'working sheet'!$D$2:$D$3548, A396)</f>
        <v>45495.36168465278</v>
      </c>
      <c r="C396" s="17">
        <f>_xlfn.MAXIFS('working sheet'!$B$1:$B$3548,'working sheet'!$D$1:$D$3548,'Customer Portfolio'!A396)</f>
        <v>45496.361330798609</v>
      </c>
      <c r="D396">
        <f>COUNTIFS('working sheet'!$D$1:$D$3548,'Customer Portfolio'!A396)</f>
        <v>2</v>
      </c>
      <c r="E396" s="5">
        <f>SUMIFS('working sheet'!$E$2:$E$3548,'working sheet'!$D$2:$D$3548,'Customer Portfolio'!A396)</f>
        <v>46.04</v>
      </c>
      <c r="F396" s="6">
        <f t="shared" si="12"/>
        <v>23.02</v>
      </c>
      <c r="G396" t="str">
        <f t="array" ref="G396">IFERROR(INDEX('working sheet'!$F$2:$F$3548, MODE(IF('working sheet'!$D$2:$D$3548=A396, MATCH('working sheet'!$F$2:$F$3548, 'working sheet'!$F$2:$F$3548, 0)))),
         INDEX('working sheet'!$F$2:$F$3548, MATCH(A396, 'working sheet'!$D$2:$D$3548, 0)))</f>
        <v>Americano</v>
      </c>
      <c r="H396" s="7">
        <f t="shared" si="13"/>
        <v>1.9996461458285921</v>
      </c>
      <c r="I396" s="7">
        <f>MAX('working sheet'!$B$2:$B$3548)-C396</f>
        <v>243.39675525463099</v>
      </c>
      <c r="J396" s="4" t="str">
        <f t="array" ref="J396">IF(AND(I396&lt;=30, D396&gt;=10, E396&gt;=200), "VIP",  IF(AND(I396&lt;=60, D396&gt;=5, E396&gt;=100), "Loyal", IF(AND(I396&lt;=90, D396&gt;=3), "Regular", IF(I396&lt;=30, "Recent", IF(D396&gt;=3, "Occasional", "At Risk")))))</f>
        <v>At Risk</v>
      </c>
      <c r="K396" t="str">
        <f t="array" ref="K396">IF(OR(J396="VIP", J396="Loyal"), "HIGH",IF(OR(J396="Regular", J396="Recent"), "MEDIUM","LOW"))</f>
        <v>LOW</v>
      </c>
    </row>
    <row r="397" spans="1:11">
      <c r="A397" t="s">
        <v>410</v>
      </c>
      <c r="B397" s="14">
        <f>_xlfn.MINIFS('working sheet'!$B$2:$B$3548, 'working sheet'!$D$2:$D$3548, A397)</f>
        <v>45495.697657326389</v>
      </c>
      <c r="C397" s="17">
        <f>_xlfn.MAXIFS('working sheet'!$B$1:$B$3548,'working sheet'!$D$1:$D$3548,'Customer Portfolio'!A397)</f>
        <v>45495.697657326389</v>
      </c>
      <c r="D397">
        <f>COUNTIFS('working sheet'!$D$1:$D$3548,'Customer Portfolio'!A397)</f>
        <v>1</v>
      </c>
      <c r="E397" s="5">
        <f>SUMIFS('working sheet'!$E$2:$E$3548,'working sheet'!$D$2:$D$3548,'Customer Portfolio'!A397)</f>
        <v>32.82</v>
      </c>
      <c r="F397" s="6">
        <f t="shared" si="12"/>
        <v>32.82</v>
      </c>
      <c r="G397" t="str">
        <f t="array" ref="G397">IFERROR(INDEX('working sheet'!$F$2:$F$3548, MODE(IF('working sheet'!$D$2:$D$3548=A397, MATCH('working sheet'!$F$2:$F$3548, 'working sheet'!$F$2:$F$3548, 0)))),
         INDEX('working sheet'!$F$2:$F$3548, MATCH(A397, 'working sheet'!$D$2:$D$3548, 0)))</f>
        <v>Latte</v>
      </c>
      <c r="H397" s="7">
        <f t="shared" si="13"/>
        <v>1</v>
      </c>
      <c r="I397" s="7">
        <f>MAX('working sheet'!$B$2:$B$3548)-C397</f>
        <v>244.06042872685066</v>
      </c>
      <c r="J397" s="4" t="str">
        <f t="array" ref="J397">IF(AND(I397&lt;=30, D397&gt;=10, E397&gt;=200), "VIP",  IF(AND(I397&lt;=60, D397&gt;=5, E397&gt;=100), "Loyal", IF(AND(I397&lt;=90, D397&gt;=3), "Regular", IF(I397&lt;=30, "Recent", IF(D397&gt;=3, "Occasional", "At Risk")))))</f>
        <v>At Risk</v>
      </c>
      <c r="K397" t="str">
        <f t="array" ref="K397">IF(OR(J397="VIP", J397="Loyal"), "HIGH",IF(OR(J397="Regular", J397="Recent"), "MEDIUM","LOW"))</f>
        <v>LOW</v>
      </c>
    </row>
    <row r="398" spans="1:11">
      <c r="A398" t="s">
        <v>411</v>
      </c>
      <c r="B398" s="14">
        <f>_xlfn.MINIFS('working sheet'!$B$2:$B$3548, 'working sheet'!$D$2:$D$3548, A398)</f>
        <v>45496.36451175926</v>
      </c>
      <c r="C398" s="17">
        <f>_xlfn.MAXIFS('working sheet'!$B$1:$B$3548,'working sheet'!$D$1:$D$3548,'Customer Portfolio'!A398)</f>
        <v>45496.36451175926</v>
      </c>
      <c r="D398">
        <f>COUNTIFS('working sheet'!$D$1:$D$3548,'Customer Portfolio'!A398)</f>
        <v>1</v>
      </c>
      <c r="E398" s="5">
        <f>SUMIFS('working sheet'!$E$2:$E$3548,'working sheet'!$D$2:$D$3548,'Customer Portfolio'!A398)</f>
        <v>27.92</v>
      </c>
      <c r="F398" s="6">
        <f t="shared" si="12"/>
        <v>27.92</v>
      </c>
      <c r="G398" t="str">
        <f t="array" ref="G398">IFERROR(INDEX('working sheet'!$F$2:$F$3548, MODE(IF('working sheet'!$D$2:$D$3548=A398, MATCH('working sheet'!$F$2:$F$3548, 'working sheet'!$F$2:$F$3548, 0)))),
         INDEX('working sheet'!$F$2:$F$3548, MATCH(A398, 'working sheet'!$D$2:$D$3548, 0)))</f>
        <v>Americano with Milk</v>
      </c>
      <c r="H398" s="7">
        <f t="shared" si="13"/>
        <v>1</v>
      </c>
      <c r="I398" s="7">
        <f>MAX('working sheet'!$B$2:$B$3548)-C398</f>
        <v>243.39357429397933</v>
      </c>
      <c r="J398" s="4" t="str">
        <f t="array" ref="J398">IF(AND(I398&lt;=30, D398&gt;=10, E398&gt;=200), "VIP",  IF(AND(I398&lt;=60, D398&gt;=5, E398&gt;=100), "Loyal", IF(AND(I398&lt;=90, D398&gt;=3), "Regular", IF(I398&lt;=30, "Recent", IF(D398&gt;=3, "Occasional", "At Risk")))))</f>
        <v>At Risk</v>
      </c>
      <c r="K398" t="str">
        <f t="array" ref="K398">IF(OR(J398="VIP", J398="Loyal"), "HIGH",IF(OR(J398="Regular", J398="Recent"), "MEDIUM","LOW"))</f>
        <v>LOW</v>
      </c>
    </row>
    <row r="399" spans="1:11">
      <c r="A399" t="s">
        <v>412</v>
      </c>
      <c r="B399" s="14">
        <f>_xlfn.MINIFS('working sheet'!$B$2:$B$3548, 'working sheet'!$D$2:$D$3548, A399)</f>
        <v>45496.367651701388</v>
      </c>
      <c r="C399" s="17">
        <f>_xlfn.MAXIFS('working sheet'!$B$1:$B$3548,'working sheet'!$D$1:$D$3548,'Customer Portfolio'!A399)</f>
        <v>45496.367651701388</v>
      </c>
      <c r="D399">
        <f>COUNTIFS('working sheet'!$D$1:$D$3548,'Customer Portfolio'!A399)</f>
        <v>1</v>
      </c>
      <c r="E399" s="5">
        <f>SUMIFS('working sheet'!$E$2:$E$3548,'working sheet'!$D$2:$D$3548,'Customer Portfolio'!A399)</f>
        <v>32.82</v>
      </c>
      <c r="F399" s="6">
        <f t="shared" si="12"/>
        <v>32.82</v>
      </c>
      <c r="G399" t="str">
        <f t="array" ref="G399">IFERROR(INDEX('working sheet'!$F$2:$F$3548, MODE(IF('working sheet'!$D$2:$D$3548=A399, MATCH('working sheet'!$F$2:$F$3548, 'working sheet'!$F$2:$F$3548, 0)))),
         INDEX('working sheet'!$F$2:$F$3548, MATCH(A399, 'working sheet'!$D$2:$D$3548, 0)))</f>
        <v>Cocoa</v>
      </c>
      <c r="H399" s="7">
        <f t="shared" si="13"/>
        <v>1</v>
      </c>
      <c r="I399" s="7">
        <f>MAX('working sheet'!$B$2:$B$3548)-C399</f>
        <v>243.39043435185158</v>
      </c>
      <c r="J399" s="4" t="str">
        <f t="array" ref="J399">IF(AND(I399&lt;=30, D399&gt;=10, E399&gt;=200), "VIP",  IF(AND(I399&lt;=60, D399&gt;=5, E399&gt;=100), "Loyal", IF(AND(I399&lt;=90, D399&gt;=3), "Regular", IF(I399&lt;=30, "Recent", IF(D399&gt;=3, "Occasional", "At Risk")))))</f>
        <v>At Risk</v>
      </c>
      <c r="K399" t="str">
        <f t="array" ref="K399">IF(OR(J399="VIP", J399="Loyal"), "HIGH",IF(OR(J399="Regular", J399="Recent"), "MEDIUM","LOW"))</f>
        <v>LOW</v>
      </c>
    </row>
    <row r="400" spans="1:11">
      <c r="A400" t="s">
        <v>413</v>
      </c>
      <c r="B400" s="14">
        <f>_xlfn.MINIFS('working sheet'!$B$2:$B$3548, 'working sheet'!$D$2:$D$3548, A400)</f>
        <v>45496.368869965278</v>
      </c>
      <c r="C400" s="17">
        <f>_xlfn.MAXIFS('working sheet'!$B$1:$B$3548,'working sheet'!$D$1:$D$3548,'Customer Portfolio'!A400)</f>
        <v>45498.367574398151</v>
      </c>
      <c r="D400">
        <f>COUNTIFS('working sheet'!$D$1:$D$3548,'Customer Portfolio'!A400)</f>
        <v>3</v>
      </c>
      <c r="E400" s="5">
        <f>SUMIFS('working sheet'!$E$2:$E$3548,'working sheet'!$D$2:$D$3548,'Customer Portfolio'!A400)</f>
        <v>98.460000000000008</v>
      </c>
      <c r="F400" s="6">
        <f t="shared" si="12"/>
        <v>32.82</v>
      </c>
      <c r="G400" t="str">
        <f t="array" ref="G400">IFERROR(INDEX('working sheet'!$F$2:$F$3548, MODE(IF('working sheet'!$D$2:$D$3548=A400, MATCH('working sheet'!$F$2:$F$3548, 'working sheet'!$F$2:$F$3548, 0)))),
         INDEX('working sheet'!$F$2:$F$3548, MATCH(A400, 'working sheet'!$D$2:$D$3548, 0)))</f>
        <v>Latte</v>
      </c>
      <c r="H400" s="7">
        <f t="shared" si="13"/>
        <v>2.9987044328736374</v>
      </c>
      <c r="I400" s="7">
        <f>MAX('working sheet'!$B$2:$B$3548)-C400</f>
        <v>241.39051165508863</v>
      </c>
      <c r="J400" s="4" t="str">
        <f t="array" ref="J400">IF(AND(I400&lt;=30, D400&gt;=10, E400&gt;=200), "VIP",  IF(AND(I400&lt;=60, D400&gt;=5, E400&gt;=100), "Loyal", IF(AND(I400&lt;=90, D400&gt;=3), "Regular", IF(I400&lt;=30, "Recent", IF(D400&gt;=3, "Occasional", "At Risk")))))</f>
        <v>Occasional</v>
      </c>
      <c r="K400" t="str">
        <f t="array" ref="K400">IF(OR(J400="VIP", J400="Loyal"), "HIGH",IF(OR(J400="Regular", J400="Recent"), "MEDIUM","LOW"))</f>
        <v>LOW</v>
      </c>
    </row>
    <row r="401" spans="1:11">
      <c r="A401" t="s">
        <v>414</v>
      </c>
      <c r="B401" s="14">
        <f>_xlfn.MINIFS('working sheet'!$B$2:$B$3548, 'working sheet'!$D$2:$D$3548, A401)</f>
        <v>45496.419172361107</v>
      </c>
      <c r="C401" s="17">
        <f>_xlfn.MAXIFS('working sheet'!$B$1:$B$3548,'working sheet'!$D$1:$D$3548,'Customer Portfolio'!A401)</f>
        <v>45496.419172361107</v>
      </c>
      <c r="D401">
        <f>COUNTIFS('working sheet'!$D$1:$D$3548,'Customer Portfolio'!A401)</f>
        <v>1</v>
      </c>
      <c r="E401" s="5">
        <f>SUMIFS('working sheet'!$E$2:$E$3548,'working sheet'!$D$2:$D$3548,'Customer Portfolio'!A401)</f>
        <v>27.92</v>
      </c>
      <c r="F401" s="6">
        <f t="shared" si="12"/>
        <v>27.92</v>
      </c>
      <c r="G401" t="str">
        <f t="array" ref="G401">IFERROR(INDEX('working sheet'!$F$2:$F$3548, MODE(IF('working sheet'!$D$2:$D$3548=A401, MATCH('working sheet'!$F$2:$F$3548, 'working sheet'!$F$2:$F$3548, 0)))),
         INDEX('working sheet'!$F$2:$F$3548, MATCH(A401, 'working sheet'!$D$2:$D$3548, 0)))</f>
        <v>Americano with Milk</v>
      </c>
      <c r="H401" s="7">
        <f t="shared" si="13"/>
        <v>1</v>
      </c>
      <c r="I401" s="7">
        <f>MAX('working sheet'!$B$2:$B$3548)-C401</f>
        <v>243.33891369213234</v>
      </c>
      <c r="J401" s="4" t="str">
        <f t="array" ref="J401">IF(AND(I401&lt;=30, D401&gt;=10, E401&gt;=200), "VIP",  IF(AND(I401&lt;=60, D401&gt;=5, E401&gt;=100), "Loyal", IF(AND(I401&lt;=90, D401&gt;=3), "Regular", IF(I401&lt;=30, "Recent", IF(D401&gt;=3, "Occasional", "At Risk")))))</f>
        <v>At Risk</v>
      </c>
      <c r="K401" t="str">
        <f t="array" ref="K401">IF(OR(J401="VIP", J401="Loyal"), "HIGH",IF(OR(J401="Regular", J401="Recent"), "MEDIUM","LOW"))</f>
        <v>LOW</v>
      </c>
    </row>
    <row r="402" spans="1:11">
      <c r="A402" t="s">
        <v>415</v>
      </c>
      <c r="B402" s="14">
        <f>_xlfn.MINIFS('working sheet'!$B$2:$B$3548, 'working sheet'!$D$2:$D$3548, A402)</f>
        <v>45496.638946423613</v>
      </c>
      <c r="C402" s="17">
        <f>_xlfn.MAXIFS('working sheet'!$B$1:$B$3548,'working sheet'!$D$1:$D$3548,'Customer Portfolio'!A402)</f>
        <v>45507.401863541665</v>
      </c>
      <c r="D402">
        <f>COUNTIFS('working sheet'!$D$1:$D$3548,'Customer Portfolio'!A402)</f>
        <v>4</v>
      </c>
      <c r="E402" s="5">
        <f>SUMIFS('working sheet'!$E$2:$E$3548,'working sheet'!$D$2:$D$3548,'Customer Portfolio'!A402)</f>
        <v>116.58</v>
      </c>
      <c r="F402" s="6">
        <f t="shared" si="12"/>
        <v>29.145</v>
      </c>
      <c r="G402" t="str">
        <f t="array" ref="G402">IFERROR(INDEX('working sheet'!$F$2:$F$3548, MODE(IF('working sheet'!$D$2:$D$3548=A402, MATCH('working sheet'!$F$2:$F$3548, 'working sheet'!$F$2:$F$3548, 0)))),
         INDEX('working sheet'!$F$2:$F$3548, MATCH(A402, 'working sheet'!$D$2:$D$3548, 0)))</f>
        <v>Americano with Milk</v>
      </c>
      <c r="H402" s="7">
        <f t="shared" si="13"/>
        <v>11.762917118052428</v>
      </c>
      <c r="I402" s="7">
        <f>MAX('working sheet'!$B$2:$B$3548)-C402</f>
        <v>232.35622251157474</v>
      </c>
      <c r="J402" s="4" t="str">
        <f t="array" ref="J402">IF(AND(I402&lt;=30, D402&gt;=10, E402&gt;=200), "VIP",  IF(AND(I402&lt;=60, D402&gt;=5, E402&gt;=100), "Loyal", IF(AND(I402&lt;=90, D402&gt;=3), "Regular", IF(I402&lt;=30, "Recent", IF(D402&gt;=3, "Occasional", "At Risk")))))</f>
        <v>Occasional</v>
      </c>
      <c r="K402" t="str">
        <f t="array" ref="K402">IF(OR(J402="VIP", J402="Loyal"), "HIGH",IF(OR(J402="Regular", J402="Recent"), "MEDIUM","LOW"))</f>
        <v>LOW</v>
      </c>
    </row>
    <row r="403" spans="1:11">
      <c r="A403" t="s">
        <v>416</v>
      </c>
      <c r="B403" s="14">
        <f>_xlfn.MINIFS('working sheet'!$B$2:$B$3548, 'working sheet'!$D$2:$D$3548, A403)</f>
        <v>45497.412933518521</v>
      </c>
      <c r="C403" s="17">
        <f>_xlfn.MAXIFS('working sheet'!$B$1:$B$3548,'working sheet'!$D$1:$D$3548,'Customer Portfolio'!A403)</f>
        <v>45590.323181168984</v>
      </c>
      <c r="D403">
        <f>COUNTIFS('working sheet'!$D$1:$D$3548,'Customer Portfolio'!A403)</f>
        <v>5</v>
      </c>
      <c r="E403" s="5">
        <f>SUMIFS('working sheet'!$E$2:$E$3548,'working sheet'!$D$2:$D$3548,'Customer Portfolio'!A403)</f>
        <v>112.16</v>
      </c>
      <c r="F403" s="6">
        <f t="shared" si="12"/>
        <v>22.431999999999999</v>
      </c>
      <c r="G403" t="str">
        <f t="array" ref="G403">IFERROR(INDEX('working sheet'!$F$2:$F$3548, MODE(IF('working sheet'!$D$2:$D$3548=A403, MATCH('working sheet'!$F$2:$F$3548, 'working sheet'!$F$2:$F$3548, 0)))),
         INDEX('working sheet'!$F$2:$F$3548, MATCH(A403, 'working sheet'!$D$2:$D$3548, 0)))</f>
        <v>Espresso</v>
      </c>
      <c r="H403" s="7">
        <f t="shared" si="13"/>
        <v>93.910247650463134</v>
      </c>
      <c r="I403" s="7">
        <f>MAX('working sheet'!$B$2:$B$3548)-C403</f>
        <v>149.43490488425596</v>
      </c>
      <c r="J403" s="4" t="str">
        <f t="array" ref="J403">IF(AND(I403&lt;=30, D403&gt;=10, E403&gt;=200), "VIP",  IF(AND(I403&lt;=60, D403&gt;=5, E403&gt;=100), "Loyal", IF(AND(I403&lt;=90, D403&gt;=3), "Regular", IF(I403&lt;=30, "Recent", IF(D403&gt;=3, "Occasional", "At Risk")))))</f>
        <v>Occasional</v>
      </c>
      <c r="K403" t="str">
        <f t="array" ref="K403">IF(OR(J403="VIP", J403="Loyal"), "HIGH",IF(OR(J403="Regular", J403="Recent"), "MEDIUM","LOW"))</f>
        <v>LOW</v>
      </c>
    </row>
    <row r="404" spans="1:11">
      <c r="A404" t="s">
        <v>417</v>
      </c>
      <c r="B404" s="14">
        <f>_xlfn.MINIFS('working sheet'!$B$2:$B$3548, 'working sheet'!$D$2:$D$3548, A404)</f>
        <v>45498.642436481481</v>
      </c>
      <c r="C404" s="17">
        <f>_xlfn.MAXIFS('working sheet'!$B$1:$B$3548,'working sheet'!$D$1:$D$3548,'Customer Portfolio'!A404)</f>
        <v>45498.642436481481</v>
      </c>
      <c r="D404">
        <f>COUNTIFS('working sheet'!$D$1:$D$3548,'Customer Portfolio'!A404)</f>
        <v>1</v>
      </c>
      <c r="E404" s="5">
        <f>SUMIFS('working sheet'!$E$2:$E$3548,'working sheet'!$D$2:$D$3548,'Customer Portfolio'!A404)</f>
        <v>32.82</v>
      </c>
      <c r="F404" s="6">
        <f t="shared" si="12"/>
        <v>32.82</v>
      </c>
      <c r="G404" t="str">
        <f t="array" ref="G404">IFERROR(INDEX('working sheet'!$F$2:$F$3548, MODE(IF('working sheet'!$D$2:$D$3548=A404, MATCH('working sheet'!$F$2:$F$3548, 'working sheet'!$F$2:$F$3548, 0)))),
         INDEX('working sheet'!$F$2:$F$3548, MATCH(A404, 'working sheet'!$D$2:$D$3548, 0)))</f>
        <v>Cappuccino</v>
      </c>
      <c r="H404" s="7">
        <f t="shared" si="13"/>
        <v>1</v>
      </c>
      <c r="I404" s="7">
        <f>MAX('working sheet'!$B$2:$B$3548)-C404</f>
        <v>241.11564957175869</v>
      </c>
      <c r="J404" s="4" t="str">
        <f t="array" ref="J404">IF(AND(I404&lt;=30, D404&gt;=10, E404&gt;=200), "VIP",  IF(AND(I404&lt;=60, D404&gt;=5, E404&gt;=100), "Loyal", IF(AND(I404&lt;=90, D404&gt;=3), "Regular", IF(I404&lt;=30, "Recent", IF(D404&gt;=3, "Occasional", "At Risk")))))</f>
        <v>At Risk</v>
      </c>
      <c r="K404" t="str">
        <f t="array" ref="K404">IF(OR(J404="VIP", J404="Loyal"), "HIGH",IF(OR(J404="Regular", J404="Recent"), "MEDIUM","LOW"))</f>
        <v>LOW</v>
      </c>
    </row>
    <row r="405" spans="1:11">
      <c r="A405" t="s">
        <v>418</v>
      </c>
      <c r="B405" s="14">
        <f>_xlfn.MINIFS('working sheet'!$B$2:$B$3548, 'working sheet'!$D$2:$D$3548, A405)</f>
        <v>45498.879181388889</v>
      </c>
      <c r="C405" s="17">
        <f>_xlfn.MAXIFS('working sheet'!$B$1:$B$3548,'working sheet'!$D$1:$D$3548,'Customer Portfolio'!A405)</f>
        <v>45498.879745393519</v>
      </c>
      <c r="D405">
        <f>COUNTIFS('working sheet'!$D$1:$D$3548,'Customer Portfolio'!A405)</f>
        <v>2</v>
      </c>
      <c r="E405" s="5">
        <f>SUMIFS('working sheet'!$E$2:$E$3548,'working sheet'!$D$2:$D$3548,'Customer Portfolio'!A405)</f>
        <v>41.14</v>
      </c>
      <c r="F405" s="6">
        <f t="shared" si="12"/>
        <v>20.57</v>
      </c>
      <c r="G405" t="str">
        <f t="array" ref="G405">IFERROR(INDEX('working sheet'!$F$2:$F$3548, MODE(IF('working sheet'!$D$2:$D$3548=A405, MATCH('working sheet'!$F$2:$F$3548, 'working sheet'!$F$2:$F$3548, 0)))),
         INDEX('working sheet'!$F$2:$F$3548, MATCH(A405, 'working sheet'!$D$2:$D$3548, 0)))</f>
        <v>Cortado</v>
      </c>
      <c r="H405" s="7">
        <f t="shared" si="13"/>
        <v>1.0005640046292683</v>
      </c>
      <c r="I405" s="7">
        <f>MAX('working sheet'!$B$2:$B$3548)-C405</f>
        <v>240.87834065972129</v>
      </c>
      <c r="J405" s="4" t="str">
        <f t="array" ref="J405">IF(AND(I405&lt;=30, D405&gt;=10, E405&gt;=200), "VIP",  IF(AND(I405&lt;=60, D405&gt;=5, E405&gt;=100), "Loyal", IF(AND(I405&lt;=90, D405&gt;=3), "Regular", IF(I405&lt;=30, "Recent", IF(D405&gt;=3, "Occasional", "At Risk")))))</f>
        <v>At Risk</v>
      </c>
      <c r="K405" t="str">
        <f t="array" ref="K405">IF(OR(J405="VIP", J405="Loyal"), "HIGH",IF(OR(J405="Regular", J405="Recent"), "MEDIUM","LOW"))</f>
        <v>LOW</v>
      </c>
    </row>
    <row r="406" spans="1:11">
      <c r="A406" t="s">
        <v>419</v>
      </c>
      <c r="B406" s="14">
        <f>_xlfn.MINIFS('working sheet'!$B$2:$B$3548, 'working sheet'!$D$2:$D$3548, A406)</f>
        <v>45498.944291550928</v>
      </c>
      <c r="C406" s="17">
        <f>_xlfn.MAXIFS('working sheet'!$B$1:$B$3548,'working sheet'!$D$1:$D$3548,'Customer Portfolio'!A406)</f>
        <v>45498.944291550928</v>
      </c>
      <c r="D406">
        <f>COUNTIFS('working sheet'!$D$1:$D$3548,'Customer Portfolio'!A406)</f>
        <v>1</v>
      </c>
      <c r="E406" s="5">
        <f>SUMIFS('working sheet'!$E$2:$E$3548,'working sheet'!$D$2:$D$3548,'Customer Portfolio'!A406)</f>
        <v>32.82</v>
      </c>
      <c r="F406" s="6">
        <f t="shared" si="12"/>
        <v>32.82</v>
      </c>
      <c r="G406" t="str">
        <f t="array" ref="G406">IFERROR(INDEX('working sheet'!$F$2:$F$3548, MODE(IF('working sheet'!$D$2:$D$3548=A406, MATCH('working sheet'!$F$2:$F$3548, 'working sheet'!$F$2:$F$3548, 0)))),
         INDEX('working sheet'!$F$2:$F$3548, MATCH(A406, 'working sheet'!$D$2:$D$3548, 0)))</f>
        <v>Cocoa</v>
      </c>
      <c r="H406" s="7">
        <f t="shared" si="13"/>
        <v>1</v>
      </c>
      <c r="I406" s="7">
        <f>MAX('working sheet'!$B$2:$B$3548)-C406</f>
        <v>240.81379450231179</v>
      </c>
      <c r="J406" s="4" t="str">
        <f t="array" ref="J406">IF(AND(I406&lt;=30, D406&gt;=10, E406&gt;=200), "VIP",  IF(AND(I406&lt;=60, D406&gt;=5, E406&gt;=100), "Loyal", IF(AND(I406&lt;=90, D406&gt;=3), "Regular", IF(I406&lt;=30, "Recent", IF(D406&gt;=3, "Occasional", "At Risk")))))</f>
        <v>At Risk</v>
      </c>
      <c r="K406" t="str">
        <f t="array" ref="K406">IF(OR(J406="VIP", J406="Loyal"), "HIGH",IF(OR(J406="Regular", J406="Recent"), "MEDIUM","LOW"))</f>
        <v>LOW</v>
      </c>
    </row>
    <row r="407" spans="1:11">
      <c r="A407" t="s">
        <v>420</v>
      </c>
      <c r="B407" s="14">
        <f>_xlfn.MINIFS('working sheet'!$B$2:$B$3548, 'working sheet'!$D$2:$D$3548, A407)</f>
        <v>45499.356264733797</v>
      </c>
      <c r="C407" s="17">
        <f>_xlfn.MAXIFS('working sheet'!$B$1:$B$3548,'working sheet'!$D$1:$D$3548,'Customer Portfolio'!A407)</f>
        <v>45673.691099606483</v>
      </c>
      <c r="D407">
        <f>COUNTIFS('working sheet'!$D$1:$D$3548,'Customer Portfolio'!A407)</f>
        <v>2</v>
      </c>
      <c r="E407" s="5">
        <f>SUMIFS('working sheet'!$E$2:$E$3548,'working sheet'!$D$2:$D$3548,'Customer Portfolio'!A407)</f>
        <v>68.58</v>
      </c>
      <c r="F407" s="6">
        <f t="shared" si="12"/>
        <v>34.29</v>
      </c>
      <c r="G407" t="str">
        <f t="array" ref="G407">IFERROR(INDEX('working sheet'!$F$2:$F$3548, MODE(IF('working sheet'!$D$2:$D$3548=A407, MATCH('working sheet'!$F$2:$F$3548, 'working sheet'!$F$2:$F$3548, 0)))),
         INDEX('working sheet'!$F$2:$F$3548, MATCH(A407, 'working sheet'!$D$2:$D$3548, 0)))</f>
        <v>Latte</v>
      </c>
      <c r="H407" s="7">
        <f t="shared" si="13"/>
        <v>175.33483487268677</v>
      </c>
      <c r="I407" s="7">
        <f>MAX('working sheet'!$B$2:$B$3548)-C407</f>
        <v>66.066986446756346</v>
      </c>
      <c r="J407" s="4" t="str">
        <f t="array" ref="J407">IF(AND(I407&lt;=30, D407&gt;=10, E407&gt;=200), "VIP",  IF(AND(I407&lt;=60, D407&gt;=5, E407&gt;=100), "Loyal", IF(AND(I407&lt;=90, D407&gt;=3), "Regular", IF(I407&lt;=30, "Recent", IF(D407&gt;=3, "Occasional", "At Risk")))))</f>
        <v>At Risk</v>
      </c>
      <c r="K407" t="str">
        <f t="array" ref="K407">IF(OR(J407="VIP", J407="Loyal"), "HIGH",IF(OR(J407="Regular", J407="Recent"), "MEDIUM","LOW"))</f>
        <v>LOW</v>
      </c>
    </row>
    <row r="408" spans="1:11">
      <c r="A408" t="s">
        <v>421</v>
      </c>
      <c r="B408" s="14">
        <f>_xlfn.MINIFS('working sheet'!$B$2:$B$3548, 'working sheet'!$D$2:$D$3548, A408)</f>
        <v>45499.398049895834</v>
      </c>
      <c r="C408" s="17">
        <f>_xlfn.MAXIFS('working sheet'!$B$1:$B$3548,'working sheet'!$D$1:$D$3548,'Customer Portfolio'!A408)</f>
        <v>45499.398803622687</v>
      </c>
      <c r="D408">
        <f>COUNTIFS('working sheet'!$D$1:$D$3548,'Customer Portfolio'!A408)</f>
        <v>2</v>
      </c>
      <c r="E408" s="5">
        <f>SUMIFS('working sheet'!$E$2:$E$3548,'working sheet'!$D$2:$D$3548,'Customer Portfolio'!A408)</f>
        <v>46.04</v>
      </c>
      <c r="F408" s="6">
        <f t="shared" si="12"/>
        <v>23.02</v>
      </c>
      <c r="G408" t="str">
        <f t="array" ref="G408">IFERROR(INDEX('working sheet'!$F$2:$F$3548, MODE(IF('working sheet'!$D$2:$D$3548=A408, MATCH('working sheet'!$F$2:$F$3548, 'working sheet'!$F$2:$F$3548, 0)))),
         INDEX('working sheet'!$F$2:$F$3548, MATCH(A408, 'working sheet'!$D$2:$D$3548, 0)))</f>
        <v>Cortado</v>
      </c>
      <c r="H408" s="7">
        <f t="shared" si="13"/>
        <v>1.0007537268538726</v>
      </c>
      <c r="I408" s="7">
        <f>MAX('working sheet'!$B$2:$B$3548)-C408</f>
        <v>240.35928243055241</v>
      </c>
      <c r="J408" s="4" t="str">
        <f t="array" ref="J408">IF(AND(I408&lt;=30, D408&gt;=10, E408&gt;=200), "VIP",  IF(AND(I408&lt;=60, D408&gt;=5, E408&gt;=100), "Loyal", IF(AND(I408&lt;=90, D408&gt;=3), "Regular", IF(I408&lt;=30, "Recent", IF(D408&gt;=3, "Occasional", "At Risk")))))</f>
        <v>At Risk</v>
      </c>
      <c r="K408" t="str">
        <f t="array" ref="K408">IF(OR(J408="VIP", J408="Loyal"), "HIGH",IF(OR(J408="Regular", J408="Recent"), "MEDIUM","LOW"))</f>
        <v>LOW</v>
      </c>
    </row>
    <row r="409" spans="1:11">
      <c r="A409" t="s">
        <v>422</v>
      </c>
      <c r="B409" s="14">
        <f>_xlfn.MINIFS('working sheet'!$B$2:$B$3548, 'working sheet'!$D$2:$D$3548, A409)</f>
        <v>45499.416063275465</v>
      </c>
      <c r="C409" s="17">
        <f>_xlfn.MAXIFS('working sheet'!$B$1:$B$3548,'working sheet'!$D$1:$D$3548,'Customer Portfolio'!A409)</f>
        <v>45562.846693506945</v>
      </c>
      <c r="D409">
        <f>COUNTIFS('working sheet'!$D$1:$D$3548,'Customer Portfolio'!A409)</f>
        <v>10</v>
      </c>
      <c r="E409" s="5">
        <f>SUMIFS('working sheet'!$E$2:$E$3548,'working sheet'!$D$2:$D$3548,'Customer Portfolio'!A409)</f>
        <v>269.40000000000003</v>
      </c>
      <c r="F409" s="6">
        <f t="shared" si="12"/>
        <v>26.940000000000005</v>
      </c>
      <c r="G409" t="str">
        <f t="array" ref="G409">IFERROR(INDEX('working sheet'!$F$2:$F$3548, MODE(IF('working sheet'!$D$2:$D$3548=A409, MATCH('working sheet'!$F$2:$F$3548, 'working sheet'!$F$2:$F$3548, 0)))),
         INDEX('working sheet'!$F$2:$F$3548, MATCH(A409, 'working sheet'!$D$2:$D$3548, 0)))</f>
        <v>Americano</v>
      </c>
      <c r="H409" s="7">
        <f t="shared" si="13"/>
        <v>64.430630231479881</v>
      </c>
      <c r="I409" s="7">
        <f>MAX('working sheet'!$B$2:$B$3548)-C409</f>
        <v>176.91139254629525</v>
      </c>
      <c r="J409" s="4" t="str">
        <f t="array" ref="J409">IF(AND(I409&lt;=30, D409&gt;=10, E409&gt;=200), "VIP",  IF(AND(I409&lt;=60, D409&gt;=5, E409&gt;=100), "Loyal", IF(AND(I409&lt;=90, D409&gt;=3), "Regular", IF(I409&lt;=30, "Recent", IF(D409&gt;=3, "Occasional", "At Risk")))))</f>
        <v>Occasional</v>
      </c>
      <c r="K409" t="str">
        <f t="array" ref="K409">IF(OR(J409="VIP", J409="Loyal"), "HIGH",IF(OR(J409="Regular", J409="Recent"), "MEDIUM","LOW"))</f>
        <v>LOW</v>
      </c>
    </row>
    <row r="410" spans="1:11">
      <c r="A410" t="s">
        <v>423</v>
      </c>
      <c r="B410" s="14">
        <f>_xlfn.MINIFS('working sheet'!$B$2:$B$3548, 'working sheet'!$D$2:$D$3548, A410)</f>
        <v>45499.548566412035</v>
      </c>
      <c r="C410" s="17">
        <f>_xlfn.MAXIFS('working sheet'!$B$1:$B$3548,'working sheet'!$D$1:$D$3548,'Customer Portfolio'!A410)</f>
        <v>45633.655611817128</v>
      </c>
      <c r="D410">
        <f>COUNTIFS('working sheet'!$D$1:$D$3548,'Customer Portfolio'!A410)</f>
        <v>2</v>
      </c>
      <c r="E410" s="5">
        <f>SUMIFS('working sheet'!$E$2:$E$3548,'working sheet'!$D$2:$D$3548,'Customer Portfolio'!A410)</f>
        <v>68.58</v>
      </c>
      <c r="F410" s="6">
        <f t="shared" si="12"/>
        <v>34.29</v>
      </c>
      <c r="G410" t="str">
        <f t="array" ref="G410">IFERROR(INDEX('working sheet'!$F$2:$F$3548, MODE(IF('working sheet'!$D$2:$D$3548=A410, MATCH('working sheet'!$F$2:$F$3548, 'working sheet'!$F$2:$F$3548, 0)))),
         INDEX('working sheet'!$F$2:$F$3548, MATCH(A410, 'working sheet'!$D$2:$D$3548, 0)))</f>
        <v>Latte</v>
      </c>
      <c r="H410" s="7">
        <f t="shared" si="13"/>
        <v>135.10704540509323</v>
      </c>
      <c r="I410" s="7">
        <f>MAX('working sheet'!$B$2:$B$3548)-C410</f>
        <v>106.10247423611145</v>
      </c>
      <c r="J410" s="4" t="str">
        <f t="array" ref="J410">IF(AND(I410&lt;=30, D410&gt;=10, E410&gt;=200), "VIP",  IF(AND(I410&lt;=60, D410&gt;=5, E410&gt;=100), "Loyal", IF(AND(I410&lt;=90, D410&gt;=3), "Regular", IF(I410&lt;=30, "Recent", IF(D410&gt;=3, "Occasional", "At Risk")))))</f>
        <v>At Risk</v>
      </c>
      <c r="K410" t="str">
        <f t="array" ref="K410">IF(OR(J410="VIP", J410="Loyal"), "HIGH",IF(OR(J410="Regular", J410="Recent"), "MEDIUM","LOW"))</f>
        <v>LOW</v>
      </c>
    </row>
    <row r="411" spans="1:11">
      <c r="A411" t="s">
        <v>424</v>
      </c>
      <c r="B411" s="14">
        <f>_xlfn.MINIFS('working sheet'!$B$2:$B$3548, 'working sheet'!$D$2:$D$3548, A411)</f>
        <v>45499.724645219911</v>
      </c>
      <c r="C411" s="17">
        <f>_xlfn.MAXIFS('working sheet'!$B$1:$B$3548,'working sheet'!$D$1:$D$3548,'Customer Portfolio'!A411)</f>
        <v>45499.724645219911</v>
      </c>
      <c r="D411">
        <f>COUNTIFS('working sheet'!$D$1:$D$3548,'Customer Portfolio'!A411)</f>
        <v>1</v>
      </c>
      <c r="E411" s="5">
        <f>SUMIFS('working sheet'!$E$2:$E$3548,'working sheet'!$D$2:$D$3548,'Customer Portfolio'!A411)</f>
        <v>23.02</v>
      </c>
      <c r="F411" s="6">
        <f t="shared" si="12"/>
        <v>23.02</v>
      </c>
      <c r="G411" t="str">
        <f t="array" ref="G411">IFERROR(INDEX('working sheet'!$F$2:$F$3548, MODE(IF('working sheet'!$D$2:$D$3548=A411, MATCH('working sheet'!$F$2:$F$3548, 'working sheet'!$F$2:$F$3548, 0)))),
         INDEX('working sheet'!$F$2:$F$3548, MATCH(A411, 'working sheet'!$D$2:$D$3548, 0)))</f>
        <v>Americano</v>
      </c>
      <c r="H411" s="7">
        <f t="shared" si="13"/>
        <v>1</v>
      </c>
      <c r="I411" s="7">
        <f>MAX('working sheet'!$B$2:$B$3548)-C411</f>
        <v>240.03344083332922</v>
      </c>
      <c r="J411" s="4" t="str">
        <f t="array" ref="J411">IF(AND(I411&lt;=30, D411&gt;=10, E411&gt;=200), "VIP",  IF(AND(I411&lt;=60, D411&gt;=5, E411&gt;=100), "Loyal", IF(AND(I411&lt;=90, D411&gt;=3), "Regular", IF(I411&lt;=30, "Recent", IF(D411&gt;=3, "Occasional", "At Risk")))))</f>
        <v>At Risk</v>
      </c>
      <c r="K411" t="str">
        <f t="array" ref="K411">IF(OR(J411="VIP", J411="Loyal"), "HIGH",IF(OR(J411="Regular", J411="Recent"), "MEDIUM","LOW"))</f>
        <v>LOW</v>
      </c>
    </row>
    <row r="412" spans="1:11">
      <c r="A412" t="s">
        <v>425</v>
      </c>
      <c r="B412" s="14">
        <f>_xlfn.MINIFS('working sheet'!$B$2:$B$3548, 'working sheet'!$D$2:$D$3548, A412)</f>
        <v>45499.748949270834</v>
      </c>
      <c r="C412" s="17">
        <f>_xlfn.MAXIFS('working sheet'!$B$1:$B$3548,'working sheet'!$D$1:$D$3548,'Customer Portfolio'!A412)</f>
        <v>45499.748949270834</v>
      </c>
      <c r="D412">
        <f>COUNTIFS('working sheet'!$D$1:$D$3548,'Customer Portfolio'!A412)</f>
        <v>1</v>
      </c>
      <c r="E412" s="5">
        <f>SUMIFS('working sheet'!$E$2:$E$3548,'working sheet'!$D$2:$D$3548,'Customer Portfolio'!A412)</f>
        <v>32.82</v>
      </c>
      <c r="F412" s="6">
        <f t="shared" si="12"/>
        <v>32.82</v>
      </c>
      <c r="G412" t="str">
        <f t="array" ref="G412">IFERROR(INDEX('working sheet'!$F$2:$F$3548, MODE(IF('working sheet'!$D$2:$D$3548=A412, MATCH('working sheet'!$F$2:$F$3548, 'working sheet'!$F$2:$F$3548, 0)))),
         INDEX('working sheet'!$F$2:$F$3548, MATCH(A412, 'working sheet'!$D$2:$D$3548, 0)))</f>
        <v>Cappuccino</v>
      </c>
      <c r="H412" s="7">
        <f t="shared" si="13"/>
        <v>1</v>
      </c>
      <c r="I412" s="7">
        <f>MAX('working sheet'!$B$2:$B$3548)-C412</f>
        <v>240.00913678240613</v>
      </c>
      <c r="J412" s="4" t="str">
        <f t="array" ref="J412">IF(AND(I412&lt;=30, D412&gt;=10, E412&gt;=200), "VIP",  IF(AND(I412&lt;=60, D412&gt;=5, E412&gt;=100), "Loyal", IF(AND(I412&lt;=90, D412&gt;=3), "Regular", IF(I412&lt;=30, "Recent", IF(D412&gt;=3, "Occasional", "At Risk")))))</f>
        <v>At Risk</v>
      </c>
      <c r="K412" t="str">
        <f t="array" ref="K412">IF(OR(J412="VIP", J412="Loyal"), "HIGH",IF(OR(J412="Regular", J412="Recent"), "MEDIUM","LOW"))</f>
        <v>LOW</v>
      </c>
    </row>
    <row r="413" spans="1:11">
      <c r="A413" t="s">
        <v>426</v>
      </c>
      <c r="B413" s="14">
        <f>_xlfn.MINIFS('working sheet'!$B$2:$B$3548, 'working sheet'!$D$2:$D$3548, A413)</f>
        <v>45499.951299976849</v>
      </c>
      <c r="C413" s="17">
        <f>_xlfn.MAXIFS('working sheet'!$B$1:$B$3548,'working sheet'!$D$1:$D$3548,'Customer Portfolio'!A413)</f>
        <v>45499.951299976849</v>
      </c>
      <c r="D413">
        <f>COUNTIFS('working sheet'!$D$1:$D$3548,'Customer Portfolio'!A413)</f>
        <v>1</v>
      </c>
      <c r="E413" s="5">
        <f>SUMIFS('working sheet'!$E$2:$E$3548,'working sheet'!$D$2:$D$3548,'Customer Portfolio'!A413)</f>
        <v>27.92</v>
      </c>
      <c r="F413" s="6">
        <f t="shared" si="12"/>
        <v>27.92</v>
      </c>
      <c r="G413" t="str">
        <f t="array" ref="G413">IFERROR(INDEX('working sheet'!$F$2:$F$3548, MODE(IF('working sheet'!$D$2:$D$3548=A413, MATCH('working sheet'!$F$2:$F$3548, 'working sheet'!$F$2:$F$3548, 0)))),
         INDEX('working sheet'!$F$2:$F$3548, MATCH(A413, 'working sheet'!$D$2:$D$3548, 0)))</f>
        <v>Americano with Milk</v>
      </c>
      <c r="H413" s="7">
        <f t="shared" si="13"/>
        <v>1</v>
      </c>
      <c r="I413" s="7">
        <f>MAX('working sheet'!$B$2:$B$3548)-C413</f>
        <v>239.80678607639129</v>
      </c>
      <c r="J413" s="4" t="str">
        <f t="array" ref="J413">IF(AND(I413&lt;=30, D413&gt;=10, E413&gt;=200), "VIP",  IF(AND(I413&lt;=60, D413&gt;=5, E413&gt;=100), "Loyal", IF(AND(I413&lt;=90, D413&gt;=3), "Regular", IF(I413&lt;=30, "Recent", IF(D413&gt;=3, "Occasional", "At Risk")))))</f>
        <v>At Risk</v>
      </c>
      <c r="K413" t="str">
        <f t="array" ref="K413">IF(OR(J413="VIP", J413="Loyal"), "HIGH",IF(OR(J413="Regular", J413="Recent"), "MEDIUM","LOW"))</f>
        <v>LOW</v>
      </c>
    </row>
    <row r="414" spans="1:11">
      <c r="A414" t="s">
        <v>427</v>
      </c>
      <c r="B414" s="14">
        <f>_xlfn.MINIFS('working sheet'!$B$2:$B$3548, 'working sheet'!$D$2:$D$3548, A414)</f>
        <v>45500.496890983799</v>
      </c>
      <c r="C414" s="17">
        <f>_xlfn.MAXIFS('working sheet'!$B$1:$B$3548,'working sheet'!$D$1:$D$3548,'Customer Portfolio'!A414)</f>
        <v>45500.496890983799</v>
      </c>
      <c r="D414">
        <f>COUNTIFS('working sheet'!$D$1:$D$3548,'Customer Portfolio'!A414)</f>
        <v>1</v>
      </c>
      <c r="E414" s="5">
        <f>SUMIFS('working sheet'!$E$2:$E$3548,'working sheet'!$D$2:$D$3548,'Customer Portfolio'!A414)</f>
        <v>27.92</v>
      </c>
      <c r="F414" s="6">
        <f t="shared" si="12"/>
        <v>27.92</v>
      </c>
      <c r="G414" t="str">
        <f t="array" ref="G414">IFERROR(INDEX('working sheet'!$F$2:$F$3548, MODE(IF('working sheet'!$D$2:$D$3548=A414, MATCH('working sheet'!$F$2:$F$3548, 'working sheet'!$F$2:$F$3548, 0)))),
         INDEX('working sheet'!$F$2:$F$3548, MATCH(A414, 'working sheet'!$D$2:$D$3548, 0)))</f>
        <v>Americano with Milk</v>
      </c>
      <c r="H414" s="7">
        <f t="shared" si="13"/>
        <v>1</v>
      </c>
      <c r="I414" s="7">
        <f>MAX('working sheet'!$B$2:$B$3548)-C414</f>
        <v>239.26119506944087</v>
      </c>
      <c r="J414" s="4" t="str">
        <f t="array" ref="J414">IF(AND(I414&lt;=30, D414&gt;=10, E414&gt;=200), "VIP",  IF(AND(I414&lt;=60, D414&gt;=5, E414&gt;=100), "Loyal", IF(AND(I414&lt;=90, D414&gt;=3), "Regular", IF(I414&lt;=30, "Recent", IF(D414&gt;=3, "Occasional", "At Risk")))))</f>
        <v>At Risk</v>
      </c>
      <c r="K414" t="str">
        <f t="array" ref="K414">IF(OR(J414="VIP", J414="Loyal"), "HIGH",IF(OR(J414="Regular", J414="Recent"), "MEDIUM","LOW"))</f>
        <v>LOW</v>
      </c>
    </row>
    <row r="415" spans="1:11">
      <c r="A415" t="s">
        <v>428</v>
      </c>
      <c r="B415" s="14">
        <f>_xlfn.MINIFS('working sheet'!$B$2:$B$3548, 'working sheet'!$D$2:$D$3548, A415)</f>
        <v>45500.710108310188</v>
      </c>
      <c r="C415" s="17">
        <f>_xlfn.MAXIFS('working sheet'!$B$1:$B$3548,'working sheet'!$D$1:$D$3548,'Customer Portfolio'!A415)</f>
        <v>45515.685823217595</v>
      </c>
      <c r="D415">
        <f>COUNTIFS('working sheet'!$D$1:$D$3548,'Customer Portfolio'!A415)</f>
        <v>2</v>
      </c>
      <c r="E415" s="5">
        <f>SUMIFS('working sheet'!$E$2:$E$3548,'working sheet'!$D$2:$D$3548,'Customer Portfolio'!A415)</f>
        <v>65.64</v>
      </c>
      <c r="F415" s="6">
        <f t="shared" si="12"/>
        <v>32.82</v>
      </c>
      <c r="G415" t="str">
        <f t="array" ref="G415">IFERROR(INDEX('working sheet'!$F$2:$F$3548, MODE(IF('working sheet'!$D$2:$D$3548=A415, MATCH('working sheet'!$F$2:$F$3548, 'working sheet'!$F$2:$F$3548, 0)))),
         INDEX('working sheet'!$F$2:$F$3548, MATCH(A415, 'working sheet'!$D$2:$D$3548, 0)))</f>
        <v>Cappuccino</v>
      </c>
      <c r="H415" s="7">
        <f t="shared" si="13"/>
        <v>15.975714907406655</v>
      </c>
      <c r="I415" s="7">
        <f>MAX('working sheet'!$B$2:$B$3548)-C415</f>
        <v>224.07226283564523</v>
      </c>
      <c r="J415" s="4" t="str">
        <f t="array" ref="J415">IF(AND(I415&lt;=30, D415&gt;=10, E415&gt;=200), "VIP",  IF(AND(I415&lt;=60, D415&gt;=5, E415&gt;=100), "Loyal", IF(AND(I415&lt;=90, D415&gt;=3), "Regular", IF(I415&lt;=30, "Recent", IF(D415&gt;=3, "Occasional", "At Risk")))))</f>
        <v>At Risk</v>
      </c>
      <c r="K415" t="str">
        <f t="array" ref="K415">IF(OR(J415="VIP", J415="Loyal"), "HIGH",IF(OR(J415="Regular", J415="Recent"), "MEDIUM","LOW"))</f>
        <v>LOW</v>
      </c>
    </row>
    <row r="416" spans="1:11">
      <c r="A416" t="s">
        <v>429</v>
      </c>
      <c r="B416" s="14">
        <f>_xlfn.MINIFS('working sheet'!$B$2:$B$3548, 'working sheet'!$D$2:$D$3548, A416)</f>
        <v>45500.710869351853</v>
      </c>
      <c r="C416" s="17">
        <f>_xlfn.MAXIFS('working sheet'!$B$1:$B$3548,'working sheet'!$D$1:$D$3548,'Customer Portfolio'!A416)</f>
        <v>45500.710869351853</v>
      </c>
      <c r="D416">
        <f>COUNTIFS('working sheet'!$D$1:$D$3548,'Customer Portfolio'!A416)</f>
        <v>1</v>
      </c>
      <c r="E416" s="5">
        <f>SUMIFS('working sheet'!$E$2:$E$3548,'working sheet'!$D$2:$D$3548,'Customer Portfolio'!A416)</f>
        <v>32.82</v>
      </c>
      <c r="F416" s="6">
        <f t="shared" si="12"/>
        <v>32.82</v>
      </c>
      <c r="G416" t="str">
        <f t="array" ref="G416">IFERROR(INDEX('working sheet'!$F$2:$F$3548, MODE(IF('working sheet'!$D$2:$D$3548=A416, MATCH('working sheet'!$F$2:$F$3548, 'working sheet'!$F$2:$F$3548, 0)))),
         INDEX('working sheet'!$F$2:$F$3548, MATCH(A416, 'working sheet'!$D$2:$D$3548, 0)))</f>
        <v>Cappuccino</v>
      </c>
      <c r="H416" s="7">
        <f t="shared" si="13"/>
        <v>1</v>
      </c>
      <c r="I416" s="7">
        <f>MAX('working sheet'!$B$2:$B$3548)-C416</f>
        <v>239.04721670138679</v>
      </c>
      <c r="J416" s="4" t="str">
        <f t="array" ref="J416">IF(AND(I416&lt;=30, D416&gt;=10, E416&gt;=200), "VIP",  IF(AND(I416&lt;=60, D416&gt;=5, E416&gt;=100), "Loyal", IF(AND(I416&lt;=90, D416&gt;=3), "Regular", IF(I416&lt;=30, "Recent", IF(D416&gt;=3, "Occasional", "At Risk")))))</f>
        <v>At Risk</v>
      </c>
      <c r="K416" t="str">
        <f t="array" ref="K416">IF(OR(J416="VIP", J416="Loyal"), "HIGH",IF(OR(J416="Regular", J416="Recent"), "MEDIUM","LOW"))</f>
        <v>LOW</v>
      </c>
    </row>
    <row r="417" spans="1:11">
      <c r="A417" t="s">
        <v>430</v>
      </c>
      <c r="B417" s="14">
        <f>_xlfn.MINIFS('working sheet'!$B$2:$B$3548, 'working sheet'!$D$2:$D$3548, A417)</f>
        <v>45500.714588240742</v>
      </c>
      <c r="C417" s="17">
        <f>_xlfn.MAXIFS('working sheet'!$B$1:$B$3548,'working sheet'!$D$1:$D$3548,'Customer Portfolio'!A417)</f>
        <v>45500.715371226848</v>
      </c>
      <c r="D417">
        <f>COUNTIFS('working sheet'!$D$1:$D$3548,'Customer Portfolio'!A417)</f>
        <v>2</v>
      </c>
      <c r="E417" s="5">
        <f>SUMIFS('working sheet'!$E$2:$E$3548,'working sheet'!$D$2:$D$3548,'Customer Portfolio'!A417)</f>
        <v>55.84</v>
      </c>
      <c r="F417" s="6">
        <f t="shared" si="12"/>
        <v>27.92</v>
      </c>
      <c r="G417" t="str">
        <f t="array" ref="G417">IFERROR(INDEX('working sheet'!$F$2:$F$3548, MODE(IF('working sheet'!$D$2:$D$3548=A417, MATCH('working sheet'!$F$2:$F$3548, 'working sheet'!$F$2:$F$3548, 0)))),
         INDEX('working sheet'!$F$2:$F$3548, MATCH(A417, 'working sheet'!$D$2:$D$3548, 0)))</f>
        <v>Americano with Milk</v>
      </c>
      <c r="H417" s="7">
        <f t="shared" si="13"/>
        <v>1.00078298610606</v>
      </c>
      <c r="I417" s="7">
        <f>MAX('working sheet'!$B$2:$B$3548)-C417</f>
        <v>239.0427148263916</v>
      </c>
      <c r="J417" s="4" t="str">
        <f t="array" ref="J417">IF(AND(I417&lt;=30, D417&gt;=10, E417&gt;=200), "VIP",  IF(AND(I417&lt;=60, D417&gt;=5, E417&gt;=100), "Loyal", IF(AND(I417&lt;=90, D417&gt;=3), "Regular", IF(I417&lt;=30, "Recent", IF(D417&gt;=3, "Occasional", "At Risk")))))</f>
        <v>At Risk</v>
      </c>
      <c r="K417" t="str">
        <f t="array" ref="K417">IF(OR(J417="VIP", J417="Loyal"), "HIGH",IF(OR(J417="Regular", J417="Recent"), "MEDIUM","LOW"))</f>
        <v>LOW</v>
      </c>
    </row>
    <row r="418" spans="1:11">
      <c r="A418" t="s">
        <v>431</v>
      </c>
      <c r="B418" s="14">
        <f>_xlfn.MINIFS('working sheet'!$B$2:$B$3548, 'working sheet'!$D$2:$D$3548, A418)</f>
        <v>45500.955832349537</v>
      </c>
      <c r="C418" s="17">
        <f>_xlfn.MAXIFS('working sheet'!$B$1:$B$3548,'working sheet'!$D$1:$D$3548,'Customer Portfolio'!A418)</f>
        <v>45500.955832349537</v>
      </c>
      <c r="D418">
        <f>COUNTIFS('working sheet'!$D$1:$D$3548,'Customer Portfolio'!A418)</f>
        <v>1</v>
      </c>
      <c r="E418" s="5">
        <f>SUMIFS('working sheet'!$E$2:$E$3548,'working sheet'!$D$2:$D$3548,'Customer Portfolio'!A418)</f>
        <v>32.82</v>
      </c>
      <c r="F418" s="6">
        <f t="shared" si="12"/>
        <v>32.82</v>
      </c>
      <c r="G418" t="str">
        <f t="array" ref="G418">IFERROR(INDEX('working sheet'!$F$2:$F$3548, MODE(IF('working sheet'!$D$2:$D$3548=A418, MATCH('working sheet'!$F$2:$F$3548, 'working sheet'!$F$2:$F$3548, 0)))),
         INDEX('working sheet'!$F$2:$F$3548, MATCH(A418, 'working sheet'!$D$2:$D$3548, 0)))</f>
        <v>Cappuccino</v>
      </c>
      <c r="H418" s="7">
        <f t="shared" si="13"/>
        <v>1</v>
      </c>
      <c r="I418" s="7">
        <f>MAX('working sheet'!$B$2:$B$3548)-C418</f>
        <v>238.80225370370317</v>
      </c>
      <c r="J418" s="4" t="str">
        <f t="array" ref="J418">IF(AND(I418&lt;=30, D418&gt;=10, E418&gt;=200), "VIP",  IF(AND(I418&lt;=60, D418&gt;=5, E418&gt;=100), "Loyal", IF(AND(I418&lt;=90, D418&gt;=3), "Regular", IF(I418&lt;=30, "Recent", IF(D418&gt;=3, "Occasional", "At Risk")))))</f>
        <v>At Risk</v>
      </c>
      <c r="K418" t="str">
        <f t="array" ref="K418">IF(OR(J418="VIP", J418="Loyal"), "HIGH",IF(OR(J418="Regular", J418="Recent"), "MEDIUM","LOW"))</f>
        <v>LOW</v>
      </c>
    </row>
    <row r="419" spans="1:11">
      <c r="A419" t="s">
        <v>432</v>
      </c>
      <c r="B419" s="14">
        <f>_xlfn.MINIFS('working sheet'!$B$2:$B$3548, 'working sheet'!$D$2:$D$3548, A419)</f>
        <v>45502.341740810189</v>
      </c>
      <c r="C419" s="17">
        <f>_xlfn.MAXIFS('working sheet'!$B$1:$B$3548,'working sheet'!$D$1:$D$3548,'Customer Portfolio'!A419)</f>
        <v>45502.341740810189</v>
      </c>
      <c r="D419">
        <f>COUNTIFS('working sheet'!$D$1:$D$3548,'Customer Portfolio'!A419)</f>
        <v>1</v>
      </c>
      <c r="E419" s="5">
        <f>SUMIFS('working sheet'!$E$2:$E$3548,'working sheet'!$D$2:$D$3548,'Customer Portfolio'!A419)</f>
        <v>32.82</v>
      </c>
      <c r="F419" s="6">
        <f t="shared" si="12"/>
        <v>32.82</v>
      </c>
      <c r="G419" t="str">
        <f t="array" ref="G419">IFERROR(INDEX('working sheet'!$F$2:$F$3548, MODE(IF('working sheet'!$D$2:$D$3548=A419, MATCH('working sheet'!$F$2:$F$3548, 'working sheet'!$F$2:$F$3548, 0)))),
         INDEX('working sheet'!$F$2:$F$3548, MATCH(A419, 'working sheet'!$D$2:$D$3548, 0)))</f>
        <v>Latte</v>
      </c>
      <c r="H419" s="7">
        <f t="shared" si="13"/>
        <v>1</v>
      </c>
      <c r="I419" s="7">
        <f>MAX('working sheet'!$B$2:$B$3548)-C419</f>
        <v>237.41634524305118</v>
      </c>
      <c r="J419" s="4" t="str">
        <f t="array" ref="J419">IF(AND(I419&lt;=30, D419&gt;=10, E419&gt;=200), "VIP",  IF(AND(I419&lt;=60, D419&gt;=5, E419&gt;=100), "Loyal", IF(AND(I419&lt;=90, D419&gt;=3), "Regular", IF(I419&lt;=30, "Recent", IF(D419&gt;=3, "Occasional", "At Risk")))))</f>
        <v>At Risk</v>
      </c>
      <c r="K419" t="str">
        <f t="array" ref="K419">IF(OR(J419="VIP", J419="Loyal"), "HIGH",IF(OR(J419="Regular", J419="Recent"), "MEDIUM","LOW"))</f>
        <v>LOW</v>
      </c>
    </row>
    <row r="420" spans="1:11">
      <c r="A420" t="s">
        <v>433</v>
      </c>
      <c r="B420" s="14">
        <f>_xlfn.MINIFS('working sheet'!$B$2:$B$3548, 'working sheet'!$D$2:$D$3548, A420)</f>
        <v>45502.410703090274</v>
      </c>
      <c r="C420" s="17">
        <f>_xlfn.MAXIFS('working sheet'!$B$1:$B$3548,'working sheet'!$D$1:$D$3548,'Customer Portfolio'!A420)</f>
        <v>45673.401497210645</v>
      </c>
      <c r="D420">
        <f>COUNTIFS('working sheet'!$D$1:$D$3548,'Customer Portfolio'!A420)</f>
        <v>5</v>
      </c>
      <c r="E420" s="5">
        <f>SUMIFS('working sheet'!$E$2:$E$3548,'working sheet'!$D$2:$D$3548,'Customer Portfolio'!A420)</f>
        <v>145.48000000000002</v>
      </c>
      <c r="F420" s="6">
        <f t="shared" si="12"/>
        <v>29.096000000000004</v>
      </c>
      <c r="G420" t="str">
        <f t="array" ref="G420">IFERROR(INDEX('working sheet'!$F$2:$F$3548, MODE(IF('working sheet'!$D$2:$D$3548=A420, MATCH('working sheet'!$F$2:$F$3548, 'working sheet'!$F$2:$F$3548, 0)))),
         INDEX('working sheet'!$F$2:$F$3548, MATCH(A420, 'working sheet'!$D$2:$D$3548, 0)))</f>
        <v>Americano with Milk</v>
      </c>
      <c r="H420" s="7">
        <f t="shared" si="13"/>
        <v>171.99079412037099</v>
      </c>
      <c r="I420" s="7">
        <f>MAX('working sheet'!$B$2:$B$3548)-C420</f>
        <v>66.356588842594647</v>
      </c>
      <c r="J420" s="4" t="str">
        <f t="array" ref="J420">IF(AND(I420&lt;=30, D420&gt;=10, E420&gt;=200), "VIP",  IF(AND(I420&lt;=60, D420&gt;=5, E420&gt;=100), "Loyal", IF(AND(I420&lt;=90, D420&gt;=3), "Regular", IF(I420&lt;=30, "Recent", IF(D420&gt;=3, "Occasional", "At Risk")))))</f>
        <v>Regular</v>
      </c>
      <c r="K420" t="str">
        <f t="array" ref="K420">IF(OR(J420="VIP", J420="Loyal"), "HIGH",IF(OR(J420="Regular", J420="Recent"), "MEDIUM","LOW"))</f>
        <v>MEDIUM</v>
      </c>
    </row>
    <row r="421" spans="1:11">
      <c r="A421" t="s">
        <v>434</v>
      </c>
      <c r="B421" s="14">
        <f>_xlfn.MINIFS('working sheet'!$B$2:$B$3548, 'working sheet'!$D$2:$D$3548, A421)</f>
        <v>45502.415620821761</v>
      </c>
      <c r="C421" s="17">
        <f>_xlfn.MAXIFS('working sheet'!$B$1:$B$3548,'working sheet'!$D$1:$D$3548,'Customer Portfolio'!A421)</f>
        <v>45512.518812187503</v>
      </c>
      <c r="D421">
        <f>COUNTIFS('working sheet'!$D$1:$D$3548,'Customer Portfolio'!A421)</f>
        <v>2</v>
      </c>
      <c r="E421" s="5">
        <f>SUMIFS('working sheet'!$E$2:$E$3548,'working sheet'!$D$2:$D$3548,'Customer Portfolio'!A421)</f>
        <v>60.74</v>
      </c>
      <c r="F421" s="6">
        <f t="shared" si="12"/>
        <v>30.37</v>
      </c>
      <c r="G421" t="str">
        <f t="array" ref="G421">IFERROR(INDEX('working sheet'!$F$2:$F$3548, MODE(IF('working sheet'!$D$2:$D$3548=A421, MATCH('working sheet'!$F$2:$F$3548, 'working sheet'!$F$2:$F$3548, 0)))),
         INDEX('working sheet'!$F$2:$F$3548, MATCH(A421, 'working sheet'!$D$2:$D$3548, 0)))</f>
        <v>Cappuccino</v>
      </c>
      <c r="H421" s="7">
        <f t="shared" si="13"/>
        <v>11.103191365742532</v>
      </c>
      <c r="I421" s="7">
        <f>MAX('working sheet'!$B$2:$B$3548)-C421</f>
        <v>227.23927386573632</v>
      </c>
      <c r="J421" s="4" t="str">
        <f t="array" ref="J421">IF(AND(I421&lt;=30, D421&gt;=10, E421&gt;=200), "VIP",  IF(AND(I421&lt;=60, D421&gt;=5, E421&gt;=100), "Loyal", IF(AND(I421&lt;=90, D421&gt;=3), "Regular", IF(I421&lt;=30, "Recent", IF(D421&gt;=3, "Occasional", "At Risk")))))</f>
        <v>At Risk</v>
      </c>
      <c r="K421" t="str">
        <f t="array" ref="K421">IF(OR(J421="VIP", J421="Loyal"), "HIGH",IF(OR(J421="Regular", J421="Recent"), "MEDIUM","LOW"))</f>
        <v>LOW</v>
      </c>
    </row>
    <row r="422" spans="1:11">
      <c r="A422" t="s">
        <v>435</v>
      </c>
      <c r="B422" s="14">
        <f>_xlfn.MINIFS('working sheet'!$B$2:$B$3548, 'working sheet'!$D$2:$D$3548, A422)</f>
        <v>45502.447036585647</v>
      </c>
      <c r="C422" s="17">
        <f>_xlfn.MAXIFS('working sheet'!$B$1:$B$3548,'working sheet'!$D$1:$D$3548,'Customer Portfolio'!A422)</f>
        <v>45502.447868587966</v>
      </c>
      <c r="D422">
        <f>COUNTIFS('working sheet'!$D$1:$D$3548,'Customer Portfolio'!A422)</f>
        <v>2</v>
      </c>
      <c r="E422" s="5">
        <f>SUMIFS('working sheet'!$E$2:$E$3548,'working sheet'!$D$2:$D$3548,'Customer Portfolio'!A422)</f>
        <v>65.64</v>
      </c>
      <c r="F422" s="6">
        <f t="shared" si="12"/>
        <v>32.82</v>
      </c>
      <c r="G422" t="str">
        <f t="array" ref="G422">IFERROR(INDEX('working sheet'!$F$2:$F$3548, MODE(IF('working sheet'!$D$2:$D$3548=A422, MATCH('working sheet'!$F$2:$F$3548, 'working sheet'!$F$2:$F$3548, 0)))),
         INDEX('working sheet'!$F$2:$F$3548, MATCH(A422, 'working sheet'!$D$2:$D$3548, 0)))</f>
        <v>Hot Chocolate</v>
      </c>
      <c r="H422" s="7">
        <f t="shared" si="13"/>
        <v>1.0008320023189299</v>
      </c>
      <c r="I422" s="7">
        <f>MAX('working sheet'!$B$2:$B$3548)-C422</f>
        <v>237.31021746527404</v>
      </c>
      <c r="J422" s="4" t="str">
        <f t="array" ref="J422">IF(AND(I422&lt;=30, D422&gt;=10, E422&gt;=200), "VIP",  IF(AND(I422&lt;=60, D422&gt;=5, E422&gt;=100), "Loyal", IF(AND(I422&lt;=90, D422&gt;=3), "Regular", IF(I422&lt;=30, "Recent", IF(D422&gt;=3, "Occasional", "At Risk")))))</f>
        <v>At Risk</v>
      </c>
      <c r="K422" t="str">
        <f t="array" ref="K422">IF(OR(J422="VIP", J422="Loyal"), "HIGH",IF(OR(J422="Regular", J422="Recent"), "MEDIUM","LOW"))</f>
        <v>LOW</v>
      </c>
    </row>
    <row r="423" spans="1:11">
      <c r="A423" t="s">
        <v>436</v>
      </c>
      <c r="B423" s="14">
        <f>_xlfn.MINIFS('working sheet'!$B$2:$B$3548, 'working sheet'!$D$2:$D$3548, A423)</f>
        <v>45502.79619364583</v>
      </c>
      <c r="C423" s="17">
        <f>_xlfn.MAXIFS('working sheet'!$B$1:$B$3548,'working sheet'!$D$1:$D$3548,'Customer Portfolio'!A423)</f>
        <v>45502.79619364583</v>
      </c>
      <c r="D423">
        <f>COUNTIFS('working sheet'!$D$1:$D$3548,'Customer Portfolio'!A423)</f>
        <v>1</v>
      </c>
      <c r="E423" s="5">
        <f>SUMIFS('working sheet'!$E$2:$E$3548,'working sheet'!$D$2:$D$3548,'Customer Portfolio'!A423)</f>
        <v>32.82</v>
      </c>
      <c r="F423" s="6">
        <f t="shared" si="12"/>
        <v>32.82</v>
      </c>
      <c r="G423" t="str">
        <f t="array" ref="G423">IFERROR(INDEX('working sheet'!$F$2:$F$3548, MODE(IF('working sheet'!$D$2:$D$3548=A423, MATCH('working sheet'!$F$2:$F$3548, 'working sheet'!$F$2:$F$3548, 0)))),
         INDEX('working sheet'!$F$2:$F$3548, MATCH(A423, 'working sheet'!$D$2:$D$3548, 0)))</f>
        <v>Cappuccino</v>
      </c>
      <c r="H423" s="7">
        <f t="shared" si="13"/>
        <v>1</v>
      </c>
      <c r="I423" s="7">
        <f>MAX('working sheet'!$B$2:$B$3548)-C423</f>
        <v>236.96189240740932</v>
      </c>
      <c r="J423" s="4" t="str">
        <f t="array" ref="J423">IF(AND(I423&lt;=30, D423&gt;=10, E423&gt;=200), "VIP",  IF(AND(I423&lt;=60, D423&gt;=5, E423&gt;=100), "Loyal", IF(AND(I423&lt;=90, D423&gt;=3), "Regular", IF(I423&lt;=30, "Recent", IF(D423&gt;=3, "Occasional", "At Risk")))))</f>
        <v>At Risk</v>
      </c>
      <c r="K423" t="str">
        <f t="array" ref="K423">IF(OR(J423="VIP", J423="Loyal"), "HIGH",IF(OR(J423="Regular", J423="Recent"), "MEDIUM","LOW"))</f>
        <v>LOW</v>
      </c>
    </row>
    <row r="424" spans="1:11">
      <c r="A424" t="s">
        <v>437</v>
      </c>
      <c r="B424" s="14">
        <f>_xlfn.MINIFS('working sheet'!$B$2:$B$3548, 'working sheet'!$D$2:$D$3548, A424)</f>
        <v>45503.320265567127</v>
      </c>
      <c r="C424" s="17">
        <f>_xlfn.MAXIFS('working sheet'!$B$1:$B$3548,'working sheet'!$D$1:$D$3548,'Customer Portfolio'!A424)</f>
        <v>45505.655368287036</v>
      </c>
      <c r="D424">
        <f>COUNTIFS('working sheet'!$D$1:$D$3548,'Customer Portfolio'!A424)</f>
        <v>4</v>
      </c>
      <c r="E424" s="5">
        <f>SUMIFS('working sheet'!$E$2:$E$3548,'working sheet'!$D$2:$D$3548,'Customer Portfolio'!A424)</f>
        <v>111.68</v>
      </c>
      <c r="F424" s="6">
        <f t="shared" si="12"/>
        <v>27.92</v>
      </c>
      <c r="G424" t="str">
        <f t="array" ref="G424">IFERROR(INDEX('working sheet'!$F$2:$F$3548, MODE(IF('working sheet'!$D$2:$D$3548=A424, MATCH('working sheet'!$F$2:$F$3548, 'working sheet'!$F$2:$F$3548, 0)))),
         INDEX('working sheet'!$F$2:$F$3548, MATCH(A424, 'working sheet'!$D$2:$D$3548, 0)))</f>
        <v>Americano with Milk</v>
      </c>
      <c r="H424" s="7">
        <f t="shared" si="13"/>
        <v>3.3351027199096279</v>
      </c>
      <c r="I424" s="7">
        <f>MAX('working sheet'!$B$2:$B$3548)-C424</f>
        <v>234.10271776620357</v>
      </c>
      <c r="J424" s="4" t="str">
        <f t="array" ref="J424">IF(AND(I424&lt;=30, D424&gt;=10, E424&gt;=200), "VIP",  IF(AND(I424&lt;=60, D424&gt;=5, E424&gt;=100), "Loyal", IF(AND(I424&lt;=90, D424&gt;=3), "Regular", IF(I424&lt;=30, "Recent", IF(D424&gt;=3, "Occasional", "At Risk")))))</f>
        <v>Occasional</v>
      </c>
      <c r="K424" t="str">
        <f t="array" ref="K424">IF(OR(J424="VIP", J424="Loyal"), "HIGH",IF(OR(J424="Regular", J424="Recent"), "MEDIUM","LOW"))</f>
        <v>LOW</v>
      </c>
    </row>
    <row r="425" spans="1:11">
      <c r="A425" t="s">
        <v>438</v>
      </c>
      <c r="B425" s="14">
        <f>_xlfn.MINIFS('working sheet'!$B$2:$B$3548, 'working sheet'!$D$2:$D$3548, A425)</f>
        <v>45503.336889074075</v>
      </c>
      <c r="C425" s="17">
        <f>_xlfn.MAXIFS('working sheet'!$B$1:$B$3548,'working sheet'!$D$1:$D$3548,'Customer Portfolio'!A425)</f>
        <v>45574.405104502315</v>
      </c>
      <c r="D425">
        <f>COUNTIFS('working sheet'!$D$1:$D$3548,'Customer Portfolio'!A425)</f>
        <v>2</v>
      </c>
      <c r="E425" s="5">
        <f>SUMIFS('working sheet'!$E$2:$E$3548,'working sheet'!$D$2:$D$3548,'Customer Portfolio'!A425)</f>
        <v>53.879999999999995</v>
      </c>
      <c r="F425" s="6">
        <f t="shared" si="12"/>
        <v>26.939999999999998</v>
      </c>
      <c r="G425" t="str">
        <f t="array" ref="G425">IFERROR(INDEX('working sheet'!$F$2:$F$3548, MODE(IF('working sheet'!$D$2:$D$3548=A425, MATCH('working sheet'!$F$2:$F$3548, 'working sheet'!$F$2:$F$3548, 0)))),
         INDEX('working sheet'!$F$2:$F$3548, MATCH(A425, 'working sheet'!$D$2:$D$3548, 0)))</f>
        <v>Cortado</v>
      </c>
      <c r="H425" s="7">
        <f t="shared" si="13"/>
        <v>72.068215428240364</v>
      </c>
      <c r="I425" s="7">
        <f>MAX('working sheet'!$B$2:$B$3548)-C425</f>
        <v>165.3529815509246</v>
      </c>
      <c r="J425" s="4" t="str">
        <f t="array" ref="J425">IF(AND(I425&lt;=30, D425&gt;=10, E425&gt;=200), "VIP",  IF(AND(I425&lt;=60, D425&gt;=5, E425&gt;=100), "Loyal", IF(AND(I425&lt;=90, D425&gt;=3), "Regular", IF(I425&lt;=30, "Recent", IF(D425&gt;=3, "Occasional", "At Risk")))))</f>
        <v>At Risk</v>
      </c>
      <c r="K425" t="str">
        <f t="array" ref="K425">IF(OR(J425="VIP", J425="Loyal"), "HIGH",IF(OR(J425="Regular", J425="Recent"), "MEDIUM","LOW"))</f>
        <v>LOW</v>
      </c>
    </row>
    <row r="426" spans="1:11">
      <c r="A426" t="s">
        <v>439</v>
      </c>
      <c r="B426" s="14">
        <f>_xlfn.MINIFS('working sheet'!$B$2:$B$3548, 'working sheet'!$D$2:$D$3548, A426)</f>
        <v>45503.347813831017</v>
      </c>
      <c r="C426" s="17">
        <f>_xlfn.MAXIFS('working sheet'!$B$1:$B$3548,'working sheet'!$D$1:$D$3548,'Customer Portfolio'!A426)</f>
        <v>45548.361840104168</v>
      </c>
      <c r="D426">
        <f>COUNTIFS('working sheet'!$D$1:$D$3548,'Customer Portfolio'!A426)</f>
        <v>5</v>
      </c>
      <c r="E426" s="5">
        <f>SUMIFS('working sheet'!$E$2:$E$3548,'working sheet'!$D$2:$D$3548,'Customer Portfolio'!A426)</f>
        <v>164.1</v>
      </c>
      <c r="F426" s="6">
        <f t="shared" si="12"/>
        <v>32.82</v>
      </c>
      <c r="G426" t="str">
        <f t="array" ref="G426">IFERROR(INDEX('working sheet'!$F$2:$F$3548, MODE(IF('working sheet'!$D$2:$D$3548=A426, MATCH('working sheet'!$F$2:$F$3548, 'working sheet'!$F$2:$F$3548, 0)))),
         INDEX('working sheet'!$F$2:$F$3548, MATCH(A426, 'working sheet'!$D$2:$D$3548, 0)))</f>
        <v>Latte</v>
      </c>
      <c r="H426" s="7">
        <f t="shared" si="13"/>
        <v>46.014026273151103</v>
      </c>
      <c r="I426" s="7">
        <f>MAX('working sheet'!$B$2:$B$3548)-C426</f>
        <v>191.39624594907218</v>
      </c>
      <c r="J426" s="4" t="str">
        <f t="array" ref="J426">IF(AND(I426&lt;=30, D426&gt;=10, E426&gt;=200), "VIP",  IF(AND(I426&lt;=60, D426&gt;=5, E426&gt;=100), "Loyal", IF(AND(I426&lt;=90, D426&gt;=3), "Regular", IF(I426&lt;=30, "Recent", IF(D426&gt;=3, "Occasional", "At Risk")))))</f>
        <v>Occasional</v>
      </c>
      <c r="K426" t="str">
        <f t="array" ref="K426">IF(OR(J426="VIP", J426="Loyal"), "HIGH",IF(OR(J426="Regular", J426="Recent"), "MEDIUM","LOW"))</f>
        <v>LOW</v>
      </c>
    </row>
    <row r="427" spans="1:11">
      <c r="A427" t="s">
        <v>440</v>
      </c>
      <c r="B427" s="14">
        <f>_xlfn.MINIFS('working sheet'!$B$2:$B$3548, 'working sheet'!$D$2:$D$3548, A427)</f>
        <v>45503.466751840278</v>
      </c>
      <c r="C427" s="17">
        <f>_xlfn.MAXIFS('working sheet'!$B$1:$B$3548,'working sheet'!$D$1:$D$3548,'Customer Portfolio'!A427)</f>
        <v>45503.467548819448</v>
      </c>
      <c r="D427">
        <f>COUNTIFS('working sheet'!$D$1:$D$3548,'Customer Portfolio'!A427)</f>
        <v>2</v>
      </c>
      <c r="E427" s="5">
        <f>SUMIFS('working sheet'!$E$2:$E$3548,'working sheet'!$D$2:$D$3548,'Customer Portfolio'!A427)</f>
        <v>41.14</v>
      </c>
      <c r="F427" s="6">
        <f t="shared" si="12"/>
        <v>20.57</v>
      </c>
      <c r="G427" t="str">
        <f t="array" ref="G427">IFERROR(INDEX('working sheet'!$F$2:$F$3548, MODE(IF('working sheet'!$D$2:$D$3548=A427, MATCH('working sheet'!$F$2:$F$3548, 'working sheet'!$F$2:$F$3548, 0)))),
         INDEX('working sheet'!$F$2:$F$3548, MATCH(A427, 'working sheet'!$D$2:$D$3548, 0)))</f>
        <v>Americano</v>
      </c>
      <c r="H427" s="7">
        <f t="shared" si="13"/>
        <v>1.0007969791695359</v>
      </c>
      <c r="I427" s="7">
        <f>MAX('working sheet'!$B$2:$B$3548)-C427</f>
        <v>236.29053723379184</v>
      </c>
      <c r="J427" s="4" t="str">
        <f t="array" ref="J427">IF(AND(I427&lt;=30, D427&gt;=10, E427&gt;=200), "VIP",  IF(AND(I427&lt;=60, D427&gt;=5, E427&gt;=100), "Loyal", IF(AND(I427&lt;=90, D427&gt;=3), "Regular", IF(I427&lt;=30, "Recent", IF(D427&gt;=3, "Occasional", "At Risk")))))</f>
        <v>At Risk</v>
      </c>
      <c r="K427" t="str">
        <f t="array" ref="K427">IF(OR(J427="VIP", J427="Loyal"), "HIGH",IF(OR(J427="Regular", J427="Recent"), "MEDIUM","LOW"))</f>
        <v>LOW</v>
      </c>
    </row>
    <row r="428" spans="1:11">
      <c r="A428" t="s">
        <v>441</v>
      </c>
      <c r="B428" s="14">
        <f>_xlfn.MINIFS('working sheet'!$B$2:$B$3548, 'working sheet'!$D$2:$D$3548, A428)</f>
        <v>45503.468537939814</v>
      </c>
      <c r="C428" s="17">
        <f>_xlfn.MAXIFS('working sheet'!$B$1:$B$3548,'working sheet'!$D$1:$D$3548,'Customer Portfolio'!A428)</f>
        <v>45689.900715000003</v>
      </c>
      <c r="D428">
        <f>COUNTIFS('working sheet'!$D$1:$D$3548,'Customer Portfolio'!A428)</f>
        <v>2</v>
      </c>
      <c r="E428" s="5">
        <f>SUMIFS('working sheet'!$E$2:$E$3548,'working sheet'!$D$2:$D$3548,'Customer Portfolio'!A428)</f>
        <v>58.78</v>
      </c>
      <c r="F428" s="6">
        <f t="shared" si="12"/>
        <v>29.39</v>
      </c>
      <c r="G428" t="str">
        <f t="array" ref="G428">IFERROR(INDEX('working sheet'!$F$2:$F$3548, MODE(IF('working sheet'!$D$2:$D$3548=A428, MATCH('working sheet'!$F$2:$F$3548, 'working sheet'!$F$2:$F$3548, 0)))),
         INDEX('working sheet'!$F$2:$F$3548, MATCH(A428, 'working sheet'!$D$2:$D$3548, 0)))</f>
        <v>Americano with Milk</v>
      </c>
      <c r="H428" s="7">
        <f t="shared" si="13"/>
        <v>187.43217706018913</v>
      </c>
      <c r="I428" s="7">
        <f>MAX('working sheet'!$B$2:$B$3548)-C428</f>
        <v>49.85737105323642</v>
      </c>
      <c r="J428" s="4" t="str">
        <f t="array" ref="J428">IF(AND(I428&lt;=30, D428&gt;=10, E428&gt;=200), "VIP",  IF(AND(I428&lt;=60, D428&gt;=5, E428&gt;=100), "Loyal", IF(AND(I428&lt;=90, D428&gt;=3), "Regular", IF(I428&lt;=30, "Recent", IF(D428&gt;=3, "Occasional", "At Risk")))))</f>
        <v>At Risk</v>
      </c>
      <c r="K428" t="str">
        <f t="array" ref="K428">IF(OR(J428="VIP", J428="Loyal"), "HIGH",IF(OR(J428="Regular", J428="Recent"), "MEDIUM","LOW"))</f>
        <v>LOW</v>
      </c>
    </row>
    <row r="429" spans="1:11">
      <c r="A429" t="s">
        <v>442</v>
      </c>
      <c r="B429" s="14">
        <f>_xlfn.MINIFS('working sheet'!$B$2:$B$3548, 'working sheet'!$D$2:$D$3548, A429)</f>
        <v>45503.469463310183</v>
      </c>
      <c r="C429" s="17">
        <f>_xlfn.MAXIFS('working sheet'!$B$1:$B$3548,'working sheet'!$D$1:$D$3548,'Customer Portfolio'!A429)</f>
        <v>45503.469463310183</v>
      </c>
      <c r="D429">
        <f>COUNTIFS('working sheet'!$D$1:$D$3548,'Customer Portfolio'!A429)</f>
        <v>1</v>
      </c>
      <c r="E429" s="5">
        <f>SUMIFS('working sheet'!$E$2:$E$3548,'working sheet'!$D$2:$D$3548,'Customer Portfolio'!A429)</f>
        <v>27.92</v>
      </c>
      <c r="F429" s="6">
        <f t="shared" si="12"/>
        <v>27.92</v>
      </c>
      <c r="G429" t="str">
        <f t="array" ref="G429">IFERROR(INDEX('working sheet'!$F$2:$F$3548, MODE(IF('working sheet'!$D$2:$D$3548=A429, MATCH('working sheet'!$F$2:$F$3548, 'working sheet'!$F$2:$F$3548, 0)))),
         INDEX('working sheet'!$F$2:$F$3548, MATCH(A429, 'working sheet'!$D$2:$D$3548, 0)))</f>
        <v>Americano with Milk</v>
      </c>
      <c r="H429" s="7">
        <f t="shared" si="13"/>
        <v>1</v>
      </c>
      <c r="I429" s="7">
        <f>MAX('working sheet'!$B$2:$B$3548)-C429</f>
        <v>236.2886227430572</v>
      </c>
      <c r="J429" s="4" t="str">
        <f t="array" ref="J429">IF(AND(I429&lt;=30, D429&gt;=10, E429&gt;=200), "VIP",  IF(AND(I429&lt;=60, D429&gt;=5, E429&gt;=100), "Loyal", IF(AND(I429&lt;=90, D429&gt;=3), "Regular", IF(I429&lt;=30, "Recent", IF(D429&gt;=3, "Occasional", "At Risk")))))</f>
        <v>At Risk</v>
      </c>
      <c r="K429" t="str">
        <f t="array" ref="K429">IF(OR(J429="VIP", J429="Loyal"), "HIGH",IF(OR(J429="Regular", J429="Recent"), "MEDIUM","LOW"))</f>
        <v>LOW</v>
      </c>
    </row>
    <row r="430" spans="1:11">
      <c r="A430" t="s">
        <v>443</v>
      </c>
      <c r="B430" s="14">
        <f>_xlfn.MINIFS('working sheet'!$B$2:$B$3548, 'working sheet'!$D$2:$D$3548, A430)</f>
        <v>45503.47956871528</v>
      </c>
      <c r="C430" s="17">
        <f>_xlfn.MAXIFS('working sheet'!$B$1:$B$3548,'working sheet'!$D$1:$D$3548,'Customer Portfolio'!A430)</f>
        <v>45520.566814791666</v>
      </c>
      <c r="D430">
        <f>COUNTIFS('working sheet'!$D$1:$D$3548,'Customer Portfolio'!A430)</f>
        <v>2</v>
      </c>
      <c r="E430" s="5">
        <f>SUMIFS('working sheet'!$E$2:$E$3548,'working sheet'!$D$2:$D$3548,'Customer Portfolio'!A430)</f>
        <v>55.84</v>
      </c>
      <c r="F430" s="6">
        <f t="shared" si="12"/>
        <v>27.92</v>
      </c>
      <c r="G430" t="str">
        <f t="array" ref="G430">IFERROR(INDEX('working sheet'!$F$2:$F$3548, MODE(IF('working sheet'!$D$2:$D$3548=A430, MATCH('working sheet'!$F$2:$F$3548, 'working sheet'!$F$2:$F$3548, 0)))),
         INDEX('working sheet'!$F$2:$F$3548, MATCH(A430, 'working sheet'!$D$2:$D$3548, 0)))</f>
        <v>Americano with Milk</v>
      </c>
      <c r="H430" s="7">
        <f t="shared" si="13"/>
        <v>18.087246076385782</v>
      </c>
      <c r="I430" s="7">
        <f>MAX('working sheet'!$B$2:$B$3548)-C430</f>
        <v>219.191271261574</v>
      </c>
      <c r="J430" s="4" t="str">
        <f t="array" ref="J430">IF(AND(I430&lt;=30, D430&gt;=10, E430&gt;=200), "VIP",  IF(AND(I430&lt;=60, D430&gt;=5, E430&gt;=100), "Loyal", IF(AND(I430&lt;=90, D430&gt;=3), "Regular", IF(I430&lt;=30, "Recent", IF(D430&gt;=3, "Occasional", "At Risk")))))</f>
        <v>At Risk</v>
      </c>
      <c r="K430" t="str">
        <f t="array" ref="K430">IF(OR(J430="VIP", J430="Loyal"), "HIGH",IF(OR(J430="Regular", J430="Recent"), "MEDIUM","LOW"))</f>
        <v>LOW</v>
      </c>
    </row>
    <row r="431" spans="1:11">
      <c r="A431" t="s">
        <v>444</v>
      </c>
      <c r="B431" s="14">
        <f>_xlfn.MINIFS('working sheet'!$B$2:$B$3548, 'working sheet'!$D$2:$D$3548, A431)</f>
        <v>45503.480333437503</v>
      </c>
      <c r="C431" s="17">
        <f>_xlfn.MAXIFS('working sheet'!$B$1:$B$3548,'working sheet'!$D$1:$D$3548,'Customer Portfolio'!A431)</f>
        <v>45503.480333437503</v>
      </c>
      <c r="D431">
        <f>COUNTIFS('working sheet'!$D$1:$D$3548,'Customer Portfolio'!A431)</f>
        <v>1</v>
      </c>
      <c r="E431" s="5">
        <f>SUMIFS('working sheet'!$E$2:$E$3548,'working sheet'!$D$2:$D$3548,'Customer Portfolio'!A431)</f>
        <v>27.92</v>
      </c>
      <c r="F431" s="6">
        <f t="shared" si="12"/>
        <v>27.92</v>
      </c>
      <c r="G431" t="str">
        <f t="array" ref="G431">IFERROR(INDEX('working sheet'!$F$2:$F$3548, MODE(IF('working sheet'!$D$2:$D$3548=A431, MATCH('working sheet'!$F$2:$F$3548, 'working sheet'!$F$2:$F$3548, 0)))),
         INDEX('working sheet'!$F$2:$F$3548, MATCH(A431, 'working sheet'!$D$2:$D$3548, 0)))</f>
        <v>Americano with Milk</v>
      </c>
      <c r="H431" s="7">
        <f t="shared" si="13"/>
        <v>1</v>
      </c>
      <c r="I431" s="7">
        <f>MAX('working sheet'!$B$2:$B$3548)-C431</f>
        <v>236.27775261573697</v>
      </c>
      <c r="J431" s="4" t="str">
        <f t="array" ref="J431">IF(AND(I431&lt;=30, D431&gt;=10, E431&gt;=200), "VIP",  IF(AND(I431&lt;=60, D431&gt;=5, E431&gt;=100), "Loyal", IF(AND(I431&lt;=90, D431&gt;=3), "Regular", IF(I431&lt;=30, "Recent", IF(D431&gt;=3, "Occasional", "At Risk")))))</f>
        <v>At Risk</v>
      </c>
      <c r="K431" t="str">
        <f t="array" ref="K431">IF(OR(J431="VIP", J431="Loyal"), "HIGH",IF(OR(J431="Regular", J431="Recent"), "MEDIUM","LOW"))</f>
        <v>LOW</v>
      </c>
    </row>
    <row r="432" spans="1:11">
      <c r="A432" t="s">
        <v>445</v>
      </c>
      <c r="B432" s="14">
        <f>_xlfn.MINIFS('working sheet'!$B$2:$B$3548, 'working sheet'!$D$2:$D$3548, A432)</f>
        <v>45503.505642453703</v>
      </c>
      <c r="C432" s="17">
        <f>_xlfn.MAXIFS('working sheet'!$B$1:$B$3548,'working sheet'!$D$1:$D$3548,'Customer Portfolio'!A432)</f>
        <v>45503.505642453703</v>
      </c>
      <c r="D432">
        <f>COUNTIFS('working sheet'!$D$1:$D$3548,'Customer Portfolio'!A432)</f>
        <v>1</v>
      </c>
      <c r="E432" s="5">
        <f>SUMIFS('working sheet'!$E$2:$E$3548,'working sheet'!$D$2:$D$3548,'Customer Portfolio'!A432)</f>
        <v>32.82</v>
      </c>
      <c r="F432" s="6">
        <f t="shared" si="12"/>
        <v>32.82</v>
      </c>
      <c r="G432" t="str">
        <f t="array" ref="G432">IFERROR(INDEX('working sheet'!$F$2:$F$3548, MODE(IF('working sheet'!$D$2:$D$3548=A432, MATCH('working sheet'!$F$2:$F$3548, 'working sheet'!$F$2:$F$3548, 0)))),
         INDEX('working sheet'!$F$2:$F$3548, MATCH(A432, 'working sheet'!$D$2:$D$3548, 0)))</f>
        <v>Latte</v>
      </c>
      <c r="H432" s="7">
        <f t="shared" si="13"/>
        <v>1</v>
      </c>
      <c r="I432" s="7">
        <f>MAX('working sheet'!$B$2:$B$3548)-C432</f>
        <v>236.25244359953649</v>
      </c>
      <c r="J432" s="4" t="str">
        <f t="array" ref="J432">IF(AND(I432&lt;=30, D432&gt;=10, E432&gt;=200), "VIP",  IF(AND(I432&lt;=60, D432&gt;=5, E432&gt;=100), "Loyal", IF(AND(I432&lt;=90, D432&gt;=3), "Regular", IF(I432&lt;=30, "Recent", IF(D432&gt;=3, "Occasional", "At Risk")))))</f>
        <v>At Risk</v>
      </c>
      <c r="K432" t="str">
        <f t="array" ref="K432">IF(OR(J432="VIP", J432="Loyal"), "HIGH",IF(OR(J432="Regular", J432="Recent"), "MEDIUM","LOW"))</f>
        <v>LOW</v>
      </c>
    </row>
    <row r="433" spans="1:11">
      <c r="A433" t="s">
        <v>446</v>
      </c>
      <c r="B433" s="14">
        <f>_xlfn.MINIFS('working sheet'!$B$2:$B$3548, 'working sheet'!$D$2:$D$3548, A433)</f>
        <v>45503.636222546294</v>
      </c>
      <c r="C433" s="17">
        <f>_xlfn.MAXIFS('working sheet'!$B$1:$B$3548,'working sheet'!$D$1:$D$3548,'Customer Portfolio'!A433)</f>
        <v>45503.636222546294</v>
      </c>
      <c r="D433">
        <f>COUNTIFS('working sheet'!$D$1:$D$3548,'Customer Portfolio'!A433)</f>
        <v>1</v>
      </c>
      <c r="E433" s="5">
        <f>SUMIFS('working sheet'!$E$2:$E$3548,'working sheet'!$D$2:$D$3548,'Customer Portfolio'!A433)</f>
        <v>27.92</v>
      </c>
      <c r="F433" s="6">
        <f t="shared" si="12"/>
        <v>27.92</v>
      </c>
      <c r="G433" t="str">
        <f t="array" ref="G433">IFERROR(INDEX('working sheet'!$F$2:$F$3548, MODE(IF('working sheet'!$D$2:$D$3548=A433, MATCH('working sheet'!$F$2:$F$3548, 'working sheet'!$F$2:$F$3548, 0)))),
         INDEX('working sheet'!$F$2:$F$3548, MATCH(A433, 'working sheet'!$D$2:$D$3548, 0)))</f>
        <v>Americano with Milk</v>
      </c>
      <c r="H433" s="7">
        <f t="shared" si="13"/>
        <v>1</v>
      </c>
      <c r="I433" s="7">
        <f>MAX('working sheet'!$B$2:$B$3548)-C433</f>
        <v>236.12186350694537</v>
      </c>
      <c r="J433" s="4" t="str">
        <f t="array" ref="J433">IF(AND(I433&lt;=30, D433&gt;=10, E433&gt;=200), "VIP",  IF(AND(I433&lt;=60, D433&gt;=5, E433&gt;=100), "Loyal", IF(AND(I433&lt;=90, D433&gt;=3), "Regular", IF(I433&lt;=30, "Recent", IF(D433&gt;=3, "Occasional", "At Risk")))))</f>
        <v>At Risk</v>
      </c>
      <c r="K433" t="str">
        <f t="array" ref="K433">IF(OR(J433="VIP", J433="Loyal"), "HIGH",IF(OR(J433="Regular", J433="Recent"), "MEDIUM","LOW"))</f>
        <v>LOW</v>
      </c>
    </row>
    <row r="434" spans="1:11">
      <c r="A434" t="s">
        <v>447</v>
      </c>
      <c r="B434" s="14">
        <f>_xlfn.MINIFS('working sheet'!$B$2:$B$3548, 'working sheet'!$D$2:$D$3548, A434)</f>
        <v>45503.672834212965</v>
      </c>
      <c r="C434" s="17">
        <f>_xlfn.MAXIFS('working sheet'!$B$1:$B$3548,'working sheet'!$D$1:$D$3548,'Customer Portfolio'!A434)</f>
        <v>45503.673421608793</v>
      </c>
      <c r="D434">
        <f>COUNTIFS('working sheet'!$D$1:$D$3548,'Customer Portfolio'!A434)</f>
        <v>2</v>
      </c>
      <c r="E434" s="5">
        <f>SUMIFS('working sheet'!$E$2:$E$3548,'working sheet'!$D$2:$D$3548,'Customer Portfolio'!A434)</f>
        <v>50.94</v>
      </c>
      <c r="F434" s="6">
        <f t="shared" si="12"/>
        <v>25.47</v>
      </c>
      <c r="G434" t="str">
        <f t="array" ref="G434">IFERROR(INDEX('working sheet'!$F$2:$F$3548, MODE(IF('working sheet'!$D$2:$D$3548=A434, MATCH('working sheet'!$F$2:$F$3548, 'working sheet'!$F$2:$F$3548, 0)))),
         INDEX('working sheet'!$F$2:$F$3548, MATCH(A434, 'working sheet'!$D$2:$D$3548, 0)))</f>
        <v>Cortado</v>
      </c>
      <c r="H434" s="7">
        <f t="shared" si="13"/>
        <v>1.0005873958289158</v>
      </c>
      <c r="I434" s="7">
        <f>MAX('working sheet'!$B$2:$B$3548)-C434</f>
        <v>236.08466444444639</v>
      </c>
      <c r="J434" s="4" t="str">
        <f t="array" ref="J434">IF(AND(I434&lt;=30, D434&gt;=10, E434&gt;=200), "VIP",  IF(AND(I434&lt;=60, D434&gt;=5, E434&gt;=100), "Loyal", IF(AND(I434&lt;=90, D434&gt;=3), "Regular", IF(I434&lt;=30, "Recent", IF(D434&gt;=3, "Occasional", "At Risk")))))</f>
        <v>At Risk</v>
      </c>
      <c r="K434" t="str">
        <f t="array" ref="K434">IF(OR(J434="VIP", J434="Loyal"), "HIGH",IF(OR(J434="Regular", J434="Recent"), "MEDIUM","LOW"))</f>
        <v>LOW</v>
      </c>
    </row>
    <row r="435" spans="1:11">
      <c r="A435" t="s">
        <v>448</v>
      </c>
      <c r="B435" s="14">
        <f>_xlfn.MINIFS('working sheet'!$B$2:$B$3548, 'working sheet'!$D$2:$D$3548, A435)</f>
        <v>45503.850230023148</v>
      </c>
      <c r="C435" s="17">
        <f>_xlfn.MAXIFS('working sheet'!$B$1:$B$3548,'working sheet'!$D$1:$D$3548,'Customer Portfolio'!A435)</f>
        <v>45503.850230023148</v>
      </c>
      <c r="D435">
        <f>COUNTIFS('working sheet'!$D$1:$D$3548,'Customer Portfolio'!A435)</f>
        <v>1</v>
      </c>
      <c r="E435" s="5">
        <f>SUMIFS('working sheet'!$E$2:$E$3548,'working sheet'!$D$2:$D$3548,'Customer Portfolio'!A435)</f>
        <v>18.12</v>
      </c>
      <c r="F435" s="6">
        <f t="shared" si="12"/>
        <v>18.12</v>
      </c>
      <c r="G435" t="str">
        <f t="array" ref="G435">IFERROR(INDEX('working sheet'!$F$2:$F$3548, MODE(IF('working sheet'!$D$2:$D$3548=A435, MATCH('working sheet'!$F$2:$F$3548, 'working sheet'!$F$2:$F$3548, 0)))),
         INDEX('working sheet'!$F$2:$F$3548, MATCH(A435, 'working sheet'!$D$2:$D$3548, 0)))</f>
        <v>Espresso</v>
      </c>
      <c r="H435" s="7">
        <f t="shared" si="13"/>
        <v>1</v>
      </c>
      <c r="I435" s="7">
        <f>MAX('working sheet'!$B$2:$B$3548)-C435</f>
        <v>235.90785603009135</v>
      </c>
      <c r="J435" s="4" t="str">
        <f t="array" ref="J435">IF(AND(I435&lt;=30, D435&gt;=10, E435&gt;=200), "VIP",  IF(AND(I435&lt;=60, D435&gt;=5, E435&gt;=100), "Loyal", IF(AND(I435&lt;=90, D435&gt;=3), "Regular", IF(I435&lt;=30, "Recent", IF(D435&gt;=3, "Occasional", "At Risk")))))</f>
        <v>At Risk</v>
      </c>
      <c r="K435" t="str">
        <f t="array" ref="K435">IF(OR(J435="VIP", J435="Loyal"), "HIGH",IF(OR(J435="Regular", J435="Recent"), "MEDIUM","LOW"))</f>
        <v>LOW</v>
      </c>
    </row>
    <row r="436" spans="1:11">
      <c r="A436" t="s">
        <v>449</v>
      </c>
      <c r="B436" s="14">
        <f>_xlfn.MINIFS('working sheet'!$B$2:$B$3548, 'working sheet'!$D$2:$D$3548, A436)</f>
        <v>45503.898138865741</v>
      </c>
      <c r="C436" s="17">
        <f>_xlfn.MAXIFS('working sheet'!$B$1:$B$3548,'working sheet'!$D$1:$D$3548,'Customer Portfolio'!A436)</f>
        <v>45503.898138865741</v>
      </c>
      <c r="D436">
        <f>COUNTIFS('working sheet'!$D$1:$D$3548,'Customer Portfolio'!A436)</f>
        <v>1</v>
      </c>
      <c r="E436" s="5">
        <f>SUMIFS('working sheet'!$E$2:$E$3548,'working sheet'!$D$2:$D$3548,'Customer Portfolio'!A436)</f>
        <v>32.82</v>
      </c>
      <c r="F436" s="6">
        <f t="shared" si="12"/>
        <v>32.82</v>
      </c>
      <c r="G436" t="str">
        <f t="array" ref="G436">IFERROR(INDEX('working sheet'!$F$2:$F$3548, MODE(IF('working sheet'!$D$2:$D$3548=A436, MATCH('working sheet'!$F$2:$F$3548, 'working sheet'!$F$2:$F$3548, 0)))),
         INDEX('working sheet'!$F$2:$F$3548, MATCH(A436, 'working sheet'!$D$2:$D$3548, 0)))</f>
        <v>Latte</v>
      </c>
      <c r="H436" s="7">
        <f t="shared" si="13"/>
        <v>1</v>
      </c>
      <c r="I436" s="7">
        <f>MAX('working sheet'!$B$2:$B$3548)-C436</f>
        <v>235.85994718749862</v>
      </c>
      <c r="J436" s="4" t="str">
        <f t="array" ref="J436">IF(AND(I436&lt;=30, D436&gt;=10, E436&gt;=200), "VIP",  IF(AND(I436&lt;=60, D436&gt;=5, E436&gt;=100), "Loyal", IF(AND(I436&lt;=90, D436&gt;=3), "Regular", IF(I436&lt;=30, "Recent", IF(D436&gt;=3, "Occasional", "At Risk")))))</f>
        <v>At Risk</v>
      </c>
      <c r="K436" t="str">
        <f t="array" ref="K436">IF(OR(J436="VIP", J436="Loyal"), "HIGH",IF(OR(J436="Regular", J436="Recent"), "MEDIUM","LOW"))</f>
        <v>LOW</v>
      </c>
    </row>
    <row r="437" spans="1:11">
      <c r="A437" t="s">
        <v>450</v>
      </c>
      <c r="B437" s="14">
        <f>_xlfn.MINIFS('working sheet'!$B$2:$B$3548, 'working sheet'!$D$2:$D$3548, A437)</f>
        <v>45503.927331990744</v>
      </c>
      <c r="C437" s="17">
        <f>_xlfn.MAXIFS('working sheet'!$B$1:$B$3548,'working sheet'!$D$1:$D$3548,'Customer Portfolio'!A437)</f>
        <v>45503.928000694446</v>
      </c>
      <c r="D437">
        <f>COUNTIFS('working sheet'!$D$1:$D$3548,'Customer Portfolio'!A437)</f>
        <v>2</v>
      </c>
      <c r="E437" s="5">
        <f>SUMIFS('working sheet'!$E$2:$E$3548,'working sheet'!$D$2:$D$3548,'Customer Portfolio'!A437)</f>
        <v>55.84</v>
      </c>
      <c r="F437" s="6">
        <f t="shared" si="12"/>
        <v>27.92</v>
      </c>
      <c r="G437" t="str">
        <f t="array" ref="G437">IFERROR(INDEX('working sheet'!$F$2:$F$3548, MODE(IF('working sheet'!$D$2:$D$3548=A437, MATCH('working sheet'!$F$2:$F$3548, 'working sheet'!$F$2:$F$3548, 0)))),
         INDEX('working sheet'!$F$2:$F$3548, MATCH(A437, 'working sheet'!$D$2:$D$3548, 0)))</f>
        <v>Americano</v>
      </c>
      <c r="H437" s="7">
        <f t="shared" si="13"/>
        <v>1.0006687037021038</v>
      </c>
      <c r="I437" s="7">
        <f>MAX('working sheet'!$B$2:$B$3548)-C437</f>
        <v>235.83008535879344</v>
      </c>
      <c r="J437" s="4" t="str">
        <f t="array" ref="J437">IF(AND(I437&lt;=30, D437&gt;=10, E437&gt;=200), "VIP",  IF(AND(I437&lt;=60, D437&gt;=5, E437&gt;=100), "Loyal", IF(AND(I437&lt;=90, D437&gt;=3), "Regular", IF(I437&lt;=30, "Recent", IF(D437&gt;=3, "Occasional", "At Risk")))))</f>
        <v>At Risk</v>
      </c>
      <c r="K437" t="str">
        <f t="array" ref="K437">IF(OR(J437="VIP", J437="Loyal"), "HIGH",IF(OR(J437="Regular", J437="Recent"), "MEDIUM","LOW"))</f>
        <v>LOW</v>
      </c>
    </row>
    <row r="438" spans="1:11">
      <c r="A438" t="s">
        <v>451</v>
      </c>
      <c r="B438" s="14">
        <f>_xlfn.MINIFS('working sheet'!$B$2:$B$3548, 'working sheet'!$D$2:$D$3548, A438)</f>
        <v>45504.359513229167</v>
      </c>
      <c r="C438" s="17">
        <f>_xlfn.MAXIFS('working sheet'!$B$1:$B$3548,'working sheet'!$D$1:$D$3548,'Customer Portfolio'!A438)</f>
        <v>45504.360164768521</v>
      </c>
      <c r="D438">
        <f>COUNTIFS('working sheet'!$D$1:$D$3548,'Customer Portfolio'!A438)</f>
        <v>2</v>
      </c>
      <c r="E438" s="5">
        <f>SUMIFS('working sheet'!$E$2:$E$3548,'working sheet'!$D$2:$D$3548,'Customer Portfolio'!A438)</f>
        <v>55.84</v>
      </c>
      <c r="F438" s="6">
        <f t="shared" si="12"/>
        <v>27.92</v>
      </c>
      <c r="G438" t="str">
        <f t="array" ref="G438">IFERROR(INDEX('working sheet'!$F$2:$F$3548, MODE(IF('working sheet'!$D$2:$D$3548=A438, MATCH('working sheet'!$F$2:$F$3548, 'working sheet'!$F$2:$F$3548, 0)))),
         INDEX('working sheet'!$F$2:$F$3548, MATCH(A438, 'working sheet'!$D$2:$D$3548, 0)))</f>
        <v>Americano with Milk</v>
      </c>
      <c r="H438" s="7">
        <f t="shared" si="13"/>
        <v>1.0006515393542941</v>
      </c>
      <c r="I438" s="7">
        <f>MAX('working sheet'!$B$2:$B$3548)-C438</f>
        <v>235.3979212847189</v>
      </c>
      <c r="J438" s="4" t="str">
        <f t="array" ref="J438">IF(AND(I438&lt;=30, D438&gt;=10, E438&gt;=200), "VIP",  IF(AND(I438&lt;=60, D438&gt;=5, E438&gt;=100), "Loyal", IF(AND(I438&lt;=90, D438&gt;=3), "Regular", IF(I438&lt;=30, "Recent", IF(D438&gt;=3, "Occasional", "At Risk")))))</f>
        <v>At Risk</v>
      </c>
      <c r="K438" t="str">
        <f t="array" ref="K438">IF(OR(J438="VIP", J438="Loyal"), "HIGH",IF(OR(J438="Regular", J438="Recent"), "MEDIUM","LOW"))</f>
        <v>LOW</v>
      </c>
    </row>
    <row r="439" spans="1:11">
      <c r="A439" t="s">
        <v>452</v>
      </c>
      <c r="B439" s="14">
        <f>_xlfn.MINIFS('working sheet'!$B$2:$B$3548, 'working sheet'!$D$2:$D$3548, A439)</f>
        <v>45504.558905520833</v>
      </c>
      <c r="C439" s="17">
        <f>_xlfn.MAXIFS('working sheet'!$B$1:$B$3548,'working sheet'!$D$1:$D$3548,'Customer Portfolio'!A439)</f>
        <v>45504.558905520833</v>
      </c>
      <c r="D439">
        <f>COUNTIFS('working sheet'!$D$1:$D$3548,'Customer Portfolio'!A439)</f>
        <v>1</v>
      </c>
      <c r="E439" s="5">
        <f>SUMIFS('working sheet'!$E$2:$E$3548,'working sheet'!$D$2:$D$3548,'Customer Portfolio'!A439)</f>
        <v>27.92</v>
      </c>
      <c r="F439" s="6">
        <f t="shared" si="12"/>
        <v>27.92</v>
      </c>
      <c r="G439" t="str">
        <f t="array" ref="G439">IFERROR(INDEX('working sheet'!$F$2:$F$3548, MODE(IF('working sheet'!$D$2:$D$3548=A439, MATCH('working sheet'!$F$2:$F$3548, 'working sheet'!$F$2:$F$3548, 0)))),
         INDEX('working sheet'!$F$2:$F$3548, MATCH(A439, 'working sheet'!$D$2:$D$3548, 0)))</f>
        <v>Americano with Milk</v>
      </c>
      <c r="H439" s="7">
        <f t="shared" si="13"/>
        <v>1</v>
      </c>
      <c r="I439" s="7">
        <f>MAX('working sheet'!$B$2:$B$3548)-C439</f>
        <v>235.1991805324069</v>
      </c>
      <c r="J439" s="4" t="str">
        <f t="array" ref="J439">IF(AND(I439&lt;=30, D439&gt;=10, E439&gt;=200), "VIP",  IF(AND(I439&lt;=60, D439&gt;=5, E439&gt;=100), "Loyal", IF(AND(I439&lt;=90, D439&gt;=3), "Regular", IF(I439&lt;=30, "Recent", IF(D439&gt;=3, "Occasional", "At Risk")))))</f>
        <v>At Risk</v>
      </c>
      <c r="K439" t="str">
        <f t="array" ref="K439">IF(OR(J439="VIP", J439="Loyal"), "HIGH",IF(OR(J439="Regular", J439="Recent"), "MEDIUM","LOW"))</f>
        <v>LOW</v>
      </c>
    </row>
    <row r="440" spans="1:11">
      <c r="A440" t="s">
        <v>453</v>
      </c>
      <c r="B440" s="14">
        <f>_xlfn.MINIFS('working sheet'!$B$2:$B$3548, 'working sheet'!$D$2:$D$3548, A440)</f>
        <v>45504.741745219908</v>
      </c>
      <c r="C440" s="17">
        <f>_xlfn.MAXIFS('working sheet'!$B$1:$B$3548,'working sheet'!$D$1:$D$3548,'Customer Portfolio'!A440)</f>
        <v>45504.741745219908</v>
      </c>
      <c r="D440">
        <f>COUNTIFS('working sheet'!$D$1:$D$3548,'Customer Portfolio'!A440)</f>
        <v>1</v>
      </c>
      <c r="E440" s="5">
        <f>SUMIFS('working sheet'!$E$2:$E$3548,'working sheet'!$D$2:$D$3548,'Customer Portfolio'!A440)</f>
        <v>23.02</v>
      </c>
      <c r="F440" s="6">
        <f t="shared" si="12"/>
        <v>23.02</v>
      </c>
      <c r="G440" t="str">
        <f t="array" ref="G440">IFERROR(INDEX('working sheet'!$F$2:$F$3548, MODE(IF('working sheet'!$D$2:$D$3548=A440, MATCH('working sheet'!$F$2:$F$3548, 'working sheet'!$F$2:$F$3548, 0)))),
         INDEX('working sheet'!$F$2:$F$3548, MATCH(A440, 'working sheet'!$D$2:$D$3548, 0)))</f>
        <v>Cortado</v>
      </c>
      <c r="H440" s="7">
        <f t="shared" si="13"/>
        <v>1</v>
      </c>
      <c r="I440" s="7">
        <f>MAX('working sheet'!$B$2:$B$3548)-C440</f>
        <v>235.01634083333192</v>
      </c>
      <c r="J440" s="4" t="str">
        <f t="array" ref="J440">IF(AND(I440&lt;=30, D440&gt;=10, E440&gt;=200), "VIP",  IF(AND(I440&lt;=60, D440&gt;=5, E440&gt;=100), "Loyal", IF(AND(I440&lt;=90, D440&gt;=3), "Regular", IF(I440&lt;=30, "Recent", IF(D440&gt;=3, "Occasional", "At Risk")))))</f>
        <v>At Risk</v>
      </c>
      <c r="K440" t="str">
        <f t="array" ref="K440">IF(OR(J440="VIP", J440="Loyal"), "HIGH",IF(OR(J440="Regular", J440="Recent"), "MEDIUM","LOW"))</f>
        <v>LOW</v>
      </c>
    </row>
    <row r="441" spans="1:11">
      <c r="A441" t="s">
        <v>454</v>
      </c>
      <c r="B441" s="14">
        <f>_xlfn.MINIFS('working sheet'!$B$2:$B$3548, 'working sheet'!$D$2:$D$3548, A441)</f>
        <v>45504.752951064816</v>
      </c>
      <c r="C441" s="17">
        <f>_xlfn.MAXIFS('working sheet'!$B$1:$B$3548,'working sheet'!$D$1:$D$3548,'Customer Portfolio'!A441)</f>
        <v>45579.44390875</v>
      </c>
      <c r="D441">
        <f>COUNTIFS('working sheet'!$D$1:$D$3548,'Customer Portfolio'!A441)</f>
        <v>7</v>
      </c>
      <c r="E441" s="5">
        <f>SUMIFS('working sheet'!$E$2:$E$3548,'working sheet'!$D$2:$D$3548,'Customer Portfolio'!A441)</f>
        <v>221.9</v>
      </c>
      <c r="F441" s="6">
        <f t="shared" si="12"/>
        <v>31.7</v>
      </c>
      <c r="G441" t="str">
        <f t="array" ref="G441">IFERROR(INDEX('working sheet'!$F$2:$F$3548, MODE(IF('working sheet'!$D$2:$D$3548=A441, MATCH('working sheet'!$F$2:$F$3548, 'working sheet'!$F$2:$F$3548, 0)))),
         INDEX('working sheet'!$F$2:$F$3548, MATCH(A441, 'working sheet'!$D$2:$D$3548, 0)))</f>
        <v>Latte</v>
      </c>
      <c r="H441" s="7">
        <f t="shared" si="13"/>
        <v>75.690957685183093</v>
      </c>
      <c r="I441" s="7">
        <f>MAX('working sheet'!$B$2:$B$3548)-C441</f>
        <v>160.31417730324029</v>
      </c>
      <c r="J441" s="4" t="str">
        <f t="array" ref="J441">IF(AND(I441&lt;=30, D441&gt;=10, E441&gt;=200), "VIP",  IF(AND(I441&lt;=60, D441&gt;=5, E441&gt;=100), "Loyal", IF(AND(I441&lt;=90, D441&gt;=3), "Regular", IF(I441&lt;=30, "Recent", IF(D441&gt;=3, "Occasional", "At Risk")))))</f>
        <v>Occasional</v>
      </c>
      <c r="K441" t="str">
        <f t="array" ref="K441">IF(OR(J441="VIP", J441="Loyal"), "HIGH",IF(OR(J441="Regular", J441="Recent"), "MEDIUM","LOW"))</f>
        <v>LOW</v>
      </c>
    </row>
    <row r="442" spans="1:11">
      <c r="A442" t="s">
        <v>455</v>
      </c>
      <c r="B442" s="14">
        <f>_xlfn.MINIFS('working sheet'!$B$2:$B$3548, 'working sheet'!$D$2:$D$3548, A442)</f>
        <v>45504.807394479169</v>
      </c>
      <c r="C442" s="17">
        <f>_xlfn.MAXIFS('working sheet'!$B$1:$B$3548,'working sheet'!$D$1:$D$3548,'Customer Portfolio'!A442)</f>
        <v>45504.807394479169</v>
      </c>
      <c r="D442">
        <f>COUNTIFS('working sheet'!$D$1:$D$3548,'Customer Portfolio'!A442)</f>
        <v>1</v>
      </c>
      <c r="E442" s="5">
        <f>SUMIFS('working sheet'!$E$2:$E$3548,'working sheet'!$D$2:$D$3548,'Customer Portfolio'!A442)</f>
        <v>23.02</v>
      </c>
      <c r="F442" s="6">
        <f t="shared" si="12"/>
        <v>23.02</v>
      </c>
      <c r="G442" t="str">
        <f t="array" ref="G442">IFERROR(INDEX('working sheet'!$F$2:$F$3548, MODE(IF('working sheet'!$D$2:$D$3548=A442, MATCH('working sheet'!$F$2:$F$3548, 'working sheet'!$F$2:$F$3548, 0)))),
         INDEX('working sheet'!$F$2:$F$3548, MATCH(A442, 'working sheet'!$D$2:$D$3548, 0)))</f>
        <v>Cortado</v>
      </c>
      <c r="H442" s="7">
        <f t="shared" si="13"/>
        <v>1</v>
      </c>
      <c r="I442" s="7">
        <f>MAX('working sheet'!$B$2:$B$3548)-C442</f>
        <v>234.95069157407124</v>
      </c>
      <c r="J442" s="4" t="str">
        <f t="array" ref="J442">IF(AND(I442&lt;=30, D442&gt;=10, E442&gt;=200), "VIP",  IF(AND(I442&lt;=60, D442&gt;=5, E442&gt;=100), "Loyal", IF(AND(I442&lt;=90, D442&gt;=3), "Regular", IF(I442&lt;=30, "Recent", IF(D442&gt;=3, "Occasional", "At Risk")))))</f>
        <v>At Risk</v>
      </c>
      <c r="K442" t="str">
        <f t="array" ref="K442">IF(OR(J442="VIP", J442="Loyal"), "HIGH",IF(OR(J442="Regular", J442="Recent"), "MEDIUM","LOW"))</f>
        <v>LOW</v>
      </c>
    </row>
    <row r="443" spans="1:11">
      <c r="A443" t="s">
        <v>456</v>
      </c>
      <c r="B443" s="14">
        <f>_xlfn.MINIFS('working sheet'!$B$2:$B$3548, 'working sheet'!$D$2:$D$3548, A443)</f>
        <v>45504.86576872685</v>
      </c>
      <c r="C443" s="17">
        <f>_xlfn.MAXIFS('working sheet'!$B$1:$B$3548,'working sheet'!$D$1:$D$3548,'Customer Portfolio'!A443)</f>
        <v>45514.901174965278</v>
      </c>
      <c r="D443">
        <f>COUNTIFS('working sheet'!$D$1:$D$3548,'Customer Portfolio'!A443)</f>
        <v>3</v>
      </c>
      <c r="E443" s="5">
        <f>SUMIFS('working sheet'!$E$2:$E$3548,'working sheet'!$D$2:$D$3548,'Customer Portfolio'!A443)</f>
        <v>98.460000000000008</v>
      </c>
      <c r="F443" s="6">
        <f t="shared" si="12"/>
        <v>32.82</v>
      </c>
      <c r="G443" t="str">
        <f t="array" ref="G443">IFERROR(INDEX('working sheet'!$F$2:$F$3548, MODE(IF('working sheet'!$D$2:$D$3548=A443, MATCH('working sheet'!$F$2:$F$3548, 'working sheet'!$F$2:$F$3548, 0)))),
         INDEX('working sheet'!$F$2:$F$3548, MATCH(A443, 'working sheet'!$D$2:$D$3548, 0)))</f>
        <v>Cocoa</v>
      </c>
      <c r="H443" s="7">
        <f t="shared" si="13"/>
        <v>11.03540623842855</v>
      </c>
      <c r="I443" s="7">
        <f>MAX('working sheet'!$B$2:$B$3548)-C443</f>
        <v>224.85691108796163</v>
      </c>
      <c r="J443" s="4" t="str">
        <f t="array" ref="J443">IF(AND(I443&lt;=30, D443&gt;=10, E443&gt;=200), "VIP",  IF(AND(I443&lt;=60, D443&gt;=5, E443&gt;=100), "Loyal", IF(AND(I443&lt;=90, D443&gt;=3), "Regular", IF(I443&lt;=30, "Recent", IF(D443&gt;=3, "Occasional", "At Risk")))))</f>
        <v>Occasional</v>
      </c>
      <c r="K443" t="str">
        <f t="array" ref="K443">IF(OR(J443="VIP", J443="Loyal"), "HIGH",IF(OR(J443="Regular", J443="Recent"), "MEDIUM","LOW"))</f>
        <v>LOW</v>
      </c>
    </row>
    <row r="444" spans="1:11">
      <c r="A444" t="s">
        <v>457</v>
      </c>
      <c r="B444" s="14">
        <f>_xlfn.MINIFS('working sheet'!$B$2:$B$3548, 'working sheet'!$D$2:$D$3548, A444)</f>
        <v>45504.868141331019</v>
      </c>
      <c r="C444" s="17">
        <f>_xlfn.MAXIFS('working sheet'!$B$1:$B$3548,'working sheet'!$D$1:$D$3548,'Customer Portfolio'!A444)</f>
        <v>45504.870544872683</v>
      </c>
      <c r="D444">
        <f>COUNTIFS('working sheet'!$D$1:$D$3548,'Customer Portfolio'!A444)</f>
        <v>3</v>
      </c>
      <c r="E444" s="5">
        <f>SUMIFS('working sheet'!$E$2:$E$3548,'working sheet'!$D$2:$D$3548,'Customer Portfolio'!A444)</f>
        <v>78.86</v>
      </c>
      <c r="F444" s="6">
        <f t="shared" si="12"/>
        <v>26.286666666666665</v>
      </c>
      <c r="G444" t="str">
        <f t="array" ref="G444">IFERROR(INDEX('working sheet'!$F$2:$F$3548, MODE(IF('working sheet'!$D$2:$D$3548=A444, MATCH('working sheet'!$F$2:$F$3548, 'working sheet'!$F$2:$F$3548, 0)))),
         INDEX('working sheet'!$F$2:$F$3548, MATCH(A444, 'working sheet'!$D$2:$D$3548, 0)))</f>
        <v>Cortado</v>
      </c>
      <c r="H444" s="7">
        <f t="shared" si="13"/>
        <v>1.0024035416645347</v>
      </c>
      <c r="I444" s="7">
        <f>MAX('working sheet'!$B$2:$B$3548)-C444</f>
        <v>234.88754118055658</v>
      </c>
      <c r="J444" s="4" t="str">
        <f t="array" ref="J444">IF(AND(I444&lt;=30, D444&gt;=10, E444&gt;=200), "VIP",  IF(AND(I444&lt;=60, D444&gt;=5, E444&gt;=100), "Loyal", IF(AND(I444&lt;=90, D444&gt;=3), "Regular", IF(I444&lt;=30, "Recent", IF(D444&gt;=3, "Occasional", "At Risk")))))</f>
        <v>Occasional</v>
      </c>
      <c r="K444" t="str">
        <f t="array" ref="K444">IF(OR(J444="VIP", J444="Loyal"), "HIGH",IF(OR(J444="Regular", J444="Recent"), "MEDIUM","LOW"))</f>
        <v>LOW</v>
      </c>
    </row>
    <row r="445" spans="1:11">
      <c r="A445" t="s">
        <v>458</v>
      </c>
      <c r="B445" s="14">
        <f>_xlfn.MINIFS('working sheet'!$B$2:$B$3548, 'working sheet'!$D$2:$D$3548, A445)</f>
        <v>45504.89335648148</v>
      </c>
      <c r="C445" s="17">
        <f>_xlfn.MAXIFS('working sheet'!$B$1:$B$3548,'working sheet'!$D$1:$D$3548,'Customer Portfolio'!A445)</f>
        <v>45504.89335648148</v>
      </c>
      <c r="D445">
        <f>COUNTIFS('working sheet'!$D$1:$D$3548,'Customer Portfolio'!A445)</f>
        <v>1</v>
      </c>
      <c r="E445" s="5">
        <f>SUMIFS('working sheet'!$E$2:$E$3548,'working sheet'!$D$2:$D$3548,'Customer Portfolio'!A445)</f>
        <v>32.82</v>
      </c>
      <c r="F445" s="6">
        <f t="shared" si="12"/>
        <v>32.82</v>
      </c>
      <c r="G445" t="str">
        <f t="array" ref="G445">IFERROR(INDEX('working sheet'!$F$2:$F$3548, MODE(IF('working sheet'!$D$2:$D$3548=A445, MATCH('working sheet'!$F$2:$F$3548, 'working sheet'!$F$2:$F$3548, 0)))),
         INDEX('working sheet'!$F$2:$F$3548, MATCH(A445, 'working sheet'!$D$2:$D$3548, 0)))</f>
        <v>Latte</v>
      </c>
      <c r="H445" s="7">
        <f t="shared" si="13"/>
        <v>1</v>
      </c>
      <c r="I445" s="7">
        <f>MAX('working sheet'!$B$2:$B$3548)-C445</f>
        <v>234.86472957176011</v>
      </c>
      <c r="J445" s="4" t="str">
        <f t="array" ref="J445">IF(AND(I445&lt;=30, D445&gt;=10, E445&gt;=200), "VIP",  IF(AND(I445&lt;=60, D445&gt;=5, E445&gt;=100), "Loyal", IF(AND(I445&lt;=90, D445&gt;=3), "Regular", IF(I445&lt;=30, "Recent", IF(D445&gt;=3, "Occasional", "At Risk")))))</f>
        <v>At Risk</v>
      </c>
      <c r="K445" t="str">
        <f t="array" ref="K445">IF(OR(J445="VIP", J445="Loyal"), "HIGH",IF(OR(J445="Regular", J445="Recent"), "MEDIUM","LOW"))</f>
        <v>LOW</v>
      </c>
    </row>
    <row r="446" spans="1:11">
      <c r="A446" t="s">
        <v>459</v>
      </c>
      <c r="B446" s="14">
        <f>_xlfn.MINIFS('working sheet'!$B$2:$B$3548, 'working sheet'!$D$2:$D$3548, A446)</f>
        <v>45504.912636851848</v>
      </c>
      <c r="C446" s="17">
        <f>_xlfn.MAXIFS('working sheet'!$B$1:$B$3548,'working sheet'!$D$1:$D$3548,'Customer Portfolio'!A446)</f>
        <v>45563.857304513891</v>
      </c>
      <c r="D446">
        <f>COUNTIFS('working sheet'!$D$1:$D$3548,'Customer Portfolio'!A446)</f>
        <v>2</v>
      </c>
      <c r="E446" s="5">
        <f>SUMIFS('working sheet'!$E$2:$E$3548,'working sheet'!$D$2:$D$3548,'Customer Portfolio'!A446)</f>
        <v>68.58</v>
      </c>
      <c r="F446" s="6">
        <f t="shared" si="12"/>
        <v>34.29</v>
      </c>
      <c r="G446" t="str">
        <f t="array" ref="G446">IFERROR(INDEX('working sheet'!$F$2:$F$3548, MODE(IF('working sheet'!$D$2:$D$3548=A446, MATCH('working sheet'!$F$2:$F$3548, 'working sheet'!$F$2:$F$3548, 0)))),
         INDEX('working sheet'!$F$2:$F$3548, MATCH(A446, 'working sheet'!$D$2:$D$3548, 0)))</f>
        <v>Latte</v>
      </c>
      <c r="H446" s="7">
        <f t="shared" si="13"/>
        <v>59.944667662042775</v>
      </c>
      <c r="I446" s="7">
        <f>MAX('working sheet'!$B$2:$B$3548)-C446</f>
        <v>175.90078153934883</v>
      </c>
      <c r="J446" s="4" t="str">
        <f t="array" ref="J446">IF(AND(I446&lt;=30, D446&gt;=10, E446&gt;=200), "VIP",  IF(AND(I446&lt;=60, D446&gt;=5, E446&gt;=100), "Loyal", IF(AND(I446&lt;=90, D446&gt;=3), "Regular", IF(I446&lt;=30, "Recent", IF(D446&gt;=3, "Occasional", "At Risk")))))</f>
        <v>At Risk</v>
      </c>
      <c r="K446" t="str">
        <f t="array" ref="K446">IF(OR(J446="VIP", J446="Loyal"), "HIGH",IF(OR(J446="Regular", J446="Recent"), "MEDIUM","LOW"))</f>
        <v>LOW</v>
      </c>
    </row>
    <row r="447" spans="1:11">
      <c r="A447" t="s">
        <v>460</v>
      </c>
      <c r="B447" s="14">
        <f>_xlfn.MINIFS('working sheet'!$B$2:$B$3548, 'working sheet'!$D$2:$D$3548, A447)</f>
        <v>45504.91338622685</v>
      </c>
      <c r="C447" s="17">
        <f>_xlfn.MAXIFS('working sheet'!$B$1:$B$3548,'working sheet'!$D$1:$D$3548,'Customer Portfolio'!A447)</f>
        <v>45504.91338622685</v>
      </c>
      <c r="D447">
        <f>COUNTIFS('working sheet'!$D$1:$D$3548,'Customer Portfolio'!A447)</f>
        <v>1</v>
      </c>
      <c r="E447" s="5">
        <f>SUMIFS('working sheet'!$E$2:$E$3548,'working sheet'!$D$2:$D$3548,'Customer Portfolio'!A447)</f>
        <v>32.82</v>
      </c>
      <c r="F447" s="6">
        <f t="shared" si="12"/>
        <v>32.82</v>
      </c>
      <c r="G447" t="str">
        <f t="array" ref="G447">IFERROR(INDEX('working sheet'!$F$2:$F$3548, MODE(IF('working sheet'!$D$2:$D$3548=A447, MATCH('working sheet'!$F$2:$F$3548, 'working sheet'!$F$2:$F$3548, 0)))),
         INDEX('working sheet'!$F$2:$F$3548, MATCH(A447, 'working sheet'!$D$2:$D$3548, 0)))</f>
        <v>Latte</v>
      </c>
      <c r="H447" s="7">
        <f t="shared" si="13"/>
        <v>1</v>
      </c>
      <c r="I447" s="7">
        <f>MAX('working sheet'!$B$2:$B$3548)-C447</f>
        <v>234.84469982638984</v>
      </c>
      <c r="J447" s="4" t="str">
        <f t="array" ref="J447">IF(AND(I447&lt;=30, D447&gt;=10, E447&gt;=200), "VIP",  IF(AND(I447&lt;=60, D447&gt;=5, E447&gt;=100), "Loyal", IF(AND(I447&lt;=90, D447&gt;=3), "Regular", IF(I447&lt;=30, "Recent", IF(D447&gt;=3, "Occasional", "At Risk")))))</f>
        <v>At Risk</v>
      </c>
      <c r="K447" t="str">
        <f t="array" ref="K447">IF(OR(J447="VIP", J447="Loyal"), "HIGH",IF(OR(J447="Regular", J447="Recent"), "MEDIUM","LOW"))</f>
        <v>LOW</v>
      </c>
    </row>
    <row r="448" spans="1:11">
      <c r="A448" t="s">
        <v>461</v>
      </c>
      <c r="B448" s="14">
        <f>_xlfn.MINIFS('working sheet'!$B$2:$B$3548, 'working sheet'!$D$2:$D$3548, A448)</f>
        <v>45505.474147789355</v>
      </c>
      <c r="C448" s="17">
        <f>_xlfn.MAXIFS('working sheet'!$B$1:$B$3548,'working sheet'!$D$1:$D$3548,'Customer Portfolio'!A448)</f>
        <v>45505.474147789355</v>
      </c>
      <c r="D448">
        <f>COUNTIFS('working sheet'!$D$1:$D$3548,'Customer Portfolio'!A448)</f>
        <v>1</v>
      </c>
      <c r="E448" s="5">
        <f>SUMIFS('working sheet'!$E$2:$E$3548,'working sheet'!$D$2:$D$3548,'Customer Portfolio'!A448)</f>
        <v>27.92</v>
      </c>
      <c r="F448" s="6">
        <f t="shared" si="12"/>
        <v>27.92</v>
      </c>
      <c r="G448" t="str">
        <f t="array" ref="G448">IFERROR(INDEX('working sheet'!$F$2:$F$3548, MODE(IF('working sheet'!$D$2:$D$3548=A448, MATCH('working sheet'!$F$2:$F$3548, 'working sheet'!$F$2:$F$3548, 0)))),
         INDEX('working sheet'!$F$2:$F$3548, MATCH(A448, 'working sheet'!$D$2:$D$3548, 0)))</f>
        <v>Americano with Milk</v>
      </c>
      <c r="H448" s="7">
        <f t="shared" si="13"/>
        <v>1</v>
      </c>
      <c r="I448" s="7">
        <f>MAX('working sheet'!$B$2:$B$3548)-C448</f>
        <v>234.28393826388492</v>
      </c>
      <c r="J448" s="4" t="str">
        <f t="array" ref="J448">IF(AND(I448&lt;=30, D448&gt;=10, E448&gt;=200), "VIP",  IF(AND(I448&lt;=60, D448&gt;=5, E448&gt;=100), "Loyal", IF(AND(I448&lt;=90, D448&gt;=3), "Regular", IF(I448&lt;=30, "Recent", IF(D448&gt;=3, "Occasional", "At Risk")))))</f>
        <v>At Risk</v>
      </c>
      <c r="K448" t="str">
        <f t="array" ref="K448">IF(OR(J448="VIP", J448="Loyal"), "HIGH",IF(OR(J448="Regular", J448="Recent"), "MEDIUM","LOW"))</f>
        <v>LOW</v>
      </c>
    </row>
    <row r="449" spans="1:11">
      <c r="A449" t="s">
        <v>462</v>
      </c>
      <c r="B449" s="14">
        <f>_xlfn.MINIFS('working sheet'!$B$2:$B$3548, 'working sheet'!$D$2:$D$3548, A449)</f>
        <v>45505.557483807868</v>
      </c>
      <c r="C449" s="17">
        <f>_xlfn.MAXIFS('working sheet'!$B$1:$B$3548,'working sheet'!$D$1:$D$3548,'Customer Portfolio'!A449)</f>
        <v>45505.558070763887</v>
      </c>
      <c r="D449">
        <f>COUNTIFS('working sheet'!$D$1:$D$3548,'Customer Portfolio'!A449)</f>
        <v>2</v>
      </c>
      <c r="E449" s="5">
        <f>SUMIFS('working sheet'!$E$2:$E$3548,'working sheet'!$D$2:$D$3548,'Customer Portfolio'!A449)</f>
        <v>55.84</v>
      </c>
      <c r="F449" s="6">
        <f t="shared" si="12"/>
        <v>27.92</v>
      </c>
      <c r="G449" t="str">
        <f t="array" ref="G449">IFERROR(INDEX('working sheet'!$F$2:$F$3548, MODE(IF('working sheet'!$D$2:$D$3548=A449, MATCH('working sheet'!$F$2:$F$3548, 'working sheet'!$F$2:$F$3548, 0)))),
         INDEX('working sheet'!$F$2:$F$3548, MATCH(A449, 'working sheet'!$D$2:$D$3548, 0)))</f>
        <v>Cortado</v>
      </c>
      <c r="H449" s="7">
        <f t="shared" si="13"/>
        <v>1.0005869560191059</v>
      </c>
      <c r="I449" s="7">
        <f>MAX('working sheet'!$B$2:$B$3548)-C449</f>
        <v>234.20001528935245</v>
      </c>
      <c r="J449" s="4" t="str">
        <f t="array" ref="J449">IF(AND(I449&lt;=30, D449&gt;=10, E449&gt;=200), "VIP",  IF(AND(I449&lt;=60, D449&gt;=5, E449&gt;=100), "Loyal", IF(AND(I449&lt;=90, D449&gt;=3), "Regular", IF(I449&lt;=30, "Recent", IF(D449&gt;=3, "Occasional", "At Risk")))))</f>
        <v>At Risk</v>
      </c>
      <c r="K449" t="str">
        <f t="array" ref="K449">IF(OR(J449="VIP", J449="Loyal"), "HIGH",IF(OR(J449="Regular", J449="Recent"), "MEDIUM","LOW"))</f>
        <v>LOW</v>
      </c>
    </row>
    <row r="450" spans="1:11">
      <c r="A450" t="s">
        <v>463</v>
      </c>
      <c r="B450" s="14">
        <f>_xlfn.MINIFS('working sheet'!$B$2:$B$3548, 'working sheet'!$D$2:$D$3548, A450)</f>
        <v>45505.575778530096</v>
      </c>
      <c r="C450" s="17">
        <f>_xlfn.MAXIFS('working sheet'!$B$1:$B$3548,'working sheet'!$D$1:$D$3548,'Customer Portfolio'!A450)</f>
        <v>45505.575778530096</v>
      </c>
      <c r="D450">
        <f>COUNTIFS('working sheet'!$D$1:$D$3548,'Customer Portfolio'!A450)</f>
        <v>1</v>
      </c>
      <c r="E450" s="5">
        <f>SUMIFS('working sheet'!$E$2:$E$3548,'working sheet'!$D$2:$D$3548,'Customer Portfolio'!A450)</f>
        <v>32.82</v>
      </c>
      <c r="F450" s="6">
        <f t="shared" si="12"/>
        <v>32.82</v>
      </c>
      <c r="G450" t="str">
        <f t="array" ref="G450">IFERROR(INDEX('working sheet'!$F$2:$F$3548, MODE(IF('working sheet'!$D$2:$D$3548=A450, MATCH('working sheet'!$F$2:$F$3548, 'working sheet'!$F$2:$F$3548, 0)))),
         INDEX('working sheet'!$F$2:$F$3548, MATCH(A450, 'working sheet'!$D$2:$D$3548, 0)))</f>
        <v>Cappuccino</v>
      </c>
      <c r="H450" s="7">
        <f t="shared" si="13"/>
        <v>1</v>
      </c>
      <c r="I450" s="7">
        <f>MAX('working sheet'!$B$2:$B$3548)-C450</f>
        <v>234.18230752314412</v>
      </c>
      <c r="J450" s="4" t="str">
        <f t="array" ref="J450">IF(AND(I450&lt;=30, D450&gt;=10, E450&gt;=200), "VIP",  IF(AND(I450&lt;=60, D450&gt;=5, E450&gt;=100), "Loyal", IF(AND(I450&lt;=90, D450&gt;=3), "Regular", IF(I450&lt;=30, "Recent", IF(D450&gt;=3, "Occasional", "At Risk")))))</f>
        <v>At Risk</v>
      </c>
      <c r="K450" t="str">
        <f t="array" ref="K450">IF(OR(J450="VIP", J450="Loyal"), "HIGH",IF(OR(J450="Regular", J450="Recent"), "MEDIUM","LOW"))</f>
        <v>LOW</v>
      </c>
    </row>
    <row r="451" spans="1:11">
      <c r="A451" t="s">
        <v>464</v>
      </c>
      <c r="B451" s="14">
        <f>_xlfn.MINIFS('working sheet'!$B$2:$B$3548, 'working sheet'!$D$2:$D$3548, A451)</f>
        <v>45505.683341006945</v>
      </c>
      <c r="C451" s="17">
        <f>_xlfn.MAXIFS('working sheet'!$B$1:$B$3548,'working sheet'!$D$1:$D$3548,'Customer Portfolio'!A451)</f>
        <v>45518.535473032411</v>
      </c>
      <c r="D451">
        <f>COUNTIFS('working sheet'!$D$1:$D$3548,'Customer Portfolio'!A451)</f>
        <v>3</v>
      </c>
      <c r="E451" s="5">
        <f>SUMIFS('working sheet'!$E$2:$E$3548,'working sheet'!$D$2:$D$3548,'Customer Portfolio'!A451)</f>
        <v>73.959999999999994</v>
      </c>
      <c r="F451" s="6">
        <f t="shared" ref="F451:F514" si="14">E451/D451</f>
        <v>24.653333333333332</v>
      </c>
      <c r="G451" t="str">
        <f t="array" ref="G451">IFERROR(INDEX('working sheet'!$F$2:$F$3548, MODE(IF('working sheet'!$D$2:$D$3548=A451, MATCH('working sheet'!$F$2:$F$3548, 'working sheet'!$F$2:$F$3548, 0)))),
         INDEX('working sheet'!$F$2:$F$3548, MATCH(A451, 'working sheet'!$D$2:$D$3548, 0)))</f>
        <v>Americano</v>
      </c>
      <c r="H451" s="7">
        <f t="shared" ref="H451:H514" si="15">C451-B451+1</f>
        <v>13.852132025465835</v>
      </c>
      <c r="I451" s="7">
        <f>MAX('working sheet'!$B$2:$B$3548)-C451</f>
        <v>221.22261302082916</v>
      </c>
      <c r="J451" s="4" t="str">
        <f t="array" ref="J451">IF(AND(I451&lt;=30, D451&gt;=10, E451&gt;=200), "VIP",  IF(AND(I451&lt;=60, D451&gt;=5, E451&gt;=100), "Loyal", IF(AND(I451&lt;=90, D451&gt;=3), "Regular", IF(I451&lt;=30, "Recent", IF(D451&gt;=3, "Occasional", "At Risk")))))</f>
        <v>Occasional</v>
      </c>
      <c r="K451" t="str">
        <f t="array" ref="K451">IF(OR(J451="VIP", J451="Loyal"), "HIGH",IF(OR(J451="Regular", J451="Recent"), "MEDIUM","LOW"))</f>
        <v>LOW</v>
      </c>
    </row>
    <row r="452" spans="1:11">
      <c r="A452" t="s">
        <v>465</v>
      </c>
      <c r="B452" s="14">
        <f>_xlfn.MINIFS('working sheet'!$B$2:$B$3548, 'working sheet'!$D$2:$D$3548, A452)</f>
        <v>45505.724713402778</v>
      </c>
      <c r="C452" s="17">
        <f>_xlfn.MAXIFS('working sheet'!$B$1:$B$3548,'working sheet'!$D$1:$D$3548,'Customer Portfolio'!A452)</f>
        <v>45505.724713402778</v>
      </c>
      <c r="D452">
        <f>COUNTIFS('working sheet'!$D$1:$D$3548,'Customer Portfolio'!A452)</f>
        <v>1</v>
      </c>
      <c r="E452" s="5">
        <f>SUMIFS('working sheet'!$E$2:$E$3548,'working sheet'!$D$2:$D$3548,'Customer Portfolio'!A452)</f>
        <v>23.02</v>
      </c>
      <c r="F452" s="6">
        <f t="shared" si="14"/>
        <v>23.02</v>
      </c>
      <c r="G452" t="str">
        <f t="array" ref="G452">IFERROR(INDEX('working sheet'!$F$2:$F$3548, MODE(IF('working sheet'!$D$2:$D$3548=A452, MATCH('working sheet'!$F$2:$F$3548, 'working sheet'!$F$2:$F$3548, 0)))),
         INDEX('working sheet'!$F$2:$F$3548, MATCH(A452, 'working sheet'!$D$2:$D$3548, 0)))</f>
        <v>Americano</v>
      </c>
      <c r="H452" s="7">
        <f t="shared" si="15"/>
        <v>1</v>
      </c>
      <c r="I452" s="7">
        <f>MAX('working sheet'!$B$2:$B$3548)-C452</f>
        <v>234.03337265046139</v>
      </c>
      <c r="J452" s="4" t="str">
        <f t="array" ref="J452">IF(AND(I452&lt;=30, D452&gt;=10, E452&gt;=200), "VIP",  IF(AND(I452&lt;=60, D452&gt;=5, E452&gt;=100), "Loyal", IF(AND(I452&lt;=90, D452&gt;=3), "Regular", IF(I452&lt;=30, "Recent", IF(D452&gt;=3, "Occasional", "At Risk")))))</f>
        <v>At Risk</v>
      </c>
      <c r="K452" t="str">
        <f t="array" ref="K452">IF(OR(J452="VIP", J452="Loyal"), "HIGH",IF(OR(J452="Regular", J452="Recent"), "MEDIUM","LOW"))</f>
        <v>LOW</v>
      </c>
    </row>
    <row r="453" spans="1:11">
      <c r="A453" t="s">
        <v>466</v>
      </c>
      <c r="B453" s="14">
        <f>_xlfn.MINIFS('working sheet'!$B$2:$B$3548, 'working sheet'!$D$2:$D$3548, A453)</f>
        <v>45505.862130995367</v>
      </c>
      <c r="C453" s="17">
        <f>_xlfn.MAXIFS('working sheet'!$B$1:$B$3548,'working sheet'!$D$1:$D$3548,'Customer Portfolio'!A453)</f>
        <v>45505.862130995367</v>
      </c>
      <c r="D453">
        <f>COUNTIFS('working sheet'!$D$1:$D$3548,'Customer Portfolio'!A453)</f>
        <v>1</v>
      </c>
      <c r="E453" s="5">
        <f>SUMIFS('working sheet'!$E$2:$E$3548,'working sheet'!$D$2:$D$3548,'Customer Portfolio'!A453)</f>
        <v>32.82</v>
      </c>
      <c r="F453" s="6">
        <f t="shared" si="14"/>
        <v>32.82</v>
      </c>
      <c r="G453" t="str">
        <f t="array" ref="G453">IFERROR(INDEX('working sheet'!$F$2:$F$3548, MODE(IF('working sheet'!$D$2:$D$3548=A453, MATCH('working sheet'!$F$2:$F$3548, 'working sheet'!$F$2:$F$3548, 0)))),
         INDEX('working sheet'!$F$2:$F$3548, MATCH(A453, 'working sheet'!$D$2:$D$3548, 0)))</f>
        <v>Cappuccino</v>
      </c>
      <c r="H453" s="7">
        <f t="shared" si="15"/>
        <v>1</v>
      </c>
      <c r="I453" s="7">
        <f>MAX('working sheet'!$B$2:$B$3548)-C453</f>
        <v>233.89595505787292</v>
      </c>
      <c r="J453" s="4" t="str">
        <f t="array" ref="J453">IF(AND(I453&lt;=30, D453&gt;=10, E453&gt;=200), "VIP",  IF(AND(I453&lt;=60, D453&gt;=5, E453&gt;=100), "Loyal", IF(AND(I453&lt;=90, D453&gt;=3), "Regular", IF(I453&lt;=30, "Recent", IF(D453&gt;=3, "Occasional", "At Risk")))))</f>
        <v>At Risk</v>
      </c>
      <c r="K453" t="str">
        <f t="array" ref="K453">IF(OR(J453="VIP", J453="Loyal"), "HIGH",IF(OR(J453="Regular", J453="Recent"), "MEDIUM","LOW"))</f>
        <v>LOW</v>
      </c>
    </row>
    <row r="454" spans="1:11">
      <c r="A454" t="s">
        <v>467</v>
      </c>
      <c r="B454" s="14">
        <f>_xlfn.MINIFS('working sheet'!$B$2:$B$3548, 'working sheet'!$D$2:$D$3548, A454)</f>
        <v>45506.376321354168</v>
      </c>
      <c r="C454" s="17">
        <f>_xlfn.MAXIFS('working sheet'!$B$1:$B$3548,'working sheet'!$D$1:$D$3548,'Customer Portfolio'!A454)</f>
        <v>45511.372088599535</v>
      </c>
      <c r="D454">
        <f>COUNTIFS('working sheet'!$D$1:$D$3548,'Customer Portfolio'!A454)</f>
        <v>2</v>
      </c>
      <c r="E454" s="5">
        <f>SUMIFS('working sheet'!$E$2:$E$3548,'working sheet'!$D$2:$D$3548,'Customer Portfolio'!A454)</f>
        <v>55.84</v>
      </c>
      <c r="F454" s="6">
        <f t="shared" si="14"/>
        <v>27.92</v>
      </c>
      <c r="G454" t="str">
        <f t="array" ref="G454">IFERROR(INDEX('working sheet'!$F$2:$F$3548, MODE(IF('working sheet'!$D$2:$D$3548=A454, MATCH('working sheet'!$F$2:$F$3548, 'working sheet'!$F$2:$F$3548, 0)))),
         INDEX('working sheet'!$F$2:$F$3548, MATCH(A454, 'working sheet'!$D$2:$D$3548, 0)))</f>
        <v>Americano with Milk</v>
      </c>
      <c r="H454" s="7">
        <f t="shared" si="15"/>
        <v>5.9957672453674604</v>
      </c>
      <c r="I454" s="7">
        <f>MAX('working sheet'!$B$2:$B$3548)-C454</f>
        <v>228.38599745370448</v>
      </c>
      <c r="J454" s="4" t="str">
        <f t="array" ref="J454">IF(AND(I454&lt;=30, D454&gt;=10, E454&gt;=200), "VIP",  IF(AND(I454&lt;=60, D454&gt;=5, E454&gt;=100), "Loyal", IF(AND(I454&lt;=90, D454&gt;=3), "Regular", IF(I454&lt;=30, "Recent", IF(D454&gt;=3, "Occasional", "At Risk")))))</f>
        <v>At Risk</v>
      </c>
      <c r="K454" t="str">
        <f t="array" ref="K454">IF(OR(J454="VIP", J454="Loyal"), "HIGH",IF(OR(J454="Regular", J454="Recent"), "MEDIUM","LOW"))</f>
        <v>LOW</v>
      </c>
    </row>
    <row r="455" spans="1:11">
      <c r="A455" t="s">
        <v>468</v>
      </c>
      <c r="B455" s="14">
        <f>_xlfn.MINIFS('working sheet'!$B$2:$B$3548, 'working sheet'!$D$2:$D$3548, A455)</f>
        <v>45506.755963912037</v>
      </c>
      <c r="C455" s="17">
        <f>_xlfn.MAXIFS('working sheet'!$B$1:$B$3548,'working sheet'!$D$1:$D$3548,'Customer Portfolio'!A455)</f>
        <v>45506.755963912037</v>
      </c>
      <c r="D455">
        <f>COUNTIFS('working sheet'!$D$1:$D$3548,'Customer Portfolio'!A455)</f>
        <v>1</v>
      </c>
      <c r="E455" s="5">
        <f>SUMIFS('working sheet'!$E$2:$E$3548,'working sheet'!$D$2:$D$3548,'Customer Portfolio'!A455)</f>
        <v>27.92</v>
      </c>
      <c r="F455" s="6">
        <f t="shared" si="14"/>
        <v>27.92</v>
      </c>
      <c r="G455" t="str">
        <f t="array" ref="G455">IFERROR(INDEX('working sheet'!$F$2:$F$3548, MODE(IF('working sheet'!$D$2:$D$3548=A455, MATCH('working sheet'!$F$2:$F$3548, 'working sheet'!$F$2:$F$3548, 0)))),
         INDEX('working sheet'!$F$2:$F$3548, MATCH(A455, 'working sheet'!$D$2:$D$3548, 0)))</f>
        <v>Americano with Milk</v>
      </c>
      <c r="H455" s="7">
        <f t="shared" si="15"/>
        <v>1</v>
      </c>
      <c r="I455" s="7">
        <f>MAX('working sheet'!$B$2:$B$3548)-C455</f>
        <v>233.00212214120256</v>
      </c>
      <c r="J455" s="4" t="str">
        <f t="array" ref="J455">IF(AND(I455&lt;=30, D455&gt;=10, E455&gt;=200), "VIP",  IF(AND(I455&lt;=60, D455&gt;=5, E455&gt;=100), "Loyal", IF(AND(I455&lt;=90, D455&gt;=3), "Regular", IF(I455&lt;=30, "Recent", IF(D455&gt;=3, "Occasional", "At Risk")))))</f>
        <v>At Risk</v>
      </c>
      <c r="K455" t="str">
        <f t="array" ref="K455">IF(OR(J455="VIP", J455="Loyal"), "HIGH",IF(OR(J455="Regular", J455="Recent"), "MEDIUM","LOW"))</f>
        <v>LOW</v>
      </c>
    </row>
    <row r="456" spans="1:11">
      <c r="A456" t="s">
        <v>469</v>
      </c>
      <c r="B456" s="14">
        <f>_xlfn.MINIFS('working sheet'!$B$2:$B$3548, 'working sheet'!$D$2:$D$3548, A456)</f>
        <v>45507.472529756946</v>
      </c>
      <c r="C456" s="17">
        <f>_xlfn.MAXIFS('working sheet'!$B$1:$B$3548,'working sheet'!$D$1:$D$3548,'Customer Portfolio'!A456)</f>
        <v>45601.788410023146</v>
      </c>
      <c r="D456">
        <f>COUNTIFS('working sheet'!$D$1:$D$3548,'Customer Portfolio'!A456)</f>
        <v>8</v>
      </c>
      <c r="E456" s="5">
        <f>SUMIFS('working sheet'!$E$2:$E$3548,'working sheet'!$D$2:$D$3548,'Customer Portfolio'!A456)</f>
        <v>240.01999999999998</v>
      </c>
      <c r="F456" s="6">
        <f t="shared" si="14"/>
        <v>30.002499999999998</v>
      </c>
      <c r="G456" t="str">
        <f t="array" ref="G456">IFERROR(INDEX('working sheet'!$F$2:$F$3548, MODE(IF('working sheet'!$D$2:$D$3548=A456, MATCH('working sheet'!$F$2:$F$3548, 'working sheet'!$F$2:$F$3548, 0)))),
         INDEX('working sheet'!$F$2:$F$3548, MATCH(A456, 'working sheet'!$D$2:$D$3548, 0)))</f>
        <v>Americano with Milk</v>
      </c>
      <c r="H456" s="7">
        <f t="shared" si="15"/>
        <v>95.315880266200111</v>
      </c>
      <c r="I456" s="7">
        <f>MAX('working sheet'!$B$2:$B$3548)-C456</f>
        <v>137.96967603009398</v>
      </c>
      <c r="J456" s="4" t="str">
        <f t="array" ref="J456">IF(AND(I456&lt;=30, D456&gt;=10, E456&gt;=200), "VIP",  IF(AND(I456&lt;=60, D456&gt;=5, E456&gt;=100), "Loyal", IF(AND(I456&lt;=90, D456&gt;=3), "Regular", IF(I456&lt;=30, "Recent", IF(D456&gt;=3, "Occasional", "At Risk")))))</f>
        <v>Occasional</v>
      </c>
      <c r="K456" t="str">
        <f t="array" ref="K456">IF(OR(J456="VIP", J456="Loyal"), "HIGH",IF(OR(J456="Regular", J456="Recent"), "MEDIUM","LOW"))</f>
        <v>LOW</v>
      </c>
    </row>
    <row r="457" spans="1:11">
      <c r="A457" t="s">
        <v>470</v>
      </c>
      <c r="B457" s="14">
        <f>_xlfn.MINIFS('working sheet'!$B$2:$B$3548, 'working sheet'!$D$2:$D$3548, A457)</f>
        <v>45507.77687530093</v>
      </c>
      <c r="C457" s="17">
        <f>_xlfn.MAXIFS('working sheet'!$B$1:$B$3548,'working sheet'!$D$1:$D$3548,'Customer Portfolio'!A457)</f>
        <v>45521.784014490739</v>
      </c>
      <c r="D457">
        <f>COUNTIFS('working sheet'!$D$1:$D$3548,'Customer Portfolio'!A457)</f>
        <v>2</v>
      </c>
      <c r="E457" s="5">
        <f>SUMIFS('working sheet'!$E$2:$E$3548,'working sheet'!$D$2:$D$3548,'Customer Portfolio'!A457)</f>
        <v>65.64</v>
      </c>
      <c r="F457" s="6">
        <f t="shared" si="14"/>
        <v>32.82</v>
      </c>
      <c r="G457" t="str">
        <f t="array" ref="G457">IFERROR(INDEX('working sheet'!$F$2:$F$3548, MODE(IF('working sheet'!$D$2:$D$3548=A457, MATCH('working sheet'!$F$2:$F$3548, 'working sheet'!$F$2:$F$3548, 0)))),
         INDEX('working sheet'!$F$2:$F$3548, MATCH(A457, 'working sheet'!$D$2:$D$3548, 0)))</f>
        <v>Cappuccino</v>
      </c>
      <c r="H457" s="7">
        <f t="shared" si="15"/>
        <v>15.007139189809095</v>
      </c>
      <c r="I457" s="7">
        <f>MAX('working sheet'!$B$2:$B$3548)-C457</f>
        <v>217.97407156250119</v>
      </c>
      <c r="J457" s="4" t="str">
        <f t="array" ref="J457">IF(AND(I457&lt;=30, D457&gt;=10, E457&gt;=200), "VIP",  IF(AND(I457&lt;=60, D457&gt;=5, E457&gt;=100), "Loyal", IF(AND(I457&lt;=90, D457&gt;=3), "Regular", IF(I457&lt;=30, "Recent", IF(D457&gt;=3, "Occasional", "At Risk")))))</f>
        <v>At Risk</v>
      </c>
      <c r="K457" t="str">
        <f t="array" ref="K457">IF(OR(J457="VIP", J457="Loyal"), "HIGH",IF(OR(J457="Regular", J457="Recent"), "MEDIUM","LOW"))</f>
        <v>LOW</v>
      </c>
    </row>
    <row r="458" spans="1:11">
      <c r="A458" t="s">
        <v>471</v>
      </c>
      <c r="B458" s="14">
        <f>_xlfn.MINIFS('working sheet'!$B$2:$B$3548, 'working sheet'!$D$2:$D$3548, A458)</f>
        <v>45507.896399976853</v>
      </c>
      <c r="C458" s="17">
        <f>_xlfn.MAXIFS('working sheet'!$B$1:$B$3548,'working sheet'!$D$1:$D$3548,'Customer Portfolio'!A458)</f>
        <v>45507.897989178244</v>
      </c>
      <c r="D458">
        <f>COUNTIFS('working sheet'!$D$1:$D$3548,'Customer Portfolio'!A458)</f>
        <v>2</v>
      </c>
      <c r="E458" s="5">
        <f>SUMIFS('working sheet'!$E$2:$E$3548,'working sheet'!$D$2:$D$3548,'Customer Portfolio'!A458)</f>
        <v>65.64</v>
      </c>
      <c r="F458" s="6">
        <f t="shared" si="14"/>
        <v>32.82</v>
      </c>
      <c r="G458" t="str">
        <f t="array" ref="G458">IFERROR(INDEX('working sheet'!$F$2:$F$3548, MODE(IF('working sheet'!$D$2:$D$3548=A458, MATCH('working sheet'!$F$2:$F$3548, 'working sheet'!$F$2:$F$3548, 0)))),
         INDEX('working sheet'!$F$2:$F$3548, MATCH(A458, 'working sheet'!$D$2:$D$3548, 0)))</f>
        <v>Latte</v>
      </c>
      <c r="H458" s="7">
        <f t="shared" si="15"/>
        <v>1.0015892013907433</v>
      </c>
      <c r="I458" s="7">
        <f>MAX('working sheet'!$B$2:$B$3548)-C458</f>
        <v>231.86009687499609</v>
      </c>
      <c r="J458" s="4" t="str">
        <f t="array" ref="J458">IF(AND(I458&lt;=30, D458&gt;=10, E458&gt;=200), "VIP",  IF(AND(I458&lt;=60, D458&gt;=5, E458&gt;=100), "Loyal", IF(AND(I458&lt;=90, D458&gt;=3), "Regular", IF(I458&lt;=30, "Recent", IF(D458&gt;=3, "Occasional", "At Risk")))))</f>
        <v>At Risk</v>
      </c>
      <c r="K458" t="str">
        <f t="array" ref="K458">IF(OR(J458="VIP", J458="Loyal"), "HIGH",IF(OR(J458="Regular", J458="Recent"), "MEDIUM","LOW"))</f>
        <v>LOW</v>
      </c>
    </row>
    <row r="459" spans="1:11">
      <c r="A459" t="s">
        <v>472</v>
      </c>
      <c r="B459" s="14">
        <f>_xlfn.MINIFS('working sheet'!$B$2:$B$3548, 'working sheet'!$D$2:$D$3548, A459)</f>
        <v>45508.346265208333</v>
      </c>
      <c r="C459" s="17">
        <f>_xlfn.MAXIFS('working sheet'!$B$1:$B$3548,'working sheet'!$D$1:$D$3548,'Customer Portfolio'!A459)</f>
        <v>45508.346265208333</v>
      </c>
      <c r="D459">
        <f>COUNTIFS('working sheet'!$D$1:$D$3548,'Customer Portfolio'!A459)</f>
        <v>1</v>
      </c>
      <c r="E459" s="5">
        <f>SUMIFS('working sheet'!$E$2:$E$3548,'working sheet'!$D$2:$D$3548,'Customer Portfolio'!A459)</f>
        <v>32.82</v>
      </c>
      <c r="F459" s="6">
        <f t="shared" si="14"/>
        <v>32.82</v>
      </c>
      <c r="G459" t="str">
        <f t="array" ref="G459">IFERROR(INDEX('working sheet'!$F$2:$F$3548, MODE(IF('working sheet'!$D$2:$D$3548=A459, MATCH('working sheet'!$F$2:$F$3548, 'working sheet'!$F$2:$F$3548, 0)))),
         INDEX('working sheet'!$F$2:$F$3548, MATCH(A459, 'working sheet'!$D$2:$D$3548, 0)))</f>
        <v>Cappuccino</v>
      </c>
      <c r="H459" s="7">
        <f t="shared" si="15"/>
        <v>1</v>
      </c>
      <c r="I459" s="7">
        <f>MAX('working sheet'!$B$2:$B$3548)-C459</f>
        <v>231.4118208449072</v>
      </c>
      <c r="J459" s="4" t="str">
        <f t="array" ref="J459">IF(AND(I459&lt;=30, D459&gt;=10, E459&gt;=200), "VIP",  IF(AND(I459&lt;=60, D459&gt;=5, E459&gt;=100), "Loyal", IF(AND(I459&lt;=90, D459&gt;=3), "Regular", IF(I459&lt;=30, "Recent", IF(D459&gt;=3, "Occasional", "At Risk")))))</f>
        <v>At Risk</v>
      </c>
      <c r="K459" t="str">
        <f t="array" ref="K459">IF(OR(J459="VIP", J459="Loyal"), "HIGH",IF(OR(J459="Regular", J459="Recent"), "MEDIUM","LOW"))</f>
        <v>LOW</v>
      </c>
    </row>
    <row r="460" spans="1:11">
      <c r="A460" t="s">
        <v>473</v>
      </c>
      <c r="B460" s="14">
        <f>_xlfn.MINIFS('working sheet'!$B$2:$B$3548, 'working sheet'!$D$2:$D$3548, A460)</f>
        <v>45509.368122141204</v>
      </c>
      <c r="C460" s="17">
        <f>_xlfn.MAXIFS('working sheet'!$B$1:$B$3548,'working sheet'!$D$1:$D$3548,'Customer Portfolio'!A460)</f>
        <v>45509.368122141204</v>
      </c>
      <c r="D460">
        <f>COUNTIFS('working sheet'!$D$1:$D$3548,'Customer Portfolio'!A460)</f>
        <v>1</v>
      </c>
      <c r="E460" s="5">
        <f>SUMIFS('working sheet'!$E$2:$E$3548,'working sheet'!$D$2:$D$3548,'Customer Portfolio'!A460)</f>
        <v>23.02</v>
      </c>
      <c r="F460" s="6">
        <f t="shared" si="14"/>
        <v>23.02</v>
      </c>
      <c r="G460" t="str">
        <f t="array" ref="G460">IFERROR(INDEX('working sheet'!$F$2:$F$3548, MODE(IF('working sheet'!$D$2:$D$3548=A460, MATCH('working sheet'!$F$2:$F$3548, 'working sheet'!$F$2:$F$3548, 0)))),
         INDEX('working sheet'!$F$2:$F$3548, MATCH(A460, 'working sheet'!$D$2:$D$3548, 0)))</f>
        <v>Cortado</v>
      </c>
      <c r="H460" s="7">
        <f t="shared" si="15"/>
        <v>1</v>
      </c>
      <c r="I460" s="7">
        <f>MAX('working sheet'!$B$2:$B$3548)-C460</f>
        <v>230.38996391203545</v>
      </c>
      <c r="J460" s="4" t="str">
        <f t="array" ref="J460">IF(AND(I460&lt;=30, D460&gt;=10, E460&gt;=200), "VIP",  IF(AND(I460&lt;=60, D460&gt;=5, E460&gt;=100), "Loyal", IF(AND(I460&lt;=90, D460&gt;=3), "Regular", IF(I460&lt;=30, "Recent", IF(D460&gt;=3, "Occasional", "At Risk")))))</f>
        <v>At Risk</v>
      </c>
      <c r="K460" t="str">
        <f t="array" ref="K460">IF(OR(J460="VIP", J460="Loyal"), "HIGH",IF(OR(J460="Regular", J460="Recent"), "MEDIUM","LOW"))</f>
        <v>LOW</v>
      </c>
    </row>
    <row r="461" spans="1:11">
      <c r="A461" t="s">
        <v>474</v>
      </c>
      <c r="B461" s="14">
        <f>_xlfn.MINIFS('working sheet'!$B$2:$B$3548, 'working sheet'!$D$2:$D$3548, A461)</f>
        <v>45509.573176550926</v>
      </c>
      <c r="C461" s="17">
        <f>_xlfn.MAXIFS('working sheet'!$B$1:$B$3548,'working sheet'!$D$1:$D$3548,'Customer Portfolio'!A461)</f>
        <v>45509.573176550926</v>
      </c>
      <c r="D461">
        <f>COUNTIFS('working sheet'!$D$1:$D$3548,'Customer Portfolio'!A461)</f>
        <v>1</v>
      </c>
      <c r="E461" s="5">
        <f>SUMIFS('working sheet'!$E$2:$E$3548,'working sheet'!$D$2:$D$3548,'Customer Portfolio'!A461)</f>
        <v>32.82</v>
      </c>
      <c r="F461" s="6">
        <f t="shared" si="14"/>
        <v>32.82</v>
      </c>
      <c r="G461" t="str">
        <f t="array" ref="G461">IFERROR(INDEX('working sheet'!$F$2:$F$3548, MODE(IF('working sheet'!$D$2:$D$3548=A461, MATCH('working sheet'!$F$2:$F$3548, 'working sheet'!$F$2:$F$3548, 0)))),
         INDEX('working sheet'!$F$2:$F$3548, MATCH(A461, 'working sheet'!$D$2:$D$3548, 0)))</f>
        <v>Cappuccino</v>
      </c>
      <c r="H461" s="7">
        <f t="shared" si="15"/>
        <v>1</v>
      </c>
      <c r="I461" s="7">
        <f>MAX('working sheet'!$B$2:$B$3548)-C461</f>
        <v>230.18490950231353</v>
      </c>
      <c r="J461" s="4" t="str">
        <f t="array" ref="J461">IF(AND(I461&lt;=30, D461&gt;=10, E461&gt;=200), "VIP",  IF(AND(I461&lt;=60, D461&gt;=5, E461&gt;=100), "Loyal", IF(AND(I461&lt;=90, D461&gt;=3), "Regular", IF(I461&lt;=30, "Recent", IF(D461&gt;=3, "Occasional", "At Risk")))))</f>
        <v>At Risk</v>
      </c>
      <c r="K461" t="str">
        <f t="array" ref="K461">IF(OR(J461="VIP", J461="Loyal"), "HIGH",IF(OR(J461="Regular", J461="Recent"), "MEDIUM","LOW"))</f>
        <v>LOW</v>
      </c>
    </row>
    <row r="462" spans="1:11">
      <c r="A462" t="s">
        <v>475</v>
      </c>
      <c r="B462" s="14">
        <f>_xlfn.MINIFS('working sheet'!$B$2:$B$3548, 'working sheet'!$D$2:$D$3548, A462)</f>
        <v>45509.670807152776</v>
      </c>
      <c r="C462" s="17">
        <f>_xlfn.MAXIFS('working sheet'!$B$1:$B$3548,'working sheet'!$D$1:$D$3548,'Customer Portfolio'!A462)</f>
        <v>45509.671745798609</v>
      </c>
      <c r="D462">
        <f>COUNTIFS('working sheet'!$D$1:$D$3548,'Customer Portfolio'!A462)</f>
        <v>2</v>
      </c>
      <c r="E462" s="5">
        <f>SUMIFS('working sheet'!$E$2:$E$3548,'working sheet'!$D$2:$D$3548,'Customer Portfolio'!A462)</f>
        <v>65.64</v>
      </c>
      <c r="F462" s="6">
        <f t="shared" si="14"/>
        <v>32.82</v>
      </c>
      <c r="G462" t="str">
        <f t="array" ref="G462">IFERROR(INDEX('working sheet'!$F$2:$F$3548, MODE(IF('working sheet'!$D$2:$D$3548=A462, MATCH('working sheet'!$F$2:$F$3548, 'working sheet'!$F$2:$F$3548, 0)))),
         INDEX('working sheet'!$F$2:$F$3548, MATCH(A462, 'working sheet'!$D$2:$D$3548, 0)))</f>
        <v>Latte</v>
      </c>
      <c r="H462" s="7">
        <f t="shared" si="15"/>
        <v>1.0009386458332301</v>
      </c>
      <c r="I462" s="7">
        <f>MAX('working sheet'!$B$2:$B$3548)-C462</f>
        <v>230.08634025463107</v>
      </c>
      <c r="J462" s="4" t="str">
        <f t="array" ref="J462">IF(AND(I462&lt;=30, D462&gt;=10, E462&gt;=200), "VIP",  IF(AND(I462&lt;=60, D462&gt;=5, E462&gt;=100), "Loyal", IF(AND(I462&lt;=90, D462&gt;=3), "Regular", IF(I462&lt;=30, "Recent", IF(D462&gt;=3, "Occasional", "At Risk")))))</f>
        <v>At Risk</v>
      </c>
      <c r="K462" t="str">
        <f t="array" ref="K462">IF(OR(J462="VIP", J462="Loyal"), "HIGH",IF(OR(J462="Regular", J462="Recent"), "MEDIUM","LOW"))</f>
        <v>LOW</v>
      </c>
    </row>
    <row r="463" spans="1:11">
      <c r="A463" t="s">
        <v>476</v>
      </c>
      <c r="B463" s="14">
        <f>_xlfn.MINIFS('working sheet'!$B$2:$B$3548, 'working sheet'!$D$2:$D$3548, A463)</f>
        <v>45509.73917252315</v>
      </c>
      <c r="C463" s="17">
        <f>_xlfn.MAXIFS('working sheet'!$B$1:$B$3548,'working sheet'!$D$1:$D$3548,'Customer Portfolio'!A463)</f>
        <v>45509.73995505787</v>
      </c>
      <c r="D463">
        <f>COUNTIFS('working sheet'!$D$1:$D$3548,'Customer Portfolio'!A463)</f>
        <v>2</v>
      </c>
      <c r="E463" s="5">
        <f>SUMIFS('working sheet'!$E$2:$E$3548,'working sheet'!$D$2:$D$3548,'Customer Portfolio'!A463)</f>
        <v>60.74</v>
      </c>
      <c r="F463" s="6">
        <f t="shared" si="14"/>
        <v>30.37</v>
      </c>
      <c r="G463" t="str">
        <f t="array" ref="G463">IFERROR(INDEX('working sheet'!$F$2:$F$3548, MODE(IF('working sheet'!$D$2:$D$3548=A463, MATCH('working sheet'!$F$2:$F$3548, 'working sheet'!$F$2:$F$3548, 0)))),
         INDEX('working sheet'!$F$2:$F$3548, MATCH(A463, 'working sheet'!$D$2:$D$3548, 0)))</f>
        <v>Latte</v>
      </c>
      <c r="H463" s="7">
        <f t="shared" si="15"/>
        <v>1.0007825347202015</v>
      </c>
      <c r="I463" s="7">
        <f>MAX('working sheet'!$B$2:$B$3548)-C463</f>
        <v>230.01813099536957</v>
      </c>
      <c r="J463" s="4" t="str">
        <f t="array" ref="J463">IF(AND(I463&lt;=30, D463&gt;=10, E463&gt;=200), "VIP",  IF(AND(I463&lt;=60, D463&gt;=5, E463&gt;=100), "Loyal", IF(AND(I463&lt;=90, D463&gt;=3), "Regular", IF(I463&lt;=30, "Recent", IF(D463&gt;=3, "Occasional", "At Risk")))))</f>
        <v>At Risk</v>
      </c>
      <c r="K463" t="str">
        <f t="array" ref="K463">IF(OR(J463="VIP", J463="Loyal"), "HIGH",IF(OR(J463="Regular", J463="Recent"), "MEDIUM","LOW"))</f>
        <v>LOW</v>
      </c>
    </row>
    <row r="464" spans="1:11">
      <c r="A464" t="s">
        <v>477</v>
      </c>
      <c r="B464" s="14">
        <f>_xlfn.MINIFS('working sheet'!$B$2:$B$3548, 'working sheet'!$D$2:$D$3548, A464)</f>
        <v>45509.867719270835</v>
      </c>
      <c r="C464" s="17">
        <f>_xlfn.MAXIFS('working sheet'!$B$1:$B$3548,'working sheet'!$D$1:$D$3548,'Customer Portfolio'!A464)</f>
        <v>45679.730631331018</v>
      </c>
      <c r="D464">
        <f>COUNTIFS('working sheet'!$D$1:$D$3548,'Customer Portfolio'!A464)</f>
        <v>5</v>
      </c>
      <c r="E464" s="5">
        <f>SUMIFS('working sheet'!$E$2:$E$3548,'working sheet'!$D$2:$D$3548,'Customer Portfolio'!A464)</f>
        <v>157.24</v>
      </c>
      <c r="F464" s="6">
        <f t="shared" si="14"/>
        <v>31.448</v>
      </c>
      <c r="G464" t="str">
        <f t="array" ref="G464">IFERROR(INDEX('working sheet'!$F$2:$F$3548, MODE(IF('working sheet'!$D$2:$D$3548=A464, MATCH('working sheet'!$F$2:$F$3548, 'working sheet'!$F$2:$F$3548, 0)))),
         INDEX('working sheet'!$F$2:$F$3548, MATCH(A464, 'working sheet'!$D$2:$D$3548, 0)))</f>
        <v>Cocoa</v>
      </c>
      <c r="H464" s="7">
        <f t="shared" si="15"/>
        <v>170.86291206018359</v>
      </c>
      <c r="I464" s="7">
        <f>MAX('working sheet'!$B$2:$B$3548)-C464</f>
        <v>60.027454722221592</v>
      </c>
      <c r="J464" s="4" t="str">
        <f t="array" ref="J464">IF(AND(I464&lt;=30, D464&gt;=10, E464&gt;=200), "VIP",  IF(AND(I464&lt;=60, D464&gt;=5, E464&gt;=100), "Loyal", IF(AND(I464&lt;=90, D464&gt;=3), "Regular", IF(I464&lt;=30, "Recent", IF(D464&gt;=3, "Occasional", "At Risk")))))</f>
        <v>Regular</v>
      </c>
      <c r="K464" t="str">
        <f t="array" ref="K464">IF(OR(J464="VIP", J464="Loyal"), "HIGH",IF(OR(J464="Regular", J464="Recent"), "MEDIUM","LOW"))</f>
        <v>MEDIUM</v>
      </c>
    </row>
    <row r="465" spans="1:11">
      <c r="A465" t="s">
        <v>478</v>
      </c>
      <c r="B465" s="14">
        <f>_xlfn.MINIFS('working sheet'!$B$2:$B$3548, 'working sheet'!$D$2:$D$3548, A465)</f>
        <v>45509.947085567132</v>
      </c>
      <c r="C465" s="17">
        <f>_xlfn.MAXIFS('working sheet'!$B$1:$B$3548,'working sheet'!$D$1:$D$3548,'Customer Portfolio'!A465)</f>
        <v>45509.947085567132</v>
      </c>
      <c r="D465">
        <f>COUNTIFS('working sheet'!$D$1:$D$3548,'Customer Portfolio'!A465)</f>
        <v>1</v>
      </c>
      <c r="E465" s="5">
        <f>SUMIFS('working sheet'!$E$2:$E$3548,'working sheet'!$D$2:$D$3548,'Customer Portfolio'!A465)</f>
        <v>27.92</v>
      </c>
      <c r="F465" s="6">
        <f t="shared" si="14"/>
        <v>27.92</v>
      </c>
      <c r="G465" t="str">
        <f t="array" ref="G465">IFERROR(INDEX('working sheet'!$F$2:$F$3548, MODE(IF('working sheet'!$D$2:$D$3548=A465, MATCH('working sheet'!$F$2:$F$3548, 'working sheet'!$F$2:$F$3548, 0)))),
         INDEX('working sheet'!$F$2:$F$3548, MATCH(A465, 'working sheet'!$D$2:$D$3548, 0)))</f>
        <v>Americano with Milk</v>
      </c>
      <c r="H465" s="7">
        <f t="shared" si="15"/>
        <v>1</v>
      </c>
      <c r="I465" s="7">
        <f>MAX('working sheet'!$B$2:$B$3548)-C465</f>
        <v>229.81100048610824</v>
      </c>
      <c r="J465" s="4" t="str">
        <f t="array" ref="J465">IF(AND(I465&lt;=30, D465&gt;=10, E465&gt;=200), "VIP",  IF(AND(I465&lt;=60, D465&gt;=5, E465&gt;=100), "Loyal", IF(AND(I465&lt;=90, D465&gt;=3), "Regular", IF(I465&lt;=30, "Recent", IF(D465&gt;=3, "Occasional", "At Risk")))))</f>
        <v>At Risk</v>
      </c>
      <c r="K465" t="str">
        <f t="array" ref="K465">IF(OR(J465="VIP", J465="Loyal"), "HIGH",IF(OR(J465="Regular", J465="Recent"), "MEDIUM","LOW"))</f>
        <v>LOW</v>
      </c>
    </row>
    <row r="466" spans="1:11">
      <c r="A466" t="s">
        <v>479</v>
      </c>
      <c r="B466" s="14">
        <f>_xlfn.MINIFS('working sheet'!$B$2:$B$3548, 'working sheet'!$D$2:$D$3548, A466)</f>
        <v>45510.439263136577</v>
      </c>
      <c r="C466" s="17">
        <f>_xlfn.MAXIFS('working sheet'!$B$1:$B$3548,'working sheet'!$D$1:$D$3548,'Customer Portfolio'!A466)</f>
        <v>45510.439263136577</v>
      </c>
      <c r="D466">
        <f>COUNTIFS('working sheet'!$D$1:$D$3548,'Customer Portfolio'!A466)</f>
        <v>1</v>
      </c>
      <c r="E466" s="5">
        <f>SUMIFS('working sheet'!$E$2:$E$3548,'working sheet'!$D$2:$D$3548,'Customer Portfolio'!A466)</f>
        <v>32.82</v>
      </c>
      <c r="F466" s="6">
        <f t="shared" si="14"/>
        <v>32.82</v>
      </c>
      <c r="G466" t="str">
        <f t="array" ref="G466">IFERROR(INDEX('working sheet'!$F$2:$F$3548, MODE(IF('working sheet'!$D$2:$D$3548=A466, MATCH('working sheet'!$F$2:$F$3548, 'working sheet'!$F$2:$F$3548, 0)))),
         INDEX('working sheet'!$F$2:$F$3548, MATCH(A466, 'working sheet'!$D$2:$D$3548, 0)))</f>
        <v>Hot Chocolate</v>
      </c>
      <c r="H466" s="7">
        <f t="shared" si="15"/>
        <v>1</v>
      </c>
      <c r="I466" s="7">
        <f>MAX('working sheet'!$B$2:$B$3548)-C466</f>
        <v>229.31882291666261</v>
      </c>
      <c r="J466" s="4" t="str">
        <f t="array" ref="J466">IF(AND(I466&lt;=30, D466&gt;=10, E466&gt;=200), "VIP",  IF(AND(I466&lt;=60, D466&gt;=5, E466&gt;=100), "Loyal", IF(AND(I466&lt;=90, D466&gt;=3), "Regular", IF(I466&lt;=30, "Recent", IF(D466&gt;=3, "Occasional", "At Risk")))))</f>
        <v>At Risk</v>
      </c>
      <c r="K466" t="str">
        <f t="array" ref="K466">IF(OR(J466="VIP", J466="Loyal"), "HIGH",IF(OR(J466="Regular", J466="Recent"), "MEDIUM","LOW"))</f>
        <v>LOW</v>
      </c>
    </row>
    <row r="467" spans="1:11">
      <c r="A467" t="s">
        <v>480</v>
      </c>
      <c r="B467" s="14">
        <f>_xlfn.MINIFS('working sheet'!$B$2:$B$3548, 'working sheet'!$D$2:$D$3548, A467)</f>
        <v>45510.736680567126</v>
      </c>
      <c r="C467" s="17">
        <f>_xlfn.MAXIFS('working sheet'!$B$1:$B$3548,'working sheet'!$D$1:$D$3548,'Customer Portfolio'!A467)</f>
        <v>45510.738947534723</v>
      </c>
      <c r="D467">
        <f>COUNTIFS('working sheet'!$D$1:$D$3548,'Customer Portfolio'!A467)</f>
        <v>3</v>
      </c>
      <c r="E467" s="5">
        <f>SUMIFS('working sheet'!$E$2:$E$3548,'working sheet'!$D$2:$D$3548,'Customer Portfolio'!A467)</f>
        <v>98.460000000000008</v>
      </c>
      <c r="F467" s="6">
        <f t="shared" si="14"/>
        <v>32.82</v>
      </c>
      <c r="G467" t="str">
        <f t="array" ref="G467">IFERROR(INDEX('working sheet'!$F$2:$F$3548, MODE(IF('working sheet'!$D$2:$D$3548=A467, MATCH('working sheet'!$F$2:$F$3548, 'working sheet'!$F$2:$F$3548, 0)))),
         INDEX('working sheet'!$F$2:$F$3548, MATCH(A467, 'working sheet'!$D$2:$D$3548, 0)))</f>
        <v>Cappuccino</v>
      </c>
      <c r="H467" s="7">
        <f t="shared" si="15"/>
        <v>1.0022669675963698</v>
      </c>
      <c r="I467" s="7">
        <f>MAX('working sheet'!$B$2:$B$3548)-C467</f>
        <v>229.01913851851714</v>
      </c>
      <c r="J467" s="4" t="str">
        <f t="array" ref="J467">IF(AND(I467&lt;=30, D467&gt;=10, E467&gt;=200), "VIP",  IF(AND(I467&lt;=60, D467&gt;=5, E467&gt;=100), "Loyal", IF(AND(I467&lt;=90, D467&gt;=3), "Regular", IF(I467&lt;=30, "Recent", IF(D467&gt;=3, "Occasional", "At Risk")))))</f>
        <v>Occasional</v>
      </c>
      <c r="K467" t="str">
        <f t="array" ref="K467">IF(OR(J467="VIP", J467="Loyal"), "HIGH",IF(OR(J467="Regular", J467="Recent"), "MEDIUM","LOW"))</f>
        <v>LOW</v>
      </c>
    </row>
    <row r="468" spans="1:11">
      <c r="A468" t="s">
        <v>481</v>
      </c>
      <c r="B468" s="14">
        <f>_xlfn.MINIFS('working sheet'!$B$2:$B$3548, 'working sheet'!$D$2:$D$3548, A468)</f>
        <v>45510.795406365738</v>
      </c>
      <c r="C468" s="17">
        <f>_xlfn.MAXIFS('working sheet'!$B$1:$B$3548,'working sheet'!$D$1:$D$3548,'Customer Portfolio'!A468)</f>
        <v>45564.450521412036</v>
      </c>
      <c r="D468">
        <f>COUNTIFS('working sheet'!$D$1:$D$3548,'Customer Portfolio'!A468)</f>
        <v>5</v>
      </c>
      <c r="E468" s="5">
        <f>SUMIFS('working sheet'!$E$2:$E$3548,'working sheet'!$D$2:$D$3548,'Customer Portfolio'!A468)</f>
        <v>132.74</v>
      </c>
      <c r="F468" s="6">
        <f t="shared" si="14"/>
        <v>26.548000000000002</v>
      </c>
      <c r="G468" t="str">
        <f t="array" ref="G468">IFERROR(INDEX('working sheet'!$F$2:$F$3548, MODE(IF('working sheet'!$D$2:$D$3548=A468, MATCH('working sheet'!$F$2:$F$3548, 'working sheet'!$F$2:$F$3548, 0)))),
         INDEX('working sheet'!$F$2:$F$3548, MATCH(A468, 'working sheet'!$D$2:$D$3548, 0)))</f>
        <v>Americano with Milk</v>
      </c>
      <c r="H468" s="7">
        <f t="shared" si="15"/>
        <v>54.655115046298306</v>
      </c>
      <c r="I468" s="7">
        <f>MAX('working sheet'!$B$2:$B$3548)-C468</f>
        <v>175.3075646412035</v>
      </c>
      <c r="J468" s="4" t="str">
        <f t="array" ref="J468">IF(AND(I468&lt;=30, D468&gt;=10, E468&gt;=200), "VIP",  IF(AND(I468&lt;=60, D468&gt;=5, E468&gt;=100), "Loyal", IF(AND(I468&lt;=90, D468&gt;=3), "Regular", IF(I468&lt;=30, "Recent", IF(D468&gt;=3, "Occasional", "At Risk")))))</f>
        <v>Occasional</v>
      </c>
      <c r="K468" t="str">
        <f t="array" ref="K468">IF(OR(J468="VIP", J468="Loyal"), "HIGH",IF(OR(J468="Regular", J468="Recent"), "MEDIUM","LOW"))</f>
        <v>LOW</v>
      </c>
    </row>
    <row r="469" spans="1:11">
      <c r="A469" t="s">
        <v>482</v>
      </c>
      <c r="B469" s="14">
        <f>_xlfn.MINIFS('working sheet'!$B$2:$B$3548, 'working sheet'!$D$2:$D$3548, A469)</f>
        <v>45510.836425150461</v>
      </c>
      <c r="C469" s="17">
        <f>_xlfn.MAXIFS('working sheet'!$B$1:$B$3548,'working sheet'!$D$1:$D$3548,'Customer Portfolio'!A469)</f>
        <v>45510.836425150461</v>
      </c>
      <c r="D469">
        <f>COUNTIFS('working sheet'!$D$1:$D$3548,'Customer Portfolio'!A469)</f>
        <v>1</v>
      </c>
      <c r="E469" s="5">
        <f>SUMIFS('working sheet'!$E$2:$E$3548,'working sheet'!$D$2:$D$3548,'Customer Portfolio'!A469)</f>
        <v>32.82</v>
      </c>
      <c r="F469" s="6">
        <f t="shared" si="14"/>
        <v>32.82</v>
      </c>
      <c r="G469" t="str">
        <f t="array" ref="G469">IFERROR(INDEX('working sheet'!$F$2:$F$3548, MODE(IF('working sheet'!$D$2:$D$3548=A469, MATCH('working sheet'!$F$2:$F$3548, 'working sheet'!$F$2:$F$3548, 0)))),
         INDEX('working sheet'!$F$2:$F$3548, MATCH(A469, 'working sheet'!$D$2:$D$3548, 0)))</f>
        <v>Latte</v>
      </c>
      <c r="H469" s="7">
        <f t="shared" si="15"/>
        <v>1</v>
      </c>
      <c r="I469" s="7">
        <f>MAX('working sheet'!$B$2:$B$3548)-C469</f>
        <v>228.92166090277897</v>
      </c>
      <c r="J469" s="4" t="str">
        <f t="array" ref="J469">IF(AND(I469&lt;=30, D469&gt;=10, E469&gt;=200), "VIP",  IF(AND(I469&lt;=60, D469&gt;=5, E469&gt;=100), "Loyal", IF(AND(I469&lt;=90, D469&gt;=3), "Regular", IF(I469&lt;=30, "Recent", IF(D469&gt;=3, "Occasional", "At Risk")))))</f>
        <v>At Risk</v>
      </c>
      <c r="K469" t="str">
        <f t="array" ref="K469">IF(OR(J469="VIP", J469="Loyal"), "HIGH",IF(OR(J469="Regular", J469="Recent"), "MEDIUM","LOW"))</f>
        <v>LOW</v>
      </c>
    </row>
    <row r="470" spans="1:11">
      <c r="A470" t="s">
        <v>483</v>
      </c>
      <c r="B470" s="14">
        <f>_xlfn.MINIFS('working sheet'!$B$2:$B$3548, 'working sheet'!$D$2:$D$3548, A470)</f>
        <v>45511.549492534723</v>
      </c>
      <c r="C470" s="17">
        <f>_xlfn.MAXIFS('working sheet'!$B$1:$B$3548,'working sheet'!$D$1:$D$3548,'Customer Portfolio'!A470)</f>
        <v>45511.549492534723</v>
      </c>
      <c r="D470">
        <f>COUNTIFS('working sheet'!$D$1:$D$3548,'Customer Portfolio'!A470)</f>
        <v>1</v>
      </c>
      <c r="E470" s="5">
        <f>SUMIFS('working sheet'!$E$2:$E$3548,'working sheet'!$D$2:$D$3548,'Customer Portfolio'!A470)</f>
        <v>18.12</v>
      </c>
      <c r="F470" s="6">
        <f t="shared" si="14"/>
        <v>18.12</v>
      </c>
      <c r="G470" t="str">
        <f t="array" ref="G470">IFERROR(INDEX('working sheet'!$F$2:$F$3548, MODE(IF('working sheet'!$D$2:$D$3548=A470, MATCH('working sheet'!$F$2:$F$3548, 'working sheet'!$F$2:$F$3548, 0)))),
         INDEX('working sheet'!$F$2:$F$3548, MATCH(A470, 'working sheet'!$D$2:$D$3548, 0)))</f>
        <v>Espresso</v>
      </c>
      <c r="H470" s="7">
        <f t="shared" si="15"/>
        <v>1</v>
      </c>
      <c r="I470" s="7">
        <f>MAX('working sheet'!$B$2:$B$3548)-C470</f>
        <v>228.20859351851686</v>
      </c>
      <c r="J470" s="4" t="str">
        <f t="array" ref="J470">IF(AND(I470&lt;=30, D470&gt;=10, E470&gt;=200), "VIP",  IF(AND(I470&lt;=60, D470&gt;=5, E470&gt;=100), "Loyal", IF(AND(I470&lt;=90, D470&gt;=3), "Regular", IF(I470&lt;=30, "Recent", IF(D470&gt;=3, "Occasional", "At Risk")))))</f>
        <v>At Risk</v>
      </c>
      <c r="K470" t="str">
        <f t="array" ref="K470">IF(OR(J470="VIP", J470="Loyal"), "HIGH",IF(OR(J470="Regular", J470="Recent"), "MEDIUM","LOW"))</f>
        <v>LOW</v>
      </c>
    </row>
    <row r="471" spans="1:11">
      <c r="A471" t="s">
        <v>484</v>
      </c>
      <c r="B471" s="14">
        <f>_xlfn.MINIFS('working sheet'!$B$2:$B$3548, 'working sheet'!$D$2:$D$3548, A471)</f>
        <v>45511.679880289354</v>
      </c>
      <c r="C471" s="17">
        <f>_xlfn.MAXIFS('working sheet'!$B$1:$B$3548,'working sheet'!$D$1:$D$3548,'Customer Portfolio'!A471)</f>
        <v>45511.679880289354</v>
      </c>
      <c r="D471">
        <f>COUNTIFS('working sheet'!$D$1:$D$3548,'Customer Portfolio'!A471)</f>
        <v>1</v>
      </c>
      <c r="E471" s="5">
        <f>SUMIFS('working sheet'!$E$2:$E$3548,'working sheet'!$D$2:$D$3548,'Customer Portfolio'!A471)</f>
        <v>23.02</v>
      </c>
      <c r="F471" s="6">
        <f t="shared" si="14"/>
        <v>23.02</v>
      </c>
      <c r="G471" t="str">
        <f t="array" ref="G471">IFERROR(INDEX('working sheet'!$F$2:$F$3548, MODE(IF('working sheet'!$D$2:$D$3548=A471, MATCH('working sheet'!$F$2:$F$3548, 'working sheet'!$F$2:$F$3548, 0)))),
         INDEX('working sheet'!$F$2:$F$3548, MATCH(A471, 'working sheet'!$D$2:$D$3548, 0)))</f>
        <v>Americano</v>
      </c>
      <c r="H471" s="7">
        <f t="shared" si="15"/>
        <v>1</v>
      </c>
      <c r="I471" s="7">
        <f>MAX('working sheet'!$B$2:$B$3548)-C471</f>
        <v>228.07820576388622</v>
      </c>
      <c r="J471" s="4" t="str">
        <f t="array" ref="J471">IF(AND(I471&lt;=30, D471&gt;=10, E471&gt;=200), "VIP",  IF(AND(I471&lt;=60, D471&gt;=5, E471&gt;=100), "Loyal", IF(AND(I471&lt;=90, D471&gt;=3), "Regular", IF(I471&lt;=30, "Recent", IF(D471&gt;=3, "Occasional", "At Risk")))))</f>
        <v>At Risk</v>
      </c>
      <c r="K471" t="str">
        <f t="array" ref="K471">IF(OR(J471="VIP", J471="Loyal"), "HIGH",IF(OR(J471="Regular", J471="Recent"), "MEDIUM","LOW"))</f>
        <v>LOW</v>
      </c>
    </row>
    <row r="472" spans="1:11">
      <c r="A472" t="s">
        <v>485</v>
      </c>
      <c r="B472" s="14">
        <f>_xlfn.MINIFS('working sheet'!$B$2:$B$3548, 'working sheet'!$D$2:$D$3548, A472)</f>
        <v>45511.936767199077</v>
      </c>
      <c r="C472" s="17">
        <f>_xlfn.MAXIFS('working sheet'!$B$1:$B$3548,'working sheet'!$D$1:$D$3548,'Customer Portfolio'!A472)</f>
        <v>45511.936767199077</v>
      </c>
      <c r="D472">
        <f>COUNTIFS('working sheet'!$D$1:$D$3548,'Customer Portfolio'!A472)</f>
        <v>1</v>
      </c>
      <c r="E472" s="5">
        <f>SUMIFS('working sheet'!$E$2:$E$3548,'working sheet'!$D$2:$D$3548,'Customer Portfolio'!A472)</f>
        <v>32.82</v>
      </c>
      <c r="F472" s="6">
        <f t="shared" si="14"/>
        <v>32.82</v>
      </c>
      <c r="G472" t="str">
        <f t="array" ref="G472">IFERROR(INDEX('working sheet'!$F$2:$F$3548, MODE(IF('working sheet'!$D$2:$D$3548=A472, MATCH('working sheet'!$F$2:$F$3548, 'working sheet'!$F$2:$F$3548, 0)))),
         INDEX('working sheet'!$F$2:$F$3548, MATCH(A472, 'working sheet'!$D$2:$D$3548, 0)))</f>
        <v>Latte</v>
      </c>
      <c r="H472" s="7">
        <f t="shared" si="15"/>
        <v>1</v>
      </c>
      <c r="I472" s="7">
        <f>MAX('working sheet'!$B$2:$B$3548)-C472</f>
        <v>227.82131885416311</v>
      </c>
      <c r="J472" s="4" t="str">
        <f t="array" ref="J472">IF(AND(I472&lt;=30, D472&gt;=10, E472&gt;=200), "VIP",  IF(AND(I472&lt;=60, D472&gt;=5, E472&gt;=100), "Loyal", IF(AND(I472&lt;=90, D472&gt;=3), "Regular", IF(I472&lt;=30, "Recent", IF(D472&gt;=3, "Occasional", "At Risk")))))</f>
        <v>At Risk</v>
      </c>
      <c r="K472" t="str">
        <f t="array" ref="K472">IF(OR(J472="VIP", J472="Loyal"), "HIGH",IF(OR(J472="Regular", J472="Recent"), "MEDIUM","LOW"))</f>
        <v>LOW</v>
      </c>
    </row>
    <row r="473" spans="1:11">
      <c r="A473" t="s">
        <v>486</v>
      </c>
      <c r="B473" s="14">
        <f>_xlfn.MINIFS('working sheet'!$B$2:$B$3548, 'working sheet'!$D$2:$D$3548, A473)</f>
        <v>45511.939073738424</v>
      </c>
      <c r="C473" s="17">
        <f>_xlfn.MAXIFS('working sheet'!$B$1:$B$3548,'working sheet'!$D$1:$D$3548,'Customer Portfolio'!A473)</f>
        <v>45561.949593368059</v>
      </c>
      <c r="D473">
        <f>COUNTIFS('working sheet'!$D$1:$D$3548,'Customer Portfolio'!A473)</f>
        <v>3</v>
      </c>
      <c r="E473" s="5">
        <f>SUMIFS('working sheet'!$E$2:$E$3548,'working sheet'!$D$2:$D$3548,'Customer Portfolio'!A473)</f>
        <v>93.56</v>
      </c>
      <c r="F473" s="6">
        <f t="shared" si="14"/>
        <v>31.186666666666667</v>
      </c>
      <c r="G473" t="str">
        <f t="array" ref="G473">IFERROR(INDEX('working sheet'!$F$2:$F$3548, MODE(IF('working sheet'!$D$2:$D$3548=A473, MATCH('working sheet'!$F$2:$F$3548, 'working sheet'!$F$2:$F$3548, 0)))),
         INDEX('working sheet'!$F$2:$F$3548, MATCH(A473, 'working sheet'!$D$2:$D$3548, 0)))</f>
        <v>Latte</v>
      </c>
      <c r="H473" s="7">
        <f t="shared" si="15"/>
        <v>51.010519629635382</v>
      </c>
      <c r="I473" s="7">
        <f>MAX('working sheet'!$B$2:$B$3548)-C473</f>
        <v>177.80849268518068</v>
      </c>
      <c r="J473" s="4" t="str">
        <f t="array" ref="J473">IF(AND(I473&lt;=30, D473&gt;=10, E473&gt;=200), "VIP",  IF(AND(I473&lt;=60, D473&gt;=5, E473&gt;=100), "Loyal", IF(AND(I473&lt;=90, D473&gt;=3), "Regular", IF(I473&lt;=30, "Recent", IF(D473&gt;=3, "Occasional", "At Risk")))))</f>
        <v>Occasional</v>
      </c>
      <c r="K473" t="str">
        <f t="array" ref="K473">IF(OR(J473="VIP", J473="Loyal"), "HIGH",IF(OR(J473="Regular", J473="Recent"), "MEDIUM","LOW"))</f>
        <v>LOW</v>
      </c>
    </row>
    <row r="474" spans="1:11">
      <c r="A474" t="s">
        <v>487</v>
      </c>
      <c r="B474" s="14">
        <f>_xlfn.MINIFS('working sheet'!$B$2:$B$3548, 'working sheet'!$D$2:$D$3548, A474)</f>
        <v>45512.706866504632</v>
      </c>
      <c r="C474" s="17">
        <f>_xlfn.MAXIFS('working sheet'!$B$1:$B$3548,'working sheet'!$D$1:$D$3548,'Customer Portfolio'!A474)</f>
        <v>45512.706866504632</v>
      </c>
      <c r="D474">
        <f>COUNTIFS('working sheet'!$D$1:$D$3548,'Customer Portfolio'!A474)</f>
        <v>1</v>
      </c>
      <c r="E474" s="5">
        <f>SUMIFS('working sheet'!$E$2:$E$3548,'working sheet'!$D$2:$D$3548,'Customer Portfolio'!A474)</f>
        <v>32.82</v>
      </c>
      <c r="F474" s="6">
        <f t="shared" si="14"/>
        <v>32.82</v>
      </c>
      <c r="G474" t="str">
        <f t="array" ref="G474">IFERROR(INDEX('working sheet'!$F$2:$F$3548, MODE(IF('working sheet'!$D$2:$D$3548=A474, MATCH('working sheet'!$F$2:$F$3548, 'working sheet'!$F$2:$F$3548, 0)))),
         INDEX('working sheet'!$F$2:$F$3548, MATCH(A474, 'working sheet'!$D$2:$D$3548, 0)))</f>
        <v>Cappuccino</v>
      </c>
      <c r="H474" s="7">
        <f t="shared" si="15"/>
        <v>1</v>
      </c>
      <c r="I474" s="7">
        <f>MAX('working sheet'!$B$2:$B$3548)-C474</f>
        <v>227.05121954860806</v>
      </c>
      <c r="J474" s="4" t="str">
        <f t="array" ref="J474">IF(AND(I474&lt;=30, D474&gt;=10, E474&gt;=200), "VIP",  IF(AND(I474&lt;=60, D474&gt;=5, E474&gt;=100), "Loyal", IF(AND(I474&lt;=90, D474&gt;=3), "Regular", IF(I474&lt;=30, "Recent", IF(D474&gt;=3, "Occasional", "At Risk")))))</f>
        <v>At Risk</v>
      </c>
      <c r="K474" t="str">
        <f t="array" ref="K474">IF(OR(J474="VIP", J474="Loyal"), "HIGH",IF(OR(J474="Regular", J474="Recent"), "MEDIUM","LOW"))</f>
        <v>LOW</v>
      </c>
    </row>
    <row r="475" spans="1:11">
      <c r="A475" t="s">
        <v>488</v>
      </c>
      <c r="B475" s="14">
        <f>_xlfn.MINIFS('working sheet'!$B$2:$B$3548, 'working sheet'!$D$2:$D$3548, A475)</f>
        <v>45512.720737835647</v>
      </c>
      <c r="C475" s="17">
        <f>_xlfn.MAXIFS('working sheet'!$B$1:$B$3548,'working sheet'!$D$1:$D$3548,'Customer Portfolio'!A475)</f>
        <v>45512.720737835647</v>
      </c>
      <c r="D475">
        <f>COUNTIFS('working sheet'!$D$1:$D$3548,'Customer Portfolio'!A475)</f>
        <v>1</v>
      </c>
      <c r="E475" s="5">
        <f>SUMIFS('working sheet'!$E$2:$E$3548,'working sheet'!$D$2:$D$3548,'Customer Portfolio'!A475)</f>
        <v>32.82</v>
      </c>
      <c r="F475" s="6">
        <f t="shared" si="14"/>
        <v>32.82</v>
      </c>
      <c r="G475" t="str">
        <f t="array" ref="G475">IFERROR(INDEX('working sheet'!$F$2:$F$3548, MODE(IF('working sheet'!$D$2:$D$3548=A475, MATCH('working sheet'!$F$2:$F$3548, 'working sheet'!$F$2:$F$3548, 0)))),
         INDEX('working sheet'!$F$2:$F$3548, MATCH(A475, 'working sheet'!$D$2:$D$3548, 0)))</f>
        <v>Cappuccino</v>
      </c>
      <c r="H475" s="7">
        <f t="shared" si="15"/>
        <v>1</v>
      </c>
      <c r="I475" s="7">
        <f>MAX('working sheet'!$B$2:$B$3548)-C475</f>
        <v>227.03734821759281</v>
      </c>
      <c r="J475" s="4" t="str">
        <f t="array" ref="J475">IF(AND(I475&lt;=30, D475&gt;=10, E475&gt;=200), "VIP",  IF(AND(I475&lt;=60, D475&gt;=5, E475&gt;=100), "Loyal", IF(AND(I475&lt;=90, D475&gt;=3), "Regular", IF(I475&lt;=30, "Recent", IF(D475&gt;=3, "Occasional", "At Risk")))))</f>
        <v>At Risk</v>
      </c>
      <c r="K475" t="str">
        <f t="array" ref="K475">IF(OR(J475="VIP", J475="Loyal"), "HIGH",IF(OR(J475="Regular", J475="Recent"), "MEDIUM","LOW"))</f>
        <v>LOW</v>
      </c>
    </row>
    <row r="476" spans="1:11">
      <c r="A476" t="s">
        <v>489</v>
      </c>
      <c r="B476" s="14">
        <f>_xlfn.MINIFS('working sheet'!$B$2:$B$3548, 'working sheet'!$D$2:$D$3548, A476)</f>
        <v>45513.316230787037</v>
      </c>
      <c r="C476" s="17">
        <f>_xlfn.MAXIFS('working sheet'!$B$1:$B$3548,'working sheet'!$D$1:$D$3548,'Customer Portfolio'!A476)</f>
        <v>45573.634504050926</v>
      </c>
      <c r="D476">
        <f>COUNTIFS('working sheet'!$D$1:$D$3548,'Customer Portfolio'!A476)</f>
        <v>7</v>
      </c>
      <c r="E476" s="5">
        <f>SUMIFS('working sheet'!$E$2:$E$3548,'working sheet'!$D$2:$D$3548,'Customer Portfolio'!A476)</f>
        <v>227.77999999999997</v>
      </c>
      <c r="F476" s="6">
        <f t="shared" si="14"/>
        <v>32.54</v>
      </c>
      <c r="G476" t="str">
        <f t="array" ref="G476">IFERROR(INDEX('working sheet'!$F$2:$F$3548, MODE(IF('working sheet'!$D$2:$D$3548=A476, MATCH('working sheet'!$F$2:$F$3548, 'working sheet'!$F$2:$F$3548, 0)))),
         INDEX('working sheet'!$F$2:$F$3548, MATCH(A476, 'working sheet'!$D$2:$D$3548, 0)))</f>
        <v>Latte</v>
      </c>
      <c r="H476" s="7">
        <f t="shared" si="15"/>
        <v>61.318273263888841</v>
      </c>
      <c r="I476" s="7">
        <f>MAX('working sheet'!$B$2:$B$3548)-C476</f>
        <v>166.12358200231392</v>
      </c>
      <c r="J476" s="4" t="str">
        <f t="array" ref="J476">IF(AND(I476&lt;=30, D476&gt;=10, E476&gt;=200), "VIP",  IF(AND(I476&lt;=60, D476&gt;=5, E476&gt;=100), "Loyal", IF(AND(I476&lt;=90, D476&gt;=3), "Regular", IF(I476&lt;=30, "Recent", IF(D476&gt;=3, "Occasional", "At Risk")))))</f>
        <v>Occasional</v>
      </c>
      <c r="K476" t="str">
        <f t="array" ref="K476">IF(OR(J476="VIP", J476="Loyal"), "HIGH",IF(OR(J476="Regular", J476="Recent"), "MEDIUM","LOW"))</f>
        <v>LOW</v>
      </c>
    </row>
    <row r="477" spans="1:11">
      <c r="A477" t="s">
        <v>490</v>
      </c>
      <c r="B477" s="14">
        <f>_xlfn.MINIFS('working sheet'!$B$2:$B$3548, 'working sheet'!$D$2:$D$3548, A477)</f>
        <v>45513.412205474538</v>
      </c>
      <c r="C477" s="17">
        <f>_xlfn.MAXIFS('working sheet'!$B$1:$B$3548,'working sheet'!$D$1:$D$3548,'Customer Portfolio'!A477)</f>
        <v>45513.412205474538</v>
      </c>
      <c r="D477">
        <f>COUNTIFS('working sheet'!$D$1:$D$3548,'Customer Portfolio'!A477)</f>
        <v>1</v>
      </c>
      <c r="E477" s="5">
        <f>SUMIFS('working sheet'!$E$2:$E$3548,'working sheet'!$D$2:$D$3548,'Customer Portfolio'!A477)</f>
        <v>23.02</v>
      </c>
      <c r="F477" s="6">
        <f t="shared" si="14"/>
        <v>23.02</v>
      </c>
      <c r="G477" t="str">
        <f t="array" ref="G477">IFERROR(INDEX('working sheet'!$F$2:$F$3548, MODE(IF('working sheet'!$D$2:$D$3548=A477, MATCH('working sheet'!$F$2:$F$3548, 'working sheet'!$F$2:$F$3548, 0)))),
         INDEX('working sheet'!$F$2:$F$3548, MATCH(A477, 'working sheet'!$D$2:$D$3548, 0)))</f>
        <v>Americano</v>
      </c>
      <c r="H477" s="7">
        <f t="shared" si="15"/>
        <v>1</v>
      </c>
      <c r="I477" s="7">
        <f>MAX('working sheet'!$B$2:$B$3548)-C477</f>
        <v>226.34588057870133</v>
      </c>
      <c r="J477" s="4" t="str">
        <f t="array" ref="J477">IF(AND(I477&lt;=30, D477&gt;=10, E477&gt;=200), "VIP",  IF(AND(I477&lt;=60, D477&gt;=5, E477&gt;=100), "Loyal", IF(AND(I477&lt;=90, D477&gt;=3), "Regular", IF(I477&lt;=30, "Recent", IF(D477&gt;=3, "Occasional", "At Risk")))))</f>
        <v>At Risk</v>
      </c>
      <c r="K477" t="str">
        <f t="array" ref="K477">IF(OR(J477="VIP", J477="Loyal"), "HIGH",IF(OR(J477="Regular", J477="Recent"), "MEDIUM","LOW"))</f>
        <v>LOW</v>
      </c>
    </row>
    <row r="478" spans="1:11">
      <c r="A478" t="s">
        <v>491</v>
      </c>
      <c r="B478" s="14">
        <f>_xlfn.MINIFS('working sheet'!$B$2:$B$3548, 'working sheet'!$D$2:$D$3548, A478)</f>
        <v>45513.479035671298</v>
      </c>
      <c r="C478" s="17">
        <f>_xlfn.MAXIFS('working sheet'!$B$1:$B$3548,'working sheet'!$D$1:$D$3548,'Customer Portfolio'!A478)</f>
        <v>45513.479035671298</v>
      </c>
      <c r="D478">
        <f>COUNTIFS('working sheet'!$D$1:$D$3548,'Customer Portfolio'!A478)</f>
        <v>1</v>
      </c>
      <c r="E478" s="5">
        <f>SUMIFS('working sheet'!$E$2:$E$3548,'working sheet'!$D$2:$D$3548,'Customer Portfolio'!A478)</f>
        <v>23.02</v>
      </c>
      <c r="F478" s="6">
        <f t="shared" si="14"/>
        <v>23.02</v>
      </c>
      <c r="G478" t="str">
        <f t="array" ref="G478">IFERROR(INDEX('working sheet'!$F$2:$F$3548, MODE(IF('working sheet'!$D$2:$D$3548=A478, MATCH('working sheet'!$F$2:$F$3548, 'working sheet'!$F$2:$F$3548, 0)))),
         INDEX('working sheet'!$F$2:$F$3548, MATCH(A478, 'working sheet'!$D$2:$D$3548, 0)))</f>
        <v>Americano</v>
      </c>
      <c r="H478" s="7">
        <f t="shared" si="15"/>
        <v>1</v>
      </c>
      <c r="I478" s="7">
        <f>MAX('working sheet'!$B$2:$B$3548)-C478</f>
        <v>226.27905038194149</v>
      </c>
      <c r="J478" s="4" t="str">
        <f t="array" ref="J478">IF(AND(I478&lt;=30, D478&gt;=10, E478&gt;=200), "VIP",  IF(AND(I478&lt;=60, D478&gt;=5, E478&gt;=100), "Loyal", IF(AND(I478&lt;=90, D478&gt;=3), "Regular", IF(I478&lt;=30, "Recent", IF(D478&gt;=3, "Occasional", "At Risk")))))</f>
        <v>At Risk</v>
      </c>
      <c r="K478" t="str">
        <f t="array" ref="K478">IF(OR(J478="VIP", J478="Loyal"), "HIGH",IF(OR(J478="Regular", J478="Recent"), "MEDIUM","LOW"))</f>
        <v>LOW</v>
      </c>
    </row>
    <row r="479" spans="1:11">
      <c r="A479" t="s">
        <v>492</v>
      </c>
      <c r="B479" s="14">
        <f>_xlfn.MINIFS('working sheet'!$B$2:$B$3548, 'working sheet'!$D$2:$D$3548, A479)</f>
        <v>45513.789209629627</v>
      </c>
      <c r="C479" s="17">
        <f>_xlfn.MAXIFS('working sheet'!$B$1:$B$3548,'working sheet'!$D$1:$D$3548,'Customer Portfolio'!A479)</f>
        <v>45513.789209629627</v>
      </c>
      <c r="D479">
        <f>COUNTIFS('working sheet'!$D$1:$D$3548,'Customer Portfolio'!A479)</f>
        <v>1</v>
      </c>
      <c r="E479" s="5">
        <f>SUMIFS('working sheet'!$E$2:$E$3548,'working sheet'!$D$2:$D$3548,'Customer Portfolio'!A479)</f>
        <v>23.02</v>
      </c>
      <c r="F479" s="6">
        <f t="shared" si="14"/>
        <v>23.02</v>
      </c>
      <c r="G479" t="str">
        <f t="array" ref="G479">IFERROR(INDEX('working sheet'!$F$2:$F$3548, MODE(IF('working sheet'!$D$2:$D$3548=A479, MATCH('working sheet'!$F$2:$F$3548, 'working sheet'!$F$2:$F$3548, 0)))),
         INDEX('working sheet'!$F$2:$F$3548, MATCH(A479, 'working sheet'!$D$2:$D$3548, 0)))</f>
        <v>Americano</v>
      </c>
      <c r="H479" s="7">
        <f t="shared" si="15"/>
        <v>1</v>
      </c>
      <c r="I479" s="7">
        <f>MAX('working sheet'!$B$2:$B$3548)-C479</f>
        <v>225.96887642361253</v>
      </c>
      <c r="J479" s="4" t="str">
        <f t="array" ref="J479">IF(AND(I479&lt;=30, D479&gt;=10, E479&gt;=200), "VIP",  IF(AND(I479&lt;=60, D479&gt;=5, E479&gt;=100), "Loyal", IF(AND(I479&lt;=90, D479&gt;=3), "Regular", IF(I479&lt;=30, "Recent", IF(D479&gt;=3, "Occasional", "At Risk")))))</f>
        <v>At Risk</v>
      </c>
      <c r="K479" t="str">
        <f t="array" ref="K479">IF(OR(J479="VIP", J479="Loyal"), "HIGH",IF(OR(J479="Regular", J479="Recent"), "MEDIUM","LOW"))</f>
        <v>LOW</v>
      </c>
    </row>
    <row r="480" spans="1:11">
      <c r="A480" t="s">
        <v>493</v>
      </c>
      <c r="B480" s="14">
        <f>_xlfn.MINIFS('working sheet'!$B$2:$B$3548, 'working sheet'!$D$2:$D$3548, A480)</f>
        <v>45513.793826516201</v>
      </c>
      <c r="C480" s="17">
        <f>_xlfn.MAXIFS('working sheet'!$B$1:$B$3548,'working sheet'!$D$1:$D$3548,'Customer Portfolio'!A480)</f>
        <v>45513.793826516201</v>
      </c>
      <c r="D480">
        <f>COUNTIFS('working sheet'!$D$1:$D$3548,'Customer Portfolio'!A480)</f>
        <v>1</v>
      </c>
      <c r="E480" s="5">
        <f>SUMIFS('working sheet'!$E$2:$E$3548,'working sheet'!$D$2:$D$3548,'Customer Portfolio'!A480)</f>
        <v>32.82</v>
      </c>
      <c r="F480" s="6">
        <f t="shared" si="14"/>
        <v>32.82</v>
      </c>
      <c r="G480" t="str">
        <f t="array" ref="G480">IFERROR(INDEX('working sheet'!$F$2:$F$3548, MODE(IF('working sheet'!$D$2:$D$3548=A480, MATCH('working sheet'!$F$2:$F$3548, 'working sheet'!$F$2:$F$3548, 0)))),
         INDEX('working sheet'!$F$2:$F$3548, MATCH(A480, 'working sheet'!$D$2:$D$3548, 0)))</f>
        <v>Hot Chocolate</v>
      </c>
      <c r="H480" s="7">
        <f t="shared" si="15"/>
        <v>1</v>
      </c>
      <c r="I480" s="7">
        <f>MAX('working sheet'!$B$2:$B$3548)-C480</f>
        <v>225.96425953703874</v>
      </c>
      <c r="J480" s="4" t="str">
        <f t="array" ref="J480">IF(AND(I480&lt;=30, D480&gt;=10, E480&gt;=200), "VIP",  IF(AND(I480&lt;=60, D480&gt;=5, E480&gt;=100), "Loyal", IF(AND(I480&lt;=90, D480&gt;=3), "Regular", IF(I480&lt;=30, "Recent", IF(D480&gt;=3, "Occasional", "At Risk")))))</f>
        <v>At Risk</v>
      </c>
      <c r="K480" t="str">
        <f t="array" ref="K480">IF(OR(J480="VIP", J480="Loyal"), "HIGH",IF(OR(J480="Regular", J480="Recent"), "MEDIUM","LOW"))</f>
        <v>LOW</v>
      </c>
    </row>
    <row r="481" spans="1:11">
      <c r="A481" t="s">
        <v>494</v>
      </c>
      <c r="B481" s="14">
        <f>_xlfn.MINIFS('working sheet'!$B$2:$B$3548, 'working sheet'!$D$2:$D$3548, A481)</f>
        <v>45514.358849861113</v>
      </c>
      <c r="C481" s="17">
        <f>_xlfn.MAXIFS('working sheet'!$B$1:$B$3548,'working sheet'!$D$1:$D$3548,'Customer Portfolio'!A481)</f>
        <v>45515.498394317132</v>
      </c>
      <c r="D481">
        <f>COUNTIFS('working sheet'!$D$1:$D$3548,'Customer Portfolio'!A481)</f>
        <v>4</v>
      </c>
      <c r="E481" s="5">
        <f>SUMIFS('working sheet'!$E$2:$E$3548,'working sheet'!$D$2:$D$3548,'Customer Portfolio'!A481)</f>
        <v>121.48</v>
      </c>
      <c r="F481" s="6">
        <f t="shared" si="14"/>
        <v>30.37</v>
      </c>
      <c r="G481" t="str">
        <f t="array" ref="G481">IFERROR(INDEX('working sheet'!$F$2:$F$3548, MODE(IF('working sheet'!$D$2:$D$3548=A481, MATCH('working sheet'!$F$2:$F$3548, 'working sheet'!$F$2:$F$3548, 0)))),
         INDEX('working sheet'!$F$2:$F$3548, MATCH(A481, 'working sheet'!$D$2:$D$3548, 0)))</f>
        <v>Cappuccino</v>
      </c>
      <c r="H481" s="7">
        <f t="shared" si="15"/>
        <v>2.1395444560184842</v>
      </c>
      <c r="I481" s="7">
        <f>MAX('working sheet'!$B$2:$B$3548)-C481</f>
        <v>224.25969173610792</v>
      </c>
      <c r="J481" s="4" t="str">
        <f t="array" ref="J481">IF(AND(I481&lt;=30, D481&gt;=10, E481&gt;=200), "VIP",  IF(AND(I481&lt;=60, D481&gt;=5, E481&gt;=100), "Loyal", IF(AND(I481&lt;=90, D481&gt;=3), "Regular", IF(I481&lt;=30, "Recent", IF(D481&gt;=3, "Occasional", "At Risk")))))</f>
        <v>Occasional</v>
      </c>
      <c r="K481" t="str">
        <f t="array" ref="K481">IF(OR(J481="VIP", J481="Loyal"), "HIGH",IF(OR(J481="Regular", J481="Recent"), "MEDIUM","LOW"))</f>
        <v>LOW</v>
      </c>
    </row>
    <row r="482" spans="1:11">
      <c r="A482" t="s">
        <v>495</v>
      </c>
      <c r="B482" s="14">
        <f>_xlfn.MINIFS('working sheet'!$B$2:$B$3548, 'working sheet'!$D$2:$D$3548, A482)</f>
        <v>45514.510543136574</v>
      </c>
      <c r="C482" s="17">
        <f>_xlfn.MAXIFS('working sheet'!$B$1:$B$3548,'working sheet'!$D$1:$D$3548,'Customer Portfolio'!A482)</f>
        <v>45514.510543136574</v>
      </c>
      <c r="D482">
        <f>COUNTIFS('working sheet'!$D$1:$D$3548,'Customer Portfolio'!A482)</f>
        <v>1</v>
      </c>
      <c r="E482" s="5">
        <f>SUMIFS('working sheet'!$E$2:$E$3548,'working sheet'!$D$2:$D$3548,'Customer Portfolio'!A482)</f>
        <v>32.82</v>
      </c>
      <c r="F482" s="6">
        <f t="shared" si="14"/>
        <v>32.82</v>
      </c>
      <c r="G482" t="str">
        <f t="array" ref="G482">IFERROR(INDEX('working sheet'!$F$2:$F$3548, MODE(IF('working sheet'!$D$2:$D$3548=A482, MATCH('working sheet'!$F$2:$F$3548, 'working sheet'!$F$2:$F$3548, 0)))),
         INDEX('working sheet'!$F$2:$F$3548, MATCH(A482, 'working sheet'!$D$2:$D$3548, 0)))</f>
        <v>Latte</v>
      </c>
      <c r="H482" s="7">
        <f t="shared" si="15"/>
        <v>1</v>
      </c>
      <c r="I482" s="7">
        <f>MAX('working sheet'!$B$2:$B$3548)-C482</f>
        <v>225.24754291666613</v>
      </c>
      <c r="J482" s="4" t="str">
        <f t="array" ref="J482">IF(AND(I482&lt;=30, D482&gt;=10, E482&gt;=200), "VIP",  IF(AND(I482&lt;=60, D482&gt;=5, E482&gt;=100), "Loyal", IF(AND(I482&lt;=90, D482&gt;=3), "Regular", IF(I482&lt;=30, "Recent", IF(D482&gt;=3, "Occasional", "At Risk")))))</f>
        <v>At Risk</v>
      </c>
      <c r="K482" t="str">
        <f t="array" ref="K482">IF(OR(J482="VIP", J482="Loyal"), "HIGH",IF(OR(J482="Regular", J482="Recent"), "MEDIUM","LOW"))</f>
        <v>LOW</v>
      </c>
    </row>
    <row r="483" spans="1:11">
      <c r="A483" t="s">
        <v>496</v>
      </c>
      <c r="B483" s="14">
        <f>_xlfn.MINIFS('working sheet'!$B$2:$B$3548, 'working sheet'!$D$2:$D$3548, A483)</f>
        <v>45514.886673171299</v>
      </c>
      <c r="C483" s="17">
        <f>_xlfn.MAXIFS('working sheet'!$B$1:$B$3548,'working sheet'!$D$1:$D$3548,'Customer Portfolio'!A483)</f>
        <v>45514.887281099538</v>
      </c>
      <c r="D483">
        <f>COUNTIFS('working sheet'!$D$1:$D$3548,'Customer Portfolio'!A483)</f>
        <v>2</v>
      </c>
      <c r="E483" s="5">
        <f>SUMIFS('working sheet'!$E$2:$E$3548,'working sheet'!$D$2:$D$3548,'Customer Portfolio'!A483)</f>
        <v>65.64</v>
      </c>
      <c r="F483" s="6">
        <f t="shared" si="14"/>
        <v>32.82</v>
      </c>
      <c r="G483" t="str">
        <f t="array" ref="G483">IFERROR(INDEX('working sheet'!$F$2:$F$3548, MODE(IF('working sheet'!$D$2:$D$3548=A483, MATCH('working sheet'!$F$2:$F$3548, 'working sheet'!$F$2:$F$3548, 0)))),
         INDEX('working sheet'!$F$2:$F$3548, MATCH(A483, 'working sheet'!$D$2:$D$3548, 0)))</f>
        <v>Cocoa</v>
      </c>
      <c r="H483" s="7">
        <f t="shared" si="15"/>
        <v>1.000607928239333</v>
      </c>
      <c r="I483" s="7">
        <f>MAX('working sheet'!$B$2:$B$3548)-C483</f>
        <v>224.87080495370174</v>
      </c>
      <c r="J483" s="4" t="str">
        <f t="array" ref="J483">IF(AND(I483&lt;=30, D483&gt;=10, E483&gt;=200), "VIP",  IF(AND(I483&lt;=60, D483&gt;=5, E483&gt;=100), "Loyal", IF(AND(I483&lt;=90, D483&gt;=3), "Regular", IF(I483&lt;=30, "Recent", IF(D483&gt;=3, "Occasional", "At Risk")))))</f>
        <v>At Risk</v>
      </c>
      <c r="K483" t="str">
        <f t="array" ref="K483">IF(OR(J483="VIP", J483="Loyal"), "HIGH",IF(OR(J483="Regular", J483="Recent"), "MEDIUM","LOW"))</f>
        <v>LOW</v>
      </c>
    </row>
    <row r="484" spans="1:11">
      <c r="A484" t="s">
        <v>497</v>
      </c>
      <c r="B484" s="14">
        <f>_xlfn.MINIFS('working sheet'!$B$2:$B$3548, 'working sheet'!$D$2:$D$3548, A484)</f>
        <v>45515.662402222224</v>
      </c>
      <c r="C484" s="17">
        <f>_xlfn.MAXIFS('working sheet'!$B$1:$B$3548,'working sheet'!$D$1:$D$3548,'Customer Portfolio'!A484)</f>
        <v>45515.662402222224</v>
      </c>
      <c r="D484">
        <f>COUNTIFS('working sheet'!$D$1:$D$3548,'Customer Portfolio'!A484)</f>
        <v>1</v>
      </c>
      <c r="E484" s="5">
        <f>SUMIFS('working sheet'!$E$2:$E$3548,'working sheet'!$D$2:$D$3548,'Customer Portfolio'!A484)</f>
        <v>32.82</v>
      </c>
      <c r="F484" s="6">
        <f t="shared" si="14"/>
        <v>32.82</v>
      </c>
      <c r="G484" t="str">
        <f t="array" ref="G484">IFERROR(INDEX('working sheet'!$F$2:$F$3548, MODE(IF('working sheet'!$D$2:$D$3548=A484, MATCH('working sheet'!$F$2:$F$3548, 'working sheet'!$F$2:$F$3548, 0)))),
         INDEX('working sheet'!$F$2:$F$3548, MATCH(A484, 'working sheet'!$D$2:$D$3548, 0)))</f>
        <v>Latte</v>
      </c>
      <c r="H484" s="7">
        <f t="shared" si="15"/>
        <v>1</v>
      </c>
      <c r="I484" s="7">
        <f>MAX('working sheet'!$B$2:$B$3548)-C484</f>
        <v>224.09568383101578</v>
      </c>
      <c r="J484" s="4" t="str">
        <f t="array" ref="J484">IF(AND(I484&lt;=30, D484&gt;=10, E484&gt;=200), "VIP",  IF(AND(I484&lt;=60, D484&gt;=5, E484&gt;=100), "Loyal", IF(AND(I484&lt;=90, D484&gt;=3), "Regular", IF(I484&lt;=30, "Recent", IF(D484&gt;=3, "Occasional", "At Risk")))))</f>
        <v>At Risk</v>
      </c>
      <c r="K484" t="str">
        <f t="array" ref="K484">IF(OR(J484="VIP", J484="Loyal"), "HIGH",IF(OR(J484="Regular", J484="Recent"), "MEDIUM","LOW"))</f>
        <v>LOW</v>
      </c>
    </row>
    <row r="485" spans="1:11">
      <c r="A485" t="s">
        <v>498</v>
      </c>
      <c r="B485" s="14">
        <f>_xlfn.MINIFS('working sheet'!$B$2:$B$3548, 'working sheet'!$D$2:$D$3548, A485)</f>
        <v>45515.663366354165</v>
      </c>
      <c r="C485" s="17">
        <f>_xlfn.MAXIFS('working sheet'!$B$1:$B$3548,'working sheet'!$D$1:$D$3548,'Customer Portfolio'!A485)</f>
        <v>45515.664209456016</v>
      </c>
      <c r="D485">
        <f>COUNTIFS('working sheet'!$D$1:$D$3548,'Customer Portfolio'!A485)</f>
        <v>2</v>
      </c>
      <c r="E485" s="5">
        <f>SUMIFS('working sheet'!$E$2:$E$3548,'working sheet'!$D$2:$D$3548,'Customer Portfolio'!A485)</f>
        <v>60.74</v>
      </c>
      <c r="F485" s="6">
        <f t="shared" si="14"/>
        <v>30.37</v>
      </c>
      <c r="G485" t="str">
        <f t="array" ref="G485">IFERROR(INDEX('working sheet'!$F$2:$F$3548, MODE(IF('working sheet'!$D$2:$D$3548=A485, MATCH('working sheet'!$F$2:$F$3548, 'working sheet'!$F$2:$F$3548, 0)))),
         INDEX('working sheet'!$F$2:$F$3548, MATCH(A485, 'working sheet'!$D$2:$D$3548, 0)))</f>
        <v>Americano with Milk</v>
      </c>
      <c r="H485" s="7">
        <f t="shared" si="15"/>
        <v>1.000843101850478</v>
      </c>
      <c r="I485" s="7">
        <f>MAX('working sheet'!$B$2:$B$3548)-C485</f>
        <v>224.09387659722415</v>
      </c>
      <c r="J485" s="4" t="str">
        <f t="array" ref="J485">IF(AND(I485&lt;=30, D485&gt;=10, E485&gt;=200), "VIP",  IF(AND(I485&lt;=60, D485&gt;=5, E485&gt;=100), "Loyal", IF(AND(I485&lt;=90, D485&gt;=3), "Regular", IF(I485&lt;=30, "Recent", IF(D485&gt;=3, "Occasional", "At Risk")))))</f>
        <v>At Risk</v>
      </c>
      <c r="K485" t="str">
        <f t="array" ref="K485">IF(OR(J485="VIP", J485="Loyal"), "HIGH",IF(OR(J485="Regular", J485="Recent"), "MEDIUM","LOW"))</f>
        <v>LOW</v>
      </c>
    </row>
    <row r="486" spans="1:11">
      <c r="A486" t="s">
        <v>499</v>
      </c>
      <c r="B486" s="14">
        <f>_xlfn.MINIFS('working sheet'!$B$2:$B$3548, 'working sheet'!$D$2:$D$3548, A486)</f>
        <v>45515.686554351851</v>
      </c>
      <c r="C486" s="17">
        <f>_xlfn.MAXIFS('working sheet'!$B$1:$B$3548,'working sheet'!$D$1:$D$3548,'Customer Portfolio'!A486)</f>
        <v>45515.686554351851</v>
      </c>
      <c r="D486">
        <f>COUNTIFS('working sheet'!$D$1:$D$3548,'Customer Portfolio'!A486)</f>
        <v>1</v>
      </c>
      <c r="E486" s="5">
        <f>SUMIFS('working sheet'!$E$2:$E$3548,'working sheet'!$D$2:$D$3548,'Customer Portfolio'!A486)</f>
        <v>18.12</v>
      </c>
      <c r="F486" s="6">
        <f t="shared" si="14"/>
        <v>18.12</v>
      </c>
      <c r="G486" t="str">
        <f t="array" ref="G486">IFERROR(INDEX('working sheet'!$F$2:$F$3548, MODE(IF('working sheet'!$D$2:$D$3548=A486, MATCH('working sheet'!$F$2:$F$3548, 'working sheet'!$F$2:$F$3548, 0)))),
         INDEX('working sheet'!$F$2:$F$3548, MATCH(A486, 'working sheet'!$D$2:$D$3548, 0)))</f>
        <v>Espresso</v>
      </c>
      <c r="H486" s="7">
        <f t="shared" si="15"/>
        <v>1</v>
      </c>
      <c r="I486" s="7">
        <f>MAX('working sheet'!$B$2:$B$3548)-C486</f>
        <v>224.07153170138918</v>
      </c>
      <c r="J486" s="4" t="str">
        <f t="array" ref="J486">IF(AND(I486&lt;=30, D486&gt;=10, E486&gt;=200), "VIP",  IF(AND(I486&lt;=60, D486&gt;=5, E486&gt;=100), "Loyal", IF(AND(I486&lt;=90, D486&gt;=3), "Regular", IF(I486&lt;=30, "Recent", IF(D486&gt;=3, "Occasional", "At Risk")))))</f>
        <v>At Risk</v>
      </c>
      <c r="K486" t="str">
        <f t="array" ref="K486">IF(OR(J486="VIP", J486="Loyal"), "HIGH",IF(OR(J486="Regular", J486="Recent"), "MEDIUM","LOW"))</f>
        <v>LOW</v>
      </c>
    </row>
    <row r="487" spans="1:11">
      <c r="A487" t="s">
        <v>500</v>
      </c>
      <c r="B487" s="14">
        <f>_xlfn.MINIFS('working sheet'!$B$2:$B$3548, 'working sheet'!$D$2:$D$3548, A487)</f>
        <v>45515.896210057872</v>
      </c>
      <c r="C487" s="17">
        <f>_xlfn.MAXIFS('working sheet'!$B$1:$B$3548,'working sheet'!$D$1:$D$3548,'Customer Portfolio'!A487)</f>
        <v>45543.530185497686</v>
      </c>
      <c r="D487">
        <f>COUNTIFS('working sheet'!$D$1:$D$3548,'Customer Portfolio'!A487)</f>
        <v>2</v>
      </c>
      <c r="E487" s="5">
        <f>SUMIFS('working sheet'!$E$2:$E$3548,'working sheet'!$D$2:$D$3548,'Customer Portfolio'!A487)</f>
        <v>46.04</v>
      </c>
      <c r="F487" s="6">
        <f t="shared" si="14"/>
        <v>23.02</v>
      </c>
      <c r="G487" t="str">
        <f t="array" ref="G487">IFERROR(INDEX('working sheet'!$F$2:$F$3548, MODE(IF('working sheet'!$D$2:$D$3548=A487, MATCH('working sheet'!$F$2:$F$3548, 'working sheet'!$F$2:$F$3548, 0)))),
         INDEX('working sheet'!$F$2:$F$3548, MATCH(A487, 'working sheet'!$D$2:$D$3548, 0)))</f>
        <v>Cortado</v>
      </c>
      <c r="H487" s="7">
        <f t="shared" si="15"/>
        <v>28.633975439814094</v>
      </c>
      <c r="I487" s="7">
        <f>MAX('working sheet'!$B$2:$B$3548)-C487</f>
        <v>196.22790055555379</v>
      </c>
      <c r="J487" s="4" t="str">
        <f t="array" ref="J487">IF(AND(I487&lt;=30, D487&gt;=10, E487&gt;=200), "VIP",  IF(AND(I487&lt;=60, D487&gt;=5, E487&gt;=100), "Loyal", IF(AND(I487&lt;=90, D487&gt;=3), "Regular", IF(I487&lt;=30, "Recent", IF(D487&gt;=3, "Occasional", "At Risk")))))</f>
        <v>At Risk</v>
      </c>
      <c r="K487" t="str">
        <f t="array" ref="K487">IF(OR(J487="VIP", J487="Loyal"), "HIGH",IF(OR(J487="Regular", J487="Recent"), "MEDIUM","LOW"))</f>
        <v>LOW</v>
      </c>
    </row>
    <row r="488" spans="1:11">
      <c r="A488" t="s">
        <v>501</v>
      </c>
      <c r="B488" s="14">
        <f>_xlfn.MINIFS('working sheet'!$B$2:$B$3548, 'working sheet'!$D$2:$D$3548, A488)</f>
        <v>45515.904978101855</v>
      </c>
      <c r="C488" s="17">
        <f>_xlfn.MAXIFS('working sheet'!$B$1:$B$3548,'working sheet'!$D$1:$D$3548,'Customer Portfolio'!A488)</f>
        <v>45515.904978101855</v>
      </c>
      <c r="D488">
        <f>COUNTIFS('working sheet'!$D$1:$D$3548,'Customer Portfolio'!A488)</f>
        <v>1</v>
      </c>
      <c r="E488" s="5">
        <f>SUMIFS('working sheet'!$E$2:$E$3548,'working sheet'!$D$2:$D$3548,'Customer Portfolio'!A488)</f>
        <v>32.82</v>
      </c>
      <c r="F488" s="6">
        <f t="shared" si="14"/>
        <v>32.82</v>
      </c>
      <c r="G488" t="str">
        <f t="array" ref="G488">IFERROR(INDEX('working sheet'!$F$2:$F$3548, MODE(IF('working sheet'!$D$2:$D$3548=A488, MATCH('working sheet'!$F$2:$F$3548, 'working sheet'!$F$2:$F$3548, 0)))),
         INDEX('working sheet'!$F$2:$F$3548, MATCH(A488, 'working sheet'!$D$2:$D$3548, 0)))</f>
        <v>Latte</v>
      </c>
      <c r="H488" s="7">
        <f t="shared" si="15"/>
        <v>1</v>
      </c>
      <c r="I488" s="7">
        <f>MAX('working sheet'!$B$2:$B$3548)-C488</f>
        <v>223.85310795138503</v>
      </c>
      <c r="J488" s="4" t="str">
        <f t="array" ref="J488">IF(AND(I488&lt;=30, D488&gt;=10, E488&gt;=200), "VIP",  IF(AND(I488&lt;=60, D488&gt;=5, E488&gt;=100), "Loyal", IF(AND(I488&lt;=90, D488&gt;=3), "Regular", IF(I488&lt;=30, "Recent", IF(D488&gt;=3, "Occasional", "At Risk")))))</f>
        <v>At Risk</v>
      </c>
      <c r="K488" t="str">
        <f t="array" ref="K488">IF(OR(J488="VIP", J488="Loyal"), "HIGH",IF(OR(J488="Regular", J488="Recent"), "MEDIUM","LOW"))</f>
        <v>LOW</v>
      </c>
    </row>
    <row r="489" spans="1:11">
      <c r="A489" t="s">
        <v>502</v>
      </c>
      <c r="B489" s="14">
        <f>_xlfn.MINIFS('working sheet'!$B$2:$B$3548, 'working sheet'!$D$2:$D$3548, A489)</f>
        <v>45515.94409621528</v>
      </c>
      <c r="C489" s="17">
        <f>_xlfn.MAXIFS('working sheet'!$B$1:$B$3548,'working sheet'!$D$1:$D$3548,'Customer Portfolio'!A489)</f>
        <v>45515.94409621528</v>
      </c>
      <c r="D489">
        <f>COUNTIFS('working sheet'!$D$1:$D$3548,'Customer Portfolio'!A489)</f>
        <v>1</v>
      </c>
      <c r="E489" s="5">
        <f>SUMIFS('working sheet'!$E$2:$E$3548,'working sheet'!$D$2:$D$3548,'Customer Portfolio'!A489)</f>
        <v>32.82</v>
      </c>
      <c r="F489" s="6">
        <f t="shared" si="14"/>
        <v>32.82</v>
      </c>
      <c r="G489" t="str">
        <f t="array" ref="G489">IFERROR(INDEX('working sheet'!$F$2:$F$3548, MODE(IF('working sheet'!$D$2:$D$3548=A489, MATCH('working sheet'!$F$2:$F$3548, 'working sheet'!$F$2:$F$3548, 0)))),
         INDEX('working sheet'!$F$2:$F$3548, MATCH(A489, 'working sheet'!$D$2:$D$3548, 0)))</f>
        <v>Cappuccino</v>
      </c>
      <c r="H489" s="7">
        <f t="shared" si="15"/>
        <v>1</v>
      </c>
      <c r="I489" s="7">
        <f>MAX('working sheet'!$B$2:$B$3548)-C489</f>
        <v>223.81398983795953</v>
      </c>
      <c r="J489" s="4" t="str">
        <f t="array" ref="J489">IF(AND(I489&lt;=30, D489&gt;=10, E489&gt;=200), "VIP",  IF(AND(I489&lt;=60, D489&gt;=5, E489&gt;=100), "Loyal", IF(AND(I489&lt;=90, D489&gt;=3), "Regular", IF(I489&lt;=30, "Recent", IF(D489&gt;=3, "Occasional", "At Risk")))))</f>
        <v>At Risk</v>
      </c>
      <c r="K489" t="str">
        <f t="array" ref="K489">IF(OR(J489="VIP", J489="Loyal"), "HIGH",IF(OR(J489="Regular", J489="Recent"), "MEDIUM","LOW"))</f>
        <v>LOW</v>
      </c>
    </row>
    <row r="490" spans="1:11">
      <c r="A490" t="s">
        <v>503</v>
      </c>
      <c r="B490" s="14">
        <f>_xlfn.MINIFS('working sheet'!$B$2:$B$3548, 'working sheet'!$D$2:$D$3548, A490)</f>
        <v>45516.468805219905</v>
      </c>
      <c r="C490" s="17">
        <f>_xlfn.MAXIFS('working sheet'!$B$1:$B$3548,'working sheet'!$D$1:$D$3548,'Customer Portfolio'!A490)</f>
        <v>45516.468805219905</v>
      </c>
      <c r="D490">
        <f>COUNTIFS('working sheet'!$D$1:$D$3548,'Customer Portfolio'!A490)</f>
        <v>1</v>
      </c>
      <c r="E490" s="5">
        <f>SUMIFS('working sheet'!$E$2:$E$3548,'working sheet'!$D$2:$D$3548,'Customer Portfolio'!A490)</f>
        <v>27.92</v>
      </c>
      <c r="F490" s="6">
        <f t="shared" si="14"/>
        <v>27.92</v>
      </c>
      <c r="G490" t="str">
        <f t="array" ref="G490">IFERROR(INDEX('working sheet'!$F$2:$F$3548, MODE(IF('working sheet'!$D$2:$D$3548=A490, MATCH('working sheet'!$F$2:$F$3548, 'working sheet'!$F$2:$F$3548, 0)))),
         INDEX('working sheet'!$F$2:$F$3548, MATCH(A490, 'working sheet'!$D$2:$D$3548, 0)))</f>
        <v>Americano with Milk</v>
      </c>
      <c r="H490" s="7">
        <f t="shared" si="15"/>
        <v>1</v>
      </c>
      <c r="I490" s="7">
        <f>MAX('working sheet'!$B$2:$B$3548)-C490</f>
        <v>223.28928083333449</v>
      </c>
      <c r="J490" s="4" t="str">
        <f t="array" ref="J490">IF(AND(I490&lt;=30, D490&gt;=10, E490&gt;=200), "VIP",  IF(AND(I490&lt;=60, D490&gt;=5, E490&gt;=100), "Loyal", IF(AND(I490&lt;=90, D490&gt;=3), "Regular", IF(I490&lt;=30, "Recent", IF(D490&gt;=3, "Occasional", "At Risk")))))</f>
        <v>At Risk</v>
      </c>
      <c r="K490" t="str">
        <f t="array" ref="K490">IF(OR(J490="VIP", J490="Loyal"), "HIGH",IF(OR(J490="Regular", J490="Recent"), "MEDIUM","LOW"))</f>
        <v>LOW</v>
      </c>
    </row>
    <row r="491" spans="1:11">
      <c r="A491" t="s">
        <v>504</v>
      </c>
      <c r="B491" s="14">
        <f>_xlfn.MINIFS('working sheet'!$B$2:$B$3548, 'working sheet'!$D$2:$D$3548, A491)</f>
        <v>45516.471869363428</v>
      </c>
      <c r="C491" s="17">
        <f>_xlfn.MAXIFS('working sheet'!$B$1:$B$3548,'working sheet'!$D$1:$D$3548,'Customer Portfolio'!A491)</f>
        <v>45516.472495833332</v>
      </c>
      <c r="D491">
        <f>COUNTIFS('working sheet'!$D$1:$D$3548,'Customer Portfolio'!A491)</f>
        <v>2</v>
      </c>
      <c r="E491" s="5">
        <f>SUMIFS('working sheet'!$E$2:$E$3548,'working sheet'!$D$2:$D$3548,'Customer Portfolio'!A491)</f>
        <v>55.84</v>
      </c>
      <c r="F491" s="6">
        <f t="shared" si="14"/>
        <v>27.92</v>
      </c>
      <c r="G491" t="str">
        <f t="array" ref="G491">IFERROR(INDEX('working sheet'!$F$2:$F$3548, MODE(IF('working sheet'!$D$2:$D$3548=A491, MATCH('working sheet'!$F$2:$F$3548, 'working sheet'!$F$2:$F$3548, 0)))),
         INDEX('working sheet'!$F$2:$F$3548, MATCH(A491, 'working sheet'!$D$2:$D$3548, 0)))</f>
        <v>Americano</v>
      </c>
      <c r="H491" s="7">
        <f t="shared" si="15"/>
        <v>1.0006264699040912</v>
      </c>
      <c r="I491" s="7">
        <f>MAX('working sheet'!$B$2:$B$3548)-C491</f>
        <v>223.28559021990804</v>
      </c>
      <c r="J491" s="4" t="str">
        <f t="array" ref="J491">IF(AND(I491&lt;=30, D491&gt;=10, E491&gt;=200), "VIP",  IF(AND(I491&lt;=60, D491&gt;=5, E491&gt;=100), "Loyal", IF(AND(I491&lt;=90, D491&gt;=3), "Regular", IF(I491&lt;=30, "Recent", IF(D491&gt;=3, "Occasional", "At Risk")))))</f>
        <v>At Risk</v>
      </c>
      <c r="K491" t="str">
        <f t="array" ref="K491">IF(OR(J491="VIP", J491="Loyal"), "HIGH",IF(OR(J491="Regular", J491="Recent"), "MEDIUM","LOW"))</f>
        <v>LOW</v>
      </c>
    </row>
    <row r="492" spans="1:11">
      <c r="A492" t="s">
        <v>505</v>
      </c>
      <c r="B492" s="14">
        <f>_xlfn.MINIFS('working sheet'!$B$2:$B$3548, 'working sheet'!$D$2:$D$3548, A492)</f>
        <v>45516.489217407405</v>
      </c>
      <c r="C492" s="17">
        <f>_xlfn.MAXIFS('working sheet'!$B$1:$B$3548,'working sheet'!$D$1:$D$3548,'Customer Portfolio'!A492)</f>
        <v>45523.897187916664</v>
      </c>
      <c r="D492">
        <f>COUNTIFS('working sheet'!$D$1:$D$3548,'Customer Portfolio'!A492)</f>
        <v>2</v>
      </c>
      <c r="E492" s="5">
        <f>SUMIFS('working sheet'!$E$2:$E$3548,'working sheet'!$D$2:$D$3548,'Customer Portfolio'!A492)</f>
        <v>65.64</v>
      </c>
      <c r="F492" s="6">
        <f t="shared" si="14"/>
        <v>32.82</v>
      </c>
      <c r="G492" t="str">
        <f t="array" ref="G492">IFERROR(INDEX('working sheet'!$F$2:$F$3548, MODE(IF('working sheet'!$D$2:$D$3548=A492, MATCH('working sheet'!$F$2:$F$3548, 'working sheet'!$F$2:$F$3548, 0)))),
         INDEX('working sheet'!$F$2:$F$3548, MATCH(A492, 'working sheet'!$D$2:$D$3548, 0)))</f>
        <v>Latte</v>
      </c>
      <c r="H492" s="7">
        <f t="shared" si="15"/>
        <v>8.4079705092590302</v>
      </c>
      <c r="I492" s="7">
        <f>MAX('working sheet'!$B$2:$B$3548)-C492</f>
        <v>215.860898136576</v>
      </c>
      <c r="J492" s="4" t="str">
        <f t="array" ref="J492">IF(AND(I492&lt;=30, D492&gt;=10, E492&gt;=200), "VIP",  IF(AND(I492&lt;=60, D492&gt;=5, E492&gt;=100), "Loyal", IF(AND(I492&lt;=90, D492&gt;=3), "Regular", IF(I492&lt;=30, "Recent", IF(D492&gt;=3, "Occasional", "At Risk")))))</f>
        <v>At Risk</v>
      </c>
      <c r="K492" t="str">
        <f t="array" ref="K492">IF(OR(J492="VIP", J492="Loyal"), "HIGH",IF(OR(J492="Regular", J492="Recent"), "MEDIUM","LOW"))</f>
        <v>LOW</v>
      </c>
    </row>
    <row r="493" spans="1:11">
      <c r="A493" t="s">
        <v>506</v>
      </c>
      <c r="B493" s="14">
        <f>_xlfn.MINIFS('working sheet'!$B$2:$B$3548, 'working sheet'!$D$2:$D$3548, A493)</f>
        <v>45516.586150451389</v>
      </c>
      <c r="C493" s="17">
        <f>_xlfn.MAXIFS('working sheet'!$B$1:$B$3548,'working sheet'!$D$1:$D$3548,'Customer Portfolio'!A493)</f>
        <v>45516.586885775461</v>
      </c>
      <c r="D493">
        <f>COUNTIFS('working sheet'!$D$1:$D$3548,'Customer Portfolio'!A493)</f>
        <v>2</v>
      </c>
      <c r="E493" s="5">
        <f>SUMIFS('working sheet'!$E$2:$E$3548,'working sheet'!$D$2:$D$3548,'Customer Portfolio'!A493)</f>
        <v>46.040000000000006</v>
      </c>
      <c r="F493" s="6">
        <f t="shared" si="14"/>
        <v>23.020000000000003</v>
      </c>
      <c r="G493" t="str">
        <f t="array" ref="G493">IFERROR(INDEX('working sheet'!$F$2:$F$3548, MODE(IF('working sheet'!$D$2:$D$3548=A493, MATCH('working sheet'!$F$2:$F$3548, 'working sheet'!$F$2:$F$3548, 0)))),
         INDEX('working sheet'!$F$2:$F$3548, MATCH(A493, 'working sheet'!$D$2:$D$3548, 0)))</f>
        <v>Espresso</v>
      </c>
      <c r="H493" s="7">
        <f t="shared" si="15"/>
        <v>1.0007353240725934</v>
      </c>
      <c r="I493" s="7">
        <f>MAX('working sheet'!$B$2:$B$3548)-C493</f>
        <v>223.17120027777855</v>
      </c>
      <c r="J493" s="4" t="str">
        <f t="array" ref="J493">IF(AND(I493&lt;=30, D493&gt;=10, E493&gt;=200), "VIP",  IF(AND(I493&lt;=60, D493&gt;=5, E493&gt;=100), "Loyal", IF(AND(I493&lt;=90, D493&gt;=3), "Regular", IF(I493&lt;=30, "Recent", IF(D493&gt;=3, "Occasional", "At Risk")))))</f>
        <v>At Risk</v>
      </c>
      <c r="K493" t="str">
        <f t="array" ref="K493">IF(OR(J493="VIP", J493="Loyal"), "HIGH",IF(OR(J493="Regular", J493="Recent"), "MEDIUM","LOW"))</f>
        <v>LOW</v>
      </c>
    </row>
    <row r="494" spans="1:11">
      <c r="A494" t="s">
        <v>507</v>
      </c>
      <c r="B494" s="14">
        <f>_xlfn.MINIFS('working sheet'!$B$2:$B$3548, 'working sheet'!$D$2:$D$3548, A494)</f>
        <v>45516.648299884262</v>
      </c>
      <c r="C494" s="17">
        <f>_xlfn.MAXIFS('working sheet'!$B$1:$B$3548,'working sheet'!$D$1:$D$3548,'Customer Portfolio'!A494)</f>
        <v>45516.648299884262</v>
      </c>
      <c r="D494">
        <f>COUNTIFS('working sheet'!$D$1:$D$3548,'Customer Portfolio'!A494)</f>
        <v>1</v>
      </c>
      <c r="E494" s="5">
        <f>SUMIFS('working sheet'!$E$2:$E$3548,'working sheet'!$D$2:$D$3548,'Customer Portfolio'!A494)</f>
        <v>27.92</v>
      </c>
      <c r="F494" s="6">
        <f t="shared" si="14"/>
        <v>27.92</v>
      </c>
      <c r="G494" t="str">
        <f t="array" ref="G494">IFERROR(INDEX('working sheet'!$F$2:$F$3548, MODE(IF('working sheet'!$D$2:$D$3548=A494, MATCH('working sheet'!$F$2:$F$3548, 'working sheet'!$F$2:$F$3548, 0)))),
         INDEX('working sheet'!$F$2:$F$3548, MATCH(A494, 'working sheet'!$D$2:$D$3548, 0)))</f>
        <v>Americano with Milk</v>
      </c>
      <c r="H494" s="7">
        <f t="shared" si="15"/>
        <v>1</v>
      </c>
      <c r="I494" s="7">
        <f>MAX('working sheet'!$B$2:$B$3548)-C494</f>
        <v>223.10978616897773</v>
      </c>
      <c r="J494" s="4" t="str">
        <f t="array" ref="J494">IF(AND(I494&lt;=30, D494&gt;=10, E494&gt;=200), "VIP",  IF(AND(I494&lt;=60, D494&gt;=5, E494&gt;=100), "Loyal", IF(AND(I494&lt;=90, D494&gt;=3), "Regular", IF(I494&lt;=30, "Recent", IF(D494&gt;=3, "Occasional", "At Risk")))))</f>
        <v>At Risk</v>
      </c>
      <c r="K494" t="str">
        <f t="array" ref="K494">IF(OR(J494="VIP", J494="Loyal"), "HIGH",IF(OR(J494="Regular", J494="Recent"), "MEDIUM","LOW"))</f>
        <v>LOW</v>
      </c>
    </row>
    <row r="495" spans="1:11">
      <c r="A495" t="s">
        <v>508</v>
      </c>
      <c r="B495" s="14">
        <f>_xlfn.MINIFS('working sheet'!$B$2:$B$3548, 'working sheet'!$D$2:$D$3548, A495)</f>
        <v>45516.901134733795</v>
      </c>
      <c r="C495" s="17">
        <f>_xlfn.MAXIFS('working sheet'!$B$1:$B$3548,'working sheet'!$D$1:$D$3548,'Customer Portfolio'!A495)</f>
        <v>45639.682915486112</v>
      </c>
      <c r="D495">
        <f>COUNTIFS('working sheet'!$D$1:$D$3548,'Customer Portfolio'!A495)</f>
        <v>13</v>
      </c>
      <c r="E495" s="5">
        <f>SUMIFS('working sheet'!$E$2:$E$3548,'working sheet'!$D$2:$D$3548,'Customer Portfolio'!A495)</f>
        <v>450.17999999999995</v>
      </c>
      <c r="F495" s="6">
        <f t="shared" si="14"/>
        <v>34.629230769230766</v>
      </c>
      <c r="G495" t="str">
        <f t="array" ref="G495">IFERROR(INDEX('working sheet'!$F$2:$F$3548, MODE(IF('working sheet'!$D$2:$D$3548=A495, MATCH('working sheet'!$F$2:$F$3548, 'working sheet'!$F$2:$F$3548, 0)))),
         INDEX('working sheet'!$F$2:$F$3548, MATCH(A495, 'working sheet'!$D$2:$D$3548, 0)))</f>
        <v>Latte</v>
      </c>
      <c r="H495" s="7">
        <f t="shared" si="15"/>
        <v>123.78178075231699</v>
      </c>
      <c r="I495" s="7">
        <f>MAX('working sheet'!$B$2:$B$3548)-C495</f>
        <v>100.07517056712823</v>
      </c>
      <c r="J495" s="4" t="str">
        <f t="array" ref="J495">IF(AND(I495&lt;=30, D495&gt;=10, E495&gt;=200), "VIP",  IF(AND(I495&lt;=60, D495&gt;=5, E495&gt;=100), "Loyal", IF(AND(I495&lt;=90, D495&gt;=3), "Regular", IF(I495&lt;=30, "Recent", IF(D495&gt;=3, "Occasional", "At Risk")))))</f>
        <v>Occasional</v>
      </c>
      <c r="K495" t="str">
        <f t="array" ref="K495">IF(OR(J495="VIP", J495="Loyal"), "HIGH",IF(OR(J495="Regular", J495="Recent"), "MEDIUM","LOW"))</f>
        <v>LOW</v>
      </c>
    </row>
    <row r="496" spans="1:11">
      <c r="A496" t="s">
        <v>509</v>
      </c>
      <c r="B496" s="14">
        <f>_xlfn.MINIFS('working sheet'!$B$2:$B$3548, 'working sheet'!$D$2:$D$3548, A496)</f>
        <v>45517.364238275462</v>
      </c>
      <c r="C496" s="17">
        <f>_xlfn.MAXIFS('working sheet'!$B$1:$B$3548,'working sheet'!$D$1:$D$3548,'Customer Portfolio'!A496)</f>
        <v>45517.364238275462</v>
      </c>
      <c r="D496">
        <f>COUNTIFS('working sheet'!$D$1:$D$3548,'Customer Portfolio'!A496)</f>
        <v>1</v>
      </c>
      <c r="E496" s="5">
        <f>SUMIFS('working sheet'!$E$2:$E$3548,'working sheet'!$D$2:$D$3548,'Customer Portfolio'!A496)</f>
        <v>27.92</v>
      </c>
      <c r="F496" s="6">
        <f t="shared" si="14"/>
        <v>27.92</v>
      </c>
      <c r="G496" t="str">
        <f t="array" ref="G496">IFERROR(INDEX('working sheet'!$F$2:$F$3548, MODE(IF('working sheet'!$D$2:$D$3548=A496, MATCH('working sheet'!$F$2:$F$3548, 'working sheet'!$F$2:$F$3548, 0)))),
         INDEX('working sheet'!$F$2:$F$3548, MATCH(A496, 'working sheet'!$D$2:$D$3548, 0)))</f>
        <v>Americano with Milk</v>
      </c>
      <c r="H496" s="7">
        <f t="shared" si="15"/>
        <v>1</v>
      </c>
      <c r="I496" s="7">
        <f>MAX('working sheet'!$B$2:$B$3548)-C496</f>
        <v>222.39384777777741</v>
      </c>
      <c r="J496" s="4" t="str">
        <f t="array" ref="J496">IF(AND(I496&lt;=30, D496&gt;=10, E496&gt;=200), "VIP",  IF(AND(I496&lt;=60, D496&gt;=5, E496&gt;=100), "Loyal", IF(AND(I496&lt;=90, D496&gt;=3), "Regular", IF(I496&lt;=30, "Recent", IF(D496&gt;=3, "Occasional", "At Risk")))))</f>
        <v>At Risk</v>
      </c>
      <c r="K496" t="str">
        <f t="array" ref="K496">IF(OR(J496="VIP", J496="Loyal"), "HIGH",IF(OR(J496="Regular", J496="Recent"), "MEDIUM","LOW"))</f>
        <v>LOW</v>
      </c>
    </row>
    <row r="497" spans="1:11">
      <c r="A497" t="s">
        <v>510</v>
      </c>
      <c r="B497" s="14">
        <f>_xlfn.MINIFS('working sheet'!$B$2:$B$3548, 'working sheet'!$D$2:$D$3548, A497)</f>
        <v>45517.499856620372</v>
      </c>
      <c r="C497" s="17">
        <f>_xlfn.MAXIFS('working sheet'!$B$1:$B$3548,'working sheet'!$D$1:$D$3548,'Customer Portfolio'!A497)</f>
        <v>45517.499856620372</v>
      </c>
      <c r="D497">
        <f>COUNTIFS('working sheet'!$D$1:$D$3548,'Customer Portfolio'!A497)</f>
        <v>1</v>
      </c>
      <c r="E497" s="5">
        <f>SUMIFS('working sheet'!$E$2:$E$3548,'working sheet'!$D$2:$D$3548,'Customer Portfolio'!A497)</f>
        <v>32.82</v>
      </c>
      <c r="F497" s="6">
        <f t="shared" si="14"/>
        <v>32.82</v>
      </c>
      <c r="G497" t="str">
        <f t="array" ref="G497">IFERROR(INDEX('working sheet'!$F$2:$F$3548, MODE(IF('working sheet'!$D$2:$D$3548=A497, MATCH('working sheet'!$F$2:$F$3548, 'working sheet'!$F$2:$F$3548, 0)))),
         INDEX('working sheet'!$F$2:$F$3548, MATCH(A497, 'working sheet'!$D$2:$D$3548, 0)))</f>
        <v>Latte</v>
      </c>
      <c r="H497" s="7">
        <f t="shared" si="15"/>
        <v>1</v>
      </c>
      <c r="I497" s="7">
        <f>MAX('working sheet'!$B$2:$B$3548)-C497</f>
        <v>222.25822943286767</v>
      </c>
      <c r="J497" s="4" t="str">
        <f t="array" ref="J497">IF(AND(I497&lt;=30, D497&gt;=10, E497&gt;=200), "VIP",  IF(AND(I497&lt;=60, D497&gt;=5, E497&gt;=100), "Loyal", IF(AND(I497&lt;=90, D497&gt;=3), "Regular", IF(I497&lt;=30, "Recent", IF(D497&gt;=3, "Occasional", "At Risk")))))</f>
        <v>At Risk</v>
      </c>
      <c r="K497" t="str">
        <f t="array" ref="K497">IF(OR(J497="VIP", J497="Loyal"), "HIGH",IF(OR(J497="Regular", J497="Recent"), "MEDIUM","LOW"))</f>
        <v>LOW</v>
      </c>
    </row>
    <row r="498" spans="1:11">
      <c r="A498" t="s">
        <v>511</v>
      </c>
      <c r="B498" s="14">
        <f>_xlfn.MINIFS('working sheet'!$B$2:$B$3548, 'working sheet'!$D$2:$D$3548, A498)</f>
        <v>45517.542841284725</v>
      </c>
      <c r="C498" s="17">
        <f>_xlfn.MAXIFS('working sheet'!$B$1:$B$3548,'working sheet'!$D$1:$D$3548,'Customer Portfolio'!A498)</f>
        <v>45517.542841284725</v>
      </c>
      <c r="D498">
        <f>COUNTIFS('working sheet'!$D$1:$D$3548,'Customer Portfolio'!A498)</f>
        <v>1</v>
      </c>
      <c r="E498" s="5">
        <f>SUMIFS('working sheet'!$E$2:$E$3548,'working sheet'!$D$2:$D$3548,'Customer Portfolio'!A498)</f>
        <v>27.92</v>
      </c>
      <c r="F498" s="6">
        <f t="shared" si="14"/>
        <v>27.92</v>
      </c>
      <c r="G498" t="str">
        <f t="array" ref="G498">IFERROR(INDEX('working sheet'!$F$2:$F$3548, MODE(IF('working sheet'!$D$2:$D$3548=A498, MATCH('working sheet'!$F$2:$F$3548, 'working sheet'!$F$2:$F$3548, 0)))),
         INDEX('working sheet'!$F$2:$F$3548, MATCH(A498, 'working sheet'!$D$2:$D$3548, 0)))</f>
        <v>Americano with Milk</v>
      </c>
      <c r="H498" s="7">
        <f t="shared" si="15"/>
        <v>1</v>
      </c>
      <c r="I498" s="7">
        <f>MAX('working sheet'!$B$2:$B$3548)-C498</f>
        <v>222.21524476851482</v>
      </c>
      <c r="J498" s="4" t="str">
        <f t="array" ref="J498">IF(AND(I498&lt;=30, D498&gt;=10, E498&gt;=200), "VIP",  IF(AND(I498&lt;=60, D498&gt;=5, E498&gt;=100), "Loyal", IF(AND(I498&lt;=90, D498&gt;=3), "Regular", IF(I498&lt;=30, "Recent", IF(D498&gt;=3, "Occasional", "At Risk")))))</f>
        <v>At Risk</v>
      </c>
      <c r="K498" t="str">
        <f t="array" ref="K498">IF(OR(J498="VIP", J498="Loyal"), "HIGH",IF(OR(J498="Regular", J498="Recent"), "MEDIUM","LOW"))</f>
        <v>LOW</v>
      </c>
    </row>
    <row r="499" spans="1:11">
      <c r="A499" t="s">
        <v>512</v>
      </c>
      <c r="B499" s="14">
        <f>_xlfn.MINIFS('working sheet'!$B$2:$B$3548, 'working sheet'!$D$2:$D$3548, A499)</f>
        <v>45517.658295173613</v>
      </c>
      <c r="C499" s="17">
        <f>_xlfn.MAXIFS('working sheet'!$B$1:$B$3548,'working sheet'!$D$1:$D$3548,'Customer Portfolio'!A499)</f>
        <v>45517.658295173613</v>
      </c>
      <c r="D499">
        <f>COUNTIFS('working sheet'!$D$1:$D$3548,'Customer Portfolio'!A499)</f>
        <v>1</v>
      </c>
      <c r="E499" s="5">
        <f>SUMIFS('working sheet'!$E$2:$E$3548,'working sheet'!$D$2:$D$3548,'Customer Portfolio'!A499)</f>
        <v>32.82</v>
      </c>
      <c r="F499" s="6">
        <f t="shared" si="14"/>
        <v>32.82</v>
      </c>
      <c r="G499" t="str">
        <f t="array" ref="G499">IFERROR(INDEX('working sheet'!$F$2:$F$3548, MODE(IF('working sheet'!$D$2:$D$3548=A499, MATCH('working sheet'!$F$2:$F$3548, 'working sheet'!$F$2:$F$3548, 0)))),
         INDEX('working sheet'!$F$2:$F$3548, MATCH(A499, 'working sheet'!$D$2:$D$3548, 0)))</f>
        <v>Cappuccino</v>
      </c>
      <c r="H499" s="7">
        <f t="shared" si="15"/>
        <v>1</v>
      </c>
      <c r="I499" s="7">
        <f>MAX('working sheet'!$B$2:$B$3548)-C499</f>
        <v>222.09979087962711</v>
      </c>
      <c r="J499" s="4" t="str">
        <f t="array" ref="J499">IF(AND(I499&lt;=30, D499&gt;=10, E499&gt;=200), "VIP",  IF(AND(I499&lt;=60, D499&gt;=5, E499&gt;=100), "Loyal", IF(AND(I499&lt;=90, D499&gt;=3), "Regular", IF(I499&lt;=30, "Recent", IF(D499&gt;=3, "Occasional", "At Risk")))))</f>
        <v>At Risk</v>
      </c>
      <c r="K499" t="str">
        <f t="array" ref="K499">IF(OR(J499="VIP", J499="Loyal"), "HIGH",IF(OR(J499="Regular", J499="Recent"), "MEDIUM","LOW"))</f>
        <v>LOW</v>
      </c>
    </row>
    <row r="500" spans="1:11">
      <c r="A500" t="s">
        <v>513</v>
      </c>
      <c r="B500" s="14">
        <f>_xlfn.MINIFS('working sheet'!$B$2:$B$3548, 'working sheet'!$D$2:$D$3548, A500)</f>
        <v>45517.853871886575</v>
      </c>
      <c r="C500" s="17">
        <f>_xlfn.MAXIFS('working sheet'!$B$1:$B$3548,'working sheet'!$D$1:$D$3548,'Customer Portfolio'!A500)</f>
        <v>45517.854596643519</v>
      </c>
      <c r="D500">
        <f>COUNTIFS('working sheet'!$D$1:$D$3548,'Customer Portfolio'!A500)</f>
        <v>2</v>
      </c>
      <c r="E500" s="5">
        <f>SUMIFS('working sheet'!$E$2:$E$3548,'working sheet'!$D$2:$D$3548,'Customer Portfolio'!A500)</f>
        <v>65.64</v>
      </c>
      <c r="F500" s="6">
        <f t="shared" si="14"/>
        <v>32.82</v>
      </c>
      <c r="G500" t="str">
        <f t="array" ref="G500">IFERROR(INDEX('working sheet'!$F$2:$F$3548, MODE(IF('working sheet'!$D$2:$D$3548=A500, MATCH('working sheet'!$F$2:$F$3548, 'working sheet'!$F$2:$F$3548, 0)))),
         INDEX('working sheet'!$F$2:$F$3548, MATCH(A500, 'working sheet'!$D$2:$D$3548, 0)))</f>
        <v>Latte</v>
      </c>
      <c r="H500" s="7">
        <f t="shared" si="15"/>
        <v>1.0007247569446918</v>
      </c>
      <c r="I500" s="7">
        <f>MAX('working sheet'!$B$2:$B$3548)-C500</f>
        <v>221.90348940972035</v>
      </c>
      <c r="J500" s="4" t="str">
        <f t="array" ref="J500">IF(AND(I500&lt;=30, D500&gt;=10, E500&gt;=200), "VIP",  IF(AND(I500&lt;=60, D500&gt;=5, E500&gt;=100), "Loyal", IF(AND(I500&lt;=90, D500&gt;=3), "Regular", IF(I500&lt;=30, "Recent", IF(D500&gt;=3, "Occasional", "At Risk")))))</f>
        <v>At Risk</v>
      </c>
      <c r="K500" t="str">
        <f t="array" ref="K500">IF(OR(J500="VIP", J500="Loyal"), "HIGH",IF(OR(J500="Regular", J500="Recent"), "MEDIUM","LOW"))</f>
        <v>LOW</v>
      </c>
    </row>
    <row r="501" spans="1:11">
      <c r="A501" t="s">
        <v>514</v>
      </c>
      <c r="B501" s="14">
        <f>_xlfn.MINIFS('working sheet'!$B$2:$B$3548, 'working sheet'!$D$2:$D$3548, A501)</f>
        <v>45517.864154988427</v>
      </c>
      <c r="C501" s="17">
        <f>_xlfn.MAXIFS('working sheet'!$B$1:$B$3548,'working sheet'!$D$1:$D$3548,'Customer Portfolio'!A501)</f>
        <v>45517.864154988427</v>
      </c>
      <c r="D501">
        <f>COUNTIFS('working sheet'!$D$1:$D$3548,'Customer Portfolio'!A501)</f>
        <v>1</v>
      </c>
      <c r="E501" s="5">
        <f>SUMIFS('working sheet'!$E$2:$E$3548,'working sheet'!$D$2:$D$3548,'Customer Portfolio'!A501)</f>
        <v>32.82</v>
      </c>
      <c r="F501" s="6">
        <f t="shared" si="14"/>
        <v>32.82</v>
      </c>
      <c r="G501" t="str">
        <f t="array" ref="G501">IFERROR(INDEX('working sheet'!$F$2:$F$3548, MODE(IF('working sheet'!$D$2:$D$3548=A501, MATCH('working sheet'!$F$2:$F$3548, 'working sheet'!$F$2:$F$3548, 0)))),
         INDEX('working sheet'!$F$2:$F$3548, MATCH(A501, 'working sheet'!$D$2:$D$3548, 0)))</f>
        <v>Cappuccino</v>
      </c>
      <c r="H501" s="7">
        <f t="shared" si="15"/>
        <v>1</v>
      </c>
      <c r="I501" s="7">
        <f>MAX('working sheet'!$B$2:$B$3548)-C501</f>
        <v>221.89393106481293</v>
      </c>
      <c r="J501" s="4" t="str">
        <f t="array" ref="J501">IF(AND(I501&lt;=30, D501&gt;=10, E501&gt;=200), "VIP",  IF(AND(I501&lt;=60, D501&gt;=5, E501&gt;=100), "Loyal", IF(AND(I501&lt;=90, D501&gt;=3), "Regular", IF(I501&lt;=30, "Recent", IF(D501&gt;=3, "Occasional", "At Risk")))))</f>
        <v>At Risk</v>
      </c>
      <c r="K501" t="str">
        <f t="array" ref="K501">IF(OR(J501="VIP", J501="Loyal"), "HIGH",IF(OR(J501="Regular", J501="Recent"), "MEDIUM","LOW"))</f>
        <v>LOW</v>
      </c>
    </row>
    <row r="502" spans="1:11">
      <c r="A502" t="s">
        <v>515</v>
      </c>
      <c r="B502" s="14">
        <f>_xlfn.MINIFS('working sheet'!$B$2:$B$3548, 'working sheet'!$D$2:$D$3548, A502)</f>
        <v>45517.875517222223</v>
      </c>
      <c r="C502" s="17">
        <f>_xlfn.MAXIFS('working sheet'!$B$1:$B$3548,'working sheet'!$D$1:$D$3548,'Customer Portfolio'!A502)</f>
        <v>45517.875517222223</v>
      </c>
      <c r="D502">
        <f>COUNTIFS('working sheet'!$D$1:$D$3548,'Customer Portfolio'!A502)</f>
        <v>1</v>
      </c>
      <c r="E502" s="5">
        <f>SUMIFS('working sheet'!$E$2:$E$3548,'working sheet'!$D$2:$D$3548,'Customer Portfolio'!A502)</f>
        <v>23.02</v>
      </c>
      <c r="F502" s="6">
        <f t="shared" si="14"/>
        <v>23.02</v>
      </c>
      <c r="G502" t="str">
        <f t="array" ref="G502">IFERROR(INDEX('working sheet'!$F$2:$F$3548, MODE(IF('working sheet'!$D$2:$D$3548=A502, MATCH('working sheet'!$F$2:$F$3548, 'working sheet'!$F$2:$F$3548, 0)))),
         INDEX('working sheet'!$F$2:$F$3548, MATCH(A502, 'working sheet'!$D$2:$D$3548, 0)))</f>
        <v>Cortado</v>
      </c>
      <c r="H502" s="7">
        <f t="shared" si="15"/>
        <v>1</v>
      </c>
      <c r="I502" s="7">
        <f>MAX('working sheet'!$B$2:$B$3548)-C502</f>
        <v>221.88256883101712</v>
      </c>
      <c r="J502" s="4" t="str">
        <f t="array" ref="J502">IF(AND(I502&lt;=30, D502&gt;=10, E502&gt;=200), "VIP",  IF(AND(I502&lt;=60, D502&gt;=5, E502&gt;=100), "Loyal", IF(AND(I502&lt;=90, D502&gt;=3), "Regular", IF(I502&lt;=30, "Recent", IF(D502&gt;=3, "Occasional", "At Risk")))))</f>
        <v>At Risk</v>
      </c>
      <c r="K502" t="str">
        <f t="array" ref="K502">IF(OR(J502="VIP", J502="Loyal"), "HIGH",IF(OR(J502="Regular", J502="Recent"), "MEDIUM","LOW"))</f>
        <v>LOW</v>
      </c>
    </row>
    <row r="503" spans="1:11">
      <c r="A503" t="s">
        <v>516</v>
      </c>
      <c r="B503" s="14">
        <f>_xlfn.MINIFS('working sheet'!$B$2:$B$3548, 'working sheet'!$D$2:$D$3548, A503)</f>
        <v>45518.534223969909</v>
      </c>
      <c r="C503" s="17">
        <f>_xlfn.MAXIFS('working sheet'!$B$1:$B$3548,'working sheet'!$D$1:$D$3548,'Customer Portfolio'!A503)</f>
        <v>45518.534223969909</v>
      </c>
      <c r="D503">
        <f>COUNTIFS('working sheet'!$D$1:$D$3548,'Customer Portfolio'!A503)</f>
        <v>1</v>
      </c>
      <c r="E503" s="5">
        <f>SUMIFS('working sheet'!$E$2:$E$3548,'working sheet'!$D$2:$D$3548,'Customer Portfolio'!A503)</f>
        <v>23.02</v>
      </c>
      <c r="F503" s="6">
        <f t="shared" si="14"/>
        <v>23.02</v>
      </c>
      <c r="G503" t="str">
        <f t="array" ref="G503">IFERROR(INDEX('working sheet'!$F$2:$F$3548, MODE(IF('working sheet'!$D$2:$D$3548=A503, MATCH('working sheet'!$F$2:$F$3548, 'working sheet'!$F$2:$F$3548, 0)))),
         INDEX('working sheet'!$F$2:$F$3548, MATCH(A503, 'working sheet'!$D$2:$D$3548, 0)))</f>
        <v>Americano</v>
      </c>
      <c r="H503" s="7">
        <f t="shared" si="15"/>
        <v>1</v>
      </c>
      <c r="I503" s="7">
        <f>MAX('working sheet'!$B$2:$B$3548)-C503</f>
        <v>221.22386208333046</v>
      </c>
      <c r="J503" s="4" t="str">
        <f t="array" ref="J503">IF(AND(I503&lt;=30, D503&gt;=10, E503&gt;=200), "VIP",  IF(AND(I503&lt;=60, D503&gt;=5, E503&gt;=100), "Loyal", IF(AND(I503&lt;=90, D503&gt;=3), "Regular", IF(I503&lt;=30, "Recent", IF(D503&gt;=3, "Occasional", "At Risk")))))</f>
        <v>At Risk</v>
      </c>
      <c r="K503" t="str">
        <f t="array" ref="K503">IF(OR(J503="VIP", J503="Loyal"), "HIGH",IF(OR(J503="Regular", J503="Recent"), "MEDIUM","LOW"))</f>
        <v>LOW</v>
      </c>
    </row>
    <row r="504" spans="1:11">
      <c r="A504" t="s">
        <v>517</v>
      </c>
      <c r="B504" s="14">
        <f>_xlfn.MINIFS('working sheet'!$B$2:$B$3548, 'working sheet'!$D$2:$D$3548, A504)</f>
        <v>45518.639898842594</v>
      </c>
      <c r="C504" s="17">
        <f>_xlfn.MAXIFS('working sheet'!$B$1:$B$3548,'working sheet'!$D$1:$D$3548,'Customer Portfolio'!A504)</f>
        <v>45518.639898842594</v>
      </c>
      <c r="D504">
        <f>COUNTIFS('working sheet'!$D$1:$D$3548,'Customer Portfolio'!A504)</f>
        <v>1</v>
      </c>
      <c r="E504" s="5">
        <f>SUMIFS('working sheet'!$E$2:$E$3548,'working sheet'!$D$2:$D$3548,'Customer Portfolio'!A504)</f>
        <v>32.82</v>
      </c>
      <c r="F504" s="6">
        <f t="shared" si="14"/>
        <v>32.82</v>
      </c>
      <c r="G504" t="str">
        <f t="array" ref="G504">IFERROR(INDEX('working sheet'!$F$2:$F$3548, MODE(IF('working sheet'!$D$2:$D$3548=A504, MATCH('working sheet'!$F$2:$F$3548, 'working sheet'!$F$2:$F$3548, 0)))),
         INDEX('working sheet'!$F$2:$F$3548, MATCH(A504, 'working sheet'!$D$2:$D$3548, 0)))</f>
        <v>Latte</v>
      </c>
      <c r="H504" s="7">
        <f t="shared" si="15"/>
        <v>1</v>
      </c>
      <c r="I504" s="7">
        <f>MAX('working sheet'!$B$2:$B$3548)-C504</f>
        <v>221.11818721064628</v>
      </c>
      <c r="J504" s="4" t="str">
        <f t="array" ref="J504">IF(AND(I504&lt;=30, D504&gt;=10, E504&gt;=200), "VIP",  IF(AND(I504&lt;=60, D504&gt;=5, E504&gt;=100), "Loyal", IF(AND(I504&lt;=90, D504&gt;=3), "Regular", IF(I504&lt;=30, "Recent", IF(D504&gt;=3, "Occasional", "At Risk")))))</f>
        <v>At Risk</v>
      </c>
      <c r="K504" t="str">
        <f t="array" ref="K504">IF(OR(J504="VIP", J504="Loyal"), "HIGH",IF(OR(J504="Regular", J504="Recent"), "MEDIUM","LOW"))</f>
        <v>LOW</v>
      </c>
    </row>
    <row r="505" spans="1:11">
      <c r="A505" t="s">
        <v>518</v>
      </c>
      <c r="B505" s="14">
        <f>_xlfn.MINIFS('working sheet'!$B$2:$B$3548, 'working sheet'!$D$2:$D$3548, A505)</f>
        <v>45518.725263749999</v>
      </c>
      <c r="C505" s="17">
        <f>_xlfn.MAXIFS('working sheet'!$B$1:$B$3548,'working sheet'!$D$1:$D$3548,'Customer Portfolio'!A505)</f>
        <v>45518.725263749999</v>
      </c>
      <c r="D505">
        <f>COUNTIFS('working sheet'!$D$1:$D$3548,'Customer Portfolio'!A505)</f>
        <v>1</v>
      </c>
      <c r="E505" s="5">
        <f>SUMIFS('working sheet'!$E$2:$E$3548,'working sheet'!$D$2:$D$3548,'Customer Portfolio'!A505)</f>
        <v>23.02</v>
      </c>
      <c r="F505" s="6">
        <f t="shared" si="14"/>
        <v>23.02</v>
      </c>
      <c r="G505" t="str">
        <f t="array" ref="G505">IFERROR(INDEX('working sheet'!$F$2:$F$3548, MODE(IF('working sheet'!$D$2:$D$3548=A505, MATCH('working sheet'!$F$2:$F$3548, 'working sheet'!$F$2:$F$3548, 0)))),
         INDEX('working sheet'!$F$2:$F$3548, MATCH(A505, 'working sheet'!$D$2:$D$3548, 0)))</f>
        <v>Americano</v>
      </c>
      <c r="H505" s="7">
        <f t="shared" si="15"/>
        <v>1</v>
      </c>
      <c r="I505" s="7">
        <f>MAX('working sheet'!$B$2:$B$3548)-C505</f>
        <v>221.03282230324112</v>
      </c>
      <c r="J505" s="4" t="str">
        <f t="array" ref="J505">IF(AND(I505&lt;=30, D505&gt;=10, E505&gt;=200), "VIP",  IF(AND(I505&lt;=60, D505&gt;=5, E505&gt;=100), "Loyal", IF(AND(I505&lt;=90, D505&gt;=3), "Regular", IF(I505&lt;=30, "Recent", IF(D505&gt;=3, "Occasional", "At Risk")))))</f>
        <v>At Risk</v>
      </c>
      <c r="K505" t="str">
        <f t="array" ref="K505">IF(OR(J505="VIP", J505="Loyal"), "HIGH",IF(OR(J505="Regular", J505="Recent"), "MEDIUM","LOW"))</f>
        <v>LOW</v>
      </c>
    </row>
    <row r="506" spans="1:11">
      <c r="A506" t="s">
        <v>519</v>
      </c>
      <c r="B506" s="14">
        <f>_xlfn.MINIFS('working sheet'!$B$2:$B$3548, 'working sheet'!$D$2:$D$3548, A506)</f>
        <v>45518.756987534725</v>
      </c>
      <c r="C506" s="17">
        <f>_xlfn.MAXIFS('working sheet'!$B$1:$B$3548,'working sheet'!$D$1:$D$3548,'Customer Portfolio'!A506)</f>
        <v>45518.756987534725</v>
      </c>
      <c r="D506">
        <f>COUNTIFS('working sheet'!$D$1:$D$3548,'Customer Portfolio'!A506)</f>
        <v>1</v>
      </c>
      <c r="E506" s="5">
        <f>SUMIFS('working sheet'!$E$2:$E$3548,'working sheet'!$D$2:$D$3548,'Customer Portfolio'!A506)</f>
        <v>23.02</v>
      </c>
      <c r="F506" s="6">
        <f t="shared" si="14"/>
        <v>23.02</v>
      </c>
      <c r="G506" t="str">
        <f t="array" ref="G506">IFERROR(INDEX('working sheet'!$F$2:$F$3548, MODE(IF('working sheet'!$D$2:$D$3548=A506, MATCH('working sheet'!$F$2:$F$3548, 'working sheet'!$F$2:$F$3548, 0)))),
         INDEX('working sheet'!$F$2:$F$3548, MATCH(A506, 'working sheet'!$D$2:$D$3548, 0)))</f>
        <v>Cortado</v>
      </c>
      <c r="H506" s="7">
        <f t="shared" si="15"/>
        <v>1</v>
      </c>
      <c r="I506" s="7">
        <f>MAX('working sheet'!$B$2:$B$3548)-C506</f>
        <v>221.00109851851448</v>
      </c>
      <c r="J506" s="4" t="str">
        <f t="array" ref="J506">IF(AND(I506&lt;=30, D506&gt;=10, E506&gt;=200), "VIP",  IF(AND(I506&lt;=60, D506&gt;=5, E506&gt;=100), "Loyal", IF(AND(I506&lt;=90, D506&gt;=3), "Regular", IF(I506&lt;=30, "Recent", IF(D506&gt;=3, "Occasional", "At Risk")))))</f>
        <v>At Risk</v>
      </c>
      <c r="K506" t="str">
        <f t="array" ref="K506">IF(OR(J506="VIP", J506="Loyal"), "HIGH",IF(OR(J506="Regular", J506="Recent"), "MEDIUM","LOW"))</f>
        <v>LOW</v>
      </c>
    </row>
    <row r="507" spans="1:11">
      <c r="A507" t="s">
        <v>520</v>
      </c>
      <c r="B507" s="14">
        <f>_xlfn.MINIFS('working sheet'!$B$2:$B$3548, 'working sheet'!$D$2:$D$3548, A507)</f>
        <v>45518.79118378472</v>
      </c>
      <c r="C507" s="17">
        <f>_xlfn.MAXIFS('working sheet'!$B$1:$B$3548,'working sheet'!$D$1:$D$3548,'Customer Portfolio'!A507)</f>
        <v>45518.79118378472</v>
      </c>
      <c r="D507">
        <f>COUNTIFS('working sheet'!$D$1:$D$3548,'Customer Portfolio'!A507)</f>
        <v>1</v>
      </c>
      <c r="E507" s="5">
        <f>SUMIFS('working sheet'!$E$2:$E$3548,'working sheet'!$D$2:$D$3548,'Customer Portfolio'!A507)</f>
        <v>27.92</v>
      </c>
      <c r="F507" s="6">
        <f t="shared" si="14"/>
        <v>27.92</v>
      </c>
      <c r="G507" t="str">
        <f t="array" ref="G507">IFERROR(INDEX('working sheet'!$F$2:$F$3548, MODE(IF('working sheet'!$D$2:$D$3548=A507, MATCH('working sheet'!$F$2:$F$3548, 'working sheet'!$F$2:$F$3548, 0)))),
         INDEX('working sheet'!$F$2:$F$3548, MATCH(A507, 'working sheet'!$D$2:$D$3548, 0)))</f>
        <v>Americano with Milk</v>
      </c>
      <c r="H507" s="7">
        <f t="shared" si="15"/>
        <v>1</v>
      </c>
      <c r="I507" s="7">
        <f>MAX('working sheet'!$B$2:$B$3548)-C507</f>
        <v>220.96690226851933</v>
      </c>
      <c r="J507" s="4" t="str">
        <f t="array" ref="J507">IF(AND(I507&lt;=30, D507&gt;=10, E507&gt;=200), "VIP",  IF(AND(I507&lt;=60, D507&gt;=5, E507&gt;=100), "Loyal", IF(AND(I507&lt;=90, D507&gt;=3), "Regular", IF(I507&lt;=30, "Recent", IF(D507&gt;=3, "Occasional", "At Risk")))))</f>
        <v>At Risk</v>
      </c>
      <c r="K507" t="str">
        <f t="array" ref="K507">IF(OR(J507="VIP", J507="Loyal"), "HIGH",IF(OR(J507="Regular", J507="Recent"), "MEDIUM","LOW"))</f>
        <v>LOW</v>
      </c>
    </row>
    <row r="508" spans="1:11">
      <c r="A508" t="s">
        <v>521</v>
      </c>
      <c r="B508" s="14">
        <f>_xlfn.MINIFS('working sheet'!$B$2:$B$3548, 'working sheet'!$D$2:$D$3548, A508)</f>
        <v>45518.90385440972</v>
      </c>
      <c r="C508" s="17">
        <f>_xlfn.MAXIFS('working sheet'!$B$1:$B$3548,'working sheet'!$D$1:$D$3548,'Customer Portfolio'!A508)</f>
        <v>45737.786257708336</v>
      </c>
      <c r="D508">
        <f>COUNTIFS('working sheet'!$D$1:$D$3548,'Customer Portfolio'!A508)</f>
        <v>51</v>
      </c>
      <c r="E508" s="5">
        <f>SUMIFS('working sheet'!$E$2:$E$3548,'working sheet'!$D$2:$D$3548,'Customer Portfolio'!A508)</f>
        <v>1797.2999999999997</v>
      </c>
      <c r="F508" s="6">
        <f t="shared" si="14"/>
        <v>35.241176470588229</v>
      </c>
      <c r="G508" t="str">
        <f t="array" ref="G508">IFERROR(INDEX('working sheet'!$F$2:$F$3548, MODE(IF('working sheet'!$D$2:$D$3548=A508, MATCH('working sheet'!$F$2:$F$3548, 'working sheet'!$F$2:$F$3548, 0)))),
         INDEX('working sheet'!$F$2:$F$3548, MATCH(A508, 'working sheet'!$D$2:$D$3548, 0)))</f>
        <v>Latte</v>
      </c>
      <c r="H508" s="7">
        <f t="shared" si="15"/>
        <v>219.88240329861583</v>
      </c>
      <c r="I508" s="7">
        <f>MAX('working sheet'!$B$2:$B$3548)-C508</f>
        <v>1.9718283449037699</v>
      </c>
      <c r="J508" s="4" t="str">
        <f t="array" ref="J508">IF(AND(I508&lt;=30, D508&gt;=10, E508&gt;=200), "VIP",  IF(AND(I508&lt;=60, D508&gt;=5, E508&gt;=100), "Loyal", IF(AND(I508&lt;=90, D508&gt;=3), "Regular", IF(I508&lt;=30, "Recent", IF(D508&gt;=3, "Occasional", "At Risk")))))</f>
        <v>VIP</v>
      </c>
      <c r="K508" t="str">
        <f t="array" ref="K508">IF(OR(J508="VIP", J508="Loyal"), "HIGH",IF(OR(J508="Regular", J508="Recent"), "MEDIUM","LOW"))</f>
        <v>HIGH</v>
      </c>
    </row>
    <row r="509" spans="1:11">
      <c r="A509" t="s">
        <v>522</v>
      </c>
      <c r="B509" s="14">
        <f>_xlfn.MINIFS('working sheet'!$B$2:$B$3548, 'working sheet'!$D$2:$D$3548, A509)</f>
        <v>45519.400719583333</v>
      </c>
      <c r="C509" s="17">
        <f>_xlfn.MAXIFS('working sheet'!$B$1:$B$3548,'working sheet'!$D$1:$D$3548,'Customer Portfolio'!A509)</f>
        <v>45519.400719583333</v>
      </c>
      <c r="D509">
        <f>COUNTIFS('working sheet'!$D$1:$D$3548,'Customer Portfolio'!A509)</f>
        <v>1</v>
      </c>
      <c r="E509" s="5">
        <f>SUMIFS('working sheet'!$E$2:$E$3548,'working sheet'!$D$2:$D$3548,'Customer Portfolio'!A509)</f>
        <v>32.82</v>
      </c>
      <c r="F509" s="6">
        <f t="shared" si="14"/>
        <v>32.82</v>
      </c>
      <c r="G509" t="str">
        <f t="array" ref="G509">IFERROR(INDEX('working sheet'!$F$2:$F$3548, MODE(IF('working sheet'!$D$2:$D$3548=A509, MATCH('working sheet'!$F$2:$F$3548, 'working sheet'!$F$2:$F$3548, 0)))),
         INDEX('working sheet'!$F$2:$F$3548, MATCH(A509, 'working sheet'!$D$2:$D$3548, 0)))</f>
        <v>Cappuccino</v>
      </c>
      <c r="H509" s="7">
        <f t="shared" si="15"/>
        <v>1</v>
      </c>
      <c r="I509" s="7">
        <f>MAX('working sheet'!$B$2:$B$3548)-C509</f>
        <v>220.35736646990699</v>
      </c>
      <c r="J509" s="4" t="str">
        <f t="array" ref="J509">IF(AND(I509&lt;=30, D509&gt;=10, E509&gt;=200), "VIP",  IF(AND(I509&lt;=60, D509&gt;=5, E509&gt;=100), "Loyal", IF(AND(I509&lt;=90, D509&gt;=3), "Regular", IF(I509&lt;=30, "Recent", IF(D509&gt;=3, "Occasional", "At Risk")))))</f>
        <v>At Risk</v>
      </c>
      <c r="K509" t="str">
        <f t="array" ref="K509">IF(OR(J509="VIP", J509="Loyal"), "HIGH",IF(OR(J509="Regular", J509="Recent"), "MEDIUM","LOW"))</f>
        <v>LOW</v>
      </c>
    </row>
    <row r="510" spans="1:11">
      <c r="A510" t="s">
        <v>523</v>
      </c>
      <c r="B510" s="14">
        <f>_xlfn.MINIFS('working sheet'!$B$2:$B$3548, 'working sheet'!$D$2:$D$3548, A510)</f>
        <v>45519.401445636577</v>
      </c>
      <c r="C510" s="17">
        <f>_xlfn.MAXIFS('working sheet'!$B$1:$B$3548,'working sheet'!$D$1:$D$3548,'Customer Portfolio'!A510)</f>
        <v>45519.401964525459</v>
      </c>
      <c r="D510">
        <f>COUNTIFS('working sheet'!$D$1:$D$3548,'Customer Portfolio'!A510)</f>
        <v>2</v>
      </c>
      <c r="E510" s="5">
        <f>SUMIFS('working sheet'!$E$2:$E$3548,'working sheet'!$D$2:$D$3548,'Customer Portfolio'!A510)</f>
        <v>65.64</v>
      </c>
      <c r="F510" s="6">
        <f t="shared" si="14"/>
        <v>32.82</v>
      </c>
      <c r="G510" t="str">
        <f t="array" ref="G510">IFERROR(INDEX('working sheet'!$F$2:$F$3548, MODE(IF('working sheet'!$D$2:$D$3548=A510, MATCH('working sheet'!$F$2:$F$3548, 'working sheet'!$F$2:$F$3548, 0)))),
         INDEX('working sheet'!$F$2:$F$3548, MATCH(A510, 'working sheet'!$D$2:$D$3548, 0)))</f>
        <v>Hot Chocolate</v>
      </c>
      <c r="H510" s="7">
        <f t="shared" si="15"/>
        <v>1.0005188888826524</v>
      </c>
      <c r="I510" s="7">
        <f>MAX('working sheet'!$B$2:$B$3548)-C510</f>
        <v>220.35612152778049</v>
      </c>
      <c r="J510" s="4" t="str">
        <f t="array" ref="J510">IF(AND(I510&lt;=30, D510&gt;=10, E510&gt;=200), "VIP",  IF(AND(I510&lt;=60, D510&gt;=5, E510&gt;=100), "Loyal", IF(AND(I510&lt;=90, D510&gt;=3), "Regular", IF(I510&lt;=30, "Recent", IF(D510&gt;=3, "Occasional", "At Risk")))))</f>
        <v>At Risk</v>
      </c>
      <c r="K510" t="str">
        <f t="array" ref="K510">IF(OR(J510="VIP", J510="Loyal"), "HIGH",IF(OR(J510="Regular", J510="Recent"), "MEDIUM","LOW"))</f>
        <v>LOW</v>
      </c>
    </row>
    <row r="511" spans="1:11">
      <c r="A511" t="s">
        <v>524</v>
      </c>
      <c r="B511" s="14">
        <f>_xlfn.MINIFS('working sheet'!$B$2:$B$3548, 'working sheet'!$D$2:$D$3548, A511)</f>
        <v>45519.575157418978</v>
      </c>
      <c r="C511" s="17">
        <f>_xlfn.MAXIFS('working sheet'!$B$1:$B$3548,'working sheet'!$D$1:$D$3548,'Customer Portfolio'!A511)</f>
        <v>45582.435159606481</v>
      </c>
      <c r="D511">
        <f>COUNTIFS('working sheet'!$D$1:$D$3548,'Customer Portfolio'!A511)</f>
        <v>9</v>
      </c>
      <c r="E511" s="5">
        <f>SUMIFS('working sheet'!$E$2:$E$3548,'working sheet'!$D$2:$D$3548,'Customer Portfolio'!A511)</f>
        <v>297.33999999999997</v>
      </c>
      <c r="F511" s="6">
        <f t="shared" si="14"/>
        <v>33.037777777777777</v>
      </c>
      <c r="G511" t="str">
        <f t="array" ref="G511">IFERROR(INDEX('working sheet'!$F$2:$F$3548, MODE(IF('working sheet'!$D$2:$D$3548=A511, MATCH('working sheet'!$F$2:$F$3548, 'working sheet'!$F$2:$F$3548, 0)))),
         INDEX('working sheet'!$F$2:$F$3548, MATCH(A511, 'working sheet'!$D$2:$D$3548, 0)))</f>
        <v>Latte</v>
      </c>
      <c r="H511" s="7">
        <f t="shared" si="15"/>
        <v>63.860002187502687</v>
      </c>
      <c r="I511" s="7">
        <f>MAX('working sheet'!$B$2:$B$3548)-C511</f>
        <v>157.32292644675908</v>
      </c>
      <c r="J511" s="4" t="str">
        <f t="array" ref="J511">IF(AND(I511&lt;=30, D511&gt;=10, E511&gt;=200), "VIP",  IF(AND(I511&lt;=60, D511&gt;=5, E511&gt;=100), "Loyal", IF(AND(I511&lt;=90, D511&gt;=3), "Regular", IF(I511&lt;=30, "Recent", IF(D511&gt;=3, "Occasional", "At Risk")))))</f>
        <v>Occasional</v>
      </c>
      <c r="K511" t="str">
        <f t="array" ref="K511">IF(OR(J511="VIP", J511="Loyal"), "HIGH",IF(OR(J511="Regular", J511="Recent"), "MEDIUM","LOW"))</f>
        <v>LOW</v>
      </c>
    </row>
    <row r="512" spans="1:11">
      <c r="A512" t="s">
        <v>525</v>
      </c>
      <c r="B512" s="14">
        <f>_xlfn.MINIFS('working sheet'!$B$2:$B$3548, 'working sheet'!$D$2:$D$3548, A512)</f>
        <v>45519.745743344909</v>
      </c>
      <c r="C512" s="17">
        <f>_xlfn.MAXIFS('working sheet'!$B$1:$B$3548,'working sheet'!$D$1:$D$3548,'Customer Portfolio'!A512)</f>
        <v>45519.745743344909</v>
      </c>
      <c r="D512">
        <f>COUNTIFS('working sheet'!$D$1:$D$3548,'Customer Portfolio'!A512)</f>
        <v>1</v>
      </c>
      <c r="E512" s="5">
        <f>SUMIFS('working sheet'!$E$2:$E$3548,'working sheet'!$D$2:$D$3548,'Customer Portfolio'!A512)</f>
        <v>27.92</v>
      </c>
      <c r="F512" s="6">
        <f t="shared" si="14"/>
        <v>27.92</v>
      </c>
      <c r="G512" t="str">
        <f t="array" ref="G512">IFERROR(INDEX('working sheet'!$F$2:$F$3548, MODE(IF('working sheet'!$D$2:$D$3548=A512, MATCH('working sheet'!$F$2:$F$3548, 'working sheet'!$F$2:$F$3548, 0)))),
         INDEX('working sheet'!$F$2:$F$3548, MATCH(A512, 'working sheet'!$D$2:$D$3548, 0)))</f>
        <v>Americano with Milk</v>
      </c>
      <c r="H512" s="7">
        <f t="shared" si="15"/>
        <v>1</v>
      </c>
      <c r="I512" s="7">
        <f>MAX('working sheet'!$B$2:$B$3548)-C512</f>
        <v>220.01234270833083</v>
      </c>
      <c r="J512" s="4" t="str">
        <f t="array" ref="J512">IF(AND(I512&lt;=30, D512&gt;=10, E512&gt;=200), "VIP",  IF(AND(I512&lt;=60, D512&gt;=5, E512&gt;=100), "Loyal", IF(AND(I512&lt;=90, D512&gt;=3), "Regular", IF(I512&lt;=30, "Recent", IF(D512&gt;=3, "Occasional", "At Risk")))))</f>
        <v>At Risk</v>
      </c>
      <c r="K512" t="str">
        <f t="array" ref="K512">IF(OR(J512="VIP", J512="Loyal"), "HIGH",IF(OR(J512="Regular", J512="Recent"), "MEDIUM","LOW"))</f>
        <v>LOW</v>
      </c>
    </row>
    <row r="513" spans="1:11">
      <c r="A513" t="s">
        <v>526</v>
      </c>
      <c r="B513" s="14">
        <f>_xlfn.MINIFS('working sheet'!$B$2:$B$3548, 'working sheet'!$D$2:$D$3548, A513)</f>
        <v>45519.799284976849</v>
      </c>
      <c r="C513" s="17">
        <f>_xlfn.MAXIFS('working sheet'!$B$1:$B$3548,'working sheet'!$D$1:$D$3548,'Customer Portfolio'!A513)</f>
        <v>45519.799930972222</v>
      </c>
      <c r="D513">
        <f>COUNTIFS('working sheet'!$D$1:$D$3548,'Customer Portfolio'!A513)</f>
        <v>2</v>
      </c>
      <c r="E513" s="5">
        <f>SUMIFS('working sheet'!$E$2:$E$3548,'working sheet'!$D$2:$D$3548,'Customer Portfolio'!A513)</f>
        <v>60.74</v>
      </c>
      <c r="F513" s="6">
        <f t="shared" si="14"/>
        <v>30.37</v>
      </c>
      <c r="G513" t="str">
        <f t="array" ref="G513">IFERROR(INDEX('working sheet'!$F$2:$F$3548, MODE(IF('working sheet'!$D$2:$D$3548=A513, MATCH('working sheet'!$F$2:$F$3548, 'working sheet'!$F$2:$F$3548, 0)))),
         INDEX('working sheet'!$F$2:$F$3548, MATCH(A513, 'working sheet'!$D$2:$D$3548, 0)))</f>
        <v>Hot Chocolate</v>
      </c>
      <c r="H513" s="7">
        <f t="shared" si="15"/>
        <v>1.0006459953729063</v>
      </c>
      <c r="I513" s="7">
        <f>MAX('working sheet'!$B$2:$B$3548)-C513</f>
        <v>219.95815508101805</v>
      </c>
      <c r="J513" s="4" t="str">
        <f t="array" ref="J513">IF(AND(I513&lt;=30, D513&gt;=10, E513&gt;=200), "VIP",  IF(AND(I513&lt;=60, D513&gt;=5, E513&gt;=100), "Loyal", IF(AND(I513&lt;=90, D513&gt;=3), "Regular", IF(I513&lt;=30, "Recent", IF(D513&gt;=3, "Occasional", "At Risk")))))</f>
        <v>At Risk</v>
      </c>
      <c r="K513" t="str">
        <f t="array" ref="K513">IF(OR(J513="VIP", J513="Loyal"), "HIGH",IF(OR(J513="Regular", J513="Recent"), "MEDIUM","LOW"))</f>
        <v>LOW</v>
      </c>
    </row>
    <row r="514" spans="1:11">
      <c r="A514" t="s">
        <v>527</v>
      </c>
      <c r="B514" s="14">
        <f>_xlfn.MINIFS('working sheet'!$B$2:$B$3548, 'working sheet'!$D$2:$D$3548, A514)</f>
        <v>45519.820488935184</v>
      </c>
      <c r="C514" s="17">
        <f>_xlfn.MAXIFS('working sheet'!$B$1:$B$3548,'working sheet'!$D$1:$D$3548,'Customer Portfolio'!A514)</f>
        <v>45520.520332546294</v>
      </c>
      <c r="D514">
        <f>COUNTIFS('working sheet'!$D$1:$D$3548,'Customer Portfolio'!A514)</f>
        <v>3</v>
      </c>
      <c r="E514" s="5">
        <f>SUMIFS('working sheet'!$E$2:$E$3548,'working sheet'!$D$2:$D$3548,'Customer Portfolio'!A514)</f>
        <v>83.759999999999991</v>
      </c>
      <c r="F514" s="6">
        <f t="shared" si="14"/>
        <v>27.919999999999998</v>
      </c>
      <c r="G514" t="str">
        <f t="array" ref="G514">IFERROR(INDEX('working sheet'!$F$2:$F$3548, MODE(IF('working sheet'!$D$2:$D$3548=A514, MATCH('working sheet'!$F$2:$F$3548, 'working sheet'!$F$2:$F$3548, 0)))),
         INDEX('working sheet'!$F$2:$F$3548, MATCH(A514, 'working sheet'!$D$2:$D$3548, 0)))</f>
        <v>Americano with Milk</v>
      </c>
      <c r="H514" s="7">
        <f t="shared" si="15"/>
        <v>1.6998436111098272</v>
      </c>
      <c r="I514" s="7">
        <f>MAX('working sheet'!$B$2:$B$3548)-C514</f>
        <v>219.23775350694632</v>
      </c>
      <c r="J514" s="4" t="str">
        <f t="array" ref="J514">IF(AND(I514&lt;=30, D514&gt;=10, E514&gt;=200), "VIP",  IF(AND(I514&lt;=60, D514&gt;=5, E514&gt;=100), "Loyal", IF(AND(I514&lt;=90, D514&gt;=3), "Regular", IF(I514&lt;=30, "Recent", IF(D514&gt;=3, "Occasional", "At Risk")))))</f>
        <v>Occasional</v>
      </c>
      <c r="K514" t="str">
        <f t="array" ref="K514">IF(OR(J514="VIP", J514="Loyal"), "HIGH",IF(OR(J514="Regular", J514="Recent"), "MEDIUM","LOW"))</f>
        <v>LOW</v>
      </c>
    </row>
    <row r="515" spans="1:11">
      <c r="A515" t="s">
        <v>528</v>
      </c>
      <c r="B515" s="14">
        <f>_xlfn.MINIFS('working sheet'!$B$2:$B$3548, 'working sheet'!$D$2:$D$3548, A515)</f>
        <v>45519.861591620371</v>
      </c>
      <c r="C515" s="17">
        <f>_xlfn.MAXIFS('working sheet'!$B$1:$B$3548,'working sheet'!$D$1:$D$3548,'Customer Portfolio'!A515)</f>
        <v>45519.861591620371</v>
      </c>
      <c r="D515">
        <f>COUNTIFS('working sheet'!$D$1:$D$3548,'Customer Portfolio'!A515)</f>
        <v>1</v>
      </c>
      <c r="E515" s="5">
        <f>SUMIFS('working sheet'!$E$2:$E$3548,'working sheet'!$D$2:$D$3548,'Customer Portfolio'!A515)</f>
        <v>32.82</v>
      </c>
      <c r="F515" s="6">
        <f t="shared" ref="F515:F578" si="16">E515/D515</f>
        <v>32.82</v>
      </c>
      <c r="G515" t="str">
        <f t="array" ref="G515">IFERROR(INDEX('working sheet'!$F$2:$F$3548, MODE(IF('working sheet'!$D$2:$D$3548=A515, MATCH('working sheet'!$F$2:$F$3548, 'working sheet'!$F$2:$F$3548, 0)))),
         INDEX('working sheet'!$F$2:$F$3548, MATCH(A515, 'working sheet'!$D$2:$D$3548, 0)))</f>
        <v>Cappuccino</v>
      </c>
      <c r="H515" s="7">
        <f t="shared" ref="H515:H578" si="17">C515-B515+1</f>
        <v>1</v>
      </c>
      <c r="I515" s="7">
        <f>MAX('working sheet'!$B$2:$B$3548)-C515</f>
        <v>219.89649443286908</v>
      </c>
      <c r="J515" s="4" t="str">
        <f t="array" ref="J515">IF(AND(I515&lt;=30, D515&gt;=10, E515&gt;=200), "VIP",  IF(AND(I515&lt;=60, D515&gt;=5, E515&gt;=100), "Loyal", IF(AND(I515&lt;=90, D515&gt;=3), "Regular", IF(I515&lt;=30, "Recent", IF(D515&gt;=3, "Occasional", "At Risk")))))</f>
        <v>At Risk</v>
      </c>
      <c r="K515" t="str">
        <f t="array" ref="K515">IF(OR(J515="VIP", J515="Loyal"), "HIGH",IF(OR(J515="Regular", J515="Recent"), "MEDIUM","LOW"))</f>
        <v>LOW</v>
      </c>
    </row>
    <row r="516" spans="1:11">
      <c r="A516" t="s">
        <v>529</v>
      </c>
      <c r="B516" s="14">
        <f>_xlfn.MINIFS('working sheet'!$B$2:$B$3548, 'working sheet'!$D$2:$D$3548, A516)</f>
        <v>45520.537701990739</v>
      </c>
      <c r="C516" s="17">
        <f>_xlfn.MAXIFS('working sheet'!$B$1:$B$3548,'working sheet'!$D$1:$D$3548,'Customer Portfolio'!A516)</f>
        <v>45520.537701990739</v>
      </c>
      <c r="D516">
        <f>COUNTIFS('working sheet'!$D$1:$D$3548,'Customer Portfolio'!A516)</f>
        <v>1</v>
      </c>
      <c r="E516" s="5">
        <f>SUMIFS('working sheet'!$E$2:$E$3548,'working sheet'!$D$2:$D$3548,'Customer Portfolio'!A516)</f>
        <v>23.02</v>
      </c>
      <c r="F516" s="6">
        <f t="shared" si="16"/>
        <v>23.02</v>
      </c>
      <c r="G516" t="str">
        <f t="array" ref="G516">IFERROR(INDEX('working sheet'!$F$2:$F$3548, MODE(IF('working sheet'!$D$2:$D$3548=A516, MATCH('working sheet'!$F$2:$F$3548, 'working sheet'!$F$2:$F$3548, 0)))),
         INDEX('working sheet'!$F$2:$F$3548, MATCH(A516, 'working sheet'!$D$2:$D$3548, 0)))</f>
        <v>Americano</v>
      </c>
      <c r="H516" s="7">
        <f t="shared" si="17"/>
        <v>1</v>
      </c>
      <c r="I516" s="7">
        <f>MAX('working sheet'!$B$2:$B$3548)-C516</f>
        <v>219.22038406250067</v>
      </c>
      <c r="J516" s="4" t="str">
        <f t="array" ref="J516">IF(AND(I516&lt;=30, D516&gt;=10, E516&gt;=200), "VIP",  IF(AND(I516&lt;=60, D516&gt;=5, E516&gt;=100), "Loyal", IF(AND(I516&lt;=90, D516&gt;=3), "Regular", IF(I516&lt;=30, "Recent", IF(D516&gt;=3, "Occasional", "At Risk")))))</f>
        <v>At Risk</v>
      </c>
      <c r="K516" t="str">
        <f t="array" ref="K516">IF(OR(J516="VIP", J516="Loyal"), "HIGH",IF(OR(J516="Regular", J516="Recent"), "MEDIUM","LOW"))</f>
        <v>LOW</v>
      </c>
    </row>
    <row r="517" spans="1:11">
      <c r="A517" t="s">
        <v>530</v>
      </c>
      <c r="B517" s="14">
        <f>_xlfn.MINIFS('working sheet'!$B$2:$B$3548, 'working sheet'!$D$2:$D$3548, A517)</f>
        <v>45521.38760396991</v>
      </c>
      <c r="C517" s="17">
        <f>_xlfn.MAXIFS('working sheet'!$B$1:$B$3548,'working sheet'!$D$1:$D$3548,'Customer Portfolio'!A517)</f>
        <v>45521.38760396991</v>
      </c>
      <c r="D517">
        <f>COUNTIFS('working sheet'!$D$1:$D$3548,'Customer Portfolio'!A517)</f>
        <v>1</v>
      </c>
      <c r="E517" s="5">
        <f>SUMIFS('working sheet'!$E$2:$E$3548,'working sheet'!$D$2:$D$3548,'Customer Portfolio'!A517)</f>
        <v>32.82</v>
      </c>
      <c r="F517" s="6">
        <f t="shared" si="16"/>
        <v>32.82</v>
      </c>
      <c r="G517" t="str">
        <f t="array" ref="G517">IFERROR(INDEX('working sheet'!$F$2:$F$3548, MODE(IF('working sheet'!$D$2:$D$3548=A517, MATCH('working sheet'!$F$2:$F$3548, 'working sheet'!$F$2:$F$3548, 0)))),
         INDEX('working sheet'!$F$2:$F$3548, MATCH(A517, 'working sheet'!$D$2:$D$3548, 0)))</f>
        <v>Cappuccino</v>
      </c>
      <c r="H517" s="7">
        <f t="shared" si="17"/>
        <v>1</v>
      </c>
      <c r="I517" s="7">
        <f>MAX('working sheet'!$B$2:$B$3548)-C517</f>
        <v>218.37048208332999</v>
      </c>
      <c r="J517" s="4" t="str">
        <f t="array" ref="J517">IF(AND(I517&lt;=30, D517&gt;=10, E517&gt;=200), "VIP",  IF(AND(I517&lt;=60, D517&gt;=5, E517&gt;=100), "Loyal", IF(AND(I517&lt;=90, D517&gt;=3), "Regular", IF(I517&lt;=30, "Recent", IF(D517&gt;=3, "Occasional", "At Risk")))))</f>
        <v>At Risk</v>
      </c>
      <c r="K517" t="str">
        <f t="array" ref="K517">IF(OR(J517="VIP", J517="Loyal"), "HIGH",IF(OR(J517="Regular", J517="Recent"), "MEDIUM","LOW"))</f>
        <v>LOW</v>
      </c>
    </row>
    <row r="518" spans="1:11">
      <c r="A518" t="s">
        <v>531</v>
      </c>
      <c r="B518" s="14">
        <f>_xlfn.MINIFS('working sheet'!$B$2:$B$3548, 'working sheet'!$D$2:$D$3548, A518)</f>
        <v>45521.453950543983</v>
      </c>
      <c r="C518" s="17">
        <f>_xlfn.MAXIFS('working sheet'!$B$1:$B$3548,'working sheet'!$D$1:$D$3548,'Customer Portfolio'!A518)</f>
        <v>45521.453950543983</v>
      </c>
      <c r="D518">
        <f>COUNTIFS('working sheet'!$D$1:$D$3548,'Customer Portfolio'!A518)</f>
        <v>1</v>
      </c>
      <c r="E518" s="5">
        <f>SUMIFS('working sheet'!$E$2:$E$3548,'working sheet'!$D$2:$D$3548,'Customer Portfolio'!A518)</f>
        <v>27.92</v>
      </c>
      <c r="F518" s="6">
        <f t="shared" si="16"/>
        <v>27.92</v>
      </c>
      <c r="G518" t="str">
        <f t="array" ref="G518">IFERROR(INDEX('working sheet'!$F$2:$F$3548, MODE(IF('working sheet'!$D$2:$D$3548=A518, MATCH('working sheet'!$F$2:$F$3548, 'working sheet'!$F$2:$F$3548, 0)))),
         INDEX('working sheet'!$F$2:$F$3548, MATCH(A518, 'working sheet'!$D$2:$D$3548, 0)))</f>
        <v>Americano with Milk</v>
      </c>
      <c r="H518" s="7">
        <f t="shared" si="17"/>
        <v>1</v>
      </c>
      <c r="I518" s="7">
        <f>MAX('working sheet'!$B$2:$B$3548)-C518</f>
        <v>218.30413550925732</v>
      </c>
      <c r="J518" s="4" t="str">
        <f t="array" ref="J518">IF(AND(I518&lt;=30, D518&gt;=10, E518&gt;=200), "VIP",  IF(AND(I518&lt;=60, D518&gt;=5, E518&gt;=100), "Loyal", IF(AND(I518&lt;=90, D518&gt;=3), "Regular", IF(I518&lt;=30, "Recent", IF(D518&gt;=3, "Occasional", "At Risk")))))</f>
        <v>At Risk</v>
      </c>
      <c r="K518" t="str">
        <f t="array" ref="K518">IF(OR(J518="VIP", J518="Loyal"), "HIGH",IF(OR(J518="Regular", J518="Recent"), "MEDIUM","LOW"))</f>
        <v>LOW</v>
      </c>
    </row>
    <row r="519" spans="1:11">
      <c r="A519" t="s">
        <v>532</v>
      </c>
      <c r="B519" s="14">
        <f>_xlfn.MINIFS('working sheet'!$B$2:$B$3548, 'working sheet'!$D$2:$D$3548, A519)</f>
        <v>45521.55463175926</v>
      </c>
      <c r="C519" s="17">
        <f>_xlfn.MAXIFS('working sheet'!$B$1:$B$3548,'working sheet'!$D$1:$D$3548,'Customer Portfolio'!A519)</f>
        <v>45588.914823437502</v>
      </c>
      <c r="D519">
        <f>COUNTIFS('working sheet'!$D$1:$D$3548,'Customer Portfolio'!A519)</f>
        <v>2</v>
      </c>
      <c r="E519" s="5">
        <f>SUMIFS('working sheet'!$E$2:$E$3548,'working sheet'!$D$2:$D$3548,'Customer Portfolio'!A519)</f>
        <v>58.78</v>
      </c>
      <c r="F519" s="6">
        <f t="shared" si="16"/>
        <v>29.39</v>
      </c>
      <c r="G519" t="str">
        <f t="array" ref="G519">IFERROR(INDEX('working sheet'!$F$2:$F$3548, MODE(IF('working sheet'!$D$2:$D$3548=A519, MATCH('working sheet'!$F$2:$F$3548, 'working sheet'!$F$2:$F$3548, 0)))),
         INDEX('working sheet'!$F$2:$F$3548, MATCH(A519, 'working sheet'!$D$2:$D$3548, 0)))</f>
        <v>Americano with Milk</v>
      </c>
      <c r="H519" s="7">
        <f t="shared" si="17"/>
        <v>68.3601916782427</v>
      </c>
      <c r="I519" s="7">
        <f>MAX('working sheet'!$B$2:$B$3548)-C519</f>
        <v>150.84326261573733</v>
      </c>
      <c r="J519" s="4" t="str">
        <f t="array" ref="J519">IF(AND(I519&lt;=30, D519&gt;=10, E519&gt;=200), "VIP",  IF(AND(I519&lt;=60, D519&gt;=5, E519&gt;=100), "Loyal", IF(AND(I519&lt;=90, D519&gt;=3), "Regular", IF(I519&lt;=30, "Recent", IF(D519&gt;=3, "Occasional", "At Risk")))))</f>
        <v>At Risk</v>
      </c>
      <c r="K519" t="str">
        <f t="array" ref="K519">IF(OR(J519="VIP", J519="Loyal"), "HIGH",IF(OR(J519="Regular", J519="Recent"), "MEDIUM","LOW"))</f>
        <v>LOW</v>
      </c>
    </row>
    <row r="520" spans="1:11">
      <c r="A520" t="s">
        <v>533</v>
      </c>
      <c r="B520" s="14">
        <f>_xlfn.MINIFS('working sheet'!$B$2:$B$3548, 'working sheet'!$D$2:$D$3548, A520)</f>
        <v>45521.946288784726</v>
      </c>
      <c r="C520" s="17">
        <f>_xlfn.MAXIFS('working sheet'!$B$1:$B$3548,'working sheet'!$D$1:$D$3548,'Customer Portfolio'!A520)</f>
        <v>45521.946288784726</v>
      </c>
      <c r="D520">
        <f>COUNTIFS('working sheet'!$D$1:$D$3548,'Customer Portfolio'!A520)</f>
        <v>1</v>
      </c>
      <c r="E520" s="5">
        <f>SUMIFS('working sheet'!$E$2:$E$3548,'working sheet'!$D$2:$D$3548,'Customer Portfolio'!A520)</f>
        <v>32.82</v>
      </c>
      <c r="F520" s="6">
        <f t="shared" si="16"/>
        <v>32.82</v>
      </c>
      <c r="G520" t="str">
        <f t="array" ref="G520">IFERROR(INDEX('working sheet'!$F$2:$F$3548, MODE(IF('working sheet'!$D$2:$D$3548=A520, MATCH('working sheet'!$F$2:$F$3548, 'working sheet'!$F$2:$F$3548, 0)))),
         INDEX('working sheet'!$F$2:$F$3548, MATCH(A520, 'working sheet'!$D$2:$D$3548, 0)))</f>
        <v>Latte</v>
      </c>
      <c r="H520" s="7">
        <f t="shared" si="17"/>
        <v>1</v>
      </c>
      <c r="I520" s="7">
        <f>MAX('working sheet'!$B$2:$B$3548)-C520</f>
        <v>217.81179726851406</v>
      </c>
      <c r="J520" s="4" t="str">
        <f t="array" ref="J520">IF(AND(I520&lt;=30, D520&gt;=10, E520&gt;=200), "VIP",  IF(AND(I520&lt;=60, D520&gt;=5, E520&gt;=100), "Loyal", IF(AND(I520&lt;=90, D520&gt;=3), "Regular", IF(I520&lt;=30, "Recent", IF(D520&gt;=3, "Occasional", "At Risk")))))</f>
        <v>At Risk</v>
      </c>
      <c r="K520" t="str">
        <f t="array" ref="K520">IF(OR(J520="VIP", J520="Loyal"), "HIGH",IF(OR(J520="Regular", J520="Recent"), "MEDIUM","LOW"))</f>
        <v>LOW</v>
      </c>
    </row>
    <row r="521" spans="1:11">
      <c r="A521" t="s">
        <v>534</v>
      </c>
      <c r="B521" s="14">
        <f>_xlfn.MINIFS('working sheet'!$B$2:$B$3548, 'working sheet'!$D$2:$D$3548, A521)</f>
        <v>45522.340076400462</v>
      </c>
      <c r="C521" s="17">
        <f>_xlfn.MAXIFS('working sheet'!$B$1:$B$3548,'working sheet'!$D$1:$D$3548,'Customer Portfolio'!A521)</f>
        <v>45522.340076400462</v>
      </c>
      <c r="D521">
        <f>COUNTIFS('working sheet'!$D$1:$D$3548,'Customer Portfolio'!A521)</f>
        <v>1</v>
      </c>
      <c r="E521" s="5">
        <f>SUMIFS('working sheet'!$E$2:$E$3548,'working sheet'!$D$2:$D$3548,'Customer Portfolio'!A521)</f>
        <v>32.82</v>
      </c>
      <c r="F521" s="6">
        <f t="shared" si="16"/>
        <v>32.82</v>
      </c>
      <c r="G521" t="str">
        <f t="array" ref="G521">IFERROR(INDEX('working sheet'!$F$2:$F$3548, MODE(IF('working sheet'!$D$2:$D$3548=A521, MATCH('working sheet'!$F$2:$F$3548, 'working sheet'!$F$2:$F$3548, 0)))),
         INDEX('working sheet'!$F$2:$F$3548, MATCH(A521, 'working sheet'!$D$2:$D$3548, 0)))</f>
        <v>Cappuccino</v>
      </c>
      <c r="H521" s="7">
        <f t="shared" si="17"/>
        <v>1</v>
      </c>
      <c r="I521" s="7">
        <f>MAX('working sheet'!$B$2:$B$3548)-C521</f>
        <v>217.41800965277798</v>
      </c>
      <c r="J521" s="4" t="str">
        <f t="array" ref="J521">IF(AND(I521&lt;=30, D521&gt;=10, E521&gt;=200), "VIP",  IF(AND(I521&lt;=60, D521&gt;=5, E521&gt;=100), "Loyal", IF(AND(I521&lt;=90, D521&gt;=3), "Regular", IF(I521&lt;=30, "Recent", IF(D521&gt;=3, "Occasional", "At Risk")))))</f>
        <v>At Risk</v>
      </c>
      <c r="K521" t="str">
        <f t="array" ref="K521">IF(OR(J521="VIP", J521="Loyal"), "HIGH",IF(OR(J521="Regular", J521="Recent"), "MEDIUM","LOW"))</f>
        <v>LOW</v>
      </c>
    </row>
    <row r="522" spans="1:11">
      <c r="A522" t="s">
        <v>535</v>
      </c>
      <c r="B522" s="14">
        <f>_xlfn.MINIFS('working sheet'!$B$2:$B$3548, 'working sheet'!$D$2:$D$3548, A522)</f>
        <v>45522.355620335649</v>
      </c>
      <c r="C522" s="17">
        <f>_xlfn.MAXIFS('working sheet'!$B$1:$B$3548,'working sheet'!$D$1:$D$3548,'Customer Portfolio'!A522)</f>
        <v>45522.355620335649</v>
      </c>
      <c r="D522">
        <f>COUNTIFS('working sheet'!$D$1:$D$3548,'Customer Portfolio'!A522)</f>
        <v>1</v>
      </c>
      <c r="E522" s="5">
        <f>SUMIFS('working sheet'!$E$2:$E$3548,'working sheet'!$D$2:$D$3548,'Customer Portfolio'!A522)</f>
        <v>32.82</v>
      </c>
      <c r="F522" s="6">
        <f t="shared" si="16"/>
        <v>32.82</v>
      </c>
      <c r="G522" t="str">
        <f t="array" ref="G522">IFERROR(INDEX('working sheet'!$F$2:$F$3548, MODE(IF('working sheet'!$D$2:$D$3548=A522, MATCH('working sheet'!$F$2:$F$3548, 'working sheet'!$F$2:$F$3548, 0)))),
         INDEX('working sheet'!$F$2:$F$3548, MATCH(A522, 'working sheet'!$D$2:$D$3548, 0)))</f>
        <v>Cappuccino</v>
      </c>
      <c r="H522" s="7">
        <f t="shared" si="17"/>
        <v>1</v>
      </c>
      <c r="I522" s="7">
        <f>MAX('working sheet'!$B$2:$B$3548)-C522</f>
        <v>217.40246571759053</v>
      </c>
      <c r="J522" s="4" t="str">
        <f t="array" ref="J522">IF(AND(I522&lt;=30, D522&gt;=10, E522&gt;=200), "VIP",  IF(AND(I522&lt;=60, D522&gt;=5, E522&gt;=100), "Loyal", IF(AND(I522&lt;=90, D522&gt;=3), "Regular", IF(I522&lt;=30, "Recent", IF(D522&gt;=3, "Occasional", "At Risk")))))</f>
        <v>At Risk</v>
      </c>
      <c r="K522" t="str">
        <f t="array" ref="K522">IF(OR(J522="VIP", J522="Loyal"), "HIGH",IF(OR(J522="Regular", J522="Recent"), "MEDIUM","LOW"))</f>
        <v>LOW</v>
      </c>
    </row>
    <row r="523" spans="1:11">
      <c r="A523" t="s">
        <v>536</v>
      </c>
      <c r="B523" s="14">
        <f>_xlfn.MINIFS('working sheet'!$B$2:$B$3548, 'working sheet'!$D$2:$D$3548, A523)</f>
        <v>45522.372237175929</v>
      </c>
      <c r="C523" s="17">
        <f>_xlfn.MAXIFS('working sheet'!$B$1:$B$3548,'working sheet'!$D$1:$D$3548,'Customer Portfolio'!A523)</f>
        <v>45522.372237175929</v>
      </c>
      <c r="D523">
        <f>COUNTIFS('working sheet'!$D$1:$D$3548,'Customer Portfolio'!A523)</f>
        <v>1</v>
      </c>
      <c r="E523" s="5">
        <f>SUMIFS('working sheet'!$E$2:$E$3548,'working sheet'!$D$2:$D$3548,'Customer Portfolio'!A523)</f>
        <v>27.92</v>
      </c>
      <c r="F523" s="6">
        <f t="shared" si="16"/>
        <v>27.92</v>
      </c>
      <c r="G523" t="str">
        <f t="array" ref="G523">IFERROR(INDEX('working sheet'!$F$2:$F$3548, MODE(IF('working sheet'!$D$2:$D$3548=A523, MATCH('working sheet'!$F$2:$F$3548, 'working sheet'!$F$2:$F$3548, 0)))),
         INDEX('working sheet'!$F$2:$F$3548, MATCH(A523, 'working sheet'!$D$2:$D$3548, 0)))</f>
        <v>Americano with Milk</v>
      </c>
      <c r="H523" s="7">
        <f t="shared" si="17"/>
        <v>1</v>
      </c>
      <c r="I523" s="7">
        <f>MAX('working sheet'!$B$2:$B$3548)-C523</f>
        <v>217.38584887731122</v>
      </c>
      <c r="J523" s="4" t="str">
        <f t="array" ref="J523">IF(AND(I523&lt;=30, D523&gt;=10, E523&gt;=200), "VIP",  IF(AND(I523&lt;=60, D523&gt;=5, E523&gt;=100), "Loyal", IF(AND(I523&lt;=90, D523&gt;=3), "Regular", IF(I523&lt;=30, "Recent", IF(D523&gt;=3, "Occasional", "At Risk")))))</f>
        <v>At Risk</v>
      </c>
      <c r="K523" t="str">
        <f t="array" ref="K523">IF(OR(J523="VIP", J523="Loyal"), "HIGH",IF(OR(J523="Regular", J523="Recent"), "MEDIUM","LOW"))</f>
        <v>LOW</v>
      </c>
    </row>
    <row r="524" spans="1:11">
      <c r="A524" t="s">
        <v>537</v>
      </c>
      <c r="B524" s="14">
        <f>_xlfn.MINIFS('working sheet'!$B$2:$B$3548, 'working sheet'!$D$2:$D$3548, A524)</f>
        <v>45522.766791388887</v>
      </c>
      <c r="C524" s="17">
        <f>_xlfn.MAXIFS('working sheet'!$B$1:$B$3548,'working sheet'!$D$1:$D$3548,'Customer Portfolio'!A524)</f>
        <v>45522.76959570602</v>
      </c>
      <c r="D524">
        <f>COUNTIFS('working sheet'!$D$1:$D$3548,'Customer Portfolio'!A524)</f>
        <v>4</v>
      </c>
      <c r="E524" s="5">
        <f>SUMIFS('working sheet'!$E$2:$E$3548,'working sheet'!$D$2:$D$3548,'Customer Portfolio'!A524)</f>
        <v>101.88</v>
      </c>
      <c r="F524" s="6">
        <f t="shared" si="16"/>
        <v>25.47</v>
      </c>
      <c r="G524" t="str">
        <f t="array" ref="G524">IFERROR(INDEX('working sheet'!$F$2:$F$3548, MODE(IF('working sheet'!$D$2:$D$3548=A524, MATCH('working sheet'!$F$2:$F$3548, 'working sheet'!$F$2:$F$3548, 0)))),
         INDEX('working sheet'!$F$2:$F$3548, MATCH(A524, 'working sheet'!$D$2:$D$3548, 0)))</f>
        <v>Americano with Milk</v>
      </c>
      <c r="H524" s="7">
        <f t="shared" si="17"/>
        <v>1.0028043171332683</v>
      </c>
      <c r="I524" s="7">
        <f>MAX('working sheet'!$B$2:$B$3548)-C524</f>
        <v>216.98849034721934</v>
      </c>
      <c r="J524" s="4" t="str">
        <f t="array" ref="J524">IF(AND(I524&lt;=30, D524&gt;=10, E524&gt;=200), "VIP",  IF(AND(I524&lt;=60, D524&gt;=5, E524&gt;=100), "Loyal", IF(AND(I524&lt;=90, D524&gt;=3), "Regular", IF(I524&lt;=30, "Recent", IF(D524&gt;=3, "Occasional", "At Risk")))))</f>
        <v>Occasional</v>
      </c>
      <c r="K524" t="str">
        <f t="array" ref="K524">IF(OR(J524="VIP", J524="Loyal"), "HIGH",IF(OR(J524="Regular", J524="Recent"), "MEDIUM","LOW"))</f>
        <v>LOW</v>
      </c>
    </row>
    <row r="525" spans="1:11">
      <c r="A525" t="s">
        <v>538</v>
      </c>
      <c r="B525" s="14">
        <f>_xlfn.MINIFS('working sheet'!$B$2:$B$3548, 'working sheet'!$D$2:$D$3548, A525)</f>
        <v>45523.631816921297</v>
      </c>
      <c r="C525" s="17">
        <f>_xlfn.MAXIFS('working sheet'!$B$1:$B$3548,'working sheet'!$D$1:$D$3548,'Customer Portfolio'!A525)</f>
        <v>45523.632537175923</v>
      </c>
      <c r="D525">
        <f>COUNTIFS('working sheet'!$D$1:$D$3548,'Customer Portfolio'!A525)</f>
        <v>2</v>
      </c>
      <c r="E525" s="5">
        <f>SUMIFS('working sheet'!$E$2:$E$3548,'working sheet'!$D$2:$D$3548,'Customer Portfolio'!A525)</f>
        <v>55.84</v>
      </c>
      <c r="F525" s="6">
        <f t="shared" si="16"/>
        <v>27.92</v>
      </c>
      <c r="G525" t="str">
        <f t="array" ref="G525">IFERROR(INDEX('working sheet'!$F$2:$F$3548, MODE(IF('working sheet'!$D$2:$D$3548=A525, MATCH('working sheet'!$F$2:$F$3548, 'working sheet'!$F$2:$F$3548, 0)))),
         INDEX('working sheet'!$F$2:$F$3548, MATCH(A525, 'working sheet'!$D$2:$D$3548, 0)))</f>
        <v>Americano with Milk</v>
      </c>
      <c r="H525" s="7">
        <f t="shared" si="17"/>
        <v>1.0007202546257759</v>
      </c>
      <c r="I525" s="7">
        <f>MAX('working sheet'!$B$2:$B$3548)-C525</f>
        <v>216.12554887731676</v>
      </c>
      <c r="J525" s="4" t="str">
        <f t="array" ref="J525">IF(AND(I525&lt;=30, D525&gt;=10, E525&gt;=200), "VIP",  IF(AND(I525&lt;=60, D525&gt;=5, E525&gt;=100), "Loyal", IF(AND(I525&lt;=90, D525&gt;=3), "Regular", IF(I525&lt;=30, "Recent", IF(D525&gt;=3, "Occasional", "At Risk")))))</f>
        <v>At Risk</v>
      </c>
      <c r="K525" t="str">
        <f t="array" ref="K525">IF(OR(J525="VIP", J525="Loyal"), "HIGH",IF(OR(J525="Regular", J525="Recent"), "MEDIUM","LOW"))</f>
        <v>LOW</v>
      </c>
    </row>
    <row r="526" spans="1:11">
      <c r="A526" t="s">
        <v>539</v>
      </c>
      <c r="B526" s="14">
        <f>_xlfn.MINIFS('working sheet'!$B$2:$B$3548, 'working sheet'!$D$2:$D$3548, A526)</f>
        <v>45524.353644861112</v>
      </c>
      <c r="C526" s="17">
        <f>_xlfn.MAXIFS('working sheet'!$B$1:$B$3548,'working sheet'!$D$1:$D$3548,'Customer Portfolio'!A526)</f>
        <v>45659.738312210648</v>
      </c>
      <c r="D526">
        <f>COUNTIFS('working sheet'!$D$1:$D$3548,'Customer Portfolio'!A526)</f>
        <v>3</v>
      </c>
      <c r="E526" s="5">
        <f>SUMIFS('working sheet'!$E$2:$E$3548,'working sheet'!$D$2:$D$3548,'Customer Portfolio'!A526)</f>
        <v>104.34</v>
      </c>
      <c r="F526" s="6">
        <f t="shared" si="16"/>
        <v>34.78</v>
      </c>
      <c r="G526" t="str">
        <f t="array" ref="G526">IFERROR(INDEX('working sheet'!$F$2:$F$3548, MODE(IF('working sheet'!$D$2:$D$3548=A526, MATCH('working sheet'!$F$2:$F$3548, 'working sheet'!$F$2:$F$3548, 0)))),
         INDEX('working sheet'!$F$2:$F$3548, MATCH(A526, 'working sheet'!$D$2:$D$3548, 0)))</f>
        <v>Latte</v>
      </c>
      <c r="H526" s="7">
        <f t="shared" si="17"/>
        <v>136.38466734953545</v>
      </c>
      <c r="I526" s="7">
        <f>MAX('working sheet'!$B$2:$B$3548)-C526</f>
        <v>80.019773842592258</v>
      </c>
      <c r="J526" s="4" t="str">
        <f t="array" ref="J526">IF(AND(I526&lt;=30, D526&gt;=10, E526&gt;=200), "VIP",  IF(AND(I526&lt;=60, D526&gt;=5, E526&gt;=100), "Loyal", IF(AND(I526&lt;=90, D526&gt;=3), "Regular", IF(I526&lt;=30, "Recent", IF(D526&gt;=3, "Occasional", "At Risk")))))</f>
        <v>Regular</v>
      </c>
      <c r="K526" t="str">
        <f t="array" ref="K526">IF(OR(J526="VIP", J526="Loyal"), "HIGH",IF(OR(J526="Regular", J526="Recent"), "MEDIUM","LOW"))</f>
        <v>MEDIUM</v>
      </c>
    </row>
    <row r="527" spans="1:11">
      <c r="A527" t="s">
        <v>540</v>
      </c>
      <c r="B527" s="14">
        <f>_xlfn.MINIFS('working sheet'!$B$2:$B$3548, 'working sheet'!$D$2:$D$3548, A527)</f>
        <v>45524.367910578701</v>
      </c>
      <c r="C527" s="17">
        <f>_xlfn.MAXIFS('working sheet'!$B$1:$B$3548,'working sheet'!$D$1:$D$3548,'Customer Portfolio'!A527)</f>
        <v>45524.368476192132</v>
      </c>
      <c r="D527">
        <f>COUNTIFS('working sheet'!$D$1:$D$3548,'Customer Portfolio'!A527)</f>
        <v>2</v>
      </c>
      <c r="E527" s="5">
        <f>SUMIFS('working sheet'!$E$2:$E$3548,'working sheet'!$D$2:$D$3548,'Customer Portfolio'!A527)</f>
        <v>41.14</v>
      </c>
      <c r="F527" s="6">
        <f t="shared" si="16"/>
        <v>20.57</v>
      </c>
      <c r="G527" t="str">
        <f t="array" ref="G527">IFERROR(INDEX('working sheet'!$F$2:$F$3548, MODE(IF('working sheet'!$D$2:$D$3548=A527, MATCH('working sheet'!$F$2:$F$3548, 'working sheet'!$F$2:$F$3548, 0)))),
         INDEX('working sheet'!$F$2:$F$3548, MATCH(A527, 'working sheet'!$D$2:$D$3548, 0)))</f>
        <v>Espresso</v>
      </c>
      <c r="H527" s="7">
        <f t="shared" si="17"/>
        <v>1.0005656134308083</v>
      </c>
      <c r="I527" s="7">
        <f>MAX('working sheet'!$B$2:$B$3548)-C527</f>
        <v>215.3896098611076</v>
      </c>
      <c r="J527" s="4" t="str">
        <f t="array" ref="J527">IF(AND(I527&lt;=30, D527&gt;=10, E527&gt;=200), "VIP",  IF(AND(I527&lt;=60, D527&gt;=5, E527&gt;=100), "Loyal", IF(AND(I527&lt;=90, D527&gt;=3), "Regular", IF(I527&lt;=30, "Recent", IF(D527&gt;=3, "Occasional", "At Risk")))))</f>
        <v>At Risk</v>
      </c>
      <c r="K527" t="str">
        <f t="array" ref="K527">IF(OR(J527="VIP", J527="Loyal"), "HIGH",IF(OR(J527="Regular", J527="Recent"), "MEDIUM","LOW"))</f>
        <v>LOW</v>
      </c>
    </row>
    <row r="528" spans="1:11">
      <c r="A528" t="s">
        <v>541</v>
      </c>
      <c r="B528" s="14">
        <f>_xlfn.MINIFS('working sheet'!$B$2:$B$3548, 'working sheet'!$D$2:$D$3548, A528)</f>
        <v>45524.465226562497</v>
      </c>
      <c r="C528" s="17">
        <f>_xlfn.MAXIFS('working sheet'!$B$1:$B$3548,'working sheet'!$D$1:$D$3548,'Customer Portfolio'!A528)</f>
        <v>45524.465226562497</v>
      </c>
      <c r="D528">
        <f>COUNTIFS('working sheet'!$D$1:$D$3548,'Customer Portfolio'!A528)</f>
        <v>1</v>
      </c>
      <c r="E528" s="5">
        <f>SUMIFS('working sheet'!$E$2:$E$3548,'working sheet'!$D$2:$D$3548,'Customer Portfolio'!A528)</f>
        <v>23.02</v>
      </c>
      <c r="F528" s="6">
        <f t="shared" si="16"/>
        <v>23.02</v>
      </c>
      <c r="G528" t="str">
        <f t="array" ref="G528">IFERROR(INDEX('working sheet'!$F$2:$F$3548, MODE(IF('working sheet'!$D$2:$D$3548=A528, MATCH('working sheet'!$F$2:$F$3548, 'working sheet'!$F$2:$F$3548, 0)))),
         INDEX('working sheet'!$F$2:$F$3548, MATCH(A528, 'working sheet'!$D$2:$D$3548, 0)))</f>
        <v>Americano</v>
      </c>
      <c r="H528" s="7">
        <f t="shared" si="17"/>
        <v>1</v>
      </c>
      <c r="I528" s="7">
        <f>MAX('working sheet'!$B$2:$B$3548)-C528</f>
        <v>215.29285949074256</v>
      </c>
      <c r="J528" s="4" t="str">
        <f t="array" ref="J528">IF(AND(I528&lt;=30, D528&gt;=10, E528&gt;=200), "VIP",  IF(AND(I528&lt;=60, D528&gt;=5, E528&gt;=100), "Loyal", IF(AND(I528&lt;=90, D528&gt;=3), "Regular", IF(I528&lt;=30, "Recent", IF(D528&gt;=3, "Occasional", "At Risk")))))</f>
        <v>At Risk</v>
      </c>
      <c r="K528" t="str">
        <f t="array" ref="K528">IF(OR(J528="VIP", J528="Loyal"), "HIGH",IF(OR(J528="Regular", J528="Recent"), "MEDIUM","LOW"))</f>
        <v>LOW</v>
      </c>
    </row>
    <row r="529" spans="1:11">
      <c r="A529" t="s">
        <v>542</v>
      </c>
      <c r="B529" s="14">
        <f>_xlfn.MINIFS('working sheet'!$B$2:$B$3548, 'working sheet'!$D$2:$D$3548, A529)</f>
        <v>45524.466424571758</v>
      </c>
      <c r="C529" s="17">
        <f>_xlfn.MAXIFS('working sheet'!$B$1:$B$3548,'working sheet'!$D$1:$D$3548,'Customer Portfolio'!A529)</f>
        <v>45524.466424571758</v>
      </c>
      <c r="D529">
        <f>COUNTIFS('working sheet'!$D$1:$D$3548,'Customer Portfolio'!A529)</f>
        <v>1</v>
      </c>
      <c r="E529" s="5">
        <f>SUMIFS('working sheet'!$E$2:$E$3548,'working sheet'!$D$2:$D$3548,'Customer Portfolio'!A529)</f>
        <v>23.02</v>
      </c>
      <c r="F529" s="6">
        <f t="shared" si="16"/>
        <v>23.02</v>
      </c>
      <c r="G529" t="str">
        <f t="array" ref="G529">IFERROR(INDEX('working sheet'!$F$2:$F$3548, MODE(IF('working sheet'!$D$2:$D$3548=A529, MATCH('working sheet'!$F$2:$F$3548, 'working sheet'!$F$2:$F$3548, 0)))),
         INDEX('working sheet'!$F$2:$F$3548, MATCH(A529, 'working sheet'!$D$2:$D$3548, 0)))</f>
        <v>Americano</v>
      </c>
      <c r="H529" s="7">
        <f t="shared" si="17"/>
        <v>1</v>
      </c>
      <c r="I529" s="7">
        <f>MAX('working sheet'!$B$2:$B$3548)-C529</f>
        <v>215.29166148148215</v>
      </c>
      <c r="J529" s="4" t="str">
        <f t="array" ref="J529">IF(AND(I529&lt;=30, D529&gt;=10, E529&gt;=200), "VIP",  IF(AND(I529&lt;=60, D529&gt;=5, E529&gt;=100), "Loyal", IF(AND(I529&lt;=90, D529&gt;=3), "Regular", IF(I529&lt;=30, "Recent", IF(D529&gt;=3, "Occasional", "At Risk")))))</f>
        <v>At Risk</v>
      </c>
      <c r="K529" t="str">
        <f t="array" ref="K529">IF(OR(J529="VIP", J529="Loyal"), "HIGH",IF(OR(J529="Regular", J529="Recent"), "MEDIUM","LOW"))</f>
        <v>LOW</v>
      </c>
    </row>
    <row r="530" spans="1:11">
      <c r="A530" t="s">
        <v>543</v>
      </c>
      <c r="B530" s="14">
        <f>_xlfn.MINIFS('working sheet'!$B$2:$B$3548, 'working sheet'!$D$2:$D$3548, A530)</f>
        <v>45524.467027557868</v>
      </c>
      <c r="C530" s="17">
        <f>_xlfn.MAXIFS('working sheet'!$B$1:$B$3548,'working sheet'!$D$1:$D$3548,'Customer Portfolio'!A530)</f>
        <v>45524.467027557868</v>
      </c>
      <c r="D530">
        <f>COUNTIFS('working sheet'!$D$1:$D$3548,'Customer Portfolio'!A530)</f>
        <v>1</v>
      </c>
      <c r="E530" s="5">
        <f>SUMIFS('working sheet'!$E$2:$E$3548,'working sheet'!$D$2:$D$3548,'Customer Portfolio'!A530)</f>
        <v>23.02</v>
      </c>
      <c r="F530" s="6">
        <f t="shared" si="16"/>
        <v>23.02</v>
      </c>
      <c r="G530" t="str">
        <f t="array" ref="G530">IFERROR(INDEX('working sheet'!$F$2:$F$3548, MODE(IF('working sheet'!$D$2:$D$3548=A530, MATCH('working sheet'!$F$2:$F$3548, 'working sheet'!$F$2:$F$3548, 0)))),
         INDEX('working sheet'!$F$2:$F$3548, MATCH(A530, 'working sheet'!$D$2:$D$3548, 0)))</f>
        <v>Americano</v>
      </c>
      <c r="H530" s="7">
        <f t="shared" si="17"/>
        <v>1</v>
      </c>
      <c r="I530" s="7">
        <f>MAX('working sheet'!$B$2:$B$3548)-C530</f>
        <v>215.29105849537154</v>
      </c>
      <c r="J530" s="4" t="str">
        <f t="array" ref="J530">IF(AND(I530&lt;=30, D530&gt;=10, E530&gt;=200), "VIP",  IF(AND(I530&lt;=60, D530&gt;=5, E530&gt;=100), "Loyal", IF(AND(I530&lt;=90, D530&gt;=3), "Regular", IF(I530&lt;=30, "Recent", IF(D530&gt;=3, "Occasional", "At Risk")))))</f>
        <v>At Risk</v>
      </c>
      <c r="K530" t="str">
        <f t="array" ref="K530">IF(OR(J530="VIP", J530="Loyal"), "HIGH",IF(OR(J530="Regular", J530="Recent"), "MEDIUM","LOW"))</f>
        <v>LOW</v>
      </c>
    </row>
    <row r="531" spans="1:11">
      <c r="A531" t="s">
        <v>544</v>
      </c>
      <c r="B531" s="14">
        <f>_xlfn.MINIFS('working sheet'!$B$2:$B$3548, 'working sheet'!$D$2:$D$3548, A531)</f>
        <v>45524.862973067131</v>
      </c>
      <c r="C531" s="17">
        <f>_xlfn.MAXIFS('working sheet'!$B$1:$B$3548,'working sheet'!$D$1:$D$3548,'Customer Portfolio'!A531)</f>
        <v>45524.862973067131</v>
      </c>
      <c r="D531">
        <f>COUNTIFS('working sheet'!$D$1:$D$3548,'Customer Portfolio'!A531)</f>
        <v>1</v>
      </c>
      <c r="E531" s="5">
        <f>SUMIFS('working sheet'!$E$2:$E$3548,'working sheet'!$D$2:$D$3548,'Customer Portfolio'!A531)</f>
        <v>32.82</v>
      </c>
      <c r="F531" s="6">
        <f t="shared" si="16"/>
        <v>32.82</v>
      </c>
      <c r="G531" t="str">
        <f t="array" ref="G531">IFERROR(INDEX('working sheet'!$F$2:$F$3548, MODE(IF('working sheet'!$D$2:$D$3548=A531, MATCH('working sheet'!$F$2:$F$3548, 'working sheet'!$F$2:$F$3548, 0)))),
         INDEX('working sheet'!$F$2:$F$3548, MATCH(A531, 'working sheet'!$D$2:$D$3548, 0)))</f>
        <v>Latte</v>
      </c>
      <c r="H531" s="7">
        <f t="shared" si="17"/>
        <v>1</v>
      </c>
      <c r="I531" s="7">
        <f>MAX('working sheet'!$B$2:$B$3548)-C531</f>
        <v>214.89511298610887</v>
      </c>
      <c r="J531" s="4" t="str">
        <f t="array" ref="J531">IF(AND(I531&lt;=30, D531&gt;=10, E531&gt;=200), "VIP",  IF(AND(I531&lt;=60, D531&gt;=5, E531&gt;=100), "Loyal", IF(AND(I531&lt;=90, D531&gt;=3), "Regular", IF(I531&lt;=30, "Recent", IF(D531&gt;=3, "Occasional", "At Risk")))))</f>
        <v>At Risk</v>
      </c>
      <c r="K531" t="str">
        <f t="array" ref="K531">IF(OR(J531="VIP", J531="Loyal"), "HIGH",IF(OR(J531="Regular", J531="Recent"), "MEDIUM","LOW"))</f>
        <v>LOW</v>
      </c>
    </row>
    <row r="532" spans="1:11">
      <c r="A532" t="s">
        <v>545</v>
      </c>
      <c r="B532" s="14">
        <f>_xlfn.MINIFS('working sheet'!$B$2:$B$3548, 'working sheet'!$D$2:$D$3548, A532)</f>
        <v>45524.86406078704</v>
      </c>
      <c r="C532" s="17">
        <f>_xlfn.MAXIFS('working sheet'!$B$1:$B$3548,'working sheet'!$D$1:$D$3548,'Customer Portfolio'!A532)</f>
        <v>45565.833821006941</v>
      </c>
      <c r="D532">
        <f>COUNTIFS('working sheet'!$D$1:$D$3548,'Customer Portfolio'!A532)</f>
        <v>8</v>
      </c>
      <c r="E532" s="5">
        <f>SUMIFS('working sheet'!$E$2:$E$3548,'working sheet'!$D$2:$D$3548,'Customer Portfolio'!A532)</f>
        <v>245.90000000000003</v>
      </c>
      <c r="F532" s="6">
        <f t="shared" si="16"/>
        <v>30.737500000000004</v>
      </c>
      <c r="G532" t="str">
        <f t="array" ref="G532">IFERROR(INDEX('working sheet'!$F$2:$F$3548, MODE(IF('working sheet'!$D$2:$D$3548=A532, MATCH('working sheet'!$F$2:$F$3548, 'working sheet'!$F$2:$F$3548, 0)))),
         INDEX('working sheet'!$F$2:$F$3548, MATCH(A532, 'working sheet'!$D$2:$D$3548, 0)))</f>
        <v>Latte</v>
      </c>
      <c r="H532" s="7">
        <f t="shared" si="17"/>
        <v>41.969760219901218</v>
      </c>
      <c r="I532" s="7">
        <f>MAX('working sheet'!$B$2:$B$3548)-C532</f>
        <v>173.92426504629839</v>
      </c>
      <c r="J532" s="4" t="str">
        <f t="array" ref="J532">IF(AND(I532&lt;=30, D532&gt;=10, E532&gt;=200), "VIP",  IF(AND(I532&lt;=60, D532&gt;=5, E532&gt;=100), "Loyal", IF(AND(I532&lt;=90, D532&gt;=3), "Regular", IF(I532&lt;=30, "Recent", IF(D532&gt;=3, "Occasional", "At Risk")))))</f>
        <v>Occasional</v>
      </c>
      <c r="K532" t="str">
        <f t="array" ref="K532">IF(OR(J532="VIP", J532="Loyal"), "HIGH",IF(OR(J532="Regular", J532="Recent"), "MEDIUM","LOW"))</f>
        <v>LOW</v>
      </c>
    </row>
    <row r="533" spans="1:11">
      <c r="A533" t="s">
        <v>546</v>
      </c>
      <c r="B533" s="14">
        <f>_xlfn.MINIFS('working sheet'!$B$2:$B$3548, 'working sheet'!$D$2:$D$3548, A533)</f>
        <v>45524.86532394676</v>
      </c>
      <c r="C533" s="17">
        <f>_xlfn.MAXIFS('working sheet'!$B$1:$B$3548,'working sheet'!$D$1:$D$3548,'Customer Portfolio'!A533)</f>
        <v>45524.86532394676</v>
      </c>
      <c r="D533">
        <f>COUNTIFS('working sheet'!$D$1:$D$3548,'Customer Portfolio'!A533)</f>
        <v>1</v>
      </c>
      <c r="E533" s="5">
        <f>SUMIFS('working sheet'!$E$2:$E$3548,'working sheet'!$D$2:$D$3548,'Customer Portfolio'!A533)</f>
        <v>32.82</v>
      </c>
      <c r="F533" s="6">
        <f t="shared" si="16"/>
        <v>32.82</v>
      </c>
      <c r="G533" t="str">
        <f t="array" ref="G533">IFERROR(INDEX('working sheet'!$F$2:$F$3548, MODE(IF('working sheet'!$D$2:$D$3548=A533, MATCH('working sheet'!$F$2:$F$3548, 'working sheet'!$F$2:$F$3548, 0)))),
         INDEX('working sheet'!$F$2:$F$3548, MATCH(A533, 'working sheet'!$D$2:$D$3548, 0)))</f>
        <v>Latte</v>
      </c>
      <c r="H533" s="7">
        <f t="shared" si="17"/>
        <v>1</v>
      </c>
      <c r="I533" s="7">
        <f>MAX('working sheet'!$B$2:$B$3548)-C533</f>
        <v>214.89276210647949</v>
      </c>
      <c r="J533" s="4" t="str">
        <f t="array" ref="J533">IF(AND(I533&lt;=30, D533&gt;=10, E533&gt;=200), "VIP",  IF(AND(I533&lt;=60, D533&gt;=5, E533&gt;=100), "Loyal", IF(AND(I533&lt;=90, D533&gt;=3), "Regular", IF(I533&lt;=30, "Recent", IF(D533&gt;=3, "Occasional", "At Risk")))))</f>
        <v>At Risk</v>
      </c>
      <c r="K533" t="str">
        <f t="array" ref="K533">IF(OR(J533="VIP", J533="Loyal"), "HIGH",IF(OR(J533="Regular", J533="Recent"), "MEDIUM","LOW"))</f>
        <v>LOW</v>
      </c>
    </row>
    <row r="534" spans="1:11">
      <c r="A534" t="s">
        <v>547</v>
      </c>
      <c r="B534" s="14">
        <f>_xlfn.MINIFS('working sheet'!$B$2:$B$3548, 'working sheet'!$D$2:$D$3548, A534)</f>
        <v>45525.332790486114</v>
      </c>
      <c r="C534" s="17">
        <f>_xlfn.MAXIFS('working sheet'!$B$1:$B$3548,'working sheet'!$D$1:$D$3548,'Customer Portfolio'!A534)</f>
        <v>45670.339123530095</v>
      </c>
      <c r="D534">
        <f>COUNTIFS('working sheet'!$D$1:$D$3548,'Customer Portfolio'!A534)</f>
        <v>2</v>
      </c>
      <c r="E534" s="5">
        <f>SUMIFS('working sheet'!$E$2:$E$3548,'working sheet'!$D$2:$D$3548,'Customer Portfolio'!A534)</f>
        <v>58.78</v>
      </c>
      <c r="F534" s="6">
        <f t="shared" si="16"/>
        <v>29.39</v>
      </c>
      <c r="G534" t="str">
        <f t="array" ref="G534">IFERROR(INDEX('working sheet'!$F$2:$F$3548, MODE(IF('working sheet'!$D$2:$D$3548=A534, MATCH('working sheet'!$F$2:$F$3548, 'working sheet'!$F$2:$F$3548, 0)))),
         INDEX('working sheet'!$F$2:$F$3548, MATCH(A534, 'working sheet'!$D$2:$D$3548, 0)))</f>
        <v>Americano with Milk</v>
      </c>
      <c r="H534" s="7">
        <f t="shared" si="17"/>
        <v>146.0063330439807</v>
      </c>
      <c r="I534" s="7">
        <f>MAX('working sheet'!$B$2:$B$3548)-C534</f>
        <v>69.418962523144728</v>
      </c>
      <c r="J534" s="4" t="str">
        <f t="array" ref="J534">IF(AND(I534&lt;=30, D534&gt;=10, E534&gt;=200), "VIP",  IF(AND(I534&lt;=60, D534&gt;=5, E534&gt;=100), "Loyal", IF(AND(I534&lt;=90, D534&gt;=3), "Regular", IF(I534&lt;=30, "Recent", IF(D534&gt;=3, "Occasional", "At Risk")))))</f>
        <v>At Risk</v>
      </c>
      <c r="K534" t="str">
        <f t="array" ref="K534">IF(OR(J534="VIP", J534="Loyal"), "HIGH",IF(OR(J534="Regular", J534="Recent"), "MEDIUM","LOW"))</f>
        <v>LOW</v>
      </c>
    </row>
    <row r="535" spans="1:11">
      <c r="A535" t="s">
        <v>548</v>
      </c>
      <c r="B535" s="14">
        <f>_xlfn.MINIFS('working sheet'!$B$2:$B$3548, 'working sheet'!$D$2:$D$3548, A535)</f>
        <v>45525.55359664352</v>
      </c>
      <c r="C535" s="17">
        <f>_xlfn.MAXIFS('working sheet'!$B$1:$B$3548,'working sheet'!$D$1:$D$3548,'Customer Portfolio'!A535)</f>
        <v>45525.55359664352</v>
      </c>
      <c r="D535">
        <f>COUNTIFS('working sheet'!$D$1:$D$3548,'Customer Portfolio'!A535)</f>
        <v>1</v>
      </c>
      <c r="E535" s="5">
        <f>SUMIFS('working sheet'!$E$2:$E$3548,'working sheet'!$D$2:$D$3548,'Customer Portfolio'!A535)</f>
        <v>32.82</v>
      </c>
      <c r="F535" s="6">
        <f t="shared" si="16"/>
        <v>32.82</v>
      </c>
      <c r="G535" t="str">
        <f t="array" ref="G535">IFERROR(INDEX('working sheet'!$F$2:$F$3548, MODE(IF('working sheet'!$D$2:$D$3548=A535, MATCH('working sheet'!$F$2:$F$3548, 'working sheet'!$F$2:$F$3548, 0)))),
         INDEX('working sheet'!$F$2:$F$3548, MATCH(A535, 'working sheet'!$D$2:$D$3548, 0)))</f>
        <v>Latte</v>
      </c>
      <c r="H535" s="7">
        <f t="shared" si="17"/>
        <v>1</v>
      </c>
      <c r="I535" s="7">
        <f>MAX('working sheet'!$B$2:$B$3548)-C535</f>
        <v>214.20448940971983</v>
      </c>
      <c r="J535" s="4" t="str">
        <f t="array" ref="J535">IF(AND(I535&lt;=30, D535&gt;=10, E535&gt;=200), "VIP",  IF(AND(I535&lt;=60, D535&gt;=5, E535&gt;=100), "Loyal", IF(AND(I535&lt;=90, D535&gt;=3), "Regular", IF(I535&lt;=30, "Recent", IF(D535&gt;=3, "Occasional", "At Risk")))))</f>
        <v>At Risk</v>
      </c>
      <c r="K535" t="str">
        <f t="array" ref="K535">IF(OR(J535="VIP", J535="Loyal"), "HIGH",IF(OR(J535="Regular", J535="Recent"), "MEDIUM","LOW"))</f>
        <v>LOW</v>
      </c>
    </row>
    <row r="536" spans="1:11">
      <c r="A536" t="s">
        <v>549</v>
      </c>
      <c r="B536" s="14">
        <f>_xlfn.MINIFS('working sheet'!$B$2:$B$3548, 'working sheet'!$D$2:$D$3548, A536)</f>
        <v>45526.449992546295</v>
      </c>
      <c r="C536" s="17">
        <f>_xlfn.MAXIFS('working sheet'!$B$1:$B$3548,'working sheet'!$D$1:$D$3548,'Customer Portfolio'!A536)</f>
        <v>45526.449992546295</v>
      </c>
      <c r="D536">
        <f>COUNTIFS('working sheet'!$D$1:$D$3548,'Customer Portfolio'!A536)</f>
        <v>1</v>
      </c>
      <c r="E536" s="5">
        <f>SUMIFS('working sheet'!$E$2:$E$3548,'working sheet'!$D$2:$D$3548,'Customer Portfolio'!A536)</f>
        <v>27.92</v>
      </c>
      <c r="F536" s="6">
        <f t="shared" si="16"/>
        <v>27.92</v>
      </c>
      <c r="G536" t="str">
        <f t="array" ref="G536">IFERROR(INDEX('working sheet'!$F$2:$F$3548, MODE(IF('working sheet'!$D$2:$D$3548=A536, MATCH('working sheet'!$F$2:$F$3548, 'working sheet'!$F$2:$F$3548, 0)))),
         INDEX('working sheet'!$F$2:$F$3548, MATCH(A536, 'working sheet'!$D$2:$D$3548, 0)))</f>
        <v>Americano with Milk</v>
      </c>
      <c r="H536" s="7">
        <f t="shared" si="17"/>
        <v>1</v>
      </c>
      <c r="I536" s="7">
        <f>MAX('working sheet'!$B$2:$B$3548)-C536</f>
        <v>213.30809350694472</v>
      </c>
      <c r="J536" s="4" t="str">
        <f t="array" ref="J536">IF(AND(I536&lt;=30, D536&gt;=10, E536&gt;=200), "VIP",  IF(AND(I536&lt;=60, D536&gt;=5, E536&gt;=100), "Loyal", IF(AND(I536&lt;=90, D536&gt;=3), "Regular", IF(I536&lt;=30, "Recent", IF(D536&gt;=3, "Occasional", "At Risk")))))</f>
        <v>At Risk</v>
      </c>
      <c r="K536" t="str">
        <f t="array" ref="K536">IF(OR(J536="VIP", J536="Loyal"), "HIGH",IF(OR(J536="Regular", J536="Recent"), "MEDIUM","LOW"))</f>
        <v>LOW</v>
      </c>
    </row>
    <row r="537" spans="1:11">
      <c r="A537" t="s">
        <v>550</v>
      </c>
      <c r="B537" s="14">
        <f>_xlfn.MINIFS('working sheet'!$B$2:$B$3548, 'working sheet'!$D$2:$D$3548, A537)</f>
        <v>45526.602063634258</v>
      </c>
      <c r="C537" s="17">
        <f>_xlfn.MAXIFS('working sheet'!$B$1:$B$3548,'working sheet'!$D$1:$D$3548,'Customer Portfolio'!A537)</f>
        <v>45526.602063634258</v>
      </c>
      <c r="D537">
        <f>COUNTIFS('working sheet'!$D$1:$D$3548,'Customer Portfolio'!A537)</f>
        <v>1</v>
      </c>
      <c r="E537" s="5">
        <f>SUMIFS('working sheet'!$E$2:$E$3548,'working sheet'!$D$2:$D$3548,'Customer Portfolio'!A537)</f>
        <v>32.82</v>
      </c>
      <c r="F537" s="6">
        <f t="shared" si="16"/>
        <v>32.82</v>
      </c>
      <c r="G537" t="str">
        <f t="array" ref="G537">IFERROR(INDEX('working sheet'!$F$2:$F$3548, MODE(IF('working sheet'!$D$2:$D$3548=A537, MATCH('working sheet'!$F$2:$F$3548, 'working sheet'!$F$2:$F$3548, 0)))),
         INDEX('working sheet'!$F$2:$F$3548, MATCH(A537, 'working sheet'!$D$2:$D$3548, 0)))</f>
        <v>Latte</v>
      </c>
      <c r="H537" s="7">
        <f t="shared" si="17"/>
        <v>1</v>
      </c>
      <c r="I537" s="7">
        <f>MAX('working sheet'!$B$2:$B$3548)-C537</f>
        <v>213.15602241898159</v>
      </c>
      <c r="J537" s="4" t="str">
        <f t="array" ref="J537">IF(AND(I537&lt;=30, D537&gt;=10, E537&gt;=200), "VIP",  IF(AND(I537&lt;=60, D537&gt;=5, E537&gt;=100), "Loyal", IF(AND(I537&lt;=90, D537&gt;=3), "Regular", IF(I537&lt;=30, "Recent", IF(D537&gt;=3, "Occasional", "At Risk")))))</f>
        <v>At Risk</v>
      </c>
      <c r="K537" t="str">
        <f t="array" ref="K537">IF(OR(J537="VIP", J537="Loyal"), "HIGH",IF(OR(J537="Regular", J537="Recent"), "MEDIUM","LOW"))</f>
        <v>LOW</v>
      </c>
    </row>
    <row r="538" spans="1:11">
      <c r="A538" t="s">
        <v>551</v>
      </c>
      <c r="B538" s="14">
        <f>_xlfn.MINIFS('working sheet'!$B$2:$B$3548, 'working sheet'!$D$2:$D$3548, A538)</f>
        <v>45526.629947071757</v>
      </c>
      <c r="C538" s="17">
        <f>_xlfn.MAXIFS('working sheet'!$B$1:$B$3548,'working sheet'!$D$1:$D$3548,'Customer Portfolio'!A538)</f>
        <v>45526.629947071757</v>
      </c>
      <c r="D538">
        <f>COUNTIFS('working sheet'!$D$1:$D$3548,'Customer Portfolio'!A538)</f>
        <v>1</v>
      </c>
      <c r="E538" s="5">
        <f>SUMIFS('working sheet'!$E$2:$E$3548,'working sheet'!$D$2:$D$3548,'Customer Portfolio'!A538)</f>
        <v>32.82</v>
      </c>
      <c r="F538" s="6">
        <f t="shared" si="16"/>
        <v>32.82</v>
      </c>
      <c r="G538" t="str">
        <f t="array" ref="G538">IFERROR(INDEX('working sheet'!$F$2:$F$3548, MODE(IF('working sheet'!$D$2:$D$3548=A538, MATCH('working sheet'!$F$2:$F$3548, 'working sheet'!$F$2:$F$3548, 0)))),
         INDEX('working sheet'!$F$2:$F$3548, MATCH(A538, 'working sheet'!$D$2:$D$3548, 0)))</f>
        <v>Cappuccino</v>
      </c>
      <c r="H538" s="7">
        <f t="shared" si="17"/>
        <v>1</v>
      </c>
      <c r="I538" s="7">
        <f>MAX('working sheet'!$B$2:$B$3548)-C538</f>
        <v>213.12813898148306</v>
      </c>
      <c r="J538" s="4" t="str">
        <f t="array" ref="J538">IF(AND(I538&lt;=30, D538&gt;=10, E538&gt;=200), "VIP",  IF(AND(I538&lt;=60, D538&gt;=5, E538&gt;=100), "Loyal", IF(AND(I538&lt;=90, D538&gt;=3), "Regular", IF(I538&lt;=30, "Recent", IF(D538&gt;=3, "Occasional", "At Risk")))))</f>
        <v>At Risk</v>
      </c>
      <c r="K538" t="str">
        <f t="array" ref="K538">IF(OR(J538="VIP", J538="Loyal"), "HIGH",IF(OR(J538="Regular", J538="Recent"), "MEDIUM","LOW"))</f>
        <v>LOW</v>
      </c>
    </row>
    <row r="539" spans="1:11">
      <c r="A539" t="s">
        <v>552</v>
      </c>
      <c r="B539" s="14">
        <f>_xlfn.MINIFS('working sheet'!$B$2:$B$3548, 'working sheet'!$D$2:$D$3548, A539)</f>
        <v>45526.644066168985</v>
      </c>
      <c r="C539" s="17">
        <f>_xlfn.MAXIFS('working sheet'!$B$1:$B$3548,'working sheet'!$D$1:$D$3548,'Customer Portfolio'!A539)</f>
        <v>45526.644066168985</v>
      </c>
      <c r="D539">
        <f>COUNTIFS('working sheet'!$D$1:$D$3548,'Customer Portfolio'!A539)</f>
        <v>1</v>
      </c>
      <c r="E539" s="5">
        <f>SUMIFS('working sheet'!$E$2:$E$3548,'working sheet'!$D$2:$D$3548,'Customer Portfolio'!A539)</f>
        <v>23.02</v>
      </c>
      <c r="F539" s="6">
        <f t="shared" si="16"/>
        <v>23.02</v>
      </c>
      <c r="G539" t="str">
        <f t="array" ref="G539">IFERROR(INDEX('working sheet'!$F$2:$F$3548, MODE(IF('working sheet'!$D$2:$D$3548=A539, MATCH('working sheet'!$F$2:$F$3548, 'working sheet'!$F$2:$F$3548, 0)))),
         INDEX('working sheet'!$F$2:$F$3548, MATCH(A539, 'working sheet'!$D$2:$D$3548, 0)))</f>
        <v>Americano</v>
      </c>
      <c r="H539" s="7">
        <f t="shared" si="17"/>
        <v>1</v>
      </c>
      <c r="I539" s="7">
        <f>MAX('working sheet'!$B$2:$B$3548)-C539</f>
        <v>213.11401988425496</v>
      </c>
      <c r="J539" s="4" t="str">
        <f t="array" ref="J539">IF(AND(I539&lt;=30, D539&gt;=10, E539&gt;=200), "VIP",  IF(AND(I539&lt;=60, D539&gt;=5, E539&gt;=100), "Loyal", IF(AND(I539&lt;=90, D539&gt;=3), "Regular", IF(I539&lt;=30, "Recent", IF(D539&gt;=3, "Occasional", "At Risk")))))</f>
        <v>At Risk</v>
      </c>
      <c r="K539" t="str">
        <f t="array" ref="K539">IF(OR(J539="VIP", J539="Loyal"), "HIGH",IF(OR(J539="Regular", J539="Recent"), "MEDIUM","LOW"))</f>
        <v>LOW</v>
      </c>
    </row>
    <row r="540" spans="1:11">
      <c r="A540" t="s">
        <v>553</v>
      </c>
      <c r="B540" s="14">
        <f>_xlfn.MINIFS('working sheet'!$B$2:$B$3548, 'working sheet'!$D$2:$D$3548, A540)</f>
        <v>45527.424290555558</v>
      </c>
      <c r="C540" s="17">
        <f>_xlfn.MAXIFS('working sheet'!$B$1:$B$3548,'working sheet'!$D$1:$D$3548,'Customer Portfolio'!A540)</f>
        <v>45527.424947557869</v>
      </c>
      <c r="D540">
        <f>COUNTIFS('working sheet'!$D$1:$D$3548,'Customer Portfolio'!A540)</f>
        <v>2</v>
      </c>
      <c r="E540" s="5">
        <f>SUMIFS('working sheet'!$E$2:$E$3548,'working sheet'!$D$2:$D$3548,'Customer Portfolio'!A540)</f>
        <v>55.84</v>
      </c>
      <c r="F540" s="6">
        <f t="shared" si="16"/>
        <v>27.92</v>
      </c>
      <c r="G540" t="str">
        <f t="array" ref="G540">IFERROR(INDEX('working sheet'!$F$2:$F$3548, MODE(IF('working sheet'!$D$2:$D$3548=A540, MATCH('working sheet'!$F$2:$F$3548, 'working sheet'!$F$2:$F$3548, 0)))),
         INDEX('working sheet'!$F$2:$F$3548, MATCH(A540, 'working sheet'!$D$2:$D$3548, 0)))</f>
        <v>Cocoa</v>
      </c>
      <c r="H540" s="7">
        <f t="shared" si="17"/>
        <v>1.0006570023106178</v>
      </c>
      <c r="I540" s="7">
        <f>MAX('working sheet'!$B$2:$B$3548)-C540</f>
        <v>212.3331384953708</v>
      </c>
      <c r="J540" s="4" t="str">
        <f t="array" ref="J540">IF(AND(I540&lt;=30, D540&gt;=10, E540&gt;=200), "VIP",  IF(AND(I540&lt;=60, D540&gt;=5, E540&gt;=100), "Loyal", IF(AND(I540&lt;=90, D540&gt;=3), "Regular", IF(I540&lt;=30, "Recent", IF(D540&gt;=3, "Occasional", "At Risk")))))</f>
        <v>At Risk</v>
      </c>
      <c r="K540" t="str">
        <f t="array" ref="K540">IF(OR(J540="VIP", J540="Loyal"), "HIGH",IF(OR(J540="Regular", J540="Recent"), "MEDIUM","LOW"))</f>
        <v>LOW</v>
      </c>
    </row>
    <row r="541" spans="1:11">
      <c r="A541" t="s">
        <v>554</v>
      </c>
      <c r="B541" s="14">
        <f>_xlfn.MINIFS('working sheet'!$B$2:$B$3548, 'working sheet'!$D$2:$D$3548, A541)</f>
        <v>45527.467354016204</v>
      </c>
      <c r="C541" s="17">
        <f>_xlfn.MAXIFS('working sheet'!$B$1:$B$3548,'working sheet'!$D$1:$D$3548,'Customer Portfolio'!A541)</f>
        <v>45527.467354016204</v>
      </c>
      <c r="D541">
        <f>COUNTIFS('working sheet'!$D$1:$D$3548,'Customer Portfolio'!A541)</f>
        <v>1</v>
      </c>
      <c r="E541" s="5">
        <f>SUMIFS('working sheet'!$E$2:$E$3548,'working sheet'!$D$2:$D$3548,'Customer Portfolio'!A541)</f>
        <v>32.82</v>
      </c>
      <c r="F541" s="6">
        <f t="shared" si="16"/>
        <v>32.82</v>
      </c>
      <c r="G541" t="str">
        <f t="array" ref="G541">IFERROR(INDEX('working sheet'!$F$2:$F$3548, MODE(IF('working sheet'!$D$2:$D$3548=A541, MATCH('working sheet'!$F$2:$F$3548, 'working sheet'!$F$2:$F$3548, 0)))),
         INDEX('working sheet'!$F$2:$F$3548, MATCH(A541, 'working sheet'!$D$2:$D$3548, 0)))</f>
        <v>Hot Chocolate</v>
      </c>
      <c r="H541" s="7">
        <f t="shared" si="17"/>
        <v>1</v>
      </c>
      <c r="I541" s="7">
        <f>MAX('working sheet'!$B$2:$B$3548)-C541</f>
        <v>212.29073203703592</v>
      </c>
      <c r="J541" s="4" t="str">
        <f t="array" ref="J541">IF(AND(I541&lt;=30, D541&gt;=10, E541&gt;=200), "VIP",  IF(AND(I541&lt;=60, D541&gt;=5, E541&gt;=100), "Loyal", IF(AND(I541&lt;=90, D541&gt;=3), "Regular", IF(I541&lt;=30, "Recent", IF(D541&gt;=3, "Occasional", "At Risk")))))</f>
        <v>At Risk</v>
      </c>
      <c r="K541" t="str">
        <f t="array" ref="K541">IF(OR(J541="VIP", J541="Loyal"), "HIGH",IF(OR(J541="Regular", J541="Recent"), "MEDIUM","LOW"))</f>
        <v>LOW</v>
      </c>
    </row>
    <row r="542" spans="1:11">
      <c r="A542" t="s">
        <v>555</v>
      </c>
      <c r="B542" s="14">
        <f>_xlfn.MINIFS('working sheet'!$B$2:$B$3548, 'working sheet'!$D$2:$D$3548, A542)</f>
        <v>45527.558966990742</v>
      </c>
      <c r="C542" s="17">
        <f>_xlfn.MAXIFS('working sheet'!$B$1:$B$3548,'working sheet'!$D$1:$D$3548,'Customer Portfolio'!A542)</f>
        <v>45527.558966990742</v>
      </c>
      <c r="D542">
        <f>COUNTIFS('working sheet'!$D$1:$D$3548,'Customer Portfolio'!A542)</f>
        <v>1</v>
      </c>
      <c r="E542" s="5">
        <f>SUMIFS('working sheet'!$E$2:$E$3548,'working sheet'!$D$2:$D$3548,'Customer Portfolio'!A542)</f>
        <v>23.02</v>
      </c>
      <c r="F542" s="6">
        <f t="shared" si="16"/>
        <v>23.02</v>
      </c>
      <c r="G542" t="str">
        <f t="array" ref="G542">IFERROR(INDEX('working sheet'!$F$2:$F$3548, MODE(IF('working sheet'!$D$2:$D$3548=A542, MATCH('working sheet'!$F$2:$F$3548, 'working sheet'!$F$2:$F$3548, 0)))),
         INDEX('working sheet'!$F$2:$F$3548, MATCH(A542, 'working sheet'!$D$2:$D$3548, 0)))</f>
        <v>Americano</v>
      </c>
      <c r="H542" s="7">
        <f t="shared" si="17"/>
        <v>1</v>
      </c>
      <c r="I542" s="7">
        <f>MAX('working sheet'!$B$2:$B$3548)-C542</f>
        <v>212.19911906249763</v>
      </c>
      <c r="J542" s="4" t="str">
        <f t="array" ref="J542">IF(AND(I542&lt;=30, D542&gt;=10, E542&gt;=200), "VIP",  IF(AND(I542&lt;=60, D542&gt;=5, E542&gt;=100), "Loyal", IF(AND(I542&lt;=90, D542&gt;=3), "Regular", IF(I542&lt;=30, "Recent", IF(D542&gt;=3, "Occasional", "At Risk")))))</f>
        <v>At Risk</v>
      </c>
      <c r="K542" t="str">
        <f t="array" ref="K542">IF(OR(J542="VIP", J542="Loyal"), "HIGH",IF(OR(J542="Regular", J542="Recent"), "MEDIUM","LOW"))</f>
        <v>LOW</v>
      </c>
    </row>
    <row r="543" spans="1:11">
      <c r="A543" t="s">
        <v>556</v>
      </c>
      <c r="B543" s="14">
        <f>_xlfn.MINIFS('working sheet'!$B$2:$B$3548, 'working sheet'!$D$2:$D$3548, A543)</f>
        <v>45527.645055312503</v>
      </c>
      <c r="C543" s="17">
        <f>_xlfn.MAXIFS('working sheet'!$B$1:$B$3548,'working sheet'!$D$1:$D$3548,'Customer Portfolio'!A543)</f>
        <v>45527.645055312503</v>
      </c>
      <c r="D543">
        <f>COUNTIFS('working sheet'!$D$1:$D$3548,'Customer Portfolio'!A543)</f>
        <v>1</v>
      </c>
      <c r="E543" s="5">
        <f>SUMIFS('working sheet'!$E$2:$E$3548,'working sheet'!$D$2:$D$3548,'Customer Portfolio'!A543)</f>
        <v>23.02</v>
      </c>
      <c r="F543" s="6">
        <f t="shared" si="16"/>
        <v>23.02</v>
      </c>
      <c r="G543" t="str">
        <f t="array" ref="G543">IFERROR(INDEX('working sheet'!$F$2:$F$3548, MODE(IF('working sheet'!$D$2:$D$3548=A543, MATCH('working sheet'!$F$2:$F$3548, 'working sheet'!$F$2:$F$3548, 0)))),
         INDEX('working sheet'!$F$2:$F$3548, MATCH(A543, 'working sheet'!$D$2:$D$3548, 0)))</f>
        <v>Americano</v>
      </c>
      <c r="H543" s="7">
        <f t="shared" si="17"/>
        <v>1</v>
      </c>
      <c r="I543" s="7">
        <f>MAX('working sheet'!$B$2:$B$3548)-C543</f>
        <v>212.11303074073658</v>
      </c>
      <c r="J543" s="4" t="str">
        <f t="array" ref="J543">IF(AND(I543&lt;=30, D543&gt;=10, E543&gt;=200), "VIP",  IF(AND(I543&lt;=60, D543&gt;=5, E543&gt;=100), "Loyal", IF(AND(I543&lt;=90, D543&gt;=3), "Regular", IF(I543&lt;=30, "Recent", IF(D543&gt;=3, "Occasional", "At Risk")))))</f>
        <v>At Risk</v>
      </c>
      <c r="K543" t="str">
        <f t="array" ref="K543">IF(OR(J543="VIP", J543="Loyal"), "HIGH",IF(OR(J543="Regular", J543="Recent"), "MEDIUM","LOW"))</f>
        <v>LOW</v>
      </c>
    </row>
    <row r="544" spans="1:11">
      <c r="A544" t="s">
        <v>557</v>
      </c>
      <c r="B544" s="14">
        <f>_xlfn.MINIFS('working sheet'!$B$2:$B$3548, 'working sheet'!$D$2:$D$3548, A544)</f>
        <v>45528.364022858797</v>
      </c>
      <c r="C544" s="17">
        <f>_xlfn.MAXIFS('working sheet'!$B$1:$B$3548,'working sheet'!$D$1:$D$3548,'Customer Portfolio'!A544)</f>
        <v>45619.383205775463</v>
      </c>
      <c r="D544">
        <f>COUNTIFS('working sheet'!$D$1:$D$3548,'Customer Portfolio'!A544)</f>
        <v>15</v>
      </c>
      <c r="E544" s="5">
        <f>SUMIFS('working sheet'!$E$2:$E$3548,'working sheet'!$D$2:$D$3548,'Customer Portfolio'!A544)</f>
        <v>380.57999999999993</v>
      </c>
      <c r="F544" s="6">
        <f t="shared" si="16"/>
        <v>25.371999999999996</v>
      </c>
      <c r="G544" t="str">
        <f t="array" ref="G544">IFERROR(INDEX('working sheet'!$F$2:$F$3548, MODE(IF('working sheet'!$D$2:$D$3548=A544, MATCH('working sheet'!$F$2:$F$3548, 'working sheet'!$F$2:$F$3548, 0)))),
         INDEX('working sheet'!$F$2:$F$3548, MATCH(A544, 'working sheet'!$D$2:$D$3548, 0)))</f>
        <v>Cortado</v>
      </c>
      <c r="H544" s="7">
        <f t="shared" si="17"/>
        <v>92.019182916665159</v>
      </c>
      <c r="I544" s="7">
        <f>MAX('working sheet'!$B$2:$B$3548)-C544</f>
        <v>120.37488027777727</v>
      </c>
      <c r="J544" s="4" t="str">
        <f t="array" ref="J544">IF(AND(I544&lt;=30, D544&gt;=10, E544&gt;=200), "VIP",  IF(AND(I544&lt;=60, D544&gt;=5, E544&gt;=100), "Loyal", IF(AND(I544&lt;=90, D544&gt;=3), "Regular", IF(I544&lt;=30, "Recent", IF(D544&gt;=3, "Occasional", "At Risk")))))</f>
        <v>Occasional</v>
      </c>
      <c r="K544" t="str">
        <f t="array" ref="K544">IF(OR(J544="VIP", J544="Loyal"), "HIGH",IF(OR(J544="Regular", J544="Recent"), "MEDIUM","LOW"))</f>
        <v>LOW</v>
      </c>
    </row>
    <row r="545" spans="1:11">
      <c r="A545" t="s">
        <v>558</v>
      </c>
      <c r="B545" s="14">
        <f>_xlfn.MINIFS('working sheet'!$B$2:$B$3548, 'working sheet'!$D$2:$D$3548, A545)</f>
        <v>45528.429276446761</v>
      </c>
      <c r="C545" s="17">
        <f>_xlfn.MAXIFS('working sheet'!$B$1:$B$3548,'working sheet'!$D$1:$D$3548,'Customer Portfolio'!A545)</f>
        <v>45528.430431053239</v>
      </c>
      <c r="D545">
        <f>COUNTIFS('working sheet'!$D$1:$D$3548,'Customer Portfolio'!A545)</f>
        <v>3</v>
      </c>
      <c r="E545" s="5">
        <f>SUMIFS('working sheet'!$E$2:$E$3548,'working sheet'!$D$2:$D$3548,'Customer Portfolio'!A545)</f>
        <v>59.260000000000005</v>
      </c>
      <c r="F545" s="6">
        <f t="shared" si="16"/>
        <v>19.753333333333334</v>
      </c>
      <c r="G545" t="str">
        <f t="array" ref="G545">IFERROR(INDEX('working sheet'!$F$2:$F$3548, MODE(IF('working sheet'!$D$2:$D$3548=A545, MATCH('working sheet'!$F$2:$F$3548, 'working sheet'!$F$2:$F$3548, 0)))),
         INDEX('working sheet'!$F$2:$F$3548, MATCH(A545, 'working sheet'!$D$2:$D$3548, 0)))</f>
        <v>Espresso</v>
      </c>
      <c r="H545" s="7">
        <f t="shared" si="17"/>
        <v>1.0011546064779395</v>
      </c>
      <c r="I545" s="7">
        <f>MAX('working sheet'!$B$2:$B$3548)-C545</f>
        <v>211.32765500000096</v>
      </c>
      <c r="J545" s="4" t="str">
        <f t="array" ref="J545">IF(AND(I545&lt;=30, D545&gt;=10, E545&gt;=200), "VIP",  IF(AND(I545&lt;=60, D545&gt;=5, E545&gt;=100), "Loyal", IF(AND(I545&lt;=90, D545&gt;=3), "Regular", IF(I545&lt;=30, "Recent", IF(D545&gt;=3, "Occasional", "At Risk")))))</f>
        <v>Occasional</v>
      </c>
      <c r="K545" t="str">
        <f t="array" ref="K545">IF(OR(J545="VIP", J545="Loyal"), "HIGH",IF(OR(J545="Regular", J545="Recent"), "MEDIUM","LOW"))</f>
        <v>LOW</v>
      </c>
    </row>
    <row r="546" spans="1:11">
      <c r="A546" t="s">
        <v>559</v>
      </c>
      <c r="B546" s="14">
        <f>_xlfn.MINIFS('working sheet'!$B$2:$B$3548, 'working sheet'!$D$2:$D$3548, A546)</f>
        <v>45529.391924363423</v>
      </c>
      <c r="C546" s="17">
        <f>_xlfn.MAXIFS('working sheet'!$B$1:$B$3548,'working sheet'!$D$1:$D$3548,'Customer Portfolio'!A546)</f>
        <v>45529.391924363423</v>
      </c>
      <c r="D546">
        <f>COUNTIFS('working sheet'!$D$1:$D$3548,'Customer Portfolio'!A546)</f>
        <v>1</v>
      </c>
      <c r="E546" s="5">
        <f>SUMIFS('working sheet'!$E$2:$E$3548,'working sheet'!$D$2:$D$3548,'Customer Portfolio'!A546)</f>
        <v>32.82</v>
      </c>
      <c r="F546" s="6">
        <f t="shared" si="16"/>
        <v>32.82</v>
      </c>
      <c r="G546" t="str">
        <f t="array" ref="G546">IFERROR(INDEX('working sheet'!$F$2:$F$3548, MODE(IF('working sheet'!$D$2:$D$3548=A546, MATCH('working sheet'!$F$2:$F$3548, 'working sheet'!$F$2:$F$3548, 0)))),
         INDEX('working sheet'!$F$2:$F$3548, MATCH(A546, 'working sheet'!$D$2:$D$3548, 0)))</f>
        <v>Cappuccino</v>
      </c>
      <c r="H546" s="7">
        <f t="shared" si="17"/>
        <v>1</v>
      </c>
      <c r="I546" s="7">
        <f>MAX('working sheet'!$B$2:$B$3548)-C546</f>
        <v>210.36616168981709</v>
      </c>
      <c r="J546" s="4" t="str">
        <f t="array" ref="J546">IF(AND(I546&lt;=30, D546&gt;=10, E546&gt;=200), "VIP",  IF(AND(I546&lt;=60, D546&gt;=5, E546&gt;=100), "Loyal", IF(AND(I546&lt;=90, D546&gt;=3), "Regular", IF(I546&lt;=30, "Recent", IF(D546&gt;=3, "Occasional", "At Risk")))))</f>
        <v>At Risk</v>
      </c>
      <c r="K546" t="str">
        <f t="array" ref="K546">IF(OR(J546="VIP", J546="Loyal"), "HIGH",IF(OR(J546="Regular", J546="Recent"), "MEDIUM","LOW"))</f>
        <v>LOW</v>
      </c>
    </row>
    <row r="547" spans="1:11">
      <c r="A547" t="s">
        <v>560</v>
      </c>
      <c r="B547" s="14">
        <f>_xlfn.MINIFS('working sheet'!$B$2:$B$3548, 'working sheet'!$D$2:$D$3548, A547)</f>
        <v>45529.528966469908</v>
      </c>
      <c r="C547" s="17">
        <f>_xlfn.MAXIFS('working sheet'!$B$1:$B$3548,'working sheet'!$D$1:$D$3548,'Customer Portfolio'!A547)</f>
        <v>45529.528966469908</v>
      </c>
      <c r="D547">
        <f>COUNTIFS('working sheet'!$D$1:$D$3548,'Customer Portfolio'!A547)</f>
        <v>1</v>
      </c>
      <c r="E547" s="5">
        <f>SUMIFS('working sheet'!$E$2:$E$3548,'working sheet'!$D$2:$D$3548,'Customer Portfolio'!A547)</f>
        <v>32.82</v>
      </c>
      <c r="F547" s="6">
        <f t="shared" si="16"/>
        <v>32.82</v>
      </c>
      <c r="G547" t="str">
        <f t="array" ref="G547">IFERROR(INDEX('working sheet'!$F$2:$F$3548, MODE(IF('working sheet'!$D$2:$D$3548=A547, MATCH('working sheet'!$F$2:$F$3548, 'working sheet'!$F$2:$F$3548, 0)))),
         INDEX('working sheet'!$F$2:$F$3548, MATCH(A547, 'working sheet'!$D$2:$D$3548, 0)))</f>
        <v>Cappuccino</v>
      </c>
      <c r="H547" s="7">
        <f t="shared" si="17"/>
        <v>1</v>
      </c>
      <c r="I547" s="7">
        <f>MAX('working sheet'!$B$2:$B$3548)-C547</f>
        <v>210.22911958333134</v>
      </c>
      <c r="J547" s="4" t="str">
        <f t="array" ref="J547">IF(AND(I547&lt;=30, D547&gt;=10, E547&gt;=200), "VIP",  IF(AND(I547&lt;=60, D547&gt;=5, E547&gt;=100), "Loyal", IF(AND(I547&lt;=90, D547&gt;=3), "Regular", IF(I547&lt;=30, "Recent", IF(D547&gt;=3, "Occasional", "At Risk")))))</f>
        <v>At Risk</v>
      </c>
      <c r="K547" t="str">
        <f t="array" ref="K547">IF(OR(J547="VIP", J547="Loyal"), "HIGH",IF(OR(J547="Regular", J547="Recent"), "MEDIUM","LOW"))</f>
        <v>LOW</v>
      </c>
    </row>
    <row r="548" spans="1:11">
      <c r="A548" t="s">
        <v>561</v>
      </c>
      <c r="B548" s="14">
        <f>_xlfn.MINIFS('working sheet'!$B$2:$B$3548, 'working sheet'!$D$2:$D$3548, A548)</f>
        <v>45530.442875740744</v>
      </c>
      <c r="C548" s="17">
        <f>_xlfn.MAXIFS('working sheet'!$B$1:$B$3548,'working sheet'!$D$1:$D$3548,'Customer Portfolio'!A548)</f>
        <v>45530.442875740744</v>
      </c>
      <c r="D548">
        <f>COUNTIFS('working sheet'!$D$1:$D$3548,'Customer Portfolio'!A548)</f>
        <v>1</v>
      </c>
      <c r="E548" s="5">
        <f>SUMIFS('working sheet'!$E$2:$E$3548,'working sheet'!$D$2:$D$3548,'Customer Portfolio'!A548)</f>
        <v>32.82</v>
      </c>
      <c r="F548" s="6">
        <f t="shared" si="16"/>
        <v>32.82</v>
      </c>
      <c r="G548" t="str">
        <f t="array" ref="G548">IFERROR(INDEX('working sheet'!$F$2:$F$3548, MODE(IF('working sheet'!$D$2:$D$3548=A548, MATCH('working sheet'!$F$2:$F$3548, 'working sheet'!$F$2:$F$3548, 0)))),
         INDEX('working sheet'!$F$2:$F$3548, MATCH(A548, 'working sheet'!$D$2:$D$3548, 0)))</f>
        <v>Latte</v>
      </c>
      <c r="H548" s="7">
        <f t="shared" si="17"/>
        <v>1</v>
      </c>
      <c r="I548" s="7">
        <f>MAX('working sheet'!$B$2:$B$3548)-C548</f>
        <v>209.31521031249576</v>
      </c>
      <c r="J548" s="4" t="str">
        <f t="array" ref="J548">IF(AND(I548&lt;=30, D548&gt;=10, E548&gt;=200), "VIP",  IF(AND(I548&lt;=60, D548&gt;=5, E548&gt;=100), "Loyal", IF(AND(I548&lt;=90, D548&gt;=3), "Regular", IF(I548&lt;=30, "Recent", IF(D548&gt;=3, "Occasional", "At Risk")))))</f>
        <v>At Risk</v>
      </c>
      <c r="K548" t="str">
        <f t="array" ref="K548">IF(OR(J548="VIP", J548="Loyal"), "HIGH",IF(OR(J548="Regular", J548="Recent"), "MEDIUM","LOW"))</f>
        <v>LOW</v>
      </c>
    </row>
    <row r="549" spans="1:11">
      <c r="A549" t="s">
        <v>562</v>
      </c>
      <c r="B549" s="14">
        <f>_xlfn.MINIFS('working sheet'!$B$2:$B$3548, 'working sheet'!$D$2:$D$3548, A549)</f>
        <v>45530.443623113424</v>
      </c>
      <c r="C549" s="17">
        <f>_xlfn.MAXIFS('working sheet'!$B$1:$B$3548,'working sheet'!$D$1:$D$3548,'Customer Portfolio'!A549)</f>
        <v>45530.443623113424</v>
      </c>
      <c r="D549">
        <f>COUNTIFS('working sheet'!$D$1:$D$3548,'Customer Portfolio'!A549)</f>
        <v>1</v>
      </c>
      <c r="E549" s="5">
        <f>SUMIFS('working sheet'!$E$2:$E$3548,'working sheet'!$D$2:$D$3548,'Customer Portfolio'!A549)</f>
        <v>32.82</v>
      </c>
      <c r="F549" s="6">
        <f t="shared" si="16"/>
        <v>32.82</v>
      </c>
      <c r="G549" t="str">
        <f t="array" ref="G549">IFERROR(INDEX('working sheet'!$F$2:$F$3548, MODE(IF('working sheet'!$D$2:$D$3548=A549, MATCH('working sheet'!$F$2:$F$3548, 'working sheet'!$F$2:$F$3548, 0)))),
         INDEX('working sheet'!$F$2:$F$3548, MATCH(A549, 'working sheet'!$D$2:$D$3548, 0)))</f>
        <v>Cappuccino</v>
      </c>
      <c r="H549" s="7">
        <f t="shared" si="17"/>
        <v>1</v>
      </c>
      <c r="I549" s="7">
        <f>MAX('working sheet'!$B$2:$B$3548)-C549</f>
        <v>209.31446293981571</v>
      </c>
      <c r="J549" s="4" t="str">
        <f t="array" ref="J549">IF(AND(I549&lt;=30, D549&gt;=10, E549&gt;=200), "VIP",  IF(AND(I549&lt;=60, D549&gt;=5, E549&gt;=100), "Loyal", IF(AND(I549&lt;=90, D549&gt;=3), "Regular", IF(I549&lt;=30, "Recent", IF(D549&gt;=3, "Occasional", "At Risk")))))</f>
        <v>At Risk</v>
      </c>
      <c r="K549" t="str">
        <f t="array" ref="K549">IF(OR(J549="VIP", J549="Loyal"), "HIGH",IF(OR(J549="Regular", J549="Recent"), "MEDIUM","LOW"))</f>
        <v>LOW</v>
      </c>
    </row>
    <row r="550" spans="1:11">
      <c r="A550" t="s">
        <v>563</v>
      </c>
      <c r="B550" s="14">
        <f>_xlfn.MINIFS('working sheet'!$B$2:$B$3548, 'working sheet'!$D$2:$D$3548, A550)</f>
        <v>45530.787127199073</v>
      </c>
      <c r="C550" s="17">
        <f>_xlfn.MAXIFS('working sheet'!$B$1:$B$3548,'working sheet'!$D$1:$D$3548,'Customer Portfolio'!A550)</f>
        <v>45530.787862164354</v>
      </c>
      <c r="D550">
        <f>COUNTIFS('working sheet'!$D$1:$D$3548,'Customer Portfolio'!A550)</f>
        <v>2</v>
      </c>
      <c r="E550" s="5">
        <f>SUMIFS('working sheet'!$E$2:$E$3548,'working sheet'!$D$2:$D$3548,'Customer Portfolio'!A550)</f>
        <v>60.74</v>
      </c>
      <c r="F550" s="6">
        <f t="shared" si="16"/>
        <v>30.37</v>
      </c>
      <c r="G550" t="str">
        <f t="array" ref="G550">IFERROR(INDEX('working sheet'!$F$2:$F$3548, MODE(IF('working sheet'!$D$2:$D$3548=A550, MATCH('working sheet'!$F$2:$F$3548, 'working sheet'!$F$2:$F$3548, 0)))),
         INDEX('working sheet'!$F$2:$F$3548, MATCH(A550, 'working sheet'!$D$2:$D$3548, 0)))</f>
        <v>Americano with Milk</v>
      </c>
      <c r="H550" s="7">
        <f t="shared" si="17"/>
        <v>1.0007349652805715</v>
      </c>
      <c r="I550" s="7">
        <f>MAX('working sheet'!$B$2:$B$3548)-C550</f>
        <v>208.97022388888581</v>
      </c>
      <c r="J550" s="4" t="str">
        <f t="array" ref="J550">IF(AND(I550&lt;=30, D550&gt;=10, E550&gt;=200), "VIP",  IF(AND(I550&lt;=60, D550&gt;=5, E550&gt;=100), "Loyal", IF(AND(I550&lt;=90, D550&gt;=3), "Regular", IF(I550&lt;=30, "Recent", IF(D550&gt;=3, "Occasional", "At Risk")))))</f>
        <v>At Risk</v>
      </c>
      <c r="K550" t="str">
        <f t="array" ref="K550">IF(OR(J550="VIP", J550="Loyal"), "HIGH",IF(OR(J550="Regular", J550="Recent"), "MEDIUM","LOW"))</f>
        <v>LOW</v>
      </c>
    </row>
    <row r="551" spans="1:11">
      <c r="A551" t="s">
        <v>564</v>
      </c>
      <c r="B551" s="14">
        <f>_xlfn.MINIFS('working sheet'!$B$2:$B$3548, 'working sheet'!$D$2:$D$3548, A551)</f>
        <v>45530.955322974536</v>
      </c>
      <c r="C551" s="17">
        <f>_xlfn.MAXIFS('working sheet'!$B$1:$B$3548,'working sheet'!$D$1:$D$3548,'Customer Portfolio'!A551)</f>
        <v>45585.928808344906</v>
      </c>
      <c r="D551">
        <f>COUNTIFS('working sheet'!$D$1:$D$3548,'Customer Portfolio'!A551)</f>
        <v>2</v>
      </c>
      <c r="E551" s="5">
        <f>SUMIFS('working sheet'!$E$2:$E$3548,'working sheet'!$D$2:$D$3548,'Customer Portfolio'!A551)</f>
        <v>63.68</v>
      </c>
      <c r="F551" s="6">
        <f t="shared" si="16"/>
        <v>31.84</v>
      </c>
      <c r="G551" t="str">
        <f t="array" ref="G551">IFERROR(INDEX('working sheet'!$F$2:$F$3548, MODE(IF('working sheet'!$D$2:$D$3548=A551, MATCH('working sheet'!$F$2:$F$3548, 'working sheet'!$F$2:$F$3548, 0)))),
         INDEX('working sheet'!$F$2:$F$3548, MATCH(A551, 'working sheet'!$D$2:$D$3548, 0)))</f>
        <v>Americano with Milk</v>
      </c>
      <c r="H551" s="7">
        <f t="shared" si="17"/>
        <v>55.973485370370327</v>
      </c>
      <c r="I551" s="7">
        <f>MAX('working sheet'!$B$2:$B$3548)-C551</f>
        <v>153.82927770833339</v>
      </c>
      <c r="J551" s="4" t="str">
        <f t="array" ref="J551">IF(AND(I551&lt;=30, D551&gt;=10, E551&gt;=200), "VIP",  IF(AND(I551&lt;=60, D551&gt;=5, E551&gt;=100), "Loyal", IF(AND(I551&lt;=90, D551&gt;=3), "Regular", IF(I551&lt;=30, "Recent", IF(D551&gt;=3, "Occasional", "At Risk")))))</f>
        <v>At Risk</v>
      </c>
      <c r="K551" t="str">
        <f t="array" ref="K551">IF(OR(J551="VIP", J551="Loyal"), "HIGH",IF(OR(J551="Regular", J551="Recent"), "MEDIUM","LOW"))</f>
        <v>LOW</v>
      </c>
    </row>
    <row r="552" spans="1:11">
      <c r="A552" t="s">
        <v>565</v>
      </c>
      <c r="B552" s="14">
        <f>_xlfn.MINIFS('working sheet'!$B$2:$B$3548, 'working sheet'!$D$2:$D$3548, A552)</f>
        <v>45532.505772824072</v>
      </c>
      <c r="C552" s="17">
        <f>_xlfn.MAXIFS('working sheet'!$B$1:$B$3548,'working sheet'!$D$1:$D$3548,'Customer Portfolio'!A552)</f>
        <v>45532.506992349539</v>
      </c>
      <c r="D552">
        <f>COUNTIFS('working sheet'!$D$1:$D$3548,'Customer Portfolio'!A552)</f>
        <v>2</v>
      </c>
      <c r="E552" s="5">
        <f>SUMIFS('working sheet'!$E$2:$E$3548,'working sheet'!$D$2:$D$3548,'Customer Portfolio'!A552)</f>
        <v>60.74</v>
      </c>
      <c r="F552" s="6">
        <f t="shared" si="16"/>
        <v>30.37</v>
      </c>
      <c r="G552" t="str">
        <f t="array" ref="G552">IFERROR(INDEX('working sheet'!$F$2:$F$3548, MODE(IF('working sheet'!$D$2:$D$3548=A552, MATCH('working sheet'!$F$2:$F$3548, 'working sheet'!$F$2:$F$3548, 0)))),
         INDEX('working sheet'!$F$2:$F$3548, MATCH(A552, 'working sheet'!$D$2:$D$3548, 0)))</f>
        <v>Americano with Milk</v>
      </c>
      <c r="H552" s="7">
        <f t="shared" si="17"/>
        <v>1.0012195254676044</v>
      </c>
      <c r="I552" s="7">
        <f>MAX('working sheet'!$B$2:$B$3548)-C552</f>
        <v>207.25109370370046</v>
      </c>
      <c r="J552" s="4" t="str">
        <f t="array" ref="J552">IF(AND(I552&lt;=30, D552&gt;=10, E552&gt;=200), "VIP",  IF(AND(I552&lt;=60, D552&gt;=5, E552&gt;=100), "Loyal", IF(AND(I552&lt;=90, D552&gt;=3), "Regular", IF(I552&lt;=30, "Recent", IF(D552&gt;=3, "Occasional", "At Risk")))))</f>
        <v>At Risk</v>
      </c>
      <c r="K552" t="str">
        <f t="array" ref="K552">IF(OR(J552="VIP", J552="Loyal"), "HIGH",IF(OR(J552="Regular", J552="Recent"), "MEDIUM","LOW"))</f>
        <v>LOW</v>
      </c>
    </row>
    <row r="553" spans="1:11">
      <c r="A553" t="s">
        <v>566</v>
      </c>
      <c r="B553" s="14">
        <f>_xlfn.MINIFS('working sheet'!$B$2:$B$3548, 'working sheet'!$D$2:$D$3548, A553)</f>
        <v>45532.575407395831</v>
      </c>
      <c r="C553" s="17">
        <f>_xlfn.MAXIFS('working sheet'!$B$1:$B$3548,'working sheet'!$D$1:$D$3548,'Customer Portfolio'!A553)</f>
        <v>45548.660345972225</v>
      </c>
      <c r="D553">
        <f>COUNTIFS('working sheet'!$D$1:$D$3548,'Customer Portfolio'!A553)</f>
        <v>2</v>
      </c>
      <c r="E553" s="5">
        <f>SUMIFS('working sheet'!$E$2:$E$3548,'working sheet'!$D$2:$D$3548,'Customer Portfolio'!A553)</f>
        <v>55.84</v>
      </c>
      <c r="F553" s="6">
        <f t="shared" si="16"/>
        <v>27.92</v>
      </c>
      <c r="G553" t="str">
        <f t="array" ref="G553">IFERROR(INDEX('working sheet'!$F$2:$F$3548, MODE(IF('working sheet'!$D$2:$D$3548=A553, MATCH('working sheet'!$F$2:$F$3548, 'working sheet'!$F$2:$F$3548, 0)))),
         INDEX('working sheet'!$F$2:$F$3548, MATCH(A553, 'working sheet'!$D$2:$D$3548, 0)))</f>
        <v>Americano with Milk</v>
      </c>
      <c r="H553" s="7">
        <f t="shared" si="17"/>
        <v>17.084938576394052</v>
      </c>
      <c r="I553" s="7">
        <f>MAX('working sheet'!$B$2:$B$3548)-C553</f>
        <v>191.09774008101522</v>
      </c>
      <c r="J553" s="4" t="str">
        <f t="array" ref="J553">IF(AND(I553&lt;=30, D553&gt;=10, E553&gt;=200), "VIP",  IF(AND(I553&lt;=60, D553&gt;=5, E553&gt;=100), "Loyal", IF(AND(I553&lt;=90, D553&gt;=3), "Regular", IF(I553&lt;=30, "Recent", IF(D553&gt;=3, "Occasional", "At Risk")))))</f>
        <v>At Risk</v>
      </c>
      <c r="K553" t="str">
        <f t="array" ref="K553">IF(OR(J553="VIP", J553="Loyal"), "HIGH",IF(OR(J553="Regular", J553="Recent"), "MEDIUM","LOW"))</f>
        <v>LOW</v>
      </c>
    </row>
    <row r="554" spans="1:11">
      <c r="A554" t="s">
        <v>567</v>
      </c>
      <c r="B554" s="14">
        <f>_xlfn.MINIFS('working sheet'!$B$2:$B$3548, 'working sheet'!$D$2:$D$3548, A554)</f>
        <v>45533.31215646991</v>
      </c>
      <c r="C554" s="17">
        <f>_xlfn.MAXIFS('working sheet'!$B$1:$B$3548,'working sheet'!$D$1:$D$3548,'Customer Portfolio'!A554)</f>
        <v>45533.31215646991</v>
      </c>
      <c r="D554">
        <f>COUNTIFS('working sheet'!$D$1:$D$3548,'Customer Portfolio'!A554)</f>
        <v>1</v>
      </c>
      <c r="E554" s="5">
        <f>SUMIFS('working sheet'!$E$2:$E$3548,'working sheet'!$D$2:$D$3548,'Customer Portfolio'!A554)</f>
        <v>23.02</v>
      </c>
      <c r="F554" s="6">
        <f t="shared" si="16"/>
        <v>23.02</v>
      </c>
      <c r="G554" t="str">
        <f t="array" ref="G554">IFERROR(INDEX('working sheet'!$F$2:$F$3548, MODE(IF('working sheet'!$D$2:$D$3548=A554, MATCH('working sheet'!$F$2:$F$3548, 'working sheet'!$F$2:$F$3548, 0)))),
         INDEX('working sheet'!$F$2:$F$3548, MATCH(A554, 'working sheet'!$D$2:$D$3548, 0)))</f>
        <v>Americano</v>
      </c>
      <c r="H554" s="7">
        <f t="shared" si="17"/>
        <v>1</v>
      </c>
      <c r="I554" s="7">
        <f>MAX('working sheet'!$B$2:$B$3548)-C554</f>
        <v>206.44592958332942</v>
      </c>
      <c r="J554" s="4" t="str">
        <f t="array" ref="J554">IF(AND(I554&lt;=30, D554&gt;=10, E554&gt;=200), "VIP",  IF(AND(I554&lt;=60, D554&gt;=5, E554&gt;=100), "Loyal", IF(AND(I554&lt;=90, D554&gt;=3), "Regular", IF(I554&lt;=30, "Recent", IF(D554&gt;=3, "Occasional", "At Risk")))))</f>
        <v>At Risk</v>
      </c>
      <c r="K554" t="str">
        <f t="array" ref="K554">IF(OR(J554="VIP", J554="Loyal"), "HIGH",IF(OR(J554="Regular", J554="Recent"), "MEDIUM","LOW"))</f>
        <v>LOW</v>
      </c>
    </row>
    <row r="555" spans="1:11">
      <c r="A555" t="s">
        <v>568</v>
      </c>
      <c r="B555" s="14">
        <f>_xlfn.MINIFS('working sheet'!$B$2:$B$3548, 'working sheet'!$D$2:$D$3548, A555)</f>
        <v>45534.717713969905</v>
      </c>
      <c r="C555" s="17">
        <f>_xlfn.MAXIFS('working sheet'!$B$1:$B$3548,'working sheet'!$D$1:$D$3548,'Customer Portfolio'!A555)</f>
        <v>45552.687236296297</v>
      </c>
      <c r="D555">
        <f>COUNTIFS('working sheet'!$D$1:$D$3548,'Customer Portfolio'!A555)</f>
        <v>7</v>
      </c>
      <c r="E555" s="5">
        <f>SUMIFS('working sheet'!$E$2:$E$3548,'working sheet'!$D$2:$D$3548,'Customer Portfolio'!A555)</f>
        <v>210.14</v>
      </c>
      <c r="F555" s="6">
        <f t="shared" si="16"/>
        <v>30.02</v>
      </c>
      <c r="G555" t="str">
        <f t="array" ref="G555">IFERROR(INDEX('working sheet'!$F$2:$F$3548, MODE(IF('working sheet'!$D$2:$D$3548=A555, MATCH('working sheet'!$F$2:$F$3548, 'working sheet'!$F$2:$F$3548, 0)))),
         INDEX('working sheet'!$F$2:$F$3548, MATCH(A555, 'working sheet'!$D$2:$D$3548, 0)))</f>
        <v>Americano with Milk</v>
      </c>
      <c r="H555" s="7">
        <f t="shared" si="17"/>
        <v>18.969522326391598</v>
      </c>
      <c r="I555" s="7">
        <f>MAX('working sheet'!$B$2:$B$3548)-C555</f>
        <v>187.07084975694306</v>
      </c>
      <c r="J555" s="4" t="str">
        <f t="array" ref="J555">IF(AND(I555&lt;=30, D555&gt;=10, E555&gt;=200), "VIP",  IF(AND(I555&lt;=60, D555&gt;=5, E555&gt;=100), "Loyal", IF(AND(I555&lt;=90, D555&gt;=3), "Regular", IF(I555&lt;=30, "Recent", IF(D555&gt;=3, "Occasional", "At Risk")))))</f>
        <v>Occasional</v>
      </c>
      <c r="K555" t="str">
        <f t="array" ref="K555">IF(OR(J555="VIP", J555="Loyal"), "HIGH",IF(OR(J555="Regular", J555="Recent"), "MEDIUM","LOW"))</f>
        <v>LOW</v>
      </c>
    </row>
    <row r="556" spans="1:11">
      <c r="A556" t="s">
        <v>569</v>
      </c>
      <c r="B556" s="14">
        <f>_xlfn.MINIFS('working sheet'!$B$2:$B$3548, 'working sheet'!$D$2:$D$3548, A556)</f>
        <v>45535.418150381942</v>
      </c>
      <c r="C556" s="17">
        <f>_xlfn.MAXIFS('working sheet'!$B$1:$B$3548,'working sheet'!$D$1:$D$3548,'Customer Portfolio'!A556)</f>
        <v>45535.418150381942</v>
      </c>
      <c r="D556">
        <f>COUNTIFS('working sheet'!$D$1:$D$3548,'Customer Portfolio'!A556)</f>
        <v>1</v>
      </c>
      <c r="E556" s="5">
        <f>SUMIFS('working sheet'!$E$2:$E$3548,'working sheet'!$D$2:$D$3548,'Customer Portfolio'!A556)</f>
        <v>27.92</v>
      </c>
      <c r="F556" s="6">
        <f t="shared" si="16"/>
        <v>27.92</v>
      </c>
      <c r="G556" t="str">
        <f t="array" ref="G556">IFERROR(INDEX('working sheet'!$F$2:$F$3548, MODE(IF('working sheet'!$D$2:$D$3548=A556, MATCH('working sheet'!$F$2:$F$3548, 'working sheet'!$F$2:$F$3548, 0)))),
         INDEX('working sheet'!$F$2:$F$3548, MATCH(A556, 'working sheet'!$D$2:$D$3548, 0)))</f>
        <v>Americano with Milk</v>
      </c>
      <c r="H556" s="7">
        <f t="shared" si="17"/>
        <v>1</v>
      </c>
      <c r="I556" s="7">
        <f>MAX('working sheet'!$B$2:$B$3548)-C556</f>
        <v>204.33993567129801</v>
      </c>
      <c r="J556" s="4" t="str">
        <f t="array" ref="J556">IF(AND(I556&lt;=30, D556&gt;=10, E556&gt;=200), "VIP",  IF(AND(I556&lt;=60, D556&gt;=5, E556&gt;=100), "Loyal", IF(AND(I556&lt;=90, D556&gt;=3), "Regular", IF(I556&lt;=30, "Recent", IF(D556&gt;=3, "Occasional", "At Risk")))))</f>
        <v>At Risk</v>
      </c>
      <c r="K556" t="str">
        <f t="array" ref="K556">IF(OR(J556="VIP", J556="Loyal"), "HIGH",IF(OR(J556="Regular", J556="Recent"), "MEDIUM","LOW"))</f>
        <v>LOW</v>
      </c>
    </row>
    <row r="557" spans="1:11">
      <c r="A557" t="s">
        <v>570</v>
      </c>
      <c r="B557" s="14">
        <f>_xlfn.MINIFS('working sheet'!$B$2:$B$3548, 'working sheet'!$D$2:$D$3548, A557)</f>
        <v>45535.432255520835</v>
      </c>
      <c r="C557" s="17">
        <f>_xlfn.MAXIFS('working sheet'!$B$1:$B$3548,'working sheet'!$D$1:$D$3548,'Customer Portfolio'!A557)</f>
        <v>45535.432255520835</v>
      </c>
      <c r="D557">
        <f>COUNTIFS('working sheet'!$D$1:$D$3548,'Customer Portfolio'!A557)</f>
        <v>1</v>
      </c>
      <c r="E557" s="5">
        <f>SUMIFS('working sheet'!$E$2:$E$3548,'working sheet'!$D$2:$D$3548,'Customer Portfolio'!A557)</f>
        <v>18.12</v>
      </c>
      <c r="F557" s="6">
        <f t="shared" si="16"/>
        <v>18.12</v>
      </c>
      <c r="G557" t="str">
        <f t="array" ref="G557">IFERROR(INDEX('working sheet'!$F$2:$F$3548, MODE(IF('working sheet'!$D$2:$D$3548=A557, MATCH('working sheet'!$F$2:$F$3548, 'working sheet'!$F$2:$F$3548, 0)))),
         INDEX('working sheet'!$F$2:$F$3548, MATCH(A557, 'working sheet'!$D$2:$D$3548, 0)))</f>
        <v>Espresso</v>
      </c>
      <c r="H557" s="7">
        <f t="shared" si="17"/>
        <v>1</v>
      </c>
      <c r="I557" s="7">
        <f>MAX('working sheet'!$B$2:$B$3548)-C557</f>
        <v>204.32583053240523</v>
      </c>
      <c r="J557" s="4" t="str">
        <f t="array" ref="J557">IF(AND(I557&lt;=30, D557&gt;=10, E557&gt;=200), "VIP",  IF(AND(I557&lt;=60, D557&gt;=5, E557&gt;=100), "Loyal", IF(AND(I557&lt;=90, D557&gt;=3), "Regular", IF(I557&lt;=30, "Recent", IF(D557&gt;=3, "Occasional", "At Risk")))))</f>
        <v>At Risk</v>
      </c>
      <c r="K557" t="str">
        <f t="array" ref="K557">IF(OR(J557="VIP", J557="Loyal"), "HIGH",IF(OR(J557="Regular", J557="Recent"), "MEDIUM","LOW"))</f>
        <v>LOW</v>
      </c>
    </row>
    <row r="558" spans="1:11">
      <c r="A558" t="s">
        <v>571</v>
      </c>
      <c r="B558" s="14">
        <f>_xlfn.MINIFS('working sheet'!$B$2:$B$3548, 'working sheet'!$D$2:$D$3548, A558)</f>
        <v>45535.479103831021</v>
      </c>
      <c r="C558" s="17">
        <f>_xlfn.MAXIFS('working sheet'!$B$1:$B$3548,'working sheet'!$D$1:$D$3548,'Customer Portfolio'!A558)</f>
        <v>45535.479103831021</v>
      </c>
      <c r="D558">
        <f>COUNTIFS('working sheet'!$D$1:$D$3548,'Customer Portfolio'!A558)</f>
        <v>1</v>
      </c>
      <c r="E558" s="5">
        <f>SUMIFS('working sheet'!$E$2:$E$3548,'working sheet'!$D$2:$D$3548,'Customer Portfolio'!A558)</f>
        <v>27.92</v>
      </c>
      <c r="F558" s="6">
        <f t="shared" si="16"/>
        <v>27.92</v>
      </c>
      <c r="G558" t="str">
        <f t="array" ref="G558">IFERROR(INDEX('working sheet'!$F$2:$F$3548, MODE(IF('working sheet'!$D$2:$D$3548=A558, MATCH('working sheet'!$F$2:$F$3548, 'working sheet'!$F$2:$F$3548, 0)))),
         INDEX('working sheet'!$F$2:$F$3548, MATCH(A558, 'working sheet'!$D$2:$D$3548, 0)))</f>
        <v>Americano with Milk</v>
      </c>
      <c r="H558" s="7">
        <f t="shared" si="17"/>
        <v>1</v>
      </c>
      <c r="I558" s="7">
        <f>MAX('working sheet'!$B$2:$B$3548)-C558</f>
        <v>204.27898222221847</v>
      </c>
      <c r="J558" s="4" t="str">
        <f t="array" ref="J558">IF(AND(I558&lt;=30, D558&gt;=10, E558&gt;=200), "VIP",  IF(AND(I558&lt;=60, D558&gt;=5, E558&gt;=100), "Loyal", IF(AND(I558&lt;=90, D558&gt;=3), "Regular", IF(I558&lt;=30, "Recent", IF(D558&gt;=3, "Occasional", "At Risk")))))</f>
        <v>At Risk</v>
      </c>
      <c r="K558" t="str">
        <f t="array" ref="K558">IF(OR(J558="VIP", J558="Loyal"), "HIGH",IF(OR(J558="Regular", J558="Recent"), "MEDIUM","LOW"))</f>
        <v>LOW</v>
      </c>
    </row>
    <row r="559" spans="1:11">
      <c r="A559" t="s">
        <v>572</v>
      </c>
      <c r="B559" s="14">
        <f>_xlfn.MINIFS('working sheet'!$B$2:$B$3548, 'working sheet'!$D$2:$D$3548, A559)</f>
        <v>45536.507925289348</v>
      </c>
      <c r="C559" s="17">
        <f>_xlfn.MAXIFS('working sheet'!$B$1:$B$3548,'working sheet'!$D$1:$D$3548,'Customer Portfolio'!A559)</f>
        <v>45536.507925289348</v>
      </c>
      <c r="D559">
        <f>COUNTIFS('working sheet'!$D$1:$D$3548,'Customer Portfolio'!A559)</f>
        <v>1</v>
      </c>
      <c r="E559" s="5">
        <f>SUMIFS('working sheet'!$E$2:$E$3548,'working sheet'!$D$2:$D$3548,'Customer Portfolio'!A559)</f>
        <v>32.82</v>
      </c>
      <c r="F559" s="6">
        <f t="shared" si="16"/>
        <v>32.82</v>
      </c>
      <c r="G559" t="str">
        <f t="array" ref="G559">IFERROR(INDEX('working sheet'!$F$2:$F$3548, MODE(IF('working sheet'!$D$2:$D$3548=A559, MATCH('working sheet'!$F$2:$F$3548, 'working sheet'!$F$2:$F$3548, 0)))),
         INDEX('working sheet'!$F$2:$F$3548, MATCH(A559, 'working sheet'!$D$2:$D$3548, 0)))</f>
        <v>Cappuccino</v>
      </c>
      <c r="H559" s="7">
        <f t="shared" si="17"/>
        <v>1</v>
      </c>
      <c r="I559" s="7">
        <f>MAX('working sheet'!$B$2:$B$3548)-C559</f>
        <v>203.25016076389147</v>
      </c>
      <c r="J559" s="4" t="str">
        <f t="array" ref="J559">IF(AND(I559&lt;=30, D559&gt;=10, E559&gt;=200), "VIP",  IF(AND(I559&lt;=60, D559&gt;=5, E559&gt;=100), "Loyal", IF(AND(I559&lt;=90, D559&gt;=3), "Regular", IF(I559&lt;=30, "Recent", IF(D559&gt;=3, "Occasional", "At Risk")))))</f>
        <v>At Risk</v>
      </c>
      <c r="K559" t="str">
        <f t="array" ref="K559">IF(OR(J559="VIP", J559="Loyal"), "HIGH",IF(OR(J559="Regular", J559="Recent"), "MEDIUM","LOW"))</f>
        <v>LOW</v>
      </c>
    </row>
    <row r="560" spans="1:11">
      <c r="A560" t="s">
        <v>573</v>
      </c>
      <c r="B560" s="14">
        <f>_xlfn.MINIFS('working sheet'!$B$2:$B$3548, 'working sheet'!$D$2:$D$3548, A560)</f>
        <v>45536.53492416667</v>
      </c>
      <c r="C560" s="17">
        <f>_xlfn.MAXIFS('working sheet'!$B$1:$B$3548,'working sheet'!$D$1:$D$3548,'Customer Portfolio'!A560)</f>
        <v>45536.53492416667</v>
      </c>
      <c r="D560">
        <f>COUNTIFS('working sheet'!$D$1:$D$3548,'Customer Portfolio'!A560)</f>
        <v>1</v>
      </c>
      <c r="E560" s="5">
        <f>SUMIFS('working sheet'!$E$2:$E$3548,'working sheet'!$D$2:$D$3548,'Customer Portfolio'!A560)</f>
        <v>27.92</v>
      </c>
      <c r="F560" s="6">
        <f t="shared" si="16"/>
        <v>27.92</v>
      </c>
      <c r="G560" t="str">
        <f t="array" ref="G560">IFERROR(INDEX('working sheet'!$F$2:$F$3548, MODE(IF('working sheet'!$D$2:$D$3548=A560, MATCH('working sheet'!$F$2:$F$3548, 'working sheet'!$F$2:$F$3548, 0)))),
         INDEX('working sheet'!$F$2:$F$3548, MATCH(A560, 'working sheet'!$D$2:$D$3548, 0)))</f>
        <v>Americano with Milk</v>
      </c>
      <c r="H560" s="7">
        <f t="shared" si="17"/>
        <v>1</v>
      </c>
      <c r="I560" s="7">
        <f>MAX('working sheet'!$B$2:$B$3548)-C560</f>
        <v>203.22316188656987</v>
      </c>
      <c r="J560" s="4" t="str">
        <f t="array" ref="J560">IF(AND(I560&lt;=30, D560&gt;=10, E560&gt;=200), "VIP",  IF(AND(I560&lt;=60, D560&gt;=5, E560&gt;=100), "Loyal", IF(AND(I560&lt;=90, D560&gt;=3), "Regular", IF(I560&lt;=30, "Recent", IF(D560&gt;=3, "Occasional", "At Risk")))))</f>
        <v>At Risk</v>
      </c>
      <c r="K560" t="str">
        <f t="array" ref="K560">IF(OR(J560="VIP", J560="Loyal"), "HIGH",IF(OR(J560="Regular", J560="Recent"), "MEDIUM","LOW"))</f>
        <v>LOW</v>
      </c>
    </row>
    <row r="561" spans="1:11">
      <c r="A561" t="s">
        <v>574</v>
      </c>
      <c r="B561" s="14">
        <f>_xlfn.MINIFS('working sheet'!$B$2:$B$3548, 'working sheet'!$D$2:$D$3548, A561)</f>
        <v>45536.581642916666</v>
      </c>
      <c r="C561" s="17">
        <f>_xlfn.MAXIFS('working sheet'!$B$1:$B$3548,'working sheet'!$D$1:$D$3548,'Customer Portfolio'!A561)</f>
        <v>45536.581642916666</v>
      </c>
      <c r="D561">
        <f>COUNTIFS('working sheet'!$D$1:$D$3548,'Customer Portfolio'!A561)</f>
        <v>1</v>
      </c>
      <c r="E561" s="5">
        <f>SUMIFS('working sheet'!$E$2:$E$3548,'working sheet'!$D$2:$D$3548,'Customer Portfolio'!A561)</f>
        <v>32.82</v>
      </c>
      <c r="F561" s="6">
        <f t="shared" si="16"/>
        <v>32.82</v>
      </c>
      <c r="G561" t="str">
        <f t="array" ref="G561">IFERROR(INDEX('working sheet'!$F$2:$F$3548, MODE(IF('working sheet'!$D$2:$D$3548=A561, MATCH('working sheet'!$F$2:$F$3548, 'working sheet'!$F$2:$F$3548, 0)))),
         INDEX('working sheet'!$F$2:$F$3548, MATCH(A561, 'working sheet'!$D$2:$D$3548, 0)))</f>
        <v>Latte</v>
      </c>
      <c r="H561" s="7">
        <f t="shared" si="17"/>
        <v>1</v>
      </c>
      <c r="I561" s="7">
        <f>MAX('working sheet'!$B$2:$B$3548)-C561</f>
        <v>203.17644313657365</v>
      </c>
      <c r="J561" s="4" t="str">
        <f t="array" ref="J561">IF(AND(I561&lt;=30, D561&gt;=10, E561&gt;=200), "VIP",  IF(AND(I561&lt;=60, D561&gt;=5, E561&gt;=100), "Loyal", IF(AND(I561&lt;=90, D561&gt;=3), "Regular", IF(I561&lt;=30, "Recent", IF(D561&gt;=3, "Occasional", "At Risk")))))</f>
        <v>At Risk</v>
      </c>
      <c r="K561" t="str">
        <f t="array" ref="K561">IF(OR(J561="VIP", J561="Loyal"), "HIGH",IF(OR(J561="Regular", J561="Recent"), "MEDIUM","LOW"))</f>
        <v>LOW</v>
      </c>
    </row>
    <row r="562" spans="1:11">
      <c r="A562" t="s">
        <v>575</v>
      </c>
      <c r="B562" s="14">
        <f>_xlfn.MINIFS('working sheet'!$B$2:$B$3548, 'working sheet'!$D$2:$D$3548, A562)</f>
        <v>45536.722758414355</v>
      </c>
      <c r="C562" s="17">
        <f>_xlfn.MAXIFS('working sheet'!$B$1:$B$3548,'working sheet'!$D$1:$D$3548,'Customer Portfolio'!A562)</f>
        <v>45536.722758414355</v>
      </c>
      <c r="D562">
        <f>COUNTIFS('working sheet'!$D$1:$D$3548,'Customer Portfolio'!A562)</f>
        <v>1</v>
      </c>
      <c r="E562" s="5">
        <f>SUMIFS('working sheet'!$E$2:$E$3548,'working sheet'!$D$2:$D$3548,'Customer Portfolio'!A562)</f>
        <v>32.82</v>
      </c>
      <c r="F562" s="6">
        <f t="shared" si="16"/>
        <v>32.82</v>
      </c>
      <c r="G562" t="str">
        <f t="array" ref="G562">IFERROR(INDEX('working sheet'!$F$2:$F$3548, MODE(IF('working sheet'!$D$2:$D$3548=A562, MATCH('working sheet'!$F$2:$F$3548, 'working sheet'!$F$2:$F$3548, 0)))),
         INDEX('working sheet'!$F$2:$F$3548, MATCH(A562, 'working sheet'!$D$2:$D$3548, 0)))</f>
        <v>Latte</v>
      </c>
      <c r="H562" s="7">
        <f t="shared" si="17"/>
        <v>1</v>
      </c>
      <c r="I562" s="7">
        <f>MAX('working sheet'!$B$2:$B$3548)-C562</f>
        <v>203.03532763888506</v>
      </c>
      <c r="J562" s="4" t="str">
        <f t="array" ref="J562">IF(AND(I562&lt;=30, D562&gt;=10, E562&gt;=200), "VIP",  IF(AND(I562&lt;=60, D562&gt;=5, E562&gt;=100), "Loyal", IF(AND(I562&lt;=90, D562&gt;=3), "Regular", IF(I562&lt;=30, "Recent", IF(D562&gt;=3, "Occasional", "At Risk")))))</f>
        <v>At Risk</v>
      </c>
      <c r="K562" t="str">
        <f t="array" ref="K562">IF(OR(J562="VIP", J562="Loyal"), "HIGH",IF(OR(J562="Regular", J562="Recent"), "MEDIUM","LOW"))</f>
        <v>LOW</v>
      </c>
    </row>
    <row r="563" spans="1:11">
      <c r="A563" t="s">
        <v>576</v>
      </c>
      <c r="B563" s="14">
        <f>_xlfn.MINIFS('working sheet'!$B$2:$B$3548, 'working sheet'!$D$2:$D$3548, A563)</f>
        <v>45536.72446607639</v>
      </c>
      <c r="C563" s="17">
        <f>_xlfn.MAXIFS('working sheet'!$B$1:$B$3548,'working sheet'!$D$1:$D$3548,'Customer Portfolio'!A563)</f>
        <v>45536.72446607639</v>
      </c>
      <c r="D563">
        <f>COUNTIFS('working sheet'!$D$1:$D$3548,'Customer Portfolio'!A563)</f>
        <v>1</v>
      </c>
      <c r="E563" s="5">
        <f>SUMIFS('working sheet'!$E$2:$E$3548,'working sheet'!$D$2:$D$3548,'Customer Portfolio'!A563)</f>
        <v>32.82</v>
      </c>
      <c r="F563" s="6">
        <f t="shared" si="16"/>
        <v>32.82</v>
      </c>
      <c r="G563" t="str">
        <f t="array" ref="G563">IFERROR(INDEX('working sheet'!$F$2:$F$3548, MODE(IF('working sheet'!$D$2:$D$3548=A563, MATCH('working sheet'!$F$2:$F$3548, 'working sheet'!$F$2:$F$3548, 0)))),
         INDEX('working sheet'!$F$2:$F$3548, MATCH(A563, 'working sheet'!$D$2:$D$3548, 0)))</f>
        <v>Latte</v>
      </c>
      <c r="H563" s="7">
        <f t="shared" si="17"/>
        <v>1</v>
      </c>
      <c r="I563" s="7">
        <f>MAX('working sheet'!$B$2:$B$3548)-C563</f>
        <v>203.03361997684988</v>
      </c>
      <c r="J563" s="4" t="str">
        <f t="array" ref="J563">IF(AND(I563&lt;=30, D563&gt;=10, E563&gt;=200), "VIP",  IF(AND(I563&lt;=60, D563&gt;=5, E563&gt;=100), "Loyal", IF(AND(I563&lt;=90, D563&gt;=3), "Regular", IF(I563&lt;=30, "Recent", IF(D563&gt;=3, "Occasional", "At Risk")))))</f>
        <v>At Risk</v>
      </c>
      <c r="K563" t="str">
        <f t="array" ref="K563">IF(OR(J563="VIP", J563="Loyal"), "HIGH",IF(OR(J563="Regular", J563="Recent"), "MEDIUM","LOW"))</f>
        <v>LOW</v>
      </c>
    </row>
    <row r="564" spans="1:11">
      <c r="A564" t="s">
        <v>577</v>
      </c>
      <c r="B564" s="14">
        <f>_xlfn.MINIFS('working sheet'!$B$2:$B$3548, 'working sheet'!$D$2:$D$3548, A564)</f>
        <v>45536.725575104167</v>
      </c>
      <c r="C564" s="17">
        <f>_xlfn.MAXIFS('working sheet'!$B$1:$B$3548,'working sheet'!$D$1:$D$3548,'Customer Portfolio'!A564)</f>
        <v>45536.725575104167</v>
      </c>
      <c r="D564">
        <f>COUNTIFS('working sheet'!$D$1:$D$3548,'Customer Portfolio'!A564)</f>
        <v>1</v>
      </c>
      <c r="E564" s="5">
        <f>SUMIFS('working sheet'!$E$2:$E$3548,'working sheet'!$D$2:$D$3548,'Customer Portfolio'!A564)</f>
        <v>32.82</v>
      </c>
      <c r="F564" s="6">
        <f t="shared" si="16"/>
        <v>32.82</v>
      </c>
      <c r="G564" t="str">
        <f t="array" ref="G564">IFERROR(INDEX('working sheet'!$F$2:$F$3548, MODE(IF('working sheet'!$D$2:$D$3548=A564, MATCH('working sheet'!$F$2:$F$3548, 'working sheet'!$F$2:$F$3548, 0)))),
         INDEX('working sheet'!$F$2:$F$3548, MATCH(A564, 'working sheet'!$D$2:$D$3548, 0)))</f>
        <v>Latte</v>
      </c>
      <c r="H564" s="7">
        <f t="shared" si="17"/>
        <v>1</v>
      </c>
      <c r="I564" s="7">
        <f>MAX('working sheet'!$B$2:$B$3548)-C564</f>
        <v>203.03251094907318</v>
      </c>
      <c r="J564" s="4" t="str">
        <f t="array" ref="J564">IF(AND(I564&lt;=30, D564&gt;=10, E564&gt;=200), "VIP",  IF(AND(I564&lt;=60, D564&gt;=5, E564&gt;=100), "Loyal", IF(AND(I564&lt;=90, D564&gt;=3), "Regular", IF(I564&lt;=30, "Recent", IF(D564&gt;=3, "Occasional", "At Risk")))))</f>
        <v>At Risk</v>
      </c>
      <c r="K564" t="str">
        <f t="array" ref="K564">IF(OR(J564="VIP", J564="Loyal"), "HIGH",IF(OR(J564="Regular", J564="Recent"), "MEDIUM","LOW"))</f>
        <v>LOW</v>
      </c>
    </row>
    <row r="565" spans="1:11">
      <c r="A565" t="s">
        <v>578</v>
      </c>
      <c r="B565" s="14">
        <f>_xlfn.MINIFS('working sheet'!$B$2:$B$3548, 'working sheet'!$D$2:$D$3548, A565)</f>
        <v>45537.368259791663</v>
      </c>
      <c r="C565" s="17">
        <f>_xlfn.MAXIFS('working sheet'!$B$1:$B$3548,'working sheet'!$D$1:$D$3548,'Customer Portfolio'!A565)</f>
        <v>45537.368259791663</v>
      </c>
      <c r="D565">
        <f>COUNTIFS('working sheet'!$D$1:$D$3548,'Customer Portfolio'!A565)</f>
        <v>1</v>
      </c>
      <c r="E565" s="5">
        <f>SUMIFS('working sheet'!$E$2:$E$3548,'working sheet'!$D$2:$D$3548,'Customer Portfolio'!A565)</f>
        <v>27.92</v>
      </c>
      <c r="F565" s="6">
        <f t="shared" si="16"/>
        <v>27.92</v>
      </c>
      <c r="G565" t="str">
        <f t="array" ref="G565">IFERROR(INDEX('working sheet'!$F$2:$F$3548, MODE(IF('working sheet'!$D$2:$D$3548=A565, MATCH('working sheet'!$F$2:$F$3548, 'working sheet'!$F$2:$F$3548, 0)))),
         INDEX('working sheet'!$F$2:$F$3548, MATCH(A565, 'working sheet'!$D$2:$D$3548, 0)))</f>
        <v>Americano with Milk</v>
      </c>
      <c r="H565" s="7">
        <f t="shared" si="17"/>
        <v>1</v>
      </c>
      <c r="I565" s="7">
        <f>MAX('working sheet'!$B$2:$B$3548)-C565</f>
        <v>202.38982626157667</v>
      </c>
      <c r="J565" s="4" t="str">
        <f t="array" ref="J565">IF(AND(I565&lt;=30, D565&gt;=10, E565&gt;=200), "VIP",  IF(AND(I565&lt;=60, D565&gt;=5, E565&gt;=100), "Loyal", IF(AND(I565&lt;=90, D565&gt;=3), "Regular", IF(I565&lt;=30, "Recent", IF(D565&gt;=3, "Occasional", "At Risk")))))</f>
        <v>At Risk</v>
      </c>
      <c r="K565" t="str">
        <f t="array" ref="K565">IF(OR(J565="VIP", J565="Loyal"), "HIGH",IF(OR(J565="Regular", J565="Recent"), "MEDIUM","LOW"))</f>
        <v>LOW</v>
      </c>
    </row>
    <row r="566" spans="1:11">
      <c r="A566" t="s">
        <v>579</v>
      </c>
      <c r="B566" s="14">
        <f>_xlfn.MINIFS('working sheet'!$B$2:$B$3548, 'working sheet'!$D$2:$D$3548, A566)</f>
        <v>45537.369133657405</v>
      </c>
      <c r="C566" s="17">
        <f>_xlfn.MAXIFS('working sheet'!$B$1:$B$3548,'working sheet'!$D$1:$D$3548,'Customer Portfolio'!A566)</f>
        <v>45547.505812013886</v>
      </c>
      <c r="D566">
        <f>COUNTIFS('working sheet'!$D$1:$D$3548,'Customer Portfolio'!A566)</f>
        <v>3</v>
      </c>
      <c r="E566" s="5">
        <f>SUMIFS('working sheet'!$E$2:$E$3548,'working sheet'!$D$2:$D$3548,'Customer Portfolio'!A566)</f>
        <v>98.460000000000008</v>
      </c>
      <c r="F566" s="6">
        <f t="shared" si="16"/>
        <v>32.82</v>
      </c>
      <c r="G566" t="str">
        <f t="array" ref="G566">IFERROR(INDEX('working sheet'!$F$2:$F$3548, MODE(IF('working sheet'!$D$2:$D$3548=A566, MATCH('working sheet'!$F$2:$F$3548, 'working sheet'!$F$2:$F$3548, 0)))),
         INDEX('working sheet'!$F$2:$F$3548, MATCH(A566, 'working sheet'!$D$2:$D$3548, 0)))</f>
        <v>Latte</v>
      </c>
      <c r="H566" s="7">
        <f t="shared" si="17"/>
        <v>11.136678356480843</v>
      </c>
      <c r="I566" s="7">
        <f>MAX('working sheet'!$B$2:$B$3548)-C566</f>
        <v>192.25227403935423</v>
      </c>
      <c r="J566" s="4" t="str">
        <f t="array" ref="J566">IF(AND(I566&lt;=30, D566&gt;=10, E566&gt;=200), "VIP",  IF(AND(I566&lt;=60, D566&gt;=5, E566&gt;=100), "Loyal", IF(AND(I566&lt;=90, D566&gt;=3), "Regular", IF(I566&lt;=30, "Recent", IF(D566&gt;=3, "Occasional", "At Risk")))))</f>
        <v>Occasional</v>
      </c>
      <c r="K566" t="str">
        <f t="array" ref="K566">IF(OR(J566="VIP", J566="Loyal"), "HIGH",IF(OR(J566="Regular", J566="Recent"), "MEDIUM","LOW"))</f>
        <v>LOW</v>
      </c>
    </row>
    <row r="567" spans="1:11">
      <c r="A567" t="s">
        <v>580</v>
      </c>
      <c r="B567" s="14">
        <f>_xlfn.MINIFS('working sheet'!$B$2:$B$3548, 'working sheet'!$D$2:$D$3548, A567)</f>
        <v>45537.624156747683</v>
      </c>
      <c r="C567" s="17">
        <f>_xlfn.MAXIFS('working sheet'!$B$1:$B$3548,'working sheet'!$D$1:$D$3548,'Customer Portfolio'!A567)</f>
        <v>45537.624156747683</v>
      </c>
      <c r="D567">
        <f>COUNTIFS('working sheet'!$D$1:$D$3548,'Customer Portfolio'!A567)</f>
        <v>1</v>
      </c>
      <c r="E567" s="5">
        <f>SUMIFS('working sheet'!$E$2:$E$3548,'working sheet'!$D$2:$D$3548,'Customer Portfolio'!A567)</f>
        <v>27.92</v>
      </c>
      <c r="F567" s="6">
        <f t="shared" si="16"/>
        <v>27.92</v>
      </c>
      <c r="G567" t="str">
        <f t="array" ref="G567">IFERROR(INDEX('working sheet'!$F$2:$F$3548, MODE(IF('working sheet'!$D$2:$D$3548=A567, MATCH('working sheet'!$F$2:$F$3548, 'working sheet'!$F$2:$F$3548, 0)))),
         INDEX('working sheet'!$F$2:$F$3548, MATCH(A567, 'working sheet'!$D$2:$D$3548, 0)))</f>
        <v>Americano with Milk</v>
      </c>
      <c r="H567" s="7">
        <f t="shared" si="17"/>
        <v>1</v>
      </c>
      <c r="I567" s="7">
        <f>MAX('working sheet'!$B$2:$B$3548)-C567</f>
        <v>202.1339293055571</v>
      </c>
      <c r="J567" s="4" t="str">
        <f t="array" ref="J567">IF(AND(I567&lt;=30, D567&gt;=10, E567&gt;=200), "VIP",  IF(AND(I567&lt;=60, D567&gt;=5, E567&gt;=100), "Loyal", IF(AND(I567&lt;=90, D567&gt;=3), "Regular", IF(I567&lt;=30, "Recent", IF(D567&gt;=3, "Occasional", "At Risk")))))</f>
        <v>At Risk</v>
      </c>
      <c r="K567" t="str">
        <f t="array" ref="K567">IF(OR(J567="VIP", J567="Loyal"), "HIGH",IF(OR(J567="Regular", J567="Recent"), "MEDIUM","LOW"))</f>
        <v>LOW</v>
      </c>
    </row>
    <row r="568" spans="1:11">
      <c r="A568" t="s">
        <v>581</v>
      </c>
      <c r="B568" s="14">
        <f>_xlfn.MINIFS('working sheet'!$B$2:$B$3548, 'working sheet'!$D$2:$D$3548, A568)</f>
        <v>45537.840091701386</v>
      </c>
      <c r="C568" s="17">
        <f>_xlfn.MAXIFS('working sheet'!$B$1:$B$3548,'working sheet'!$D$1:$D$3548,'Customer Portfolio'!A568)</f>
        <v>45537.840091701386</v>
      </c>
      <c r="D568">
        <f>COUNTIFS('working sheet'!$D$1:$D$3548,'Customer Portfolio'!A568)</f>
        <v>1</v>
      </c>
      <c r="E568" s="5">
        <f>SUMIFS('working sheet'!$E$2:$E$3548,'working sheet'!$D$2:$D$3548,'Customer Portfolio'!A568)</f>
        <v>32.82</v>
      </c>
      <c r="F568" s="6">
        <f t="shared" si="16"/>
        <v>32.82</v>
      </c>
      <c r="G568" t="str">
        <f t="array" ref="G568">IFERROR(INDEX('working sheet'!$F$2:$F$3548, MODE(IF('working sheet'!$D$2:$D$3548=A568, MATCH('working sheet'!$F$2:$F$3548, 'working sheet'!$F$2:$F$3548, 0)))),
         INDEX('working sheet'!$F$2:$F$3548, MATCH(A568, 'working sheet'!$D$2:$D$3548, 0)))</f>
        <v>Cappuccino</v>
      </c>
      <c r="H568" s="7">
        <f t="shared" si="17"/>
        <v>1</v>
      </c>
      <c r="I568" s="7">
        <f>MAX('working sheet'!$B$2:$B$3548)-C568</f>
        <v>201.91799435185385</v>
      </c>
      <c r="J568" s="4" t="str">
        <f t="array" ref="J568">IF(AND(I568&lt;=30, D568&gt;=10, E568&gt;=200), "VIP",  IF(AND(I568&lt;=60, D568&gt;=5, E568&gt;=100), "Loyal", IF(AND(I568&lt;=90, D568&gt;=3), "Regular", IF(I568&lt;=30, "Recent", IF(D568&gt;=3, "Occasional", "At Risk")))))</f>
        <v>At Risk</v>
      </c>
      <c r="K568" t="str">
        <f t="array" ref="K568">IF(OR(J568="VIP", J568="Loyal"), "HIGH",IF(OR(J568="Regular", J568="Recent"), "MEDIUM","LOW"))</f>
        <v>LOW</v>
      </c>
    </row>
    <row r="569" spans="1:11">
      <c r="A569" t="s">
        <v>582</v>
      </c>
      <c r="B569" s="14">
        <f>_xlfn.MINIFS('working sheet'!$B$2:$B$3548, 'working sheet'!$D$2:$D$3548, A569)</f>
        <v>45537.86981462963</v>
      </c>
      <c r="C569" s="17">
        <f>_xlfn.MAXIFS('working sheet'!$B$1:$B$3548,'working sheet'!$D$1:$D$3548,'Customer Portfolio'!A569)</f>
        <v>45537.870475578704</v>
      </c>
      <c r="D569">
        <f>COUNTIFS('working sheet'!$D$1:$D$3548,'Customer Portfolio'!A569)</f>
        <v>2</v>
      </c>
      <c r="E569" s="5">
        <f>SUMIFS('working sheet'!$E$2:$E$3548,'working sheet'!$D$2:$D$3548,'Customer Portfolio'!A569)</f>
        <v>46.04</v>
      </c>
      <c r="F569" s="6">
        <f t="shared" si="16"/>
        <v>23.02</v>
      </c>
      <c r="G569" t="str">
        <f t="array" ref="G569">IFERROR(INDEX('working sheet'!$F$2:$F$3548, MODE(IF('working sheet'!$D$2:$D$3548=A569, MATCH('working sheet'!$F$2:$F$3548, 'working sheet'!$F$2:$F$3548, 0)))),
         INDEX('working sheet'!$F$2:$F$3548, MATCH(A569, 'working sheet'!$D$2:$D$3548, 0)))</f>
        <v>Americano</v>
      </c>
      <c r="H569" s="7">
        <f t="shared" si="17"/>
        <v>1.0006609490737901</v>
      </c>
      <c r="I569" s="7">
        <f>MAX('working sheet'!$B$2:$B$3548)-C569</f>
        <v>201.8876104745359</v>
      </c>
      <c r="J569" s="4" t="str">
        <f t="array" ref="J569">IF(AND(I569&lt;=30, D569&gt;=10, E569&gt;=200), "VIP",  IF(AND(I569&lt;=60, D569&gt;=5, E569&gt;=100), "Loyal", IF(AND(I569&lt;=90, D569&gt;=3), "Regular", IF(I569&lt;=30, "Recent", IF(D569&gt;=3, "Occasional", "At Risk")))))</f>
        <v>At Risk</v>
      </c>
      <c r="K569" t="str">
        <f t="array" ref="K569">IF(OR(J569="VIP", J569="Loyal"), "HIGH",IF(OR(J569="Regular", J569="Recent"), "MEDIUM","LOW"))</f>
        <v>LOW</v>
      </c>
    </row>
    <row r="570" spans="1:11">
      <c r="A570" t="s">
        <v>583</v>
      </c>
      <c r="B570" s="14">
        <f>_xlfn.MINIFS('working sheet'!$B$2:$B$3548, 'working sheet'!$D$2:$D$3548, A570)</f>
        <v>45538.348788981479</v>
      </c>
      <c r="C570" s="17">
        <f>_xlfn.MAXIFS('working sheet'!$B$1:$B$3548,'working sheet'!$D$1:$D$3548,'Customer Portfolio'!A570)</f>
        <v>45538.348788981479</v>
      </c>
      <c r="D570">
        <f>COUNTIFS('working sheet'!$D$1:$D$3548,'Customer Portfolio'!A570)</f>
        <v>1</v>
      </c>
      <c r="E570" s="5">
        <f>SUMIFS('working sheet'!$E$2:$E$3548,'working sheet'!$D$2:$D$3548,'Customer Portfolio'!A570)</f>
        <v>32.82</v>
      </c>
      <c r="F570" s="6">
        <f t="shared" si="16"/>
        <v>32.82</v>
      </c>
      <c r="G570" t="str">
        <f t="array" ref="G570">IFERROR(INDEX('working sheet'!$F$2:$F$3548, MODE(IF('working sheet'!$D$2:$D$3548=A570, MATCH('working sheet'!$F$2:$F$3548, 'working sheet'!$F$2:$F$3548, 0)))),
         INDEX('working sheet'!$F$2:$F$3548, MATCH(A570, 'working sheet'!$D$2:$D$3548, 0)))</f>
        <v>Cocoa</v>
      </c>
      <c r="H570" s="7">
        <f t="shared" si="17"/>
        <v>1</v>
      </c>
      <c r="I570" s="7">
        <f>MAX('working sheet'!$B$2:$B$3548)-C570</f>
        <v>201.4092970717611</v>
      </c>
      <c r="J570" s="4" t="str">
        <f t="array" ref="J570">IF(AND(I570&lt;=30, D570&gt;=10, E570&gt;=200), "VIP",  IF(AND(I570&lt;=60, D570&gt;=5, E570&gt;=100), "Loyal", IF(AND(I570&lt;=90, D570&gt;=3), "Regular", IF(I570&lt;=30, "Recent", IF(D570&gt;=3, "Occasional", "At Risk")))))</f>
        <v>At Risk</v>
      </c>
      <c r="K570" t="str">
        <f t="array" ref="K570">IF(OR(J570="VIP", J570="Loyal"), "HIGH",IF(OR(J570="Regular", J570="Recent"), "MEDIUM","LOW"))</f>
        <v>LOW</v>
      </c>
    </row>
    <row r="571" spans="1:11">
      <c r="A571" t="s">
        <v>584</v>
      </c>
      <c r="B571" s="14">
        <f>_xlfn.MINIFS('working sheet'!$B$2:$B$3548, 'working sheet'!$D$2:$D$3548, A571)</f>
        <v>45538.361940949071</v>
      </c>
      <c r="C571" s="17">
        <f>_xlfn.MAXIFS('working sheet'!$B$1:$B$3548,'working sheet'!$D$1:$D$3548,'Customer Portfolio'!A571)</f>
        <v>45666.372624247684</v>
      </c>
      <c r="D571">
        <f>COUNTIFS('working sheet'!$D$1:$D$3548,'Customer Portfolio'!A571)</f>
        <v>30</v>
      </c>
      <c r="E571" s="5">
        <f>SUMIFS('working sheet'!$E$2:$E$3548,'working sheet'!$D$2:$D$3548,'Customer Portfolio'!A571)</f>
        <v>1061.04</v>
      </c>
      <c r="F571" s="6">
        <f t="shared" si="16"/>
        <v>35.368000000000002</v>
      </c>
      <c r="G571" t="str">
        <f t="array" ref="G571">IFERROR(INDEX('working sheet'!$F$2:$F$3548, MODE(IF('working sheet'!$D$2:$D$3548=A571, MATCH('working sheet'!$F$2:$F$3548, 'working sheet'!$F$2:$F$3548, 0)))),
         INDEX('working sheet'!$F$2:$F$3548, MATCH(A571, 'working sheet'!$D$2:$D$3548, 0)))</f>
        <v>Latte</v>
      </c>
      <c r="H571" s="7">
        <f t="shared" si="17"/>
        <v>129.010683298613</v>
      </c>
      <c r="I571" s="7">
        <f>MAX('working sheet'!$B$2:$B$3548)-C571</f>
        <v>73.385461805555678</v>
      </c>
      <c r="J571" s="4" t="str">
        <f t="array" ref="J571">IF(AND(I571&lt;=30, D571&gt;=10, E571&gt;=200), "VIP",  IF(AND(I571&lt;=60, D571&gt;=5, E571&gt;=100), "Loyal", IF(AND(I571&lt;=90, D571&gt;=3), "Regular", IF(I571&lt;=30, "Recent", IF(D571&gt;=3, "Occasional", "At Risk")))))</f>
        <v>Regular</v>
      </c>
      <c r="K571" t="str">
        <f t="array" ref="K571">IF(OR(J571="VIP", J571="Loyal"), "HIGH",IF(OR(J571="Regular", J571="Recent"), "MEDIUM","LOW"))</f>
        <v>MEDIUM</v>
      </c>
    </row>
    <row r="572" spans="1:11">
      <c r="A572" t="s">
        <v>585</v>
      </c>
      <c r="B572" s="14">
        <f>_xlfn.MINIFS('working sheet'!$B$2:$B$3548, 'working sheet'!$D$2:$D$3548, A572)</f>
        <v>45538.377227696757</v>
      </c>
      <c r="C572" s="17">
        <f>_xlfn.MAXIFS('working sheet'!$B$1:$B$3548,'working sheet'!$D$1:$D$3548,'Customer Portfolio'!A572)</f>
        <v>45595.366311122685</v>
      </c>
      <c r="D572">
        <f>COUNTIFS('working sheet'!$D$1:$D$3548,'Customer Portfolio'!A572)</f>
        <v>6</v>
      </c>
      <c r="E572" s="5">
        <f>SUMIFS('working sheet'!$E$2:$E$3548,'working sheet'!$D$2:$D$3548,'Customer Portfolio'!A572)</f>
        <v>184.18</v>
      </c>
      <c r="F572" s="6">
        <f t="shared" si="16"/>
        <v>30.696666666666669</v>
      </c>
      <c r="G572" t="str">
        <f t="array" ref="G572">IFERROR(INDEX('working sheet'!$F$2:$F$3548, MODE(IF('working sheet'!$D$2:$D$3548=A572, MATCH('working sheet'!$F$2:$F$3548, 'working sheet'!$F$2:$F$3548, 0)))),
         INDEX('working sheet'!$F$2:$F$3548, MATCH(A572, 'working sheet'!$D$2:$D$3548, 0)))</f>
        <v>Americano with Milk</v>
      </c>
      <c r="H572" s="7">
        <f t="shared" si="17"/>
        <v>57.989083425927674</v>
      </c>
      <c r="I572" s="7">
        <f>MAX('working sheet'!$B$2:$B$3548)-C572</f>
        <v>144.39177493055467</v>
      </c>
      <c r="J572" s="4" t="str">
        <f t="array" ref="J572">IF(AND(I572&lt;=30, D572&gt;=10, E572&gt;=200), "VIP",  IF(AND(I572&lt;=60, D572&gt;=5, E572&gt;=100), "Loyal", IF(AND(I572&lt;=90, D572&gt;=3), "Regular", IF(I572&lt;=30, "Recent", IF(D572&gt;=3, "Occasional", "At Risk")))))</f>
        <v>Occasional</v>
      </c>
      <c r="K572" t="str">
        <f t="array" ref="K572">IF(OR(J572="VIP", J572="Loyal"), "HIGH",IF(OR(J572="Regular", J572="Recent"), "MEDIUM","LOW"))</f>
        <v>LOW</v>
      </c>
    </row>
    <row r="573" spans="1:11">
      <c r="A573" t="s">
        <v>586</v>
      </c>
      <c r="B573" s="14">
        <f>_xlfn.MINIFS('working sheet'!$B$2:$B$3548, 'working sheet'!$D$2:$D$3548, A573)</f>
        <v>45538.383890671299</v>
      </c>
      <c r="C573" s="17">
        <f>_xlfn.MAXIFS('working sheet'!$B$1:$B$3548,'working sheet'!$D$1:$D$3548,'Customer Portfolio'!A573)</f>
        <v>45538.384417303241</v>
      </c>
      <c r="D573">
        <f>COUNTIFS('working sheet'!$D$1:$D$3548,'Customer Portfolio'!A573)</f>
        <v>2</v>
      </c>
      <c r="E573" s="5">
        <f>SUMIFS('working sheet'!$E$2:$E$3548,'working sheet'!$D$2:$D$3548,'Customer Portfolio'!A573)</f>
        <v>65.64</v>
      </c>
      <c r="F573" s="6">
        <f t="shared" si="16"/>
        <v>32.82</v>
      </c>
      <c r="G573" t="str">
        <f t="array" ref="G573">IFERROR(INDEX('working sheet'!$F$2:$F$3548, MODE(IF('working sheet'!$D$2:$D$3548=A573, MATCH('working sheet'!$F$2:$F$3548, 'working sheet'!$F$2:$F$3548, 0)))),
         INDEX('working sheet'!$F$2:$F$3548, MATCH(A573, 'working sheet'!$D$2:$D$3548, 0)))</f>
        <v>Cocoa</v>
      </c>
      <c r="H573" s="7">
        <f t="shared" si="17"/>
        <v>1.0005266319421935</v>
      </c>
      <c r="I573" s="7">
        <f>MAX('working sheet'!$B$2:$B$3548)-C573</f>
        <v>201.37366874999861</v>
      </c>
      <c r="J573" s="4" t="str">
        <f t="array" ref="J573">IF(AND(I573&lt;=30, D573&gt;=10, E573&gt;=200), "VIP",  IF(AND(I573&lt;=60, D573&gt;=5, E573&gt;=100), "Loyal", IF(AND(I573&lt;=90, D573&gt;=3), "Regular", IF(I573&lt;=30, "Recent", IF(D573&gt;=3, "Occasional", "At Risk")))))</f>
        <v>At Risk</v>
      </c>
      <c r="K573" t="str">
        <f t="array" ref="K573">IF(OR(J573="VIP", J573="Loyal"), "HIGH",IF(OR(J573="Regular", J573="Recent"), "MEDIUM","LOW"))</f>
        <v>LOW</v>
      </c>
    </row>
    <row r="574" spans="1:11">
      <c r="A574" t="s">
        <v>587</v>
      </c>
      <c r="B574" s="14">
        <f>_xlfn.MINIFS('working sheet'!$B$2:$B$3548, 'working sheet'!$D$2:$D$3548, A574)</f>
        <v>45538.389087615738</v>
      </c>
      <c r="C574" s="17">
        <f>_xlfn.MAXIFS('working sheet'!$B$1:$B$3548,'working sheet'!$D$1:$D$3548,'Customer Portfolio'!A574)</f>
        <v>45558.589490115737</v>
      </c>
      <c r="D574">
        <f>COUNTIFS('working sheet'!$D$1:$D$3548,'Customer Portfolio'!A574)</f>
        <v>2</v>
      </c>
      <c r="E574" s="5">
        <f>SUMIFS('working sheet'!$E$2:$E$3548,'working sheet'!$D$2:$D$3548,'Customer Portfolio'!A574)</f>
        <v>55.84</v>
      </c>
      <c r="F574" s="6">
        <f t="shared" si="16"/>
        <v>27.92</v>
      </c>
      <c r="G574" t="str">
        <f t="array" ref="G574">IFERROR(INDEX('working sheet'!$F$2:$F$3548, MODE(IF('working sheet'!$D$2:$D$3548=A574, MATCH('working sheet'!$F$2:$F$3548, 'working sheet'!$F$2:$F$3548, 0)))),
         INDEX('working sheet'!$F$2:$F$3548, MATCH(A574, 'working sheet'!$D$2:$D$3548, 0)))</f>
        <v>Americano with Milk</v>
      </c>
      <c r="H574" s="7">
        <f t="shared" si="17"/>
        <v>21.200402499998745</v>
      </c>
      <c r="I574" s="7">
        <f>MAX('working sheet'!$B$2:$B$3548)-C574</f>
        <v>181.16859593750269</v>
      </c>
      <c r="J574" s="4" t="str">
        <f t="array" ref="J574">IF(AND(I574&lt;=30, D574&gt;=10, E574&gt;=200), "VIP",  IF(AND(I574&lt;=60, D574&gt;=5, E574&gt;=100), "Loyal", IF(AND(I574&lt;=90, D574&gt;=3), "Regular", IF(I574&lt;=30, "Recent", IF(D574&gt;=3, "Occasional", "At Risk")))))</f>
        <v>At Risk</v>
      </c>
      <c r="K574" t="str">
        <f t="array" ref="K574">IF(OR(J574="VIP", J574="Loyal"), "HIGH",IF(OR(J574="Regular", J574="Recent"), "MEDIUM","LOW"))</f>
        <v>LOW</v>
      </c>
    </row>
    <row r="575" spans="1:11">
      <c r="A575" t="s">
        <v>588</v>
      </c>
      <c r="B575" s="14">
        <f>_xlfn.MINIFS('working sheet'!$B$2:$B$3548, 'working sheet'!$D$2:$D$3548, A575)</f>
        <v>45538.40130002315</v>
      </c>
      <c r="C575" s="17">
        <f>_xlfn.MAXIFS('working sheet'!$B$1:$B$3548,'working sheet'!$D$1:$D$3548,'Customer Portfolio'!A575)</f>
        <v>45538.40130002315</v>
      </c>
      <c r="D575">
        <f>COUNTIFS('working sheet'!$D$1:$D$3548,'Customer Portfolio'!A575)</f>
        <v>1</v>
      </c>
      <c r="E575" s="5">
        <f>SUMIFS('working sheet'!$E$2:$E$3548,'working sheet'!$D$2:$D$3548,'Customer Portfolio'!A575)</f>
        <v>32.82</v>
      </c>
      <c r="F575" s="6">
        <f t="shared" si="16"/>
        <v>32.82</v>
      </c>
      <c r="G575" t="str">
        <f t="array" ref="G575">IFERROR(INDEX('working sheet'!$F$2:$F$3548, MODE(IF('working sheet'!$D$2:$D$3548=A575, MATCH('working sheet'!$F$2:$F$3548, 'working sheet'!$F$2:$F$3548, 0)))),
         INDEX('working sheet'!$F$2:$F$3548, MATCH(A575, 'working sheet'!$D$2:$D$3548, 0)))</f>
        <v>Latte</v>
      </c>
      <c r="H575" s="7">
        <f t="shared" si="17"/>
        <v>1</v>
      </c>
      <c r="I575" s="7">
        <f>MAX('working sheet'!$B$2:$B$3548)-C575</f>
        <v>201.35678603009001</v>
      </c>
      <c r="J575" s="4" t="str">
        <f t="array" ref="J575">IF(AND(I575&lt;=30, D575&gt;=10, E575&gt;=200), "VIP",  IF(AND(I575&lt;=60, D575&gt;=5, E575&gt;=100), "Loyal", IF(AND(I575&lt;=90, D575&gt;=3), "Regular", IF(I575&lt;=30, "Recent", IF(D575&gt;=3, "Occasional", "At Risk")))))</f>
        <v>At Risk</v>
      </c>
      <c r="K575" t="str">
        <f t="array" ref="K575">IF(OR(J575="VIP", J575="Loyal"), "HIGH",IF(OR(J575="Regular", J575="Recent"), "MEDIUM","LOW"))</f>
        <v>LOW</v>
      </c>
    </row>
    <row r="576" spans="1:11">
      <c r="A576" t="s">
        <v>589</v>
      </c>
      <c r="B576" s="14">
        <f>_xlfn.MINIFS('working sheet'!$B$2:$B$3548, 'working sheet'!$D$2:$D$3548, A576)</f>
        <v>45538.402041655092</v>
      </c>
      <c r="C576" s="17">
        <f>_xlfn.MAXIFS('working sheet'!$B$1:$B$3548,'working sheet'!$D$1:$D$3548,'Customer Portfolio'!A576)</f>
        <v>45538.402041655092</v>
      </c>
      <c r="D576">
        <f>COUNTIFS('working sheet'!$D$1:$D$3548,'Customer Portfolio'!A576)</f>
        <v>1</v>
      </c>
      <c r="E576" s="5">
        <f>SUMIFS('working sheet'!$E$2:$E$3548,'working sheet'!$D$2:$D$3548,'Customer Portfolio'!A576)</f>
        <v>32.82</v>
      </c>
      <c r="F576" s="6">
        <f t="shared" si="16"/>
        <v>32.82</v>
      </c>
      <c r="G576" t="str">
        <f t="array" ref="G576">IFERROR(INDEX('working sheet'!$F$2:$F$3548, MODE(IF('working sheet'!$D$2:$D$3548=A576, MATCH('working sheet'!$F$2:$F$3548, 'working sheet'!$F$2:$F$3548, 0)))),
         INDEX('working sheet'!$F$2:$F$3548, MATCH(A576, 'working sheet'!$D$2:$D$3548, 0)))</f>
        <v>Cocoa</v>
      </c>
      <c r="H576" s="7">
        <f t="shared" si="17"/>
        <v>1</v>
      </c>
      <c r="I576" s="7">
        <f>MAX('working sheet'!$B$2:$B$3548)-C576</f>
        <v>201.35604439814779</v>
      </c>
      <c r="J576" s="4" t="str">
        <f t="array" ref="J576">IF(AND(I576&lt;=30, D576&gt;=10, E576&gt;=200), "VIP",  IF(AND(I576&lt;=60, D576&gt;=5, E576&gt;=100), "Loyal", IF(AND(I576&lt;=90, D576&gt;=3), "Regular", IF(I576&lt;=30, "Recent", IF(D576&gt;=3, "Occasional", "At Risk")))))</f>
        <v>At Risk</v>
      </c>
      <c r="K576" t="str">
        <f t="array" ref="K576">IF(OR(J576="VIP", J576="Loyal"), "HIGH",IF(OR(J576="Regular", J576="Recent"), "MEDIUM","LOW"))</f>
        <v>LOW</v>
      </c>
    </row>
    <row r="577" spans="1:11">
      <c r="A577" t="s">
        <v>590</v>
      </c>
      <c r="B577" s="14">
        <f>_xlfn.MINIFS('working sheet'!$B$2:$B$3548, 'working sheet'!$D$2:$D$3548, A577)</f>
        <v>45538.539507048612</v>
      </c>
      <c r="C577" s="17">
        <f>_xlfn.MAXIFS('working sheet'!$B$1:$B$3548,'working sheet'!$D$1:$D$3548,'Customer Portfolio'!A577)</f>
        <v>45538.539507048612</v>
      </c>
      <c r="D577">
        <f>COUNTIFS('working sheet'!$D$1:$D$3548,'Customer Portfolio'!A577)</f>
        <v>1</v>
      </c>
      <c r="E577" s="5">
        <f>SUMIFS('working sheet'!$E$2:$E$3548,'working sheet'!$D$2:$D$3548,'Customer Portfolio'!A577)</f>
        <v>23.02</v>
      </c>
      <c r="F577" s="6">
        <f t="shared" si="16"/>
        <v>23.02</v>
      </c>
      <c r="G577" t="str">
        <f t="array" ref="G577">IFERROR(INDEX('working sheet'!$F$2:$F$3548, MODE(IF('working sheet'!$D$2:$D$3548=A577, MATCH('working sheet'!$F$2:$F$3548, 'working sheet'!$F$2:$F$3548, 0)))),
         INDEX('working sheet'!$F$2:$F$3548, MATCH(A577, 'working sheet'!$D$2:$D$3548, 0)))</f>
        <v>Cortado</v>
      </c>
      <c r="H577" s="7">
        <f t="shared" si="17"/>
        <v>1</v>
      </c>
      <c r="I577" s="7">
        <f>MAX('working sheet'!$B$2:$B$3548)-C577</f>
        <v>201.21857900462783</v>
      </c>
      <c r="J577" s="4" t="str">
        <f t="array" ref="J577">IF(AND(I577&lt;=30, D577&gt;=10, E577&gt;=200), "VIP",  IF(AND(I577&lt;=60, D577&gt;=5, E577&gt;=100), "Loyal", IF(AND(I577&lt;=90, D577&gt;=3), "Regular", IF(I577&lt;=30, "Recent", IF(D577&gt;=3, "Occasional", "At Risk")))))</f>
        <v>At Risk</v>
      </c>
      <c r="K577" t="str">
        <f t="array" ref="K577">IF(OR(J577="VIP", J577="Loyal"), "HIGH",IF(OR(J577="Regular", J577="Recent"), "MEDIUM","LOW"))</f>
        <v>LOW</v>
      </c>
    </row>
    <row r="578" spans="1:11">
      <c r="A578" t="s">
        <v>591</v>
      </c>
      <c r="B578" s="14">
        <f>_xlfn.MINIFS('working sheet'!$B$2:$B$3548, 'working sheet'!$D$2:$D$3548, A578)</f>
        <v>45539.466221921299</v>
      </c>
      <c r="C578" s="17">
        <f>_xlfn.MAXIFS('working sheet'!$B$1:$B$3548,'working sheet'!$D$1:$D$3548,'Customer Portfolio'!A578)</f>
        <v>45539.466221921299</v>
      </c>
      <c r="D578">
        <f>COUNTIFS('working sheet'!$D$1:$D$3548,'Customer Portfolio'!A578)</f>
        <v>1</v>
      </c>
      <c r="E578" s="5">
        <f>SUMIFS('working sheet'!$E$2:$E$3548,'working sheet'!$D$2:$D$3548,'Customer Portfolio'!A578)</f>
        <v>27.92</v>
      </c>
      <c r="F578" s="6">
        <f t="shared" si="16"/>
        <v>27.92</v>
      </c>
      <c r="G578" t="str">
        <f t="array" ref="G578">IFERROR(INDEX('working sheet'!$F$2:$F$3548, MODE(IF('working sheet'!$D$2:$D$3548=A578, MATCH('working sheet'!$F$2:$F$3548, 'working sheet'!$F$2:$F$3548, 0)))),
         INDEX('working sheet'!$F$2:$F$3548, MATCH(A578, 'working sheet'!$D$2:$D$3548, 0)))</f>
        <v>Americano with Milk</v>
      </c>
      <c r="H578" s="7">
        <f t="shared" si="17"/>
        <v>1</v>
      </c>
      <c r="I578" s="7">
        <f>MAX('working sheet'!$B$2:$B$3548)-C578</f>
        <v>200.29186413194111</v>
      </c>
      <c r="J578" s="4" t="str">
        <f t="array" ref="J578">IF(AND(I578&lt;=30, D578&gt;=10, E578&gt;=200), "VIP",  IF(AND(I578&lt;=60, D578&gt;=5, E578&gt;=100), "Loyal", IF(AND(I578&lt;=90, D578&gt;=3), "Regular", IF(I578&lt;=30, "Recent", IF(D578&gt;=3, "Occasional", "At Risk")))))</f>
        <v>At Risk</v>
      </c>
      <c r="K578" t="str">
        <f t="array" ref="K578">IF(OR(J578="VIP", J578="Loyal"), "HIGH",IF(OR(J578="Regular", J578="Recent"), "MEDIUM","LOW"))</f>
        <v>LOW</v>
      </c>
    </row>
    <row r="579" spans="1:11">
      <c r="A579" t="s">
        <v>592</v>
      </c>
      <c r="B579" s="14">
        <f>_xlfn.MINIFS('working sheet'!$B$2:$B$3548, 'working sheet'!$D$2:$D$3548, A579)</f>
        <v>45539.496926932872</v>
      </c>
      <c r="C579" s="17">
        <f>_xlfn.MAXIFS('working sheet'!$B$1:$B$3548,'working sheet'!$D$1:$D$3548,'Customer Portfolio'!A579)</f>
        <v>45539.496926932872</v>
      </c>
      <c r="D579">
        <f>COUNTIFS('working sheet'!$D$1:$D$3548,'Customer Portfolio'!A579)</f>
        <v>1</v>
      </c>
      <c r="E579" s="5">
        <f>SUMIFS('working sheet'!$E$2:$E$3548,'working sheet'!$D$2:$D$3548,'Customer Portfolio'!A579)</f>
        <v>27.92</v>
      </c>
      <c r="F579" s="6">
        <f t="shared" ref="F579:F642" si="18">E579/D579</f>
        <v>27.92</v>
      </c>
      <c r="G579" t="str">
        <f t="array" ref="G579">IFERROR(INDEX('working sheet'!$F$2:$F$3548, MODE(IF('working sheet'!$D$2:$D$3548=A579, MATCH('working sheet'!$F$2:$F$3548, 'working sheet'!$F$2:$F$3548, 0)))),
         INDEX('working sheet'!$F$2:$F$3548, MATCH(A579, 'working sheet'!$D$2:$D$3548, 0)))</f>
        <v>Americano with Milk</v>
      </c>
      <c r="H579" s="7">
        <f t="shared" ref="H579:H642" si="19">C579-B579+1</f>
        <v>1</v>
      </c>
      <c r="I579" s="7">
        <f>MAX('working sheet'!$B$2:$B$3548)-C579</f>
        <v>200.26115912036767</v>
      </c>
      <c r="J579" s="4" t="str">
        <f t="array" ref="J579">IF(AND(I579&lt;=30, D579&gt;=10, E579&gt;=200), "VIP",  IF(AND(I579&lt;=60, D579&gt;=5, E579&gt;=100), "Loyal", IF(AND(I579&lt;=90, D579&gt;=3), "Regular", IF(I579&lt;=30, "Recent", IF(D579&gt;=3, "Occasional", "At Risk")))))</f>
        <v>At Risk</v>
      </c>
      <c r="K579" t="str">
        <f t="array" ref="K579">IF(OR(J579="VIP", J579="Loyal"), "HIGH",IF(OR(J579="Regular", J579="Recent"), "MEDIUM","LOW"))</f>
        <v>LOW</v>
      </c>
    </row>
    <row r="580" spans="1:11">
      <c r="A580" t="s">
        <v>593</v>
      </c>
      <c r="B580" s="14">
        <f>_xlfn.MINIFS('working sheet'!$B$2:$B$3548, 'working sheet'!$D$2:$D$3548, A580)</f>
        <v>45539.544335763887</v>
      </c>
      <c r="C580" s="17">
        <f>_xlfn.MAXIFS('working sheet'!$B$1:$B$3548,'working sheet'!$D$1:$D$3548,'Customer Portfolio'!A580)</f>
        <v>45631.480535405091</v>
      </c>
      <c r="D580">
        <f>COUNTIFS('working sheet'!$D$1:$D$3548,'Customer Portfolio'!A580)</f>
        <v>3</v>
      </c>
      <c r="E580" s="5">
        <f>SUMIFS('working sheet'!$E$2:$E$3548,'working sheet'!$D$2:$D$3548,'Customer Portfolio'!A580)</f>
        <v>96.5</v>
      </c>
      <c r="F580" s="6">
        <f t="shared" si="18"/>
        <v>32.166666666666664</v>
      </c>
      <c r="G580" t="str">
        <f t="array" ref="G580">IFERROR(INDEX('working sheet'!$F$2:$F$3548, MODE(IF('working sheet'!$D$2:$D$3548=A580, MATCH('working sheet'!$F$2:$F$3548, 'working sheet'!$F$2:$F$3548, 0)))),
         INDEX('working sheet'!$F$2:$F$3548, MATCH(A580, 'working sheet'!$D$2:$D$3548, 0)))</f>
        <v>Latte</v>
      </c>
      <c r="H580" s="7">
        <f t="shared" si="19"/>
        <v>92.936199641204439</v>
      </c>
      <c r="I580" s="7">
        <f>MAX('working sheet'!$B$2:$B$3548)-C580</f>
        <v>108.27755064814846</v>
      </c>
      <c r="J580" s="4" t="str">
        <f t="array" ref="J580">IF(AND(I580&lt;=30, D580&gt;=10, E580&gt;=200), "VIP",  IF(AND(I580&lt;=60, D580&gt;=5, E580&gt;=100), "Loyal", IF(AND(I580&lt;=90, D580&gt;=3), "Regular", IF(I580&lt;=30, "Recent", IF(D580&gt;=3, "Occasional", "At Risk")))))</f>
        <v>Occasional</v>
      </c>
      <c r="K580" t="str">
        <f t="array" ref="K580">IF(OR(J580="VIP", J580="Loyal"), "HIGH",IF(OR(J580="Regular", J580="Recent"), "MEDIUM","LOW"))</f>
        <v>LOW</v>
      </c>
    </row>
    <row r="581" spans="1:11">
      <c r="A581" t="s">
        <v>594</v>
      </c>
      <c r="B581" s="14">
        <f>_xlfn.MINIFS('working sheet'!$B$2:$B$3548, 'working sheet'!$D$2:$D$3548, A581)</f>
        <v>45539.75262644676</v>
      </c>
      <c r="C581" s="17">
        <f>_xlfn.MAXIFS('working sheet'!$B$1:$B$3548,'working sheet'!$D$1:$D$3548,'Customer Portfolio'!A581)</f>
        <v>45539.75262644676</v>
      </c>
      <c r="D581">
        <f>COUNTIFS('working sheet'!$D$1:$D$3548,'Customer Portfolio'!A581)</f>
        <v>1</v>
      </c>
      <c r="E581" s="5">
        <f>SUMIFS('working sheet'!$E$2:$E$3548,'working sheet'!$D$2:$D$3548,'Customer Portfolio'!A581)</f>
        <v>32.82</v>
      </c>
      <c r="F581" s="6">
        <f t="shared" si="18"/>
        <v>32.82</v>
      </c>
      <c r="G581" t="str">
        <f t="array" ref="G581">IFERROR(INDEX('working sheet'!$F$2:$F$3548, MODE(IF('working sheet'!$D$2:$D$3548=A581, MATCH('working sheet'!$F$2:$F$3548, 'working sheet'!$F$2:$F$3548, 0)))),
         INDEX('working sheet'!$F$2:$F$3548, MATCH(A581, 'working sheet'!$D$2:$D$3548, 0)))</f>
        <v>Cappuccino</v>
      </c>
      <c r="H581" s="7">
        <f t="shared" si="19"/>
        <v>1</v>
      </c>
      <c r="I581" s="7">
        <f>MAX('working sheet'!$B$2:$B$3548)-C581</f>
        <v>200.00545960648014</v>
      </c>
      <c r="J581" s="4" t="str">
        <f t="array" ref="J581">IF(AND(I581&lt;=30, D581&gt;=10, E581&gt;=200), "VIP",  IF(AND(I581&lt;=60, D581&gt;=5, E581&gt;=100), "Loyal", IF(AND(I581&lt;=90, D581&gt;=3), "Regular", IF(I581&lt;=30, "Recent", IF(D581&gt;=3, "Occasional", "At Risk")))))</f>
        <v>At Risk</v>
      </c>
      <c r="K581" t="str">
        <f t="array" ref="K581">IF(OR(J581="VIP", J581="Loyal"), "HIGH",IF(OR(J581="Regular", J581="Recent"), "MEDIUM","LOW"))</f>
        <v>LOW</v>
      </c>
    </row>
    <row r="582" spans="1:11">
      <c r="A582" t="s">
        <v>595</v>
      </c>
      <c r="B582" s="14">
        <f>_xlfn.MINIFS('working sheet'!$B$2:$B$3548, 'working sheet'!$D$2:$D$3548, A582)</f>
        <v>45540.436761886573</v>
      </c>
      <c r="C582" s="17">
        <f>_xlfn.MAXIFS('working sheet'!$B$1:$B$3548,'working sheet'!$D$1:$D$3548,'Customer Portfolio'!A582)</f>
        <v>45540.436761886573</v>
      </c>
      <c r="D582">
        <f>COUNTIFS('working sheet'!$D$1:$D$3548,'Customer Portfolio'!A582)</f>
        <v>1</v>
      </c>
      <c r="E582" s="5">
        <f>SUMIFS('working sheet'!$E$2:$E$3548,'working sheet'!$D$2:$D$3548,'Customer Portfolio'!A582)</f>
        <v>27.92</v>
      </c>
      <c r="F582" s="6">
        <f t="shared" si="18"/>
        <v>27.92</v>
      </c>
      <c r="G582" t="str">
        <f t="array" ref="G582">IFERROR(INDEX('working sheet'!$F$2:$F$3548, MODE(IF('working sheet'!$D$2:$D$3548=A582, MATCH('working sheet'!$F$2:$F$3548, 'working sheet'!$F$2:$F$3548, 0)))),
         INDEX('working sheet'!$F$2:$F$3548, MATCH(A582, 'working sheet'!$D$2:$D$3548, 0)))</f>
        <v>Americano with Milk</v>
      </c>
      <c r="H582" s="7">
        <f t="shared" si="19"/>
        <v>1</v>
      </c>
      <c r="I582" s="7">
        <f>MAX('working sheet'!$B$2:$B$3548)-C582</f>
        <v>199.32132416666718</v>
      </c>
      <c r="J582" s="4" t="str">
        <f t="array" ref="J582">IF(AND(I582&lt;=30, D582&gt;=10, E582&gt;=200), "VIP",  IF(AND(I582&lt;=60, D582&gt;=5, E582&gt;=100), "Loyal", IF(AND(I582&lt;=90, D582&gt;=3), "Regular", IF(I582&lt;=30, "Recent", IF(D582&gt;=3, "Occasional", "At Risk")))))</f>
        <v>At Risk</v>
      </c>
      <c r="K582" t="str">
        <f t="array" ref="K582">IF(OR(J582="VIP", J582="Loyal"), "HIGH",IF(OR(J582="Regular", J582="Recent"), "MEDIUM","LOW"))</f>
        <v>LOW</v>
      </c>
    </row>
    <row r="583" spans="1:11">
      <c r="A583" t="s">
        <v>596</v>
      </c>
      <c r="B583" s="14">
        <f>_xlfn.MINIFS('working sheet'!$B$2:$B$3548, 'working sheet'!$D$2:$D$3548, A583)</f>
        <v>45540.583654305556</v>
      </c>
      <c r="C583" s="17">
        <f>_xlfn.MAXIFS('working sheet'!$B$1:$B$3548,'working sheet'!$D$1:$D$3548,'Customer Portfolio'!A583)</f>
        <v>45544.329068935185</v>
      </c>
      <c r="D583">
        <f>COUNTIFS('working sheet'!$D$1:$D$3548,'Customer Portfolio'!A583)</f>
        <v>3</v>
      </c>
      <c r="E583" s="5">
        <f>SUMIFS('working sheet'!$E$2:$E$3548,'working sheet'!$D$2:$D$3548,'Customer Portfolio'!A583)</f>
        <v>98.460000000000008</v>
      </c>
      <c r="F583" s="6">
        <f t="shared" si="18"/>
        <v>32.82</v>
      </c>
      <c r="G583" t="str">
        <f t="array" ref="G583">IFERROR(INDEX('working sheet'!$F$2:$F$3548, MODE(IF('working sheet'!$D$2:$D$3548=A583, MATCH('working sheet'!$F$2:$F$3548, 'working sheet'!$F$2:$F$3548, 0)))),
         INDEX('working sheet'!$F$2:$F$3548, MATCH(A583, 'working sheet'!$D$2:$D$3548, 0)))</f>
        <v>Cappuccino</v>
      </c>
      <c r="H583" s="7">
        <f t="shared" si="19"/>
        <v>4.7454146296295221</v>
      </c>
      <c r="I583" s="7">
        <f>MAX('working sheet'!$B$2:$B$3548)-C583</f>
        <v>195.42901711805462</v>
      </c>
      <c r="J583" s="4" t="str">
        <f t="array" ref="J583">IF(AND(I583&lt;=30, D583&gt;=10, E583&gt;=200), "VIP",  IF(AND(I583&lt;=60, D583&gt;=5, E583&gt;=100), "Loyal", IF(AND(I583&lt;=90, D583&gt;=3), "Regular", IF(I583&lt;=30, "Recent", IF(D583&gt;=3, "Occasional", "At Risk")))))</f>
        <v>Occasional</v>
      </c>
      <c r="K583" t="str">
        <f t="array" ref="K583">IF(OR(J583="VIP", J583="Loyal"), "HIGH",IF(OR(J583="Regular", J583="Recent"), "MEDIUM","LOW"))</f>
        <v>LOW</v>
      </c>
    </row>
    <row r="584" spans="1:11">
      <c r="A584" t="s">
        <v>597</v>
      </c>
      <c r="B584" s="14">
        <f>_xlfn.MINIFS('working sheet'!$B$2:$B$3548, 'working sheet'!$D$2:$D$3548, A584)</f>
        <v>45540.642503958334</v>
      </c>
      <c r="C584" s="17">
        <f>_xlfn.MAXIFS('working sheet'!$B$1:$B$3548,'working sheet'!$D$1:$D$3548,'Customer Portfolio'!A584)</f>
        <v>45559.693614537035</v>
      </c>
      <c r="D584">
        <f>COUNTIFS('working sheet'!$D$1:$D$3548,'Customer Portfolio'!A584)</f>
        <v>4</v>
      </c>
      <c r="E584" s="5">
        <f>SUMIFS('working sheet'!$E$2:$E$3548,'working sheet'!$D$2:$D$3548,'Customer Portfolio'!A584)</f>
        <v>131.28</v>
      </c>
      <c r="F584" s="6">
        <f t="shared" si="18"/>
        <v>32.82</v>
      </c>
      <c r="G584" t="str">
        <f t="array" ref="G584">IFERROR(INDEX('working sheet'!$F$2:$F$3548, MODE(IF('working sheet'!$D$2:$D$3548=A584, MATCH('working sheet'!$F$2:$F$3548, 'working sheet'!$F$2:$F$3548, 0)))),
         INDEX('working sheet'!$F$2:$F$3548, MATCH(A584, 'working sheet'!$D$2:$D$3548, 0)))</f>
        <v>Latte</v>
      </c>
      <c r="H584" s="7">
        <f t="shared" si="19"/>
        <v>20.0511105787009</v>
      </c>
      <c r="I584" s="7">
        <f>MAX('working sheet'!$B$2:$B$3548)-C584</f>
        <v>180.06447151620523</v>
      </c>
      <c r="J584" s="4" t="str">
        <f t="array" ref="J584">IF(AND(I584&lt;=30, D584&gt;=10, E584&gt;=200), "VIP",  IF(AND(I584&lt;=60, D584&gt;=5, E584&gt;=100), "Loyal", IF(AND(I584&lt;=90, D584&gt;=3), "Regular", IF(I584&lt;=30, "Recent", IF(D584&gt;=3, "Occasional", "At Risk")))))</f>
        <v>Occasional</v>
      </c>
      <c r="K584" t="str">
        <f t="array" ref="K584">IF(OR(J584="VIP", J584="Loyal"), "HIGH",IF(OR(J584="Regular", J584="Recent"), "MEDIUM","LOW"))</f>
        <v>LOW</v>
      </c>
    </row>
    <row r="585" spans="1:11">
      <c r="A585" t="s">
        <v>598</v>
      </c>
      <c r="B585" s="14">
        <f>_xlfn.MINIFS('working sheet'!$B$2:$B$3548, 'working sheet'!$D$2:$D$3548, A585)</f>
        <v>45540.693638715275</v>
      </c>
      <c r="C585" s="17">
        <f>_xlfn.MAXIFS('working sheet'!$B$1:$B$3548,'working sheet'!$D$1:$D$3548,'Customer Portfolio'!A585)</f>
        <v>45558.507689259262</v>
      </c>
      <c r="D585">
        <f>COUNTIFS('working sheet'!$D$1:$D$3548,'Customer Portfolio'!A585)</f>
        <v>4</v>
      </c>
      <c r="E585" s="5">
        <f>SUMIFS('working sheet'!$E$2:$E$3548,'working sheet'!$D$2:$D$3548,'Customer Portfolio'!A585)</f>
        <v>96.98</v>
      </c>
      <c r="F585" s="6">
        <f t="shared" si="18"/>
        <v>24.245000000000001</v>
      </c>
      <c r="G585" t="str">
        <f t="array" ref="G585">IFERROR(INDEX('working sheet'!$F$2:$F$3548, MODE(IF('working sheet'!$D$2:$D$3548=A585, MATCH('working sheet'!$F$2:$F$3548, 'working sheet'!$F$2:$F$3548, 0)))),
         INDEX('working sheet'!$F$2:$F$3548, MATCH(A585, 'working sheet'!$D$2:$D$3548, 0)))</f>
        <v>Americano</v>
      </c>
      <c r="H585" s="7">
        <f t="shared" si="19"/>
        <v>18.814050543987832</v>
      </c>
      <c r="I585" s="7">
        <f>MAX('working sheet'!$B$2:$B$3548)-C585</f>
        <v>181.25039679397742</v>
      </c>
      <c r="J585" s="4" t="str">
        <f t="array" ref="J585">IF(AND(I585&lt;=30, D585&gt;=10, E585&gt;=200), "VIP",  IF(AND(I585&lt;=60, D585&gt;=5, E585&gt;=100), "Loyal", IF(AND(I585&lt;=90, D585&gt;=3), "Regular", IF(I585&lt;=30, "Recent", IF(D585&gt;=3, "Occasional", "At Risk")))))</f>
        <v>Occasional</v>
      </c>
      <c r="K585" t="str">
        <f t="array" ref="K585">IF(OR(J585="VIP", J585="Loyal"), "HIGH",IF(OR(J585="Regular", J585="Recent"), "MEDIUM","LOW"))</f>
        <v>LOW</v>
      </c>
    </row>
    <row r="586" spans="1:11">
      <c r="A586" t="s">
        <v>599</v>
      </c>
      <c r="B586" s="14">
        <f>_xlfn.MINIFS('working sheet'!$B$2:$B$3548, 'working sheet'!$D$2:$D$3548, A586)</f>
        <v>45540.694440208332</v>
      </c>
      <c r="C586" s="17">
        <f>_xlfn.MAXIFS('working sheet'!$B$1:$B$3548,'working sheet'!$D$1:$D$3548,'Customer Portfolio'!A586)</f>
        <v>45566.835672951391</v>
      </c>
      <c r="D586">
        <f>COUNTIFS('working sheet'!$D$1:$D$3548,'Customer Portfolio'!A586)</f>
        <v>2</v>
      </c>
      <c r="E586" s="5">
        <f>SUMIFS('working sheet'!$E$2:$E$3548,'working sheet'!$D$2:$D$3548,'Customer Portfolio'!A586)</f>
        <v>63.68</v>
      </c>
      <c r="F586" s="6">
        <f t="shared" si="18"/>
        <v>31.84</v>
      </c>
      <c r="G586" t="str">
        <f t="array" ref="G586">IFERROR(INDEX('working sheet'!$F$2:$F$3548, MODE(IF('working sheet'!$D$2:$D$3548=A586, MATCH('working sheet'!$F$2:$F$3548, 'working sheet'!$F$2:$F$3548, 0)))),
         INDEX('working sheet'!$F$2:$F$3548, MATCH(A586, 'working sheet'!$D$2:$D$3548, 0)))</f>
        <v>Americano with Milk</v>
      </c>
      <c r="H586" s="7">
        <f t="shared" si="19"/>
        <v>27.141232743058936</v>
      </c>
      <c r="I586" s="7">
        <f>MAX('working sheet'!$B$2:$B$3548)-C586</f>
        <v>172.92241310184909</v>
      </c>
      <c r="J586" s="4" t="str">
        <f t="array" ref="J586">IF(AND(I586&lt;=30, D586&gt;=10, E586&gt;=200), "VIP",  IF(AND(I586&lt;=60, D586&gt;=5, E586&gt;=100), "Loyal", IF(AND(I586&lt;=90, D586&gt;=3), "Regular", IF(I586&lt;=30, "Recent", IF(D586&gt;=3, "Occasional", "At Risk")))))</f>
        <v>At Risk</v>
      </c>
      <c r="K586" t="str">
        <f t="array" ref="K586">IF(OR(J586="VIP", J586="Loyal"), "HIGH",IF(OR(J586="Regular", J586="Recent"), "MEDIUM","LOW"))</f>
        <v>LOW</v>
      </c>
    </row>
    <row r="587" spans="1:11">
      <c r="A587" t="s">
        <v>600</v>
      </c>
      <c r="B587" s="14">
        <f>_xlfn.MINIFS('working sheet'!$B$2:$B$3548, 'working sheet'!$D$2:$D$3548, A587)</f>
        <v>45540.711445659719</v>
      </c>
      <c r="C587" s="17">
        <f>_xlfn.MAXIFS('working sheet'!$B$1:$B$3548,'working sheet'!$D$1:$D$3548,'Customer Portfolio'!A587)</f>
        <v>45540.712172268519</v>
      </c>
      <c r="D587">
        <f>COUNTIFS('working sheet'!$D$1:$D$3548,'Customer Portfolio'!A587)</f>
        <v>2</v>
      </c>
      <c r="E587" s="5">
        <f>SUMIFS('working sheet'!$E$2:$E$3548,'working sheet'!$D$2:$D$3548,'Customer Portfolio'!A587)</f>
        <v>65.64</v>
      </c>
      <c r="F587" s="6">
        <f t="shared" si="18"/>
        <v>32.82</v>
      </c>
      <c r="G587" t="str">
        <f t="array" ref="G587">IFERROR(INDEX('working sheet'!$F$2:$F$3548, MODE(IF('working sheet'!$D$2:$D$3548=A587, MATCH('working sheet'!$F$2:$F$3548, 'working sheet'!$F$2:$F$3548, 0)))),
         INDEX('working sheet'!$F$2:$F$3548, MATCH(A587, 'working sheet'!$D$2:$D$3548, 0)))</f>
        <v>Cappuccino</v>
      </c>
      <c r="H587" s="7">
        <f t="shared" si="19"/>
        <v>1.0007266087995959</v>
      </c>
      <c r="I587" s="7">
        <f>MAX('working sheet'!$B$2:$B$3548)-C587</f>
        <v>199.04591378472105</v>
      </c>
      <c r="J587" s="4" t="str">
        <f t="array" ref="J587">IF(AND(I587&lt;=30, D587&gt;=10, E587&gt;=200), "VIP",  IF(AND(I587&lt;=60, D587&gt;=5, E587&gt;=100), "Loyal", IF(AND(I587&lt;=90, D587&gt;=3), "Regular", IF(I587&lt;=30, "Recent", IF(D587&gt;=3, "Occasional", "At Risk")))))</f>
        <v>At Risk</v>
      </c>
      <c r="K587" t="str">
        <f t="array" ref="K587">IF(OR(J587="VIP", J587="Loyal"), "HIGH",IF(OR(J587="Regular", J587="Recent"), "MEDIUM","LOW"))</f>
        <v>LOW</v>
      </c>
    </row>
    <row r="588" spans="1:11">
      <c r="A588" t="s">
        <v>601</v>
      </c>
      <c r="B588" s="14">
        <f>_xlfn.MINIFS('working sheet'!$B$2:$B$3548, 'working sheet'!$D$2:$D$3548, A588)</f>
        <v>45540.854339861115</v>
      </c>
      <c r="C588" s="17">
        <f>_xlfn.MAXIFS('working sheet'!$B$1:$B$3548,'working sheet'!$D$1:$D$3548,'Customer Portfolio'!A588)</f>
        <v>45540.854339861115</v>
      </c>
      <c r="D588">
        <f>COUNTIFS('working sheet'!$D$1:$D$3548,'Customer Portfolio'!A588)</f>
        <v>1</v>
      </c>
      <c r="E588" s="5">
        <f>SUMIFS('working sheet'!$E$2:$E$3548,'working sheet'!$D$2:$D$3548,'Customer Portfolio'!A588)</f>
        <v>32.82</v>
      </c>
      <c r="F588" s="6">
        <f t="shared" si="18"/>
        <v>32.82</v>
      </c>
      <c r="G588" t="str">
        <f t="array" ref="G588">IFERROR(INDEX('working sheet'!$F$2:$F$3548, MODE(IF('working sheet'!$D$2:$D$3548=A588, MATCH('working sheet'!$F$2:$F$3548, 'working sheet'!$F$2:$F$3548, 0)))),
         INDEX('working sheet'!$F$2:$F$3548, MATCH(A588, 'working sheet'!$D$2:$D$3548, 0)))</f>
        <v>Cappuccino</v>
      </c>
      <c r="H588" s="7">
        <f t="shared" si="19"/>
        <v>1</v>
      </c>
      <c r="I588" s="7">
        <f>MAX('working sheet'!$B$2:$B$3548)-C588</f>
        <v>198.90374619212525</v>
      </c>
      <c r="J588" s="4" t="str">
        <f t="array" ref="J588">IF(AND(I588&lt;=30, D588&gt;=10, E588&gt;=200), "VIP",  IF(AND(I588&lt;=60, D588&gt;=5, E588&gt;=100), "Loyal", IF(AND(I588&lt;=90, D588&gt;=3), "Regular", IF(I588&lt;=30, "Recent", IF(D588&gt;=3, "Occasional", "At Risk")))))</f>
        <v>At Risk</v>
      </c>
      <c r="K588" t="str">
        <f t="array" ref="K588">IF(OR(J588="VIP", J588="Loyal"), "HIGH",IF(OR(J588="Regular", J588="Recent"), "MEDIUM","LOW"))</f>
        <v>LOW</v>
      </c>
    </row>
    <row r="589" spans="1:11">
      <c r="A589" t="s">
        <v>602</v>
      </c>
      <c r="B589" s="14">
        <f>_xlfn.MINIFS('working sheet'!$B$2:$B$3548, 'working sheet'!$D$2:$D$3548, A589)</f>
        <v>45540.871116076392</v>
      </c>
      <c r="C589" s="17">
        <f>_xlfn.MAXIFS('working sheet'!$B$1:$B$3548,'working sheet'!$D$1:$D$3548,'Customer Portfolio'!A589)</f>
        <v>45540.871891539355</v>
      </c>
      <c r="D589">
        <f>COUNTIFS('working sheet'!$D$1:$D$3548,'Customer Portfolio'!A589)</f>
        <v>2</v>
      </c>
      <c r="E589" s="5">
        <f>SUMIFS('working sheet'!$E$2:$E$3548,'working sheet'!$D$2:$D$3548,'Customer Portfolio'!A589)</f>
        <v>55.84</v>
      </c>
      <c r="F589" s="6">
        <f t="shared" si="18"/>
        <v>27.92</v>
      </c>
      <c r="G589" t="str">
        <f t="array" ref="G589">IFERROR(INDEX('working sheet'!$F$2:$F$3548, MODE(IF('working sheet'!$D$2:$D$3548=A589, MATCH('working sheet'!$F$2:$F$3548, 'working sheet'!$F$2:$F$3548, 0)))),
         INDEX('working sheet'!$F$2:$F$3548, MATCH(A589, 'working sheet'!$D$2:$D$3548, 0)))</f>
        <v>Americano</v>
      </c>
      <c r="H589" s="7">
        <f t="shared" si="19"/>
        <v>1.0007754629623378</v>
      </c>
      <c r="I589" s="7">
        <f>MAX('working sheet'!$B$2:$B$3548)-C589</f>
        <v>198.88619451388513</v>
      </c>
      <c r="J589" s="4" t="str">
        <f t="array" ref="J589">IF(AND(I589&lt;=30, D589&gt;=10, E589&gt;=200), "VIP",  IF(AND(I589&lt;=60, D589&gt;=5, E589&gt;=100), "Loyal", IF(AND(I589&lt;=90, D589&gt;=3), "Regular", IF(I589&lt;=30, "Recent", IF(D589&gt;=3, "Occasional", "At Risk")))))</f>
        <v>At Risk</v>
      </c>
      <c r="K589" t="str">
        <f t="array" ref="K589">IF(OR(J589="VIP", J589="Loyal"), "HIGH",IF(OR(J589="Regular", J589="Recent"), "MEDIUM","LOW"))</f>
        <v>LOW</v>
      </c>
    </row>
    <row r="590" spans="1:11">
      <c r="A590" t="s">
        <v>603</v>
      </c>
      <c r="B590" s="14">
        <f>_xlfn.MINIFS('working sheet'!$B$2:$B$3548, 'working sheet'!$D$2:$D$3548, A590)</f>
        <v>45541.371318865742</v>
      </c>
      <c r="C590" s="17">
        <f>_xlfn.MAXIFS('working sheet'!$B$1:$B$3548,'working sheet'!$D$1:$D$3548,'Customer Portfolio'!A590)</f>
        <v>45541.371318865742</v>
      </c>
      <c r="D590">
        <f>COUNTIFS('working sheet'!$D$1:$D$3548,'Customer Portfolio'!A590)</f>
        <v>1</v>
      </c>
      <c r="E590" s="5">
        <f>SUMIFS('working sheet'!$E$2:$E$3548,'working sheet'!$D$2:$D$3548,'Customer Portfolio'!A590)</f>
        <v>23.02</v>
      </c>
      <c r="F590" s="6">
        <f t="shared" si="18"/>
        <v>23.02</v>
      </c>
      <c r="G590" t="str">
        <f t="array" ref="G590">IFERROR(INDEX('working sheet'!$F$2:$F$3548, MODE(IF('working sheet'!$D$2:$D$3548=A590, MATCH('working sheet'!$F$2:$F$3548, 'working sheet'!$F$2:$F$3548, 0)))),
         INDEX('working sheet'!$F$2:$F$3548, MATCH(A590, 'working sheet'!$D$2:$D$3548, 0)))</f>
        <v>Americano</v>
      </c>
      <c r="H590" s="7">
        <f t="shared" si="19"/>
        <v>1</v>
      </c>
      <c r="I590" s="7">
        <f>MAX('working sheet'!$B$2:$B$3548)-C590</f>
        <v>198.38676718749775</v>
      </c>
      <c r="J590" s="4" t="str">
        <f t="array" ref="J590">IF(AND(I590&lt;=30, D590&gt;=10, E590&gt;=200), "VIP",  IF(AND(I590&lt;=60, D590&gt;=5, E590&gt;=100), "Loyal", IF(AND(I590&lt;=90, D590&gt;=3), "Regular", IF(I590&lt;=30, "Recent", IF(D590&gt;=3, "Occasional", "At Risk")))))</f>
        <v>At Risk</v>
      </c>
      <c r="K590" t="str">
        <f t="array" ref="K590">IF(OR(J590="VIP", J590="Loyal"), "HIGH",IF(OR(J590="Regular", J590="Recent"), "MEDIUM","LOW"))</f>
        <v>LOW</v>
      </c>
    </row>
    <row r="591" spans="1:11">
      <c r="A591" t="s">
        <v>604</v>
      </c>
      <c r="B591" s="14">
        <f>_xlfn.MINIFS('working sheet'!$B$2:$B$3548, 'working sheet'!$D$2:$D$3548, A591)</f>
        <v>45541.410184594904</v>
      </c>
      <c r="C591" s="17">
        <f>_xlfn.MAXIFS('working sheet'!$B$1:$B$3548,'working sheet'!$D$1:$D$3548,'Customer Portfolio'!A591)</f>
        <v>45541.411021018517</v>
      </c>
      <c r="D591">
        <f>COUNTIFS('working sheet'!$D$1:$D$3548,'Customer Portfolio'!A591)</f>
        <v>2</v>
      </c>
      <c r="E591" s="5">
        <f>SUMIFS('working sheet'!$E$2:$E$3548,'working sheet'!$D$2:$D$3548,'Customer Portfolio'!A591)</f>
        <v>50.94</v>
      </c>
      <c r="F591" s="6">
        <f t="shared" si="18"/>
        <v>25.47</v>
      </c>
      <c r="G591" t="str">
        <f t="array" ref="G591">IFERROR(INDEX('working sheet'!$F$2:$F$3548, MODE(IF('working sheet'!$D$2:$D$3548=A591, MATCH('working sheet'!$F$2:$F$3548, 'working sheet'!$F$2:$F$3548, 0)))),
         INDEX('working sheet'!$F$2:$F$3548, MATCH(A591, 'working sheet'!$D$2:$D$3548, 0)))</f>
        <v>Espresso</v>
      </c>
      <c r="H591" s="7">
        <f t="shared" si="19"/>
        <v>1.0008364236127818</v>
      </c>
      <c r="I591" s="7">
        <f>MAX('working sheet'!$B$2:$B$3548)-C591</f>
        <v>198.34706503472262</v>
      </c>
      <c r="J591" s="4" t="str">
        <f t="array" ref="J591">IF(AND(I591&lt;=30, D591&gt;=10, E591&gt;=200), "VIP",  IF(AND(I591&lt;=60, D591&gt;=5, E591&gt;=100), "Loyal", IF(AND(I591&lt;=90, D591&gt;=3), "Regular", IF(I591&lt;=30, "Recent", IF(D591&gt;=3, "Occasional", "At Risk")))))</f>
        <v>At Risk</v>
      </c>
      <c r="K591" t="str">
        <f t="array" ref="K591">IF(OR(J591="VIP", J591="Loyal"), "HIGH",IF(OR(J591="Regular", J591="Recent"), "MEDIUM","LOW"))</f>
        <v>LOW</v>
      </c>
    </row>
    <row r="592" spans="1:11">
      <c r="A592" t="s">
        <v>605</v>
      </c>
      <c r="B592" s="14">
        <f>_xlfn.MINIFS('working sheet'!$B$2:$B$3548, 'working sheet'!$D$2:$D$3548, A592)</f>
        <v>45541.437570011571</v>
      </c>
      <c r="C592" s="17">
        <f>_xlfn.MAXIFS('working sheet'!$B$1:$B$3548,'working sheet'!$D$1:$D$3548,'Customer Portfolio'!A592)</f>
        <v>45541.437570011571</v>
      </c>
      <c r="D592">
        <f>COUNTIFS('working sheet'!$D$1:$D$3548,'Customer Portfolio'!A592)</f>
        <v>1</v>
      </c>
      <c r="E592" s="5">
        <f>SUMIFS('working sheet'!$E$2:$E$3548,'working sheet'!$D$2:$D$3548,'Customer Portfolio'!A592)</f>
        <v>32.82</v>
      </c>
      <c r="F592" s="6">
        <f t="shared" si="18"/>
        <v>32.82</v>
      </c>
      <c r="G592" t="str">
        <f t="array" ref="G592">IFERROR(INDEX('working sheet'!$F$2:$F$3548, MODE(IF('working sheet'!$D$2:$D$3548=A592, MATCH('working sheet'!$F$2:$F$3548, 'working sheet'!$F$2:$F$3548, 0)))),
         INDEX('working sheet'!$F$2:$F$3548, MATCH(A592, 'working sheet'!$D$2:$D$3548, 0)))</f>
        <v>Hot Chocolate</v>
      </c>
      <c r="H592" s="7">
        <f t="shared" si="19"/>
        <v>1</v>
      </c>
      <c r="I592" s="7">
        <f>MAX('working sheet'!$B$2:$B$3548)-C592</f>
        <v>198.32051604166918</v>
      </c>
      <c r="J592" s="4" t="str">
        <f t="array" ref="J592">IF(AND(I592&lt;=30, D592&gt;=10, E592&gt;=200), "VIP",  IF(AND(I592&lt;=60, D592&gt;=5, E592&gt;=100), "Loyal", IF(AND(I592&lt;=90, D592&gt;=3), "Regular", IF(I592&lt;=30, "Recent", IF(D592&gt;=3, "Occasional", "At Risk")))))</f>
        <v>At Risk</v>
      </c>
      <c r="K592" t="str">
        <f t="array" ref="K592">IF(OR(J592="VIP", J592="Loyal"), "HIGH",IF(OR(J592="Regular", J592="Recent"), "MEDIUM","LOW"))</f>
        <v>LOW</v>
      </c>
    </row>
    <row r="593" spans="1:11">
      <c r="A593" t="s">
        <v>606</v>
      </c>
      <c r="B593" s="14">
        <f>_xlfn.MINIFS('working sheet'!$B$2:$B$3548, 'working sheet'!$D$2:$D$3548, A593)</f>
        <v>45542.367326550928</v>
      </c>
      <c r="C593" s="17">
        <f>_xlfn.MAXIFS('working sheet'!$B$1:$B$3548,'working sheet'!$D$1:$D$3548,'Customer Portfolio'!A593)</f>
        <v>45542.367326550928</v>
      </c>
      <c r="D593">
        <f>COUNTIFS('working sheet'!$D$1:$D$3548,'Customer Portfolio'!A593)</f>
        <v>1</v>
      </c>
      <c r="E593" s="5">
        <f>SUMIFS('working sheet'!$E$2:$E$3548,'working sheet'!$D$2:$D$3548,'Customer Portfolio'!A593)</f>
        <v>32.82</v>
      </c>
      <c r="F593" s="6">
        <f t="shared" si="18"/>
        <v>32.82</v>
      </c>
      <c r="G593" t="str">
        <f t="array" ref="G593">IFERROR(INDEX('working sheet'!$F$2:$F$3548, MODE(IF('working sheet'!$D$2:$D$3548=A593, MATCH('working sheet'!$F$2:$F$3548, 'working sheet'!$F$2:$F$3548, 0)))),
         INDEX('working sheet'!$F$2:$F$3548, MATCH(A593, 'working sheet'!$D$2:$D$3548, 0)))</f>
        <v>Latte</v>
      </c>
      <c r="H593" s="7">
        <f t="shared" si="19"/>
        <v>1</v>
      </c>
      <c r="I593" s="7">
        <f>MAX('working sheet'!$B$2:$B$3548)-C593</f>
        <v>197.39075950231199</v>
      </c>
      <c r="J593" s="4" t="str">
        <f t="array" ref="J593">IF(AND(I593&lt;=30, D593&gt;=10, E593&gt;=200), "VIP",  IF(AND(I593&lt;=60, D593&gt;=5, E593&gt;=100), "Loyal", IF(AND(I593&lt;=90, D593&gt;=3), "Regular", IF(I593&lt;=30, "Recent", IF(D593&gt;=3, "Occasional", "At Risk")))))</f>
        <v>At Risk</v>
      </c>
      <c r="K593" t="str">
        <f t="array" ref="K593">IF(OR(J593="VIP", J593="Loyal"), "HIGH",IF(OR(J593="Regular", J593="Recent"), "MEDIUM","LOW"))</f>
        <v>LOW</v>
      </c>
    </row>
    <row r="594" spans="1:11">
      <c r="A594" t="s">
        <v>607</v>
      </c>
      <c r="B594" s="14">
        <f>_xlfn.MINIFS('working sheet'!$B$2:$B$3548, 'working sheet'!$D$2:$D$3548, A594)</f>
        <v>45542.412981631947</v>
      </c>
      <c r="C594" s="17">
        <f>_xlfn.MAXIFS('working sheet'!$B$1:$B$3548,'working sheet'!$D$1:$D$3548,'Customer Portfolio'!A594)</f>
        <v>45542.412981631947</v>
      </c>
      <c r="D594">
        <f>COUNTIFS('working sheet'!$D$1:$D$3548,'Customer Portfolio'!A594)</f>
        <v>1</v>
      </c>
      <c r="E594" s="5">
        <f>SUMIFS('working sheet'!$E$2:$E$3548,'working sheet'!$D$2:$D$3548,'Customer Portfolio'!A594)</f>
        <v>23.02</v>
      </c>
      <c r="F594" s="6">
        <f t="shared" si="18"/>
        <v>23.02</v>
      </c>
      <c r="G594" t="str">
        <f t="array" ref="G594">IFERROR(INDEX('working sheet'!$F$2:$F$3548, MODE(IF('working sheet'!$D$2:$D$3548=A594, MATCH('working sheet'!$F$2:$F$3548, 'working sheet'!$F$2:$F$3548, 0)))),
         INDEX('working sheet'!$F$2:$F$3548, MATCH(A594, 'working sheet'!$D$2:$D$3548, 0)))</f>
        <v>Cortado</v>
      </c>
      <c r="H594" s="7">
        <f t="shared" si="19"/>
        <v>1</v>
      </c>
      <c r="I594" s="7">
        <f>MAX('working sheet'!$B$2:$B$3548)-C594</f>
        <v>197.34510442129249</v>
      </c>
      <c r="J594" s="4" t="str">
        <f t="array" ref="J594">IF(AND(I594&lt;=30, D594&gt;=10, E594&gt;=200), "VIP",  IF(AND(I594&lt;=60, D594&gt;=5, E594&gt;=100), "Loyal", IF(AND(I594&lt;=90, D594&gt;=3), "Regular", IF(I594&lt;=30, "Recent", IF(D594&gt;=3, "Occasional", "At Risk")))))</f>
        <v>At Risk</v>
      </c>
      <c r="K594" t="str">
        <f t="array" ref="K594">IF(OR(J594="VIP", J594="Loyal"), "HIGH",IF(OR(J594="Regular", J594="Recent"), "MEDIUM","LOW"))</f>
        <v>LOW</v>
      </c>
    </row>
    <row r="595" spans="1:11">
      <c r="A595" t="s">
        <v>608</v>
      </c>
      <c r="B595" s="14">
        <f>_xlfn.MINIFS('working sheet'!$B$2:$B$3548, 'working sheet'!$D$2:$D$3548, A595)</f>
        <v>45542.432459699077</v>
      </c>
      <c r="C595" s="17">
        <f>_xlfn.MAXIFS('working sheet'!$B$1:$B$3548,'working sheet'!$D$1:$D$3548,'Customer Portfolio'!A595)</f>
        <v>45542.432459699077</v>
      </c>
      <c r="D595">
        <f>COUNTIFS('working sheet'!$D$1:$D$3548,'Customer Portfolio'!A595)</f>
        <v>1</v>
      </c>
      <c r="E595" s="5">
        <f>SUMIFS('working sheet'!$E$2:$E$3548,'working sheet'!$D$2:$D$3548,'Customer Portfolio'!A595)</f>
        <v>23.02</v>
      </c>
      <c r="F595" s="6">
        <f t="shared" si="18"/>
        <v>23.02</v>
      </c>
      <c r="G595" t="str">
        <f t="array" ref="G595">IFERROR(INDEX('working sheet'!$F$2:$F$3548, MODE(IF('working sheet'!$D$2:$D$3548=A595, MATCH('working sheet'!$F$2:$F$3548, 'working sheet'!$F$2:$F$3548, 0)))),
         INDEX('working sheet'!$F$2:$F$3548, MATCH(A595, 'working sheet'!$D$2:$D$3548, 0)))</f>
        <v>Americano</v>
      </c>
      <c r="H595" s="7">
        <f t="shared" si="19"/>
        <v>1</v>
      </c>
      <c r="I595" s="7">
        <f>MAX('working sheet'!$B$2:$B$3548)-C595</f>
        <v>197.32562635416252</v>
      </c>
      <c r="J595" s="4" t="str">
        <f t="array" ref="J595">IF(AND(I595&lt;=30, D595&gt;=10, E595&gt;=200), "VIP",  IF(AND(I595&lt;=60, D595&gt;=5, E595&gt;=100), "Loyal", IF(AND(I595&lt;=90, D595&gt;=3), "Regular", IF(I595&lt;=30, "Recent", IF(D595&gt;=3, "Occasional", "At Risk")))))</f>
        <v>At Risk</v>
      </c>
      <c r="K595" t="str">
        <f t="array" ref="K595">IF(OR(J595="VIP", J595="Loyal"), "HIGH",IF(OR(J595="Regular", J595="Recent"), "MEDIUM","LOW"))</f>
        <v>LOW</v>
      </c>
    </row>
    <row r="596" spans="1:11">
      <c r="A596" t="s">
        <v>609</v>
      </c>
      <c r="B596" s="14">
        <f>_xlfn.MINIFS('working sheet'!$B$2:$B$3548, 'working sheet'!$D$2:$D$3548, A596)</f>
        <v>45542.442966840281</v>
      </c>
      <c r="C596" s="17">
        <f>_xlfn.MAXIFS('working sheet'!$B$1:$B$3548,'working sheet'!$D$1:$D$3548,'Customer Portfolio'!A596)</f>
        <v>45542.444590358798</v>
      </c>
      <c r="D596">
        <f>COUNTIFS('working sheet'!$D$1:$D$3548,'Customer Portfolio'!A596)</f>
        <v>2</v>
      </c>
      <c r="E596" s="5">
        <f>SUMIFS('working sheet'!$E$2:$E$3548,'working sheet'!$D$2:$D$3548,'Customer Portfolio'!A596)</f>
        <v>36.24</v>
      </c>
      <c r="F596" s="6">
        <f t="shared" si="18"/>
        <v>18.12</v>
      </c>
      <c r="G596" t="str">
        <f t="array" ref="G596">IFERROR(INDEX('working sheet'!$F$2:$F$3548, MODE(IF('working sheet'!$D$2:$D$3548=A596, MATCH('working sheet'!$F$2:$F$3548, 'working sheet'!$F$2:$F$3548, 0)))),
         INDEX('working sheet'!$F$2:$F$3548, MATCH(A596, 'working sheet'!$D$2:$D$3548, 0)))</f>
        <v>Espresso</v>
      </c>
      <c r="H596" s="7">
        <f t="shared" si="19"/>
        <v>1.0016235185175901</v>
      </c>
      <c r="I596" s="7">
        <f>MAX('working sheet'!$B$2:$B$3548)-C596</f>
        <v>197.31349569444137</v>
      </c>
      <c r="J596" s="4" t="str">
        <f t="array" ref="J596">IF(AND(I596&lt;=30, D596&gt;=10, E596&gt;=200), "VIP",  IF(AND(I596&lt;=60, D596&gt;=5, E596&gt;=100), "Loyal", IF(AND(I596&lt;=90, D596&gt;=3), "Regular", IF(I596&lt;=30, "Recent", IF(D596&gt;=3, "Occasional", "At Risk")))))</f>
        <v>At Risk</v>
      </c>
      <c r="K596" t="str">
        <f t="array" ref="K596">IF(OR(J596="VIP", J596="Loyal"), "HIGH",IF(OR(J596="Regular", J596="Recent"), "MEDIUM","LOW"))</f>
        <v>LOW</v>
      </c>
    </row>
    <row r="597" spans="1:11">
      <c r="A597" t="s">
        <v>610</v>
      </c>
      <c r="B597" s="14">
        <f>_xlfn.MINIFS('working sheet'!$B$2:$B$3548, 'working sheet'!$D$2:$D$3548, A597)</f>
        <v>45542.453845150463</v>
      </c>
      <c r="C597" s="17">
        <f>_xlfn.MAXIFS('working sheet'!$B$1:$B$3548,'working sheet'!$D$1:$D$3548,'Customer Portfolio'!A597)</f>
        <v>45542.453845150463</v>
      </c>
      <c r="D597">
        <f>COUNTIFS('working sheet'!$D$1:$D$3548,'Customer Portfolio'!A597)</f>
        <v>1</v>
      </c>
      <c r="E597" s="5">
        <f>SUMIFS('working sheet'!$E$2:$E$3548,'working sheet'!$D$2:$D$3548,'Customer Portfolio'!A597)</f>
        <v>32.82</v>
      </c>
      <c r="F597" s="6">
        <f t="shared" si="18"/>
        <v>32.82</v>
      </c>
      <c r="G597" t="str">
        <f t="array" ref="G597">IFERROR(INDEX('working sheet'!$F$2:$F$3548, MODE(IF('working sheet'!$D$2:$D$3548=A597, MATCH('working sheet'!$F$2:$F$3548, 'working sheet'!$F$2:$F$3548, 0)))),
         INDEX('working sheet'!$F$2:$F$3548, MATCH(A597, 'working sheet'!$D$2:$D$3548, 0)))</f>
        <v>Latte</v>
      </c>
      <c r="H597" s="7">
        <f t="shared" si="19"/>
        <v>1</v>
      </c>
      <c r="I597" s="7">
        <f>MAX('working sheet'!$B$2:$B$3548)-C597</f>
        <v>197.30424090277666</v>
      </c>
      <c r="J597" s="4" t="str">
        <f t="array" ref="J597">IF(AND(I597&lt;=30, D597&gt;=10, E597&gt;=200), "VIP",  IF(AND(I597&lt;=60, D597&gt;=5, E597&gt;=100), "Loyal", IF(AND(I597&lt;=90, D597&gt;=3), "Regular", IF(I597&lt;=30, "Recent", IF(D597&gt;=3, "Occasional", "At Risk")))))</f>
        <v>At Risk</v>
      </c>
      <c r="K597" t="str">
        <f t="array" ref="K597">IF(OR(J597="VIP", J597="Loyal"), "HIGH",IF(OR(J597="Regular", J597="Recent"), "MEDIUM","LOW"))</f>
        <v>LOW</v>
      </c>
    </row>
    <row r="598" spans="1:11">
      <c r="A598" t="s">
        <v>611</v>
      </c>
      <c r="B598" s="14">
        <f>_xlfn.MINIFS('working sheet'!$B$2:$B$3548, 'working sheet'!$D$2:$D$3548, A598)</f>
        <v>45542.663293206017</v>
      </c>
      <c r="C598" s="17">
        <f>_xlfn.MAXIFS('working sheet'!$B$1:$B$3548,'working sheet'!$D$1:$D$3548,'Customer Portfolio'!A598)</f>
        <v>45542.663293206017</v>
      </c>
      <c r="D598">
        <f>COUNTIFS('working sheet'!$D$1:$D$3548,'Customer Portfolio'!A598)</f>
        <v>1</v>
      </c>
      <c r="E598" s="5">
        <f>SUMIFS('working sheet'!$E$2:$E$3548,'working sheet'!$D$2:$D$3548,'Customer Portfolio'!A598)</f>
        <v>32.82</v>
      </c>
      <c r="F598" s="6">
        <f t="shared" si="18"/>
        <v>32.82</v>
      </c>
      <c r="G598" t="str">
        <f t="array" ref="G598">IFERROR(INDEX('working sheet'!$F$2:$F$3548, MODE(IF('working sheet'!$D$2:$D$3548=A598, MATCH('working sheet'!$F$2:$F$3548, 'working sheet'!$F$2:$F$3548, 0)))),
         INDEX('working sheet'!$F$2:$F$3548, MATCH(A598, 'working sheet'!$D$2:$D$3548, 0)))</f>
        <v>Latte</v>
      </c>
      <c r="H598" s="7">
        <f t="shared" si="19"/>
        <v>1</v>
      </c>
      <c r="I598" s="7">
        <f>MAX('working sheet'!$B$2:$B$3548)-C598</f>
        <v>197.09479284722329</v>
      </c>
      <c r="J598" s="4" t="str">
        <f t="array" ref="J598">IF(AND(I598&lt;=30, D598&gt;=10, E598&gt;=200), "VIP",  IF(AND(I598&lt;=60, D598&gt;=5, E598&gt;=100), "Loyal", IF(AND(I598&lt;=90, D598&gt;=3), "Regular", IF(I598&lt;=30, "Recent", IF(D598&gt;=3, "Occasional", "At Risk")))))</f>
        <v>At Risk</v>
      </c>
      <c r="K598" t="str">
        <f t="array" ref="K598">IF(OR(J598="VIP", J598="Loyal"), "HIGH",IF(OR(J598="Regular", J598="Recent"), "MEDIUM","LOW"))</f>
        <v>LOW</v>
      </c>
    </row>
    <row r="599" spans="1:11">
      <c r="A599" t="s">
        <v>612</v>
      </c>
      <c r="B599" s="14">
        <f>_xlfn.MINIFS('working sheet'!$B$2:$B$3548, 'working sheet'!$D$2:$D$3548, A599)</f>
        <v>45542.842959166665</v>
      </c>
      <c r="C599" s="17">
        <f>_xlfn.MAXIFS('working sheet'!$B$1:$B$3548,'working sheet'!$D$1:$D$3548,'Customer Portfolio'!A599)</f>
        <v>45572.903339293982</v>
      </c>
      <c r="D599">
        <f>COUNTIFS('working sheet'!$D$1:$D$3548,'Customer Portfolio'!A599)</f>
        <v>3</v>
      </c>
      <c r="E599" s="5">
        <f>SUMIFS('working sheet'!$E$2:$E$3548,'working sheet'!$D$2:$D$3548,'Customer Portfolio'!A599)</f>
        <v>101.4</v>
      </c>
      <c r="F599" s="6">
        <f t="shared" si="18"/>
        <v>33.800000000000004</v>
      </c>
      <c r="G599" t="str">
        <f t="array" ref="G599">IFERROR(INDEX('working sheet'!$F$2:$F$3548, MODE(IF('working sheet'!$D$2:$D$3548=A599, MATCH('working sheet'!$F$2:$F$3548, 'working sheet'!$F$2:$F$3548, 0)))),
         INDEX('working sheet'!$F$2:$F$3548, MATCH(A599, 'working sheet'!$D$2:$D$3548, 0)))</f>
        <v>Latte</v>
      </c>
      <c r="H599" s="7">
        <f t="shared" si="19"/>
        <v>31.06038012731733</v>
      </c>
      <c r="I599" s="7">
        <f>MAX('working sheet'!$B$2:$B$3548)-C599</f>
        <v>166.85474675925798</v>
      </c>
      <c r="J599" s="4" t="str">
        <f t="array" ref="J599">IF(AND(I599&lt;=30, D599&gt;=10, E599&gt;=200), "VIP",  IF(AND(I599&lt;=60, D599&gt;=5, E599&gt;=100), "Loyal", IF(AND(I599&lt;=90, D599&gt;=3), "Regular", IF(I599&lt;=30, "Recent", IF(D599&gt;=3, "Occasional", "At Risk")))))</f>
        <v>Occasional</v>
      </c>
      <c r="K599" t="str">
        <f t="array" ref="K599">IF(OR(J599="VIP", J599="Loyal"), "HIGH",IF(OR(J599="Regular", J599="Recent"), "MEDIUM","LOW"))</f>
        <v>LOW</v>
      </c>
    </row>
    <row r="600" spans="1:11">
      <c r="A600" t="s">
        <v>613</v>
      </c>
      <c r="B600" s="14">
        <f>_xlfn.MINIFS('working sheet'!$B$2:$B$3548, 'working sheet'!$D$2:$D$3548, A600)</f>
        <v>45544.327240324077</v>
      </c>
      <c r="C600" s="17">
        <f>_xlfn.MAXIFS('working sheet'!$B$1:$B$3548,'working sheet'!$D$1:$D$3548,'Customer Portfolio'!A600)</f>
        <v>45544.330110925926</v>
      </c>
      <c r="D600">
        <f>COUNTIFS('working sheet'!$D$1:$D$3548,'Customer Portfolio'!A600)</f>
        <v>2</v>
      </c>
      <c r="E600" s="5">
        <f>SUMIFS('working sheet'!$E$2:$E$3548,'working sheet'!$D$2:$D$3548,'Customer Portfolio'!A600)</f>
        <v>60.74</v>
      </c>
      <c r="F600" s="6">
        <f t="shared" si="18"/>
        <v>30.37</v>
      </c>
      <c r="G600" t="str">
        <f t="array" ref="G600">IFERROR(INDEX('working sheet'!$F$2:$F$3548, MODE(IF('working sheet'!$D$2:$D$3548=A600, MATCH('working sheet'!$F$2:$F$3548, 'working sheet'!$F$2:$F$3548, 0)))),
         INDEX('working sheet'!$F$2:$F$3548, MATCH(A600, 'working sheet'!$D$2:$D$3548, 0)))</f>
        <v>Latte</v>
      </c>
      <c r="H600" s="7">
        <f t="shared" si="19"/>
        <v>1.0028706018492812</v>
      </c>
      <c r="I600" s="7">
        <f>MAX('working sheet'!$B$2:$B$3548)-C600</f>
        <v>195.4279751273134</v>
      </c>
      <c r="J600" s="4" t="str">
        <f t="array" ref="J600">IF(AND(I600&lt;=30, D600&gt;=10, E600&gt;=200), "VIP",  IF(AND(I600&lt;=60, D600&gt;=5, E600&gt;=100), "Loyal", IF(AND(I600&lt;=90, D600&gt;=3), "Regular", IF(I600&lt;=30, "Recent", IF(D600&gt;=3, "Occasional", "At Risk")))))</f>
        <v>At Risk</v>
      </c>
      <c r="K600" t="str">
        <f t="array" ref="K600">IF(OR(J600="VIP", J600="Loyal"), "HIGH",IF(OR(J600="Regular", J600="Recent"), "MEDIUM","LOW"))</f>
        <v>LOW</v>
      </c>
    </row>
    <row r="601" spans="1:11">
      <c r="A601" t="s">
        <v>614</v>
      </c>
      <c r="B601" s="14">
        <f>_xlfn.MINIFS('working sheet'!$B$2:$B$3548, 'working sheet'!$D$2:$D$3548, A601)</f>
        <v>45544.466390300928</v>
      </c>
      <c r="C601" s="17">
        <f>_xlfn.MAXIFS('working sheet'!$B$1:$B$3548,'working sheet'!$D$1:$D$3548,'Customer Portfolio'!A601)</f>
        <v>45544.466390300928</v>
      </c>
      <c r="D601">
        <f>COUNTIFS('working sheet'!$D$1:$D$3548,'Customer Portfolio'!A601)</f>
        <v>1</v>
      </c>
      <c r="E601" s="5">
        <f>SUMIFS('working sheet'!$E$2:$E$3548,'working sheet'!$D$2:$D$3548,'Customer Portfolio'!A601)</f>
        <v>27.92</v>
      </c>
      <c r="F601" s="6">
        <f t="shared" si="18"/>
        <v>27.92</v>
      </c>
      <c r="G601" t="str">
        <f t="array" ref="G601">IFERROR(INDEX('working sheet'!$F$2:$F$3548, MODE(IF('working sheet'!$D$2:$D$3548=A601, MATCH('working sheet'!$F$2:$F$3548, 'working sheet'!$F$2:$F$3548, 0)))),
         INDEX('working sheet'!$F$2:$F$3548, MATCH(A601, 'working sheet'!$D$2:$D$3548, 0)))</f>
        <v>Americano with Milk</v>
      </c>
      <c r="H601" s="7">
        <f t="shared" si="19"/>
        <v>1</v>
      </c>
      <c r="I601" s="7">
        <f>MAX('working sheet'!$B$2:$B$3548)-C601</f>
        <v>195.29169575231208</v>
      </c>
      <c r="J601" s="4" t="str">
        <f t="array" ref="J601">IF(AND(I601&lt;=30, D601&gt;=10, E601&gt;=200), "VIP",  IF(AND(I601&lt;=60, D601&gt;=5, E601&gt;=100), "Loyal", IF(AND(I601&lt;=90, D601&gt;=3), "Regular", IF(I601&lt;=30, "Recent", IF(D601&gt;=3, "Occasional", "At Risk")))))</f>
        <v>At Risk</v>
      </c>
      <c r="K601" t="str">
        <f t="array" ref="K601">IF(OR(J601="VIP", J601="Loyal"), "HIGH",IF(OR(J601="Regular", J601="Recent"), "MEDIUM","LOW"))</f>
        <v>LOW</v>
      </c>
    </row>
    <row r="602" spans="1:11">
      <c r="A602" t="s">
        <v>615</v>
      </c>
      <c r="B602" s="14">
        <f>_xlfn.MINIFS('working sheet'!$B$2:$B$3548, 'working sheet'!$D$2:$D$3548, A602)</f>
        <v>45544.46725277778</v>
      </c>
      <c r="C602" s="17">
        <f>_xlfn.MAXIFS('working sheet'!$B$1:$B$3548,'working sheet'!$D$1:$D$3548,'Customer Portfolio'!A602)</f>
        <v>45544.46725277778</v>
      </c>
      <c r="D602">
        <f>COUNTIFS('working sheet'!$D$1:$D$3548,'Customer Portfolio'!A602)</f>
        <v>1</v>
      </c>
      <c r="E602" s="5">
        <f>SUMIFS('working sheet'!$E$2:$E$3548,'working sheet'!$D$2:$D$3548,'Customer Portfolio'!A602)</f>
        <v>27.92</v>
      </c>
      <c r="F602" s="6">
        <f t="shared" si="18"/>
        <v>27.92</v>
      </c>
      <c r="G602" t="str">
        <f t="array" ref="G602">IFERROR(INDEX('working sheet'!$F$2:$F$3548, MODE(IF('working sheet'!$D$2:$D$3548=A602, MATCH('working sheet'!$F$2:$F$3548, 'working sheet'!$F$2:$F$3548, 0)))),
         INDEX('working sheet'!$F$2:$F$3548, MATCH(A602, 'working sheet'!$D$2:$D$3548, 0)))</f>
        <v>Americano with Milk</v>
      </c>
      <c r="H602" s="7">
        <f t="shared" si="19"/>
        <v>1</v>
      </c>
      <c r="I602" s="7">
        <f>MAX('working sheet'!$B$2:$B$3548)-C602</f>
        <v>195.29083327545959</v>
      </c>
      <c r="J602" s="4" t="str">
        <f t="array" ref="J602">IF(AND(I602&lt;=30, D602&gt;=10, E602&gt;=200), "VIP",  IF(AND(I602&lt;=60, D602&gt;=5, E602&gt;=100), "Loyal", IF(AND(I602&lt;=90, D602&gt;=3), "Regular", IF(I602&lt;=30, "Recent", IF(D602&gt;=3, "Occasional", "At Risk")))))</f>
        <v>At Risk</v>
      </c>
      <c r="K602" t="str">
        <f t="array" ref="K602">IF(OR(J602="VIP", J602="Loyal"), "HIGH",IF(OR(J602="Regular", J602="Recent"), "MEDIUM","LOW"))</f>
        <v>LOW</v>
      </c>
    </row>
    <row r="603" spans="1:11">
      <c r="A603" t="s">
        <v>616</v>
      </c>
      <c r="B603" s="14">
        <f>_xlfn.MINIFS('working sheet'!$B$2:$B$3548, 'working sheet'!$D$2:$D$3548, A603)</f>
        <v>45544.479042164348</v>
      </c>
      <c r="C603" s="17">
        <f>_xlfn.MAXIFS('working sheet'!$B$1:$B$3548,'working sheet'!$D$1:$D$3548,'Customer Portfolio'!A603)</f>
        <v>45564.537678067129</v>
      </c>
      <c r="D603">
        <f>COUNTIFS('working sheet'!$D$1:$D$3548,'Customer Portfolio'!A603)</f>
        <v>4</v>
      </c>
      <c r="E603" s="5">
        <f>SUMIFS('working sheet'!$E$2:$E$3548,'working sheet'!$D$2:$D$3548,'Customer Portfolio'!A603)</f>
        <v>134.22</v>
      </c>
      <c r="F603" s="6">
        <f t="shared" si="18"/>
        <v>33.555</v>
      </c>
      <c r="G603" t="str">
        <f t="array" ref="G603">IFERROR(INDEX('working sheet'!$F$2:$F$3548, MODE(IF('working sheet'!$D$2:$D$3548=A603, MATCH('working sheet'!$F$2:$F$3548, 'working sheet'!$F$2:$F$3548, 0)))),
         INDEX('working sheet'!$F$2:$F$3548, MATCH(A603, 'working sheet'!$D$2:$D$3548, 0)))</f>
        <v>Latte</v>
      </c>
      <c r="H603" s="7">
        <f t="shared" si="19"/>
        <v>21.058635902780225</v>
      </c>
      <c r="I603" s="7">
        <f>MAX('working sheet'!$B$2:$B$3548)-C603</f>
        <v>175.22040798611124</v>
      </c>
      <c r="J603" s="4" t="str">
        <f t="array" ref="J603">IF(AND(I603&lt;=30, D603&gt;=10, E603&gt;=200), "VIP",  IF(AND(I603&lt;=60, D603&gt;=5, E603&gt;=100), "Loyal", IF(AND(I603&lt;=90, D603&gt;=3), "Regular", IF(I603&lt;=30, "Recent", IF(D603&gt;=3, "Occasional", "At Risk")))))</f>
        <v>Occasional</v>
      </c>
      <c r="K603" t="str">
        <f t="array" ref="K603">IF(OR(J603="VIP", J603="Loyal"), "HIGH",IF(OR(J603="Regular", J603="Recent"), "MEDIUM","LOW"))</f>
        <v>LOW</v>
      </c>
    </row>
    <row r="604" spans="1:11">
      <c r="A604" t="s">
        <v>617</v>
      </c>
      <c r="B604" s="14">
        <f>_xlfn.MINIFS('working sheet'!$B$2:$B$3548, 'working sheet'!$D$2:$D$3548, A604)</f>
        <v>45544.504857141204</v>
      </c>
      <c r="C604" s="17">
        <f>_xlfn.MAXIFS('working sheet'!$B$1:$B$3548,'working sheet'!$D$1:$D$3548,'Customer Portfolio'!A604)</f>
        <v>45544.504857141204</v>
      </c>
      <c r="D604">
        <f>COUNTIFS('working sheet'!$D$1:$D$3548,'Customer Portfolio'!A604)</f>
        <v>1</v>
      </c>
      <c r="E604" s="5">
        <f>SUMIFS('working sheet'!$E$2:$E$3548,'working sheet'!$D$2:$D$3548,'Customer Portfolio'!A604)</f>
        <v>18.12</v>
      </c>
      <c r="F604" s="6">
        <f t="shared" si="18"/>
        <v>18.12</v>
      </c>
      <c r="G604" t="str">
        <f t="array" ref="G604">IFERROR(INDEX('working sheet'!$F$2:$F$3548, MODE(IF('working sheet'!$D$2:$D$3548=A604, MATCH('working sheet'!$F$2:$F$3548, 'working sheet'!$F$2:$F$3548, 0)))),
         INDEX('working sheet'!$F$2:$F$3548, MATCH(A604, 'working sheet'!$D$2:$D$3548, 0)))</f>
        <v>Espresso</v>
      </c>
      <c r="H604" s="7">
        <f t="shared" si="19"/>
        <v>1</v>
      </c>
      <c r="I604" s="7">
        <f>MAX('working sheet'!$B$2:$B$3548)-C604</f>
        <v>195.25322891203541</v>
      </c>
      <c r="J604" s="4" t="str">
        <f t="array" ref="J604">IF(AND(I604&lt;=30, D604&gt;=10, E604&gt;=200), "VIP",  IF(AND(I604&lt;=60, D604&gt;=5, E604&gt;=100), "Loyal", IF(AND(I604&lt;=90, D604&gt;=3), "Regular", IF(I604&lt;=30, "Recent", IF(D604&gt;=3, "Occasional", "At Risk")))))</f>
        <v>At Risk</v>
      </c>
      <c r="K604" t="str">
        <f t="array" ref="K604">IF(OR(J604="VIP", J604="Loyal"), "HIGH",IF(OR(J604="Regular", J604="Recent"), "MEDIUM","LOW"))</f>
        <v>LOW</v>
      </c>
    </row>
    <row r="605" spans="1:11">
      <c r="A605" t="s">
        <v>618</v>
      </c>
      <c r="B605" s="14">
        <f>_xlfn.MINIFS('working sheet'!$B$2:$B$3548, 'working sheet'!$D$2:$D$3548, A605)</f>
        <v>45544.63349266204</v>
      </c>
      <c r="C605" s="17">
        <f>_xlfn.MAXIFS('working sheet'!$B$1:$B$3548,'working sheet'!$D$1:$D$3548,'Customer Portfolio'!A605)</f>
        <v>45544.634311539354</v>
      </c>
      <c r="D605">
        <f>COUNTIFS('working sheet'!$D$1:$D$3548,'Customer Portfolio'!A605)</f>
        <v>2</v>
      </c>
      <c r="E605" s="5">
        <f>SUMIFS('working sheet'!$E$2:$E$3548,'working sheet'!$D$2:$D$3548,'Customer Portfolio'!A605)</f>
        <v>55.84</v>
      </c>
      <c r="F605" s="6">
        <f t="shared" si="18"/>
        <v>27.92</v>
      </c>
      <c r="G605" t="str">
        <f t="array" ref="G605">IFERROR(INDEX('working sheet'!$F$2:$F$3548, MODE(IF('working sheet'!$D$2:$D$3548=A605, MATCH('working sheet'!$F$2:$F$3548, 'working sheet'!$F$2:$F$3548, 0)))),
         INDEX('working sheet'!$F$2:$F$3548, MATCH(A605, 'working sheet'!$D$2:$D$3548, 0)))</f>
        <v>Latte</v>
      </c>
      <c r="H605" s="7">
        <f t="shared" si="19"/>
        <v>1.0008188773135771</v>
      </c>
      <c r="I605" s="7">
        <f>MAX('working sheet'!$B$2:$B$3548)-C605</f>
        <v>195.12377451388602</v>
      </c>
      <c r="J605" s="4" t="str">
        <f t="array" ref="J605">IF(AND(I605&lt;=30, D605&gt;=10, E605&gt;=200), "VIP",  IF(AND(I605&lt;=60, D605&gt;=5, E605&gt;=100), "Loyal", IF(AND(I605&lt;=90, D605&gt;=3), "Regular", IF(I605&lt;=30, "Recent", IF(D605&gt;=3, "Occasional", "At Risk")))))</f>
        <v>At Risk</v>
      </c>
      <c r="K605" t="str">
        <f t="array" ref="K605">IF(OR(J605="VIP", J605="Loyal"), "HIGH",IF(OR(J605="Regular", J605="Recent"), "MEDIUM","LOW"))</f>
        <v>LOW</v>
      </c>
    </row>
    <row r="606" spans="1:11">
      <c r="A606" t="s">
        <v>619</v>
      </c>
      <c r="B606" s="14">
        <f>_xlfn.MINIFS('working sheet'!$B$2:$B$3548, 'working sheet'!$D$2:$D$3548, A606)</f>
        <v>45544.72512023148</v>
      </c>
      <c r="C606" s="17">
        <f>_xlfn.MAXIFS('working sheet'!$B$1:$B$3548,'working sheet'!$D$1:$D$3548,'Customer Portfolio'!A606)</f>
        <v>45544.72512023148</v>
      </c>
      <c r="D606">
        <f>COUNTIFS('working sheet'!$D$1:$D$3548,'Customer Portfolio'!A606)</f>
        <v>1</v>
      </c>
      <c r="E606" s="5">
        <f>SUMIFS('working sheet'!$E$2:$E$3548,'working sheet'!$D$2:$D$3548,'Customer Portfolio'!A606)</f>
        <v>32.82</v>
      </c>
      <c r="F606" s="6">
        <f t="shared" si="18"/>
        <v>32.82</v>
      </c>
      <c r="G606" t="str">
        <f t="array" ref="G606">IFERROR(INDEX('working sheet'!$F$2:$F$3548, MODE(IF('working sheet'!$D$2:$D$3548=A606, MATCH('working sheet'!$F$2:$F$3548, 'working sheet'!$F$2:$F$3548, 0)))),
         INDEX('working sheet'!$F$2:$F$3548, MATCH(A606, 'working sheet'!$D$2:$D$3548, 0)))</f>
        <v>Latte</v>
      </c>
      <c r="H606" s="7">
        <f t="shared" si="19"/>
        <v>1</v>
      </c>
      <c r="I606" s="7">
        <f>MAX('working sheet'!$B$2:$B$3548)-C606</f>
        <v>195.03296582175972</v>
      </c>
      <c r="J606" s="4" t="str">
        <f t="array" ref="J606">IF(AND(I606&lt;=30, D606&gt;=10, E606&gt;=200), "VIP",  IF(AND(I606&lt;=60, D606&gt;=5, E606&gt;=100), "Loyal", IF(AND(I606&lt;=90, D606&gt;=3), "Regular", IF(I606&lt;=30, "Recent", IF(D606&gt;=3, "Occasional", "At Risk")))))</f>
        <v>At Risk</v>
      </c>
      <c r="K606" t="str">
        <f t="array" ref="K606">IF(OR(J606="VIP", J606="Loyal"), "HIGH",IF(OR(J606="Regular", J606="Recent"), "MEDIUM","LOW"))</f>
        <v>LOW</v>
      </c>
    </row>
    <row r="607" spans="1:11">
      <c r="A607" t="s">
        <v>620</v>
      </c>
      <c r="B607" s="14">
        <f>_xlfn.MINIFS('working sheet'!$B$2:$B$3548, 'working sheet'!$D$2:$D$3548, A607)</f>
        <v>45544.842864861108</v>
      </c>
      <c r="C607" s="17">
        <f>_xlfn.MAXIFS('working sheet'!$B$1:$B$3548,'working sheet'!$D$1:$D$3548,'Customer Portfolio'!A607)</f>
        <v>45544.842864861108</v>
      </c>
      <c r="D607">
        <f>COUNTIFS('working sheet'!$D$1:$D$3548,'Customer Portfolio'!A607)</f>
        <v>1</v>
      </c>
      <c r="E607" s="5">
        <f>SUMIFS('working sheet'!$E$2:$E$3548,'working sheet'!$D$2:$D$3548,'Customer Portfolio'!A607)</f>
        <v>32.82</v>
      </c>
      <c r="F607" s="6">
        <f t="shared" si="18"/>
        <v>32.82</v>
      </c>
      <c r="G607" t="str">
        <f t="array" ref="G607">IFERROR(INDEX('working sheet'!$F$2:$F$3548, MODE(IF('working sheet'!$D$2:$D$3548=A607, MATCH('working sheet'!$F$2:$F$3548, 'working sheet'!$F$2:$F$3548, 0)))),
         INDEX('working sheet'!$F$2:$F$3548, MATCH(A607, 'working sheet'!$D$2:$D$3548, 0)))</f>
        <v>Latte</v>
      </c>
      <c r="H607" s="7">
        <f t="shared" si="19"/>
        <v>1</v>
      </c>
      <c r="I607" s="7">
        <f>MAX('working sheet'!$B$2:$B$3548)-C607</f>
        <v>194.91522119213187</v>
      </c>
      <c r="J607" s="4" t="str">
        <f t="array" ref="J607">IF(AND(I607&lt;=30, D607&gt;=10, E607&gt;=200), "VIP",  IF(AND(I607&lt;=60, D607&gt;=5, E607&gt;=100), "Loyal", IF(AND(I607&lt;=90, D607&gt;=3), "Regular", IF(I607&lt;=30, "Recent", IF(D607&gt;=3, "Occasional", "At Risk")))))</f>
        <v>At Risk</v>
      </c>
      <c r="K607" t="str">
        <f t="array" ref="K607">IF(OR(J607="VIP", J607="Loyal"), "HIGH",IF(OR(J607="Regular", J607="Recent"), "MEDIUM","LOW"))</f>
        <v>LOW</v>
      </c>
    </row>
    <row r="608" spans="1:11">
      <c r="A608" t="s">
        <v>621</v>
      </c>
      <c r="B608" s="14">
        <f>_xlfn.MINIFS('working sheet'!$B$2:$B$3548, 'working sheet'!$D$2:$D$3548, A608)</f>
        <v>45545.341695023148</v>
      </c>
      <c r="C608" s="17">
        <f>_xlfn.MAXIFS('working sheet'!$B$1:$B$3548,'working sheet'!$D$1:$D$3548,'Customer Portfolio'!A608)</f>
        <v>45545.341695023148</v>
      </c>
      <c r="D608">
        <f>COUNTIFS('working sheet'!$D$1:$D$3548,'Customer Portfolio'!A608)</f>
        <v>1</v>
      </c>
      <c r="E608" s="5">
        <f>SUMIFS('working sheet'!$E$2:$E$3548,'working sheet'!$D$2:$D$3548,'Customer Portfolio'!A608)</f>
        <v>32.82</v>
      </c>
      <c r="F608" s="6">
        <f t="shared" si="18"/>
        <v>32.82</v>
      </c>
      <c r="G608" t="str">
        <f t="array" ref="G608">IFERROR(INDEX('working sheet'!$F$2:$F$3548, MODE(IF('working sheet'!$D$2:$D$3548=A608, MATCH('working sheet'!$F$2:$F$3548, 'working sheet'!$F$2:$F$3548, 0)))),
         INDEX('working sheet'!$F$2:$F$3548, MATCH(A608, 'working sheet'!$D$2:$D$3548, 0)))</f>
        <v>Hot Chocolate</v>
      </c>
      <c r="H608" s="7">
        <f t="shared" si="19"/>
        <v>1</v>
      </c>
      <c r="I608" s="7">
        <f>MAX('working sheet'!$B$2:$B$3548)-C608</f>
        <v>194.4163910300922</v>
      </c>
      <c r="J608" s="4" t="str">
        <f t="array" ref="J608">IF(AND(I608&lt;=30, D608&gt;=10, E608&gt;=200), "VIP",  IF(AND(I608&lt;=60, D608&gt;=5, E608&gt;=100), "Loyal", IF(AND(I608&lt;=90, D608&gt;=3), "Regular", IF(I608&lt;=30, "Recent", IF(D608&gt;=3, "Occasional", "At Risk")))))</f>
        <v>At Risk</v>
      </c>
      <c r="K608" t="str">
        <f t="array" ref="K608">IF(OR(J608="VIP", J608="Loyal"), "HIGH",IF(OR(J608="Regular", J608="Recent"), "MEDIUM","LOW"))</f>
        <v>LOW</v>
      </c>
    </row>
    <row r="609" spans="1:11">
      <c r="A609" t="s">
        <v>622</v>
      </c>
      <c r="B609" s="14">
        <f>_xlfn.MINIFS('working sheet'!$B$2:$B$3548, 'working sheet'!$D$2:$D$3548, A609)</f>
        <v>45545.397763726854</v>
      </c>
      <c r="C609" s="17">
        <f>_xlfn.MAXIFS('working sheet'!$B$1:$B$3548,'working sheet'!$D$1:$D$3548,'Customer Portfolio'!A609)</f>
        <v>45545.397763726854</v>
      </c>
      <c r="D609">
        <f>COUNTIFS('working sheet'!$D$1:$D$3548,'Customer Portfolio'!A609)</f>
        <v>1</v>
      </c>
      <c r="E609" s="5">
        <f>SUMIFS('working sheet'!$E$2:$E$3548,'working sheet'!$D$2:$D$3548,'Customer Portfolio'!A609)</f>
        <v>32.82</v>
      </c>
      <c r="F609" s="6">
        <f t="shared" si="18"/>
        <v>32.82</v>
      </c>
      <c r="G609" t="str">
        <f t="array" ref="G609">IFERROR(INDEX('working sheet'!$F$2:$F$3548, MODE(IF('working sheet'!$D$2:$D$3548=A609, MATCH('working sheet'!$F$2:$F$3548, 'working sheet'!$F$2:$F$3548, 0)))),
         INDEX('working sheet'!$F$2:$F$3548, MATCH(A609, 'working sheet'!$D$2:$D$3548, 0)))</f>
        <v>Cappuccino</v>
      </c>
      <c r="H609" s="7">
        <f t="shared" si="19"/>
        <v>1</v>
      </c>
      <c r="I609" s="7">
        <f>MAX('working sheet'!$B$2:$B$3548)-C609</f>
        <v>194.36032232638536</v>
      </c>
      <c r="J609" s="4" t="str">
        <f t="array" ref="J609">IF(AND(I609&lt;=30, D609&gt;=10, E609&gt;=200), "VIP",  IF(AND(I609&lt;=60, D609&gt;=5, E609&gt;=100), "Loyal", IF(AND(I609&lt;=90, D609&gt;=3), "Regular", IF(I609&lt;=30, "Recent", IF(D609&gt;=3, "Occasional", "At Risk")))))</f>
        <v>At Risk</v>
      </c>
      <c r="K609" t="str">
        <f t="array" ref="K609">IF(OR(J609="VIP", J609="Loyal"), "HIGH",IF(OR(J609="Regular", J609="Recent"), "MEDIUM","LOW"))</f>
        <v>LOW</v>
      </c>
    </row>
    <row r="610" spans="1:11">
      <c r="A610" t="s">
        <v>623</v>
      </c>
      <c r="B610" s="14">
        <f>_xlfn.MINIFS('working sheet'!$B$2:$B$3548, 'working sheet'!$D$2:$D$3548, A610)</f>
        <v>45545.780344444443</v>
      </c>
      <c r="C610" s="17">
        <f>_xlfn.MAXIFS('working sheet'!$B$1:$B$3548,'working sheet'!$D$1:$D$3548,'Customer Portfolio'!A610)</f>
        <v>45545.780344444443</v>
      </c>
      <c r="D610">
        <f>COUNTIFS('working sheet'!$D$1:$D$3548,'Customer Portfolio'!A610)</f>
        <v>1</v>
      </c>
      <c r="E610" s="5">
        <f>SUMIFS('working sheet'!$E$2:$E$3548,'working sheet'!$D$2:$D$3548,'Customer Portfolio'!A610)</f>
        <v>32.82</v>
      </c>
      <c r="F610" s="6">
        <f t="shared" si="18"/>
        <v>32.82</v>
      </c>
      <c r="G610" t="str">
        <f t="array" ref="G610">IFERROR(INDEX('working sheet'!$F$2:$F$3548, MODE(IF('working sheet'!$D$2:$D$3548=A610, MATCH('working sheet'!$F$2:$F$3548, 'working sheet'!$F$2:$F$3548, 0)))),
         INDEX('working sheet'!$F$2:$F$3548, MATCH(A610, 'working sheet'!$D$2:$D$3548, 0)))</f>
        <v>Cappuccino</v>
      </c>
      <c r="H610" s="7">
        <f t="shared" si="19"/>
        <v>1</v>
      </c>
      <c r="I610" s="7">
        <f>MAX('working sheet'!$B$2:$B$3548)-C610</f>
        <v>193.97774160879635</v>
      </c>
      <c r="J610" s="4" t="str">
        <f t="array" ref="J610">IF(AND(I610&lt;=30, D610&gt;=10, E610&gt;=200), "VIP",  IF(AND(I610&lt;=60, D610&gt;=5, E610&gt;=100), "Loyal", IF(AND(I610&lt;=90, D610&gt;=3), "Regular", IF(I610&lt;=30, "Recent", IF(D610&gt;=3, "Occasional", "At Risk")))))</f>
        <v>At Risk</v>
      </c>
      <c r="K610" t="str">
        <f t="array" ref="K610">IF(OR(J610="VIP", J610="Loyal"), "HIGH",IF(OR(J610="Regular", J610="Recent"), "MEDIUM","LOW"))</f>
        <v>LOW</v>
      </c>
    </row>
    <row r="611" spans="1:11">
      <c r="A611" t="s">
        <v>624</v>
      </c>
      <c r="B611" s="14">
        <f>_xlfn.MINIFS('working sheet'!$B$2:$B$3548, 'working sheet'!$D$2:$D$3548, A611)</f>
        <v>45545.781511851848</v>
      </c>
      <c r="C611" s="17">
        <f>_xlfn.MAXIFS('working sheet'!$B$1:$B$3548,'working sheet'!$D$1:$D$3548,'Customer Portfolio'!A611)</f>
        <v>45545.781511851848</v>
      </c>
      <c r="D611">
        <f>COUNTIFS('working sheet'!$D$1:$D$3548,'Customer Portfolio'!A611)</f>
        <v>1</v>
      </c>
      <c r="E611" s="5">
        <f>SUMIFS('working sheet'!$E$2:$E$3548,'working sheet'!$D$2:$D$3548,'Customer Portfolio'!A611)</f>
        <v>27.92</v>
      </c>
      <c r="F611" s="6">
        <f t="shared" si="18"/>
        <v>27.92</v>
      </c>
      <c r="G611" t="str">
        <f t="array" ref="G611">IFERROR(INDEX('working sheet'!$F$2:$F$3548, MODE(IF('working sheet'!$D$2:$D$3548=A611, MATCH('working sheet'!$F$2:$F$3548, 'working sheet'!$F$2:$F$3548, 0)))),
         INDEX('working sheet'!$F$2:$F$3548, MATCH(A611, 'working sheet'!$D$2:$D$3548, 0)))</f>
        <v>Americano with Milk</v>
      </c>
      <c r="H611" s="7">
        <f t="shared" si="19"/>
        <v>1</v>
      </c>
      <c r="I611" s="7">
        <f>MAX('working sheet'!$B$2:$B$3548)-C611</f>
        <v>193.97657420139149</v>
      </c>
      <c r="J611" s="4" t="str">
        <f t="array" ref="J611">IF(AND(I611&lt;=30, D611&gt;=10, E611&gt;=200), "VIP",  IF(AND(I611&lt;=60, D611&gt;=5, E611&gt;=100), "Loyal", IF(AND(I611&lt;=90, D611&gt;=3), "Regular", IF(I611&lt;=30, "Recent", IF(D611&gt;=3, "Occasional", "At Risk")))))</f>
        <v>At Risk</v>
      </c>
      <c r="K611" t="str">
        <f t="array" ref="K611">IF(OR(J611="VIP", J611="Loyal"), "HIGH",IF(OR(J611="Regular", J611="Recent"), "MEDIUM","LOW"))</f>
        <v>LOW</v>
      </c>
    </row>
    <row r="612" spans="1:11">
      <c r="A612" t="s">
        <v>625</v>
      </c>
      <c r="B612" s="14">
        <f>_xlfn.MINIFS('working sheet'!$B$2:$B$3548, 'working sheet'!$D$2:$D$3548, A612)</f>
        <v>45545.793553553238</v>
      </c>
      <c r="C612" s="17">
        <f>_xlfn.MAXIFS('working sheet'!$B$1:$B$3548,'working sheet'!$D$1:$D$3548,'Customer Portfolio'!A612)</f>
        <v>45545.794366400463</v>
      </c>
      <c r="D612">
        <f>COUNTIFS('working sheet'!$D$1:$D$3548,'Customer Portfolio'!A612)</f>
        <v>2</v>
      </c>
      <c r="E612" s="5">
        <f>SUMIFS('working sheet'!$E$2:$E$3548,'working sheet'!$D$2:$D$3548,'Customer Portfolio'!A612)</f>
        <v>65.64</v>
      </c>
      <c r="F612" s="6">
        <f t="shared" si="18"/>
        <v>32.82</v>
      </c>
      <c r="G612" t="str">
        <f t="array" ref="G612">IFERROR(INDEX('working sheet'!$F$2:$F$3548, MODE(IF('working sheet'!$D$2:$D$3548=A612, MATCH('working sheet'!$F$2:$F$3548, 'working sheet'!$F$2:$F$3548, 0)))),
         INDEX('working sheet'!$F$2:$F$3548, MATCH(A612, 'working sheet'!$D$2:$D$3548, 0)))</f>
        <v>Latte</v>
      </c>
      <c r="H612" s="7">
        <f t="shared" si="19"/>
        <v>1.0008128472254612</v>
      </c>
      <c r="I612" s="7">
        <f>MAX('working sheet'!$B$2:$B$3548)-C612</f>
        <v>193.96371965277649</v>
      </c>
      <c r="J612" s="4" t="str">
        <f t="array" ref="J612">IF(AND(I612&lt;=30, D612&gt;=10, E612&gt;=200), "VIP",  IF(AND(I612&lt;=60, D612&gt;=5, E612&gt;=100), "Loyal", IF(AND(I612&lt;=90, D612&gt;=3), "Regular", IF(I612&lt;=30, "Recent", IF(D612&gt;=3, "Occasional", "At Risk")))))</f>
        <v>At Risk</v>
      </c>
      <c r="K612" t="str">
        <f t="array" ref="K612">IF(OR(J612="VIP", J612="Loyal"), "HIGH",IF(OR(J612="Regular", J612="Recent"), "MEDIUM","LOW"))</f>
        <v>LOW</v>
      </c>
    </row>
    <row r="613" spans="1:11">
      <c r="A613" t="s">
        <v>626</v>
      </c>
      <c r="B613" s="14">
        <f>_xlfn.MINIFS('working sheet'!$B$2:$B$3548, 'working sheet'!$D$2:$D$3548, A613)</f>
        <v>45546.366230381944</v>
      </c>
      <c r="C613" s="17">
        <f>_xlfn.MAXIFS('working sheet'!$B$1:$B$3548,'working sheet'!$D$1:$D$3548,'Customer Portfolio'!A613)</f>
        <v>45640.673958136576</v>
      </c>
      <c r="D613">
        <f>COUNTIFS('working sheet'!$D$1:$D$3548,'Customer Portfolio'!A613)</f>
        <v>3</v>
      </c>
      <c r="E613" s="5">
        <f>SUMIFS('working sheet'!$E$2:$E$3548,'working sheet'!$D$2:$D$3548,'Customer Portfolio'!A613)</f>
        <v>104.34</v>
      </c>
      <c r="F613" s="6">
        <f t="shared" si="18"/>
        <v>34.78</v>
      </c>
      <c r="G613" t="str">
        <f t="array" ref="G613">IFERROR(INDEX('working sheet'!$F$2:$F$3548, MODE(IF('working sheet'!$D$2:$D$3548=A613, MATCH('working sheet'!$F$2:$F$3548, 'working sheet'!$F$2:$F$3548, 0)))),
         INDEX('working sheet'!$F$2:$F$3548, MATCH(A613, 'working sheet'!$D$2:$D$3548, 0)))</f>
        <v>Latte</v>
      </c>
      <c r="H613" s="7">
        <f t="shared" si="19"/>
        <v>95.307727754632651</v>
      </c>
      <c r="I613" s="7">
        <f>MAX('working sheet'!$B$2:$B$3548)-C613</f>
        <v>99.084127916663419</v>
      </c>
      <c r="J613" s="4" t="str">
        <f t="array" ref="J613">IF(AND(I613&lt;=30, D613&gt;=10, E613&gt;=200), "VIP",  IF(AND(I613&lt;=60, D613&gt;=5, E613&gt;=100), "Loyal", IF(AND(I613&lt;=90, D613&gt;=3), "Regular", IF(I613&lt;=30, "Recent", IF(D613&gt;=3, "Occasional", "At Risk")))))</f>
        <v>Occasional</v>
      </c>
      <c r="K613" t="str">
        <f t="array" ref="K613">IF(OR(J613="VIP", J613="Loyal"), "HIGH",IF(OR(J613="Regular", J613="Recent"), "MEDIUM","LOW"))</f>
        <v>LOW</v>
      </c>
    </row>
    <row r="614" spans="1:11">
      <c r="A614" t="s">
        <v>627</v>
      </c>
      <c r="B614" s="14">
        <f>_xlfn.MINIFS('working sheet'!$B$2:$B$3548, 'working sheet'!$D$2:$D$3548, A614)</f>
        <v>45546.452883993057</v>
      </c>
      <c r="C614" s="17">
        <f>_xlfn.MAXIFS('working sheet'!$B$1:$B$3548,'working sheet'!$D$1:$D$3548,'Customer Portfolio'!A614)</f>
        <v>45546.452883993057</v>
      </c>
      <c r="D614">
        <f>COUNTIFS('working sheet'!$D$1:$D$3548,'Customer Portfolio'!A614)</f>
        <v>1</v>
      </c>
      <c r="E614" s="5">
        <f>SUMIFS('working sheet'!$E$2:$E$3548,'working sheet'!$D$2:$D$3548,'Customer Portfolio'!A614)</f>
        <v>32.82</v>
      </c>
      <c r="F614" s="6">
        <f t="shared" si="18"/>
        <v>32.82</v>
      </c>
      <c r="G614" t="str">
        <f t="array" ref="G614">IFERROR(INDEX('working sheet'!$F$2:$F$3548, MODE(IF('working sheet'!$D$2:$D$3548=A614, MATCH('working sheet'!$F$2:$F$3548, 'working sheet'!$F$2:$F$3548, 0)))),
         INDEX('working sheet'!$F$2:$F$3548, MATCH(A614, 'working sheet'!$D$2:$D$3548, 0)))</f>
        <v>Latte</v>
      </c>
      <c r="H614" s="7">
        <f t="shared" si="19"/>
        <v>1</v>
      </c>
      <c r="I614" s="7">
        <f>MAX('working sheet'!$B$2:$B$3548)-C614</f>
        <v>193.30520206018264</v>
      </c>
      <c r="J614" s="4" t="str">
        <f t="array" ref="J614">IF(AND(I614&lt;=30, D614&gt;=10, E614&gt;=200), "VIP",  IF(AND(I614&lt;=60, D614&gt;=5, E614&gt;=100), "Loyal", IF(AND(I614&lt;=90, D614&gt;=3), "Regular", IF(I614&lt;=30, "Recent", IF(D614&gt;=3, "Occasional", "At Risk")))))</f>
        <v>At Risk</v>
      </c>
      <c r="K614" t="str">
        <f t="array" ref="K614">IF(OR(J614="VIP", J614="Loyal"), "HIGH",IF(OR(J614="Regular", J614="Recent"), "MEDIUM","LOW"))</f>
        <v>LOW</v>
      </c>
    </row>
    <row r="615" spans="1:11">
      <c r="A615" t="s">
        <v>628</v>
      </c>
      <c r="B615" s="14">
        <f>_xlfn.MINIFS('working sheet'!$B$2:$B$3548, 'working sheet'!$D$2:$D$3548, A615)</f>
        <v>45546.828617326391</v>
      </c>
      <c r="C615" s="17">
        <f>_xlfn.MAXIFS('working sheet'!$B$1:$B$3548,'working sheet'!$D$1:$D$3548,'Customer Portfolio'!A615)</f>
        <v>45546.828617326391</v>
      </c>
      <c r="D615">
        <f>COUNTIFS('working sheet'!$D$1:$D$3548,'Customer Portfolio'!A615)</f>
        <v>1</v>
      </c>
      <c r="E615" s="5">
        <f>SUMIFS('working sheet'!$E$2:$E$3548,'working sheet'!$D$2:$D$3548,'Customer Portfolio'!A615)</f>
        <v>32.82</v>
      </c>
      <c r="F615" s="6">
        <f t="shared" si="18"/>
        <v>32.82</v>
      </c>
      <c r="G615" t="str">
        <f t="array" ref="G615">IFERROR(INDEX('working sheet'!$F$2:$F$3548, MODE(IF('working sheet'!$D$2:$D$3548=A615, MATCH('working sheet'!$F$2:$F$3548, 'working sheet'!$F$2:$F$3548, 0)))),
         INDEX('working sheet'!$F$2:$F$3548, MATCH(A615, 'working sheet'!$D$2:$D$3548, 0)))</f>
        <v>Cappuccino</v>
      </c>
      <c r="H615" s="7">
        <f t="shared" si="19"/>
        <v>1</v>
      </c>
      <c r="I615" s="7">
        <f>MAX('working sheet'!$B$2:$B$3548)-C615</f>
        <v>192.92946872684843</v>
      </c>
      <c r="J615" s="4" t="str">
        <f t="array" ref="J615">IF(AND(I615&lt;=30, D615&gt;=10, E615&gt;=200), "VIP",  IF(AND(I615&lt;=60, D615&gt;=5, E615&gt;=100), "Loyal", IF(AND(I615&lt;=90, D615&gt;=3), "Regular", IF(I615&lt;=30, "Recent", IF(D615&gt;=3, "Occasional", "At Risk")))))</f>
        <v>At Risk</v>
      </c>
      <c r="K615" t="str">
        <f t="array" ref="K615">IF(OR(J615="VIP", J615="Loyal"), "HIGH",IF(OR(J615="Regular", J615="Recent"), "MEDIUM","LOW"))</f>
        <v>LOW</v>
      </c>
    </row>
    <row r="616" spans="1:11">
      <c r="A616" t="s">
        <v>629</v>
      </c>
      <c r="B616" s="14">
        <f>_xlfn.MINIFS('working sheet'!$B$2:$B$3548, 'working sheet'!$D$2:$D$3548, A616)</f>
        <v>45547.477500752313</v>
      </c>
      <c r="C616" s="17">
        <f>_xlfn.MAXIFS('working sheet'!$B$1:$B$3548,'working sheet'!$D$1:$D$3548,'Customer Portfolio'!A616)</f>
        <v>45547.477500752313</v>
      </c>
      <c r="D616">
        <f>COUNTIFS('working sheet'!$D$1:$D$3548,'Customer Portfolio'!A616)</f>
        <v>1</v>
      </c>
      <c r="E616" s="5">
        <f>SUMIFS('working sheet'!$E$2:$E$3548,'working sheet'!$D$2:$D$3548,'Customer Portfolio'!A616)</f>
        <v>27.92</v>
      </c>
      <c r="F616" s="6">
        <f t="shared" si="18"/>
        <v>27.92</v>
      </c>
      <c r="G616" t="str">
        <f t="array" ref="G616">IFERROR(INDEX('working sheet'!$F$2:$F$3548, MODE(IF('working sheet'!$D$2:$D$3548=A616, MATCH('working sheet'!$F$2:$F$3548, 'working sheet'!$F$2:$F$3548, 0)))),
         INDEX('working sheet'!$F$2:$F$3548, MATCH(A616, 'working sheet'!$D$2:$D$3548, 0)))</f>
        <v>Americano with Milk</v>
      </c>
      <c r="H616" s="7">
        <f t="shared" si="19"/>
        <v>1</v>
      </c>
      <c r="I616" s="7">
        <f>MAX('working sheet'!$B$2:$B$3548)-C616</f>
        <v>192.28058530092676</v>
      </c>
      <c r="J616" s="4" t="str">
        <f t="array" ref="J616">IF(AND(I616&lt;=30, D616&gt;=10, E616&gt;=200), "VIP",  IF(AND(I616&lt;=60, D616&gt;=5, E616&gt;=100), "Loyal", IF(AND(I616&lt;=90, D616&gt;=3), "Regular", IF(I616&lt;=30, "Recent", IF(D616&gt;=3, "Occasional", "At Risk")))))</f>
        <v>At Risk</v>
      </c>
      <c r="K616" t="str">
        <f t="array" ref="K616">IF(OR(J616="VIP", J616="Loyal"), "HIGH",IF(OR(J616="Regular", J616="Recent"), "MEDIUM","LOW"))</f>
        <v>LOW</v>
      </c>
    </row>
    <row r="617" spans="1:11">
      <c r="A617" t="s">
        <v>630</v>
      </c>
      <c r="B617" s="14">
        <f>_xlfn.MINIFS('working sheet'!$B$2:$B$3548, 'working sheet'!$D$2:$D$3548, A617)</f>
        <v>45547.521608761577</v>
      </c>
      <c r="C617" s="17">
        <f>_xlfn.MAXIFS('working sheet'!$B$1:$B$3548,'working sheet'!$D$1:$D$3548,'Customer Portfolio'!A617)</f>
        <v>45547.522488206021</v>
      </c>
      <c r="D617">
        <f>COUNTIFS('working sheet'!$D$1:$D$3548,'Customer Portfolio'!A617)</f>
        <v>2</v>
      </c>
      <c r="E617" s="5">
        <f>SUMIFS('working sheet'!$E$2:$E$3548,'working sheet'!$D$2:$D$3548,'Customer Portfolio'!A617)</f>
        <v>46.04</v>
      </c>
      <c r="F617" s="6">
        <f t="shared" si="18"/>
        <v>23.02</v>
      </c>
      <c r="G617" t="str">
        <f t="array" ref="G617">IFERROR(INDEX('working sheet'!$F$2:$F$3548, MODE(IF('working sheet'!$D$2:$D$3548=A617, MATCH('working sheet'!$F$2:$F$3548, 'working sheet'!$F$2:$F$3548, 0)))),
         INDEX('working sheet'!$F$2:$F$3548, MATCH(A617, 'working sheet'!$D$2:$D$3548, 0)))</f>
        <v>Cortado</v>
      </c>
      <c r="H617" s="7">
        <f t="shared" si="19"/>
        <v>1.0008794444438536</v>
      </c>
      <c r="I617" s="7">
        <f>MAX('working sheet'!$B$2:$B$3548)-C617</f>
        <v>192.23559784721874</v>
      </c>
      <c r="J617" s="4" t="str">
        <f t="array" ref="J617">IF(AND(I617&lt;=30, D617&gt;=10, E617&gt;=200), "VIP",  IF(AND(I617&lt;=60, D617&gt;=5, E617&gt;=100), "Loyal", IF(AND(I617&lt;=90, D617&gt;=3), "Regular", IF(I617&lt;=30, "Recent", IF(D617&gt;=3, "Occasional", "At Risk")))))</f>
        <v>At Risk</v>
      </c>
      <c r="K617" t="str">
        <f t="array" ref="K617">IF(OR(J617="VIP", J617="Loyal"), "HIGH",IF(OR(J617="Regular", J617="Recent"), "MEDIUM","LOW"))</f>
        <v>LOW</v>
      </c>
    </row>
    <row r="618" spans="1:11">
      <c r="A618" t="s">
        <v>631</v>
      </c>
      <c r="B618" s="14">
        <f>_xlfn.MINIFS('working sheet'!$B$2:$B$3548, 'working sheet'!$D$2:$D$3548, A618)</f>
        <v>45547.70931972222</v>
      </c>
      <c r="C618" s="17">
        <f>_xlfn.MAXIFS('working sheet'!$B$1:$B$3548,'working sheet'!$D$1:$D$3548,'Customer Portfolio'!A618)</f>
        <v>45547.70931972222</v>
      </c>
      <c r="D618">
        <f>COUNTIFS('working sheet'!$D$1:$D$3548,'Customer Portfolio'!A618)</f>
        <v>1</v>
      </c>
      <c r="E618" s="5">
        <f>SUMIFS('working sheet'!$E$2:$E$3548,'working sheet'!$D$2:$D$3548,'Customer Portfolio'!A618)</f>
        <v>32.82</v>
      </c>
      <c r="F618" s="6">
        <f t="shared" si="18"/>
        <v>32.82</v>
      </c>
      <c r="G618" t="str">
        <f t="array" ref="G618">IFERROR(INDEX('working sheet'!$F$2:$F$3548, MODE(IF('working sheet'!$D$2:$D$3548=A618, MATCH('working sheet'!$F$2:$F$3548, 'working sheet'!$F$2:$F$3548, 0)))),
         INDEX('working sheet'!$F$2:$F$3548, MATCH(A618, 'working sheet'!$D$2:$D$3548, 0)))</f>
        <v>Latte</v>
      </c>
      <c r="H618" s="7">
        <f t="shared" si="19"/>
        <v>1</v>
      </c>
      <c r="I618" s="7">
        <f>MAX('working sheet'!$B$2:$B$3548)-C618</f>
        <v>192.04876633101958</v>
      </c>
      <c r="J618" s="4" t="str">
        <f t="array" ref="J618">IF(AND(I618&lt;=30, D618&gt;=10, E618&gt;=200), "VIP",  IF(AND(I618&lt;=60, D618&gt;=5, E618&gt;=100), "Loyal", IF(AND(I618&lt;=90, D618&gt;=3), "Regular", IF(I618&lt;=30, "Recent", IF(D618&gt;=3, "Occasional", "At Risk")))))</f>
        <v>At Risk</v>
      </c>
      <c r="K618" t="str">
        <f t="array" ref="K618">IF(OR(J618="VIP", J618="Loyal"), "HIGH",IF(OR(J618="Regular", J618="Recent"), "MEDIUM","LOW"))</f>
        <v>LOW</v>
      </c>
    </row>
    <row r="619" spans="1:11">
      <c r="A619" t="s">
        <v>632</v>
      </c>
      <c r="B619" s="14">
        <f>_xlfn.MINIFS('working sheet'!$B$2:$B$3548, 'working sheet'!$D$2:$D$3548, A619)</f>
        <v>45547.881370509262</v>
      </c>
      <c r="C619" s="17">
        <f>_xlfn.MAXIFS('working sheet'!$B$1:$B$3548,'working sheet'!$D$1:$D$3548,'Customer Portfolio'!A619)</f>
        <v>45547.882189340278</v>
      </c>
      <c r="D619">
        <f>COUNTIFS('working sheet'!$D$1:$D$3548,'Customer Portfolio'!A619)</f>
        <v>2</v>
      </c>
      <c r="E619" s="5">
        <f>SUMIFS('working sheet'!$E$2:$E$3548,'working sheet'!$D$2:$D$3548,'Customer Portfolio'!A619)</f>
        <v>55.84</v>
      </c>
      <c r="F619" s="6">
        <f t="shared" si="18"/>
        <v>27.92</v>
      </c>
      <c r="G619" t="str">
        <f t="array" ref="G619">IFERROR(INDEX('working sheet'!$F$2:$F$3548, MODE(IF('working sheet'!$D$2:$D$3548=A619, MATCH('working sheet'!$F$2:$F$3548, 'working sheet'!$F$2:$F$3548, 0)))),
         INDEX('working sheet'!$F$2:$F$3548, MATCH(A619, 'working sheet'!$D$2:$D$3548, 0)))</f>
        <v>Americano</v>
      </c>
      <c r="H619" s="7">
        <f t="shared" si="19"/>
        <v>1.0008188310166588</v>
      </c>
      <c r="I619" s="7">
        <f>MAX('working sheet'!$B$2:$B$3548)-C619</f>
        <v>191.87589671296155</v>
      </c>
      <c r="J619" s="4" t="str">
        <f t="array" ref="J619">IF(AND(I619&lt;=30, D619&gt;=10, E619&gt;=200), "VIP",  IF(AND(I619&lt;=60, D619&gt;=5, E619&gt;=100), "Loyal", IF(AND(I619&lt;=90, D619&gt;=3), "Regular", IF(I619&lt;=30, "Recent", IF(D619&gt;=3, "Occasional", "At Risk")))))</f>
        <v>At Risk</v>
      </c>
      <c r="K619" t="str">
        <f t="array" ref="K619">IF(OR(J619="VIP", J619="Loyal"), "HIGH",IF(OR(J619="Regular", J619="Recent"), "MEDIUM","LOW"))</f>
        <v>LOW</v>
      </c>
    </row>
    <row r="620" spans="1:11">
      <c r="A620" t="s">
        <v>633</v>
      </c>
      <c r="B620" s="14">
        <f>_xlfn.MINIFS('working sheet'!$B$2:$B$3548, 'working sheet'!$D$2:$D$3548, A620)</f>
        <v>45548.41064105324</v>
      </c>
      <c r="C620" s="17">
        <f>_xlfn.MAXIFS('working sheet'!$B$1:$B$3548,'working sheet'!$D$1:$D$3548,'Customer Portfolio'!A620)</f>
        <v>45548.41064105324</v>
      </c>
      <c r="D620">
        <f>COUNTIFS('working sheet'!$D$1:$D$3548,'Customer Portfolio'!A620)</f>
        <v>1</v>
      </c>
      <c r="E620" s="5">
        <f>SUMIFS('working sheet'!$E$2:$E$3548,'working sheet'!$D$2:$D$3548,'Customer Portfolio'!A620)</f>
        <v>32.82</v>
      </c>
      <c r="F620" s="6">
        <f t="shared" si="18"/>
        <v>32.82</v>
      </c>
      <c r="G620" t="str">
        <f t="array" ref="G620">IFERROR(INDEX('working sheet'!$F$2:$F$3548, MODE(IF('working sheet'!$D$2:$D$3548=A620, MATCH('working sheet'!$F$2:$F$3548, 'working sheet'!$F$2:$F$3548, 0)))),
         INDEX('working sheet'!$F$2:$F$3548, MATCH(A620, 'working sheet'!$D$2:$D$3548, 0)))</f>
        <v>Latte</v>
      </c>
      <c r="H620" s="7">
        <f t="shared" si="19"/>
        <v>1</v>
      </c>
      <c r="I620" s="7">
        <f>MAX('working sheet'!$B$2:$B$3548)-C620</f>
        <v>191.34744499999942</v>
      </c>
      <c r="J620" s="4" t="str">
        <f t="array" ref="J620">IF(AND(I620&lt;=30, D620&gt;=10, E620&gt;=200), "VIP",  IF(AND(I620&lt;=60, D620&gt;=5, E620&gt;=100), "Loyal", IF(AND(I620&lt;=90, D620&gt;=3), "Regular", IF(I620&lt;=30, "Recent", IF(D620&gt;=3, "Occasional", "At Risk")))))</f>
        <v>At Risk</v>
      </c>
      <c r="K620" t="str">
        <f t="array" ref="K620">IF(OR(J620="VIP", J620="Loyal"), "HIGH",IF(OR(J620="Regular", J620="Recent"), "MEDIUM","LOW"))</f>
        <v>LOW</v>
      </c>
    </row>
    <row r="621" spans="1:11">
      <c r="A621" t="s">
        <v>634</v>
      </c>
      <c r="B621" s="14">
        <f>_xlfn.MINIFS('working sheet'!$B$2:$B$3548, 'working sheet'!$D$2:$D$3548, A621)</f>
        <v>45550.409476168985</v>
      </c>
      <c r="C621" s="17">
        <f>_xlfn.MAXIFS('working sheet'!$B$1:$B$3548,'working sheet'!$D$1:$D$3548,'Customer Portfolio'!A621)</f>
        <v>45660.926025000001</v>
      </c>
      <c r="D621">
        <f>COUNTIFS('working sheet'!$D$1:$D$3548,'Customer Portfolio'!A621)</f>
        <v>4</v>
      </c>
      <c r="E621" s="5">
        <f>SUMIFS('working sheet'!$E$2:$E$3548,'working sheet'!$D$2:$D$3548,'Customer Portfolio'!A621)</f>
        <v>122.46000000000001</v>
      </c>
      <c r="F621" s="6">
        <f t="shared" si="18"/>
        <v>30.615000000000002</v>
      </c>
      <c r="G621" t="str">
        <f t="array" ref="G621">IFERROR(INDEX('working sheet'!$F$2:$F$3548, MODE(IF('working sheet'!$D$2:$D$3548=A621, MATCH('working sheet'!$F$2:$F$3548, 'working sheet'!$F$2:$F$3548, 0)))),
         INDEX('working sheet'!$F$2:$F$3548, MATCH(A621, 'working sheet'!$D$2:$D$3548, 0)))</f>
        <v>Americano with Milk</v>
      </c>
      <c r="H621" s="7">
        <f t="shared" si="19"/>
        <v>111.51654883101583</v>
      </c>
      <c r="I621" s="7">
        <f>MAX('working sheet'!$B$2:$B$3548)-C621</f>
        <v>78.832061053239158</v>
      </c>
      <c r="J621" s="4" t="str">
        <f t="array" ref="J621">IF(AND(I621&lt;=30, D621&gt;=10, E621&gt;=200), "VIP",  IF(AND(I621&lt;=60, D621&gt;=5, E621&gt;=100), "Loyal", IF(AND(I621&lt;=90, D621&gt;=3), "Regular", IF(I621&lt;=30, "Recent", IF(D621&gt;=3, "Occasional", "At Risk")))))</f>
        <v>Regular</v>
      </c>
      <c r="K621" t="str">
        <f t="array" ref="K621">IF(OR(J621="VIP", J621="Loyal"), "HIGH",IF(OR(J621="Regular", J621="Recent"), "MEDIUM","LOW"))</f>
        <v>MEDIUM</v>
      </c>
    </row>
    <row r="622" spans="1:11">
      <c r="A622" t="s">
        <v>635</v>
      </c>
      <c r="B622" s="14">
        <f>_xlfn.MINIFS('working sheet'!$B$2:$B$3548, 'working sheet'!$D$2:$D$3548, A622)</f>
        <v>45551.564153645835</v>
      </c>
      <c r="C622" s="17">
        <f>_xlfn.MAXIFS('working sheet'!$B$1:$B$3548,'working sheet'!$D$1:$D$3548,'Customer Portfolio'!A622)</f>
        <v>45552.339593703706</v>
      </c>
      <c r="D622">
        <f>COUNTIFS('working sheet'!$D$1:$D$3548,'Customer Portfolio'!A622)</f>
        <v>3</v>
      </c>
      <c r="E622" s="5">
        <f>SUMIFS('working sheet'!$E$2:$E$3548,'working sheet'!$D$2:$D$3548,'Customer Portfolio'!A622)</f>
        <v>98.460000000000008</v>
      </c>
      <c r="F622" s="6">
        <f t="shared" si="18"/>
        <v>32.82</v>
      </c>
      <c r="G622" t="str">
        <f t="array" ref="G622">IFERROR(INDEX('working sheet'!$F$2:$F$3548, MODE(IF('working sheet'!$D$2:$D$3548=A622, MATCH('working sheet'!$F$2:$F$3548, 'working sheet'!$F$2:$F$3548, 0)))),
         INDEX('working sheet'!$F$2:$F$3548, MATCH(A622, 'working sheet'!$D$2:$D$3548, 0)))</f>
        <v>Latte</v>
      </c>
      <c r="H622" s="7">
        <f t="shared" si="19"/>
        <v>1.7754400578705827</v>
      </c>
      <c r="I622" s="7">
        <f>MAX('working sheet'!$B$2:$B$3548)-C622</f>
        <v>187.41849234953406</v>
      </c>
      <c r="J622" s="4" t="str">
        <f t="array" ref="J622">IF(AND(I622&lt;=30, D622&gt;=10, E622&gt;=200), "VIP",  IF(AND(I622&lt;=60, D622&gt;=5, E622&gt;=100), "Loyal", IF(AND(I622&lt;=90, D622&gt;=3), "Regular", IF(I622&lt;=30, "Recent", IF(D622&gt;=3, "Occasional", "At Risk")))))</f>
        <v>Occasional</v>
      </c>
      <c r="K622" t="str">
        <f t="array" ref="K622">IF(OR(J622="VIP", J622="Loyal"), "HIGH",IF(OR(J622="Regular", J622="Recent"), "MEDIUM","LOW"))</f>
        <v>LOW</v>
      </c>
    </row>
    <row r="623" spans="1:11">
      <c r="A623" t="s">
        <v>636</v>
      </c>
      <c r="B623" s="14">
        <f>_xlfn.MINIFS('working sheet'!$B$2:$B$3548, 'working sheet'!$D$2:$D$3548, A623)</f>
        <v>45551.719510810188</v>
      </c>
      <c r="C623" s="17">
        <f>_xlfn.MAXIFS('working sheet'!$B$1:$B$3548,'working sheet'!$D$1:$D$3548,'Customer Portfolio'!A623)</f>
        <v>45602.655746469907</v>
      </c>
      <c r="D623">
        <f>COUNTIFS('working sheet'!$D$1:$D$3548,'Customer Portfolio'!A623)</f>
        <v>4</v>
      </c>
      <c r="E623" s="5">
        <f>SUMIFS('working sheet'!$E$2:$E$3548,'working sheet'!$D$2:$D$3548,'Customer Portfolio'!A623)</f>
        <v>135.19999999999999</v>
      </c>
      <c r="F623" s="6">
        <f t="shared" si="18"/>
        <v>33.799999999999997</v>
      </c>
      <c r="G623" t="str">
        <f t="array" ref="G623">IFERROR(INDEX('working sheet'!$F$2:$F$3548, MODE(IF('working sheet'!$D$2:$D$3548=A623, MATCH('working sheet'!$F$2:$F$3548, 'working sheet'!$F$2:$F$3548, 0)))),
         INDEX('working sheet'!$F$2:$F$3548, MATCH(A623, 'working sheet'!$D$2:$D$3548, 0)))</f>
        <v>Hot Chocolate</v>
      </c>
      <c r="H623" s="7">
        <f t="shared" si="19"/>
        <v>51.936235659719387</v>
      </c>
      <c r="I623" s="7">
        <f>MAX('working sheet'!$B$2:$B$3548)-C623</f>
        <v>137.10233958333265</v>
      </c>
      <c r="J623" s="4" t="str">
        <f t="array" ref="J623">IF(AND(I623&lt;=30, D623&gt;=10, E623&gt;=200), "VIP",  IF(AND(I623&lt;=60, D623&gt;=5, E623&gt;=100), "Loyal", IF(AND(I623&lt;=90, D623&gt;=3), "Regular", IF(I623&lt;=30, "Recent", IF(D623&gt;=3, "Occasional", "At Risk")))))</f>
        <v>Occasional</v>
      </c>
      <c r="K623" t="str">
        <f t="array" ref="K623">IF(OR(J623="VIP", J623="Loyal"), "HIGH",IF(OR(J623="Regular", J623="Recent"), "MEDIUM","LOW"))</f>
        <v>LOW</v>
      </c>
    </row>
    <row r="624" spans="1:11">
      <c r="A624" t="s">
        <v>637</v>
      </c>
      <c r="B624" s="14">
        <f>_xlfn.MINIFS('working sheet'!$B$2:$B$3548, 'working sheet'!$D$2:$D$3548, A624)</f>
        <v>45551.720870960649</v>
      </c>
      <c r="C624" s="17">
        <f>_xlfn.MAXIFS('working sheet'!$B$1:$B$3548,'working sheet'!$D$1:$D$3548,'Customer Portfolio'!A624)</f>
        <v>45551.720870960649</v>
      </c>
      <c r="D624">
        <f>COUNTIFS('working sheet'!$D$1:$D$3548,'Customer Portfolio'!A624)</f>
        <v>1</v>
      </c>
      <c r="E624" s="5">
        <f>SUMIFS('working sheet'!$E$2:$E$3548,'working sheet'!$D$2:$D$3548,'Customer Portfolio'!A624)</f>
        <v>32.82</v>
      </c>
      <c r="F624" s="6">
        <f t="shared" si="18"/>
        <v>32.82</v>
      </c>
      <c r="G624" t="str">
        <f t="array" ref="G624">IFERROR(INDEX('working sheet'!$F$2:$F$3548, MODE(IF('working sheet'!$D$2:$D$3548=A624, MATCH('working sheet'!$F$2:$F$3548, 'working sheet'!$F$2:$F$3548, 0)))),
         INDEX('working sheet'!$F$2:$F$3548, MATCH(A624, 'working sheet'!$D$2:$D$3548, 0)))</f>
        <v>Latte</v>
      </c>
      <c r="H624" s="7">
        <f t="shared" si="19"/>
        <v>1</v>
      </c>
      <c r="I624" s="7">
        <f>MAX('working sheet'!$B$2:$B$3548)-C624</f>
        <v>188.03721509259049</v>
      </c>
      <c r="J624" s="4" t="str">
        <f t="array" ref="J624">IF(AND(I624&lt;=30, D624&gt;=10, E624&gt;=200), "VIP",  IF(AND(I624&lt;=60, D624&gt;=5, E624&gt;=100), "Loyal", IF(AND(I624&lt;=90, D624&gt;=3), "Regular", IF(I624&lt;=30, "Recent", IF(D624&gt;=3, "Occasional", "At Risk")))))</f>
        <v>At Risk</v>
      </c>
      <c r="K624" t="str">
        <f t="array" ref="K624">IF(OR(J624="VIP", J624="Loyal"), "HIGH",IF(OR(J624="Regular", J624="Recent"), "MEDIUM","LOW"))</f>
        <v>LOW</v>
      </c>
    </row>
    <row r="625" spans="1:11">
      <c r="A625" t="s">
        <v>638</v>
      </c>
      <c r="B625" s="14">
        <f>_xlfn.MINIFS('working sheet'!$B$2:$B$3548, 'working sheet'!$D$2:$D$3548, A625)</f>
        <v>45551.788026018519</v>
      </c>
      <c r="C625" s="17">
        <f>_xlfn.MAXIFS('working sheet'!$B$1:$B$3548,'working sheet'!$D$1:$D$3548,'Customer Portfolio'!A625)</f>
        <v>45551.788026018519</v>
      </c>
      <c r="D625">
        <f>COUNTIFS('working sheet'!$D$1:$D$3548,'Customer Portfolio'!A625)</f>
        <v>1</v>
      </c>
      <c r="E625" s="5">
        <f>SUMIFS('working sheet'!$E$2:$E$3548,'working sheet'!$D$2:$D$3548,'Customer Portfolio'!A625)</f>
        <v>32.82</v>
      </c>
      <c r="F625" s="6">
        <f t="shared" si="18"/>
        <v>32.82</v>
      </c>
      <c r="G625" t="str">
        <f t="array" ref="G625">IFERROR(INDEX('working sheet'!$F$2:$F$3548, MODE(IF('working sheet'!$D$2:$D$3548=A625, MATCH('working sheet'!$F$2:$F$3548, 'working sheet'!$F$2:$F$3548, 0)))),
         INDEX('working sheet'!$F$2:$F$3548, MATCH(A625, 'working sheet'!$D$2:$D$3548, 0)))</f>
        <v>Latte</v>
      </c>
      <c r="H625" s="7">
        <f t="shared" si="19"/>
        <v>1</v>
      </c>
      <c r="I625" s="7">
        <f>MAX('working sheet'!$B$2:$B$3548)-C625</f>
        <v>187.97006003472052</v>
      </c>
      <c r="J625" s="4" t="str">
        <f t="array" ref="J625">IF(AND(I625&lt;=30, D625&gt;=10, E625&gt;=200), "VIP",  IF(AND(I625&lt;=60, D625&gt;=5, E625&gt;=100), "Loyal", IF(AND(I625&lt;=90, D625&gt;=3), "Regular", IF(I625&lt;=30, "Recent", IF(D625&gt;=3, "Occasional", "At Risk")))))</f>
        <v>At Risk</v>
      </c>
      <c r="K625" t="str">
        <f t="array" ref="K625">IF(OR(J625="VIP", J625="Loyal"), "HIGH",IF(OR(J625="Regular", J625="Recent"), "MEDIUM","LOW"))</f>
        <v>LOW</v>
      </c>
    </row>
    <row r="626" spans="1:11">
      <c r="A626" t="s">
        <v>639</v>
      </c>
      <c r="B626" s="14">
        <f>_xlfn.MINIFS('working sheet'!$B$2:$B$3548, 'working sheet'!$D$2:$D$3548, A626)</f>
        <v>45551.788949942129</v>
      </c>
      <c r="C626" s="17">
        <f>_xlfn.MAXIFS('working sheet'!$B$1:$B$3548,'working sheet'!$D$1:$D$3548,'Customer Portfolio'!A626)</f>
        <v>45551.788949942129</v>
      </c>
      <c r="D626">
        <f>COUNTIFS('working sheet'!$D$1:$D$3548,'Customer Portfolio'!A626)</f>
        <v>1</v>
      </c>
      <c r="E626" s="5">
        <f>SUMIFS('working sheet'!$E$2:$E$3548,'working sheet'!$D$2:$D$3548,'Customer Portfolio'!A626)</f>
        <v>32.82</v>
      </c>
      <c r="F626" s="6">
        <f t="shared" si="18"/>
        <v>32.82</v>
      </c>
      <c r="G626" t="str">
        <f t="array" ref="G626">IFERROR(INDEX('working sheet'!$F$2:$F$3548, MODE(IF('working sheet'!$D$2:$D$3548=A626, MATCH('working sheet'!$F$2:$F$3548, 'working sheet'!$F$2:$F$3548, 0)))),
         INDEX('working sheet'!$F$2:$F$3548, MATCH(A626, 'working sheet'!$D$2:$D$3548, 0)))</f>
        <v>Latte</v>
      </c>
      <c r="H626" s="7">
        <f t="shared" si="19"/>
        <v>1</v>
      </c>
      <c r="I626" s="7">
        <f>MAX('working sheet'!$B$2:$B$3548)-C626</f>
        <v>187.96913611111086</v>
      </c>
      <c r="J626" s="4" t="str">
        <f t="array" ref="J626">IF(AND(I626&lt;=30, D626&gt;=10, E626&gt;=200), "VIP",  IF(AND(I626&lt;=60, D626&gt;=5, E626&gt;=100), "Loyal", IF(AND(I626&lt;=90, D626&gt;=3), "Regular", IF(I626&lt;=30, "Recent", IF(D626&gt;=3, "Occasional", "At Risk")))))</f>
        <v>At Risk</v>
      </c>
      <c r="K626" t="str">
        <f t="array" ref="K626">IF(OR(J626="VIP", J626="Loyal"), "HIGH",IF(OR(J626="Regular", J626="Recent"), "MEDIUM","LOW"))</f>
        <v>LOW</v>
      </c>
    </row>
    <row r="627" spans="1:11">
      <c r="A627" t="s">
        <v>640</v>
      </c>
      <c r="B627" s="14">
        <f>_xlfn.MINIFS('working sheet'!$B$2:$B$3548, 'working sheet'!$D$2:$D$3548, A627)</f>
        <v>45551.88216079861</v>
      </c>
      <c r="C627" s="17">
        <f>_xlfn.MAXIFS('working sheet'!$B$1:$B$3548,'working sheet'!$D$1:$D$3548,'Customer Portfolio'!A627)</f>
        <v>45551.883015046296</v>
      </c>
      <c r="D627">
        <f>COUNTIFS('working sheet'!$D$1:$D$3548,'Customer Portfolio'!A627)</f>
        <v>2</v>
      </c>
      <c r="E627" s="5">
        <f>SUMIFS('working sheet'!$E$2:$E$3548,'working sheet'!$D$2:$D$3548,'Customer Portfolio'!A627)</f>
        <v>60.74</v>
      </c>
      <c r="F627" s="6">
        <f t="shared" si="18"/>
        <v>30.37</v>
      </c>
      <c r="G627" t="str">
        <f t="array" ref="G627">IFERROR(INDEX('working sheet'!$F$2:$F$3548, MODE(IF('working sheet'!$D$2:$D$3548=A627, MATCH('working sheet'!$F$2:$F$3548, 'working sheet'!$F$2:$F$3548, 0)))),
         INDEX('working sheet'!$F$2:$F$3548, MATCH(A627, 'working sheet'!$D$2:$D$3548, 0)))</f>
        <v>Americano with Milk</v>
      </c>
      <c r="H627" s="7">
        <f t="shared" si="19"/>
        <v>1.0008542476862203</v>
      </c>
      <c r="I627" s="7">
        <f>MAX('working sheet'!$B$2:$B$3548)-C627</f>
        <v>187.87507100694347</v>
      </c>
      <c r="J627" s="4" t="str">
        <f t="array" ref="J627">IF(AND(I627&lt;=30, D627&gt;=10, E627&gt;=200), "VIP",  IF(AND(I627&lt;=60, D627&gt;=5, E627&gt;=100), "Loyal", IF(AND(I627&lt;=90, D627&gt;=3), "Regular", IF(I627&lt;=30, "Recent", IF(D627&gt;=3, "Occasional", "At Risk")))))</f>
        <v>At Risk</v>
      </c>
      <c r="K627" t="str">
        <f t="array" ref="K627">IF(OR(J627="VIP", J627="Loyal"), "HIGH",IF(OR(J627="Regular", J627="Recent"), "MEDIUM","LOW"))</f>
        <v>LOW</v>
      </c>
    </row>
    <row r="628" spans="1:11">
      <c r="A628" t="s">
        <v>641</v>
      </c>
      <c r="B628" s="14">
        <f>_xlfn.MINIFS('working sheet'!$B$2:$B$3548, 'working sheet'!$D$2:$D$3548, A628)</f>
        <v>45552.329837118057</v>
      </c>
      <c r="C628" s="17">
        <f>_xlfn.MAXIFS('working sheet'!$B$1:$B$3548,'working sheet'!$D$1:$D$3548,'Customer Portfolio'!A628)</f>
        <v>45554.354502858798</v>
      </c>
      <c r="D628">
        <f>COUNTIFS('working sheet'!$D$1:$D$3548,'Customer Portfolio'!A628)</f>
        <v>2</v>
      </c>
      <c r="E628" s="5">
        <f>SUMIFS('working sheet'!$E$2:$E$3548,'working sheet'!$D$2:$D$3548,'Customer Portfolio'!A628)</f>
        <v>46.04</v>
      </c>
      <c r="F628" s="6">
        <f t="shared" si="18"/>
        <v>23.02</v>
      </c>
      <c r="G628" t="str">
        <f t="array" ref="G628">IFERROR(INDEX('working sheet'!$F$2:$F$3548, MODE(IF('working sheet'!$D$2:$D$3548=A628, MATCH('working sheet'!$F$2:$F$3548, 'working sheet'!$F$2:$F$3548, 0)))),
         INDEX('working sheet'!$F$2:$F$3548, MATCH(A628, 'working sheet'!$D$2:$D$3548, 0)))</f>
        <v>Cortado</v>
      </c>
      <c r="H628" s="7">
        <f t="shared" si="19"/>
        <v>3.0246657407406019</v>
      </c>
      <c r="I628" s="7">
        <f>MAX('working sheet'!$B$2:$B$3548)-C628</f>
        <v>185.40358319444204</v>
      </c>
      <c r="J628" s="4" t="str">
        <f t="array" ref="J628">IF(AND(I628&lt;=30, D628&gt;=10, E628&gt;=200), "VIP",  IF(AND(I628&lt;=60, D628&gt;=5, E628&gt;=100), "Loyal", IF(AND(I628&lt;=90, D628&gt;=3), "Regular", IF(I628&lt;=30, "Recent", IF(D628&gt;=3, "Occasional", "At Risk")))))</f>
        <v>At Risk</v>
      </c>
      <c r="K628" t="str">
        <f t="array" ref="K628">IF(OR(J628="VIP", J628="Loyal"), "HIGH",IF(OR(J628="Regular", J628="Recent"), "MEDIUM","LOW"))</f>
        <v>LOW</v>
      </c>
    </row>
    <row r="629" spans="1:11">
      <c r="A629" t="s">
        <v>642</v>
      </c>
      <c r="B629" s="14">
        <f>_xlfn.MINIFS('working sheet'!$B$2:$B$3548, 'working sheet'!$D$2:$D$3548, A629)</f>
        <v>45552.526779722219</v>
      </c>
      <c r="C629" s="17">
        <f>_xlfn.MAXIFS('working sheet'!$B$1:$B$3548,'working sheet'!$D$1:$D$3548,'Customer Portfolio'!A629)</f>
        <v>45552.5274731713</v>
      </c>
      <c r="D629">
        <f>COUNTIFS('working sheet'!$D$1:$D$3548,'Customer Portfolio'!A629)</f>
        <v>2</v>
      </c>
      <c r="E629" s="5">
        <f>SUMIFS('working sheet'!$E$2:$E$3548,'working sheet'!$D$2:$D$3548,'Customer Portfolio'!A629)</f>
        <v>46.040000000000006</v>
      </c>
      <c r="F629" s="6">
        <f t="shared" si="18"/>
        <v>23.020000000000003</v>
      </c>
      <c r="G629" t="str">
        <f t="array" ref="G629">IFERROR(INDEX('working sheet'!$F$2:$F$3548, MODE(IF('working sheet'!$D$2:$D$3548=A629, MATCH('working sheet'!$F$2:$F$3548, 'working sheet'!$F$2:$F$3548, 0)))),
         INDEX('working sheet'!$F$2:$F$3548, MATCH(A629, 'working sheet'!$D$2:$D$3548, 0)))</f>
        <v>Espresso</v>
      </c>
      <c r="H629" s="7">
        <f t="shared" si="19"/>
        <v>1.0006934490811545</v>
      </c>
      <c r="I629" s="7">
        <f>MAX('working sheet'!$B$2:$B$3548)-C629</f>
        <v>187.23061288194003</v>
      </c>
      <c r="J629" s="4" t="str">
        <f t="array" ref="J629">IF(AND(I629&lt;=30, D629&gt;=10, E629&gt;=200), "VIP",  IF(AND(I629&lt;=60, D629&gt;=5, E629&gt;=100), "Loyal", IF(AND(I629&lt;=90, D629&gt;=3), "Regular", IF(I629&lt;=30, "Recent", IF(D629&gt;=3, "Occasional", "At Risk")))))</f>
        <v>At Risk</v>
      </c>
      <c r="K629" t="str">
        <f t="array" ref="K629">IF(OR(J629="VIP", J629="Loyal"), "HIGH",IF(OR(J629="Regular", J629="Recent"), "MEDIUM","LOW"))</f>
        <v>LOW</v>
      </c>
    </row>
    <row r="630" spans="1:11">
      <c r="A630" t="s">
        <v>643</v>
      </c>
      <c r="B630" s="14">
        <f>_xlfn.MINIFS('working sheet'!$B$2:$B$3548, 'working sheet'!$D$2:$D$3548, A630)</f>
        <v>45552.530730925922</v>
      </c>
      <c r="C630" s="17">
        <f>_xlfn.MAXIFS('working sheet'!$B$1:$B$3548,'working sheet'!$D$1:$D$3548,'Customer Portfolio'!A630)</f>
        <v>45552.530730925922</v>
      </c>
      <c r="D630">
        <f>COUNTIFS('working sheet'!$D$1:$D$3548,'Customer Portfolio'!A630)</f>
        <v>1</v>
      </c>
      <c r="E630" s="5">
        <f>SUMIFS('working sheet'!$E$2:$E$3548,'working sheet'!$D$2:$D$3548,'Customer Portfolio'!A630)</f>
        <v>32.82</v>
      </c>
      <c r="F630" s="6">
        <f t="shared" si="18"/>
        <v>32.82</v>
      </c>
      <c r="G630" t="str">
        <f t="array" ref="G630">IFERROR(INDEX('working sheet'!$F$2:$F$3548, MODE(IF('working sheet'!$D$2:$D$3548=A630, MATCH('working sheet'!$F$2:$F$3548, 'working sheet'!$F$2:$F$3548, 0)))),
         INDEX('working sheet'!$F$2:$F$3548, MATCH(A630, 'working sheet'!$D$2:$D$3548, 0)))</f>
        <v>Latte</v>
      </c>
      <c r="H630" s="7">
        <f t="shared" si="19"/>
        <v>1</v>
      </c>
      <c r="I630" s="7">
        <f>MAX('working sheet'!$B$2:$B$3548)-C630</f>
        <v>187.22735512731742</v>
      </c>
      <c r="J630" s="4" t="str">
        <f t="array" ref="J630">IF(AND(I630&lt;=30, D630&gt;=10, E630&gt;=200), "VIP",  IF(AND(I630&lt;=60, D630&gt;=5, E630&gt;=100), "Loyal", IF(AND(I630&lt;=90, D630&gt;=3), "Regular", IF(I630&lt;=30, "Recent", IF(D630&gt;=3, "Occasional", "At Risk")))))</f>
        <v>At Risk</v>
      </c>
      <c r="K630" t="str">
        <f t="array" ref="K630">IF(OR(J630="VIP", J630="Loyal"), "HIGH",IF(OR(J630="Regular", J630="Recent"), "MEDIUM","LOW"))</f>
        <v>LOW</v>
      </c>
    </row>
    <row r="631" spans="1:11">
      <c r="A631" t="s">
        <v>644</v>
      </c>
      <c r="B631" s="14">
        <f>_xlfn.MINIFS('working sheet'!$B$2:$B$3548, 'working sheet'!$D$2:$D$3548, A631)</f>
        <v>45552.580222696757</v>
      </c>
      <c r="C631" s="17">
        <f>_xlfn.MAXIFS('working sheet'!$B$1:$B$3548,'working sheet'!$D$1:$D$3548,'Customer Portfolio'!A631)</f>
        <v>45552.688202731479</v>
      </c>
      <c r="D631">
        <f>COUNTIFS('working sheet'!$D$1:$D$3548,'Customer Portfolio'!A631)</f>
        <v>2</v>
      </c>
      <c r="E631" s="5">
        <f>SUMIFS('working sheet'!$E$2:$E$3548,'working sheet'!$D$2:$D$3548,'Customer Portfolio'!A631)</f>
        <v>55.84</v>
      </c>
      <c r="F631" s="6">
        <f t="shared" si="18"/>
        <v>27.92</v>
      </c>
      <c r="G631" t="str">
        <f t="array" ref="G631">IFERROR(INDEX('working sheet'!$F$2:$F$3548, MODE(IF('working sheet'!$D$2:$D$3548=A631, MATCH('working sheet'!$F$2:$F$3548, 'working sheet'!$F$2:$F$3548, 0)))),
         INDEX('working sheet'!$F$2:$F$3548, MATCH(A631, 'working sheet'!$D$2:$D$3548, 0)))</f>
        <v>Cortado</v>
      </c>
      <c r="H631" s="7">
        <f t="shared" si="19"/>
        <v>1.1079800347215496</v>
      </c>
      <c r="I631" s="7">
        <f>MAX('working sheet'!$B$2:$B$3548)-C631</f>
        <v>187.06988332176115</v>
      </c>
      <c r="J631" s="4" t="str">
        <f t="array" ref="J631">IF(AND(I631&lt;=30, D631&gt;=10, E631&gt;=200), "VIP",  IF(AND(I631&lt;=60, D631&gt;=5, E631&gt;=100), "Loyal", IF(AND(I631&lt;=90, D631&gt;=3), "Regular", IF(I631&lt;=30, "Recent", IF(D631&gt;=3, "Occasional", "At Risk")))))</f>
        <v>At Risk</v>
      </c>
      <c r="K631" t="str">
        <f t="array" ref="K631">IF(OR(J631="VIP", J631="Loyal"), "HIGH",IF(OR(J631="Regular", J631="Recent"), "MEDIUM","LOW"))</f>
        <v>LOW</v>
      </c>
    </row>
    <row r="632" spans="1:11">
      <c r="A632" t="s">
        <v>645</v>
      </c>
      <c r="B632" s="14">
        <f>_xlfn.MINIFS('working sheet'!$B$2:$B$3548, 'working sheet'!$D$2:$D$3548, A632)</f>
        <v>45552.787775266203</v>
      </c>
      <c r="C632" s="17">
        <f>_xlfn.MAXIFS('working sheet'!$B$1:$B$3548,'working sheet'!$D$1:$D$3548,'Customer Portfolio'!A632)</f>
        <v>45565.832858715279</v>
      </c>
      <c r="D632">
        <f>COUNTIFS('working sheet'!$D$1:$D$3548,'Customer Portfolio'!A632)</f>
        <v>3</v>
      </c>
      <c r="E632" s="5">
        <f>SUMIFS('working sheet'!$E$2:$E$3548,'working sheet'!$D$2:$D$3548,'Customer Portfolio'!A632)</f>
        <v>101.4</v>
      </c>
      <c r="F632" s="6">
        <f t="shared" si="18"/>
        <v>33.800000000000004</v>
      </c>
      <c r="G632" t="str">
        <f t="array" ref="G632">IFERROR(INDEX('working sheet'!$F$2:$F$3548, MODE(IF('working sheet'!$D$2:$D$3548=A632, MATCH('working sheet'!$F$2:$F$3548, 'working sheet'!$F$2:$F$3548, 0)))),
         INDEX('working sheet'!$F$2:$F$3548, MATCH(A632, 'working sheet'!$D$2:$D$3548, 0)))</f>
        <v>Latte</v>
      </c>
      <c r="H632" s="7">
        <f t="shared" si="19"/>
        <v>14.045083449076628</v>
      </c>
      <c r="I632" s="7">
        <f>MAX('working sheet'!$B$2:$B$3548)-C632</f>
        <v>173.92522733796068</v>
      </c>
      <c r="J632" s="4" t="str">
        <f t="array" ref="J632">IF(AND(I632&lt;=30, D632&gt;=10, E632&gt;=200), "VIP",  IF(AND(I632&lt;=60, D632&gt;=5, E632&gt;=100), "Loyal", IF(AND(I632&lt;=90, D632&gt;=3), "Regular", IF(I632&lt;=30, "Recent", IF(D632&gt;=3, "Occasional", "At Risk")))))</f>
        <v>Occasional</v>
      </c>
      <c r="K632" t="str">
        <f t="array" ref="K632">IF(OR(J632="VIP", J632="Loyal"), "HIGH",IF(OR(J632="Regular", J632="Recent"), "MEDIUM","LOW"))</f>
        <v>LOW</v>
      </c>
    </row>
    <row r="633" spans="1:11">
      <c r="A633" t="s">
        <v>646</v>
      </c>
      <c r="B633" s="14">
        <f>_xlfn.MINIFS('working sheet'!$B$2:$B$3548, 'working sheet'!$D$2:$D$3548, A633)</f>
        <v>45552.792198067131</v>
      </c>
      <c r="C633" s="17">
        <f>_xlfn.MAXIFS('working sheet'!$B$1:$B$3548,'working sheet'!$D$1:$D$3548,'Customer Portfolio'!A633)</f>
        <v>45552.792198067131</v>
      </c>
      <c r="D633">
        <f>COUNTIFS('working sheet'!$D$1:$D$3548,'Customer Portfolio'!A633)</f>
        <v>1</v>
      </c>
      <c r="E633" s="5">
        <f>SUMIFS('working sheet'!$E$2:$E$3548,'working sheet'!$D$2:$D$3548,'Customer Portfolio'!A633)</f>
        <v>27.92</v>
      </c>
      <c r="F633" s="6">
        <f t="shared" si="18"/>
        <v>27.92</v>
      </c>
      <c r="G633" t="str">
        <f t="array" ref="G633">IFERROR(INDEX('working sheet'!$F$2:$F$3548, MODE(IF('working sheet'!$D$2:$D$3548=A633, MATCH('working sheet'!$F$2:$F$3548, 'working sheet'!$F$2:$F$3548, 0)))),
         INDEX('working sheet'!$F$2:$F$3548, MATCH(A633, 'working sheet'!$D$2:$D$3548, 0)))</f>
        <v>Americano with Milk</v>
      </c>
      <c r="H633" s="7">
        <f t="shared" si="19"/>
        <v>1</v>
      </c>
      <c r="I633" s="7">
        <f>MAX('working sheet'!$B$2:$B$3548)-C633</f>
        <v>186.96588798610901</v>
      </c>
      <c r="J633" s="4" t="str">
        <f t="array" ref="J633">IF(AND(I633&lt;=30, D633&gt;=10, E633&gt;=200), "VIP",  IF(AND(I633&lt;=60, D633&gt;=5, E633&gt;=100), "Loyal", IF(AND(I633&lt;=90, D633&gt;=3), "Regular", IF(I633&lt;=30, "Recent", IF(D633&gt;=3, "Occasional", "At Risk")))))</f>
        <v>At Risk</v>
      </c>
      <c r="K633" t="str">
        <f t="array" ref="K633">IF(OR(J633="VIP", J633="Loyal"), "HIGH",IF(OR(J633="Regular", J633="Recent"), "MEDIUM","LOW"))</f>
        <v>LOW</v>
      </c>
    </row>
    <row r="634" spans="1:11">
      <c r="A634" t="s">
        <v>647</v>
      </c>
      <c r="B634" s="14">
        <f>_xlfn.MINIFS('working sheet'!$B$2:$B$3548, 'working sheet'!$D$2:$D$3548, A634)</f>
        <v>45552.79436659722</v>
      </c>
      <c r="C634" s="17">
        <f>_xlfn.MAXIFS('working sheet'!$B$1:$B$3548,'working sheet'!$D$1:$D$3548,'Customer Portfolio'!A634)</f>
        <v>45565.834516099538</v>
      </c>
      <c r="D634">
        <f>COUNTIFS('working sheet'!$D$1:$D$3548,'Customer Portfolio'!A634)</f>
        <v>2</v>
      </c>
      <c r="E634" s="5">
        <f>SUMIFS('working sheet'!$E$2:$E$3548,'working sheet'!$D$2:$D$3548,'Customer Portfolio'!A634)</f>
        <v>58.78</v>
      </c>
      <c r="F634" s="6">
        <f t="shared" si="18"/>
        <v>29.39</v>
      </c>
      <c r="G634" t="str">
        <f t="array" ref="G634">IFERROR(INDEX('working sheet'!$F$2:$F$3548, MODE(IF('working sheet'!$D$2:$D$3548=A634, MATCH('working sheet'!$F$2:$F$3548, 'working sheet'!$F$2:$F$3548, 0)))),
         INDEX('working sheet'!$F$2:$F$3548, MATCH(A634, 'working sheet'!$D$2:$D$3548, 0)))</f>
        <v>Americano with Milk</v>
      </c>
      <c r="H634" s="7">
        <f t="shared" si="19"/>
        <v>14.040149502317945</v>
      </c>
      <c r="I634" s="7">
        <f>MAX('working sheet'!$B$2:$B$3548)-C634</f>
        <v>173.9235699537021</v>
      </c>
      <c r="J634" s="4" t="str">
        <f t="array" ref="J634">IF(AND(I634&lt;=30, D634&gt;=10, E634&gt;=200), "VIP",  IF(AND(I634&lt;=60, D634&gt;=5, E634&gt;=100), "Loyal", IF(AND(I634&lt;=90, D634&gt;=3), "Regular", IF(I634&lt;=30, "Recent", IF(D634&gt;=3, "Occasional", "At Risk")))))</f>
        <v>At Risk</v>
      </c>
      <c r="K634" t="str">
        <f t="array" ref="K634">IF(OR(J634="VIP", J634="Loyal"), "HIGH",IF(OR(J634="Regular", J634="Recent"), "MEDIUM","LOW"))</f>
        <v>LOW</v>
      </c>
    </row>
    <row r="635" spans="1:11">
      <c r="A635" t="s">
        <v>648</v>
      </c>
      <c r="B635" s="14">
        <f>_xlfn.MINIFS('working sheet'!$B$2:$B$3548, 'working sheet'!$D$2:$D$3548, A635)</f>
        <v>45552.800554456022</v>
      </c>
      <c r="C635" s="17">
        <f>_xlfn.MAXIFS('working sheet'!$B$1:$B$3548,'working sheet'!$D$1:$D$3548,'Customer Portfolio'!A635)</f>
        <v>45672.651339432872</v>
      </c>
      <c r="D635">
        <f>COUNTIFS('working sheet'!$D$1:$D$3548,'Customer Portfolio'!A635)</f>
        <v>7</v>
      </c>
      <c r="E635" s="5">
        <f>SUMIFS('working sheet'!$E$2:$E$3548,'working sheet'!$D$2:$D$3548,'Customer Portfolio'!A635)</f>
        <v>225.81999999999996</v>
      </c>
      <c r="F635" s="6">
        <f t="shared" si="18"/>
        <v>32.26</v>
      </c>
      <c r="G635" t="str">
        <f t="array" ref="G635">IFERROR(INDEX('working sheet'!$F$2:$F$3548, MODE(IF('working sheet'!$D$2:$D$3548=A635, MATCH('working sheet'!$F$2:$F$3548, 'working sheet'!$F$2:$F$3548, 0)))),
         INDEX('working sheet'!$F$2:$F$3548, MATCH(A635, 'working sheet'!$D$2:$D$3548, 0)))</f>
        <v>Latte</v>
      </c>
      <c r="H635" s="7">
        <f t="shared" si="19"/>
        <v>120.85078497685026</v>
      </c>
      <c r="I635" s="7">
        <f>MAX('working sheet'!$B$2:$B$3548)-C635</f>
        <v>67.10674662036763</v>
      </c>
      <c r="J635" s="4" t="str">
        <f t="array" ref="J635">IF(AND(I635&lt;=30, D635&gt;=10, E635&gt;=200), "VIP",  IF(AND(I635&lt;=60, D635&gt;=5, E635&gt;=100), "Loyal", IF(AND(I635&lt;=90, D635&gt;=3), "Regular", IF(I635&lt;=30, "Recent", IF(D635&gt;=3, "Occasional", "At Risk")))))</f>
        <v>Regular</v>
      </c>
      <c r="K635" t="str">
        <f t="array" ref="K635">IF(OR(J635="VIP", J635="Loyal"), "HIGH",IF(OR(J635="Regular", J635="Recent"), "MEDIUM","LOW"))</f>
        <v>MEDIUM</v>
      </c>
    </row>
    <row r="636" spans="1:11">
      <c r="A636" t="s">
        <v>649</v>
      </c>
      <c r="B636" s="14">
        <f>_xlfn.MINIFS('working sheet'!$B$2:$B$3548, 'working sheet'!$D$2:$D$3548, A636)</f>
        <v>45552.813858425929</v>
      </c>
      <c r="C636" s="17">
        <f>_xlfn.MAXIFS('working sheet'!$B$1:$B$3548,'working sheet'!$D$1:$D$3548,'Customer Portfolio'!A636)</f>
        <v>45552.813858425929</v>
      </c>
      <c r="D636">
        <f>COUNTIFS('working sheet'!$D$1:$D$3548,'Customer Portfolio'!A636)</f>
        <v>1</v>
      </c>
      <c r="E636" s="5">
        <f>SUMIFS('working sheet'!$E$2:$E$3548,'working sheet'!$D$2:$D$3548,'Customer Portfolio'!A636)</f>
        <v>27.92</v>
      </c>
      <c r="F636" s="6">
        <f t="shared" si="18"/>
        <v>27.92</v>
      </c>
      <c r="G636" t="str">
        <f t="array" ref="G636">IFERROR(INDEX('working sheet'!$F$2:$F$3548, MODE(IF('working sheet'!$D$2:$D$3548=A636, MATCH('working sheet'!$F$2:$F$3548, 'working sheet'!$F$2:$F$3548, 0)))),
         INDEX('working sheet'!$F$2:$F$3548, MATCH(A636, 'working sheet'!$D$2:$D$3548, 0)))</f>
        <v>Americano with Milk</v>
      </c>
      <c r="H636" s="7">
        <f t="shared" si="19"/>
        <v>1</v>
      </c>
      <c r="I636" s="7">
        <f>MAX('working sheet'!$B$2:$B$3548)-C636</f>
        <v>186.94422762731119</v>
      </c>
      <c r="J636" s="4" t="str">
        <f t="array" ref="J636">IF(AND(I636&lt;=30, D636&gt;=10, E636&gt;=200), "VIP",  IF(AND(I636&lt;=60, D636&gt;=5, E636&gt;=100), "Loyal", IF(AND(I636&lt;=90, D636&gt;=3), "Regular", IF(I636&lt;=30, "Recent", IF(D636&gt;=3, "Occasional", "At Risk")))))</f>
        <v>At Risk</v>
      </c>
      <c r="K636" t="str">
        <f t="array" ref="K636">IF(OR(J636="VIP", J636="Loyal"), "HIGH",IF(OR(J636="Regular", J636="Recent"), "MEDIUM","LOW"))</f>
        <v>LOW</v>
      </c>
    </row>
    <row r="637" spans="1:11">
      <c r="A637" t="s">
        <v>650</v>
      </c>
      <c r="B637" s="14">
        <f>_xlfn.MINIFS('working sheet'!$B$2:$B$3548, 'working sheet'!$D$2:$D$3548, A637)</f>
        <v>45552.930277557869</v>
      </c>
      <c r="C637" s="17">
        <f>_xlfn.MAXIFS('working sheet'!$B$1:$B$3548,'working sheet'!$D$1:$D$3548,'Customer Portfolio'!A637)</f>
        <v>45648.851814027781</v>
      </c>
      <c r="D637">
        <f>COUNTIFS('working sheet'!$D$1:$D$3548,'Customer Portfolio'!A637)</f>
        <v>5</v>
      </c>
      <c r="E637" s="5">
        <f>SUMIFS('working sheet'!$E$2:$E$3548,'working sheet'!$D$2:$D$3548,'Customer Portfolio'!A637)</f>
        <v>175.85999999999999</v>
      </c>
      <c r="F637" s="6">
        <f t="shared" si="18"/>
        <v>35.171999999999997</v>
      </c>
      <c r="G637" t="str">
        <f t="array" ref="G637">IFERROR(INDEX('working sheet'!$F$2:$F$3548, MODE(IF('working sheet'!$D$2:$D$3548=A637, MATCH('working sheet'!$F$2:$F$3548, 'working sheet'!$F$2:$F$3548, 0)))),
         INDEX('working sheet'!$F$2:$F$3548, MATCH(A637, 'working sheet'!$D$2:$D$3548, 0)))</f>
        <v>Hot Chocolate</v>
      </c>
      <c r="H637" s="7">
        <f t="shared" si="19"/>
        <v>96.921536469912098</v>
      </c>
      <c r="I637" s="7">
        <f>MAX('working sheet'!$B$2:$B$3548)-C637</f>
        <v>90.906272025458748</v>
      </c>
      <c r="J637" s="4" t="str">
        <f t="array" ref="J637">IF(AND(I637&lt;=30, D637&gt;=10, E637&gt;=200), "VIP",  IF(AND(I637&lt;=60, D637&gt;=5, E637&gt;=100), "Loyal", IF(AND(I637&lt;=90, D637&gt;=3), "Regular", IF(I637&lt;=30, "Recent", IF(D637&gt;=3, "Occasional", "At Risk")))))</f>
        <v>Occasional</v>
      </c>
      <c r="K637" t="str">
        <f t="array" ref="K637">IF(OR(J637="VIP", J637="Loyal"), "HIGH",IF(OR(J637="Regular", J637="Recent"), "MEDIUM","LOW"))</f>
        <v>LOW</v>
      </c>
    </row>
    <row r="638" spans="1:11">
      <c r="A638" t="s">
        <v>651</v>
      </c>
      <c r="B638" s="14">
        <f>_xlfn.MINIFS('working sheet'!$B$2:$B$3548, 'working sheet'!$D$2:$D$3548, A638)</f>
        <v>45552.930780671297</v>
      </c>
      <c r="C638" s="17">
        <f>_xlfn.MAXIFS('working sheet'!$B$1:$B$3548,'working sheet'!$D$1:$D$3548,'Customer Portfolio'!A638)</f>
        <v>45621.904866319448</v>
      </c>
      <c r="D638">
        <f>COUNTIFS('working sheet'!$D$1:$D$3548,'Customer Portfolio'!A638)</f>
        <v>17</v>
      </c>
      <c r="E638" s="5">
        <f>SUMIFS('working sheet'!$E$2:$E$3548,'working sheet'!$D$2:$D$3548,'Customer Portfolio'!A638)</f>
        <v>594.19999999999993</v>
      </c>
      <c r="F638" s="6">
        <f t="shared" si="18"/>
        <v>34.952941176470581</v>
      </c>
      <c r="G638" t="str">
        <f t="array" ref="G638">IFERROR(INDEX('working sheet'!$F$2:$F$3548, MODE(IF('working sheet'!$D$2:$D$3548=A638, MATCH('working sheet'!$F$2:$F$3548, 'working sheet'!$F$2:$F$3548, 0)))),
         INDEX('working sheet'!$F$2:$F$3548, MATCH(A638, 'working sheet'!$D$2:$D$3548, 0)))</f>
        <v>Hot Chocolate</v>
      </c>
      <c r="H638" s="7">
        <f t="shared" si="19"/>
        <v>69.974085648151231</v>
      </c>
      <c r="I638" s="7">
        <f>MAX('working sheet'!$B$2:$B$3548)-C638</f>
        <v>117.85321973379178</v>
      </c>
      <c r="J638" s="4" t="str">
        <f t="array" ref="J638">IF(AND(I638&lt;=30, D638&gt;=10, E638&gt;=200), "VIP",  IF(AND(I638&lt;=60, D638&gt;=5, E638&gt;=100), "Loyal", IF(AND(I638&lt;=90, D638&gt;=3), "Regular", IF(I638&lt;=30, "Recent", IF(D638&gt;=3, "Occasional", "At Risk")))))</f>
        <v>Occasional</v>
      </c>
      <c r="K638" t="str">
        <f t="array" ref="K638">IF(OR(J638="VIP", J638="Loyal"), "HIGH",IF(OR(J638="Regular", J638="Recent"), "MEDIUM","LOW"))</f>
        <v>LOW</v>
      </c>
    </row>
    <row r="639" spans="1:11">
      <c r="A639" t="s">
        <v>652</v>
      </c>
      <c r="B639" s="14">
        <f>_xlfn.MINIFS('working sheet'!$B$2:$B$3548, 'working sheet'!$D$2:$D$3548, A639)</f>
        <v>45553.604038171296</v>
      </c>
      <c r="C639" s="17">
        <f>_xlfn.MAXIFS('working sheet'!$B$1:$B$3548,'working sheet'!$D$1:$D$3548,'Customer Portfolio'!A639)</f>
        <v>45553.604038171296</v>
      </c>
      <c r="D639">
        <f>COUNTIFS('working sheet'!$D$1:$D$3548,'Customer Portfolio'!A639)</f>
        <v>1</v>
      </c>
      <c r="E639" s="5">
        <f>SUMIFS('working sheet'!$E$2:$E$3548,'working sheet'!$D$2:$D$3548,'Customer Portfolio'!A639)</f>
        <v>32.82</v>
      </c>
      <c r="F639" s="6">
        <f t="shared" si="18"/>
        <v>32.82</v>
      </c>
      <c r="G639" t="str">
        <f t="array" ref="G639">IFERROR(INDEX('working sheet'!$F$2:$F$3548, MODE(IF('working sheet'!$D$2:$D$3548=A639, MATCH('working sheet'!$F$2:$F$3548, 'working sheet'!$F$2:$F$3548, 0)))),
         INDEX('working sheet'!$F$2:$F$3548, MATCH(A639, 'working sheet'!$D$2:$D$3548, 0)))</f>
        <v>Latte</v>
      </c>
      <c r="H639" s="7">
        <f t="shared" si="19"/>
        <v>1</v>
      </c>
      <c r="I639" s="7">
        <f>MAX('working sheet'!$B$2:$B$3548)-C639</f>
        <v>186.15404788194428</v>
      </c>
      <c r="J639" s="4" t="str">
        <f t="array" ref="J639">IF(AND(I639&lt;=30, D639&gt;=10, E639&gt;=200), "VIP",  IF(AND(I639&lt;=60, D639&gt;=5, E639&gt;=100), "Loyal", IF(AND(I639&lt;=90, D639&gt;=3), "Regular", IF(I639&lt;=30, "Recent", IF(D639&gt;=3, "Occasional", "At Risk")))))</f>
        <v>At Risk</v>
      </c>
      <c r="K639" t="str">
        <f t="array" ref="K639">IF(OR(J639="VIP", J639="Loyal"), "HIGH",IF(OR(J639="Regular", J639="Recent"), "MEDIUM","LOW"))</f>
        <v>LOW</v>
      </c>
    </row>
    <row r="640" spans="1:11">
      <c r="A640" t="s">
        <v>653</v>
      </c>
      <c r="B640" s="14">
        <f>_xlfn.MINIFS('working sheet'!$B$2:$B$3548, 'working sheet'!$D$2:$D$3548, A640)</f>
        <v>45553.732172048614</v>
      </c>
      <c r="C640" s="17">
        <f>_xlfn.MAXIFS('working sheet'!$B$1:$B$3548,'working sheet'!$D$1:$D$3548,'Customer Portfolio'!A640)</f>
        <v>45553.732172048614</v>
      </c>
      <c r="D640">
        <f>COUNTIFS('working sheet'!$D$1:$D$3548,'Customer Portfolio'!A640)</f>
        <v>1</v>
      </c>
      <c r="E640" s="5">
        <f>SUMIFS('working sheet'!$E$2:$E$3548,'working sheet'!$D$2:$D$3548,'Customer Portfolio'!A640)</f>
        <v>32.82</v>
      </c>
      <c r="F640" s="6">
        <f t="shared" si="18"/>
        <v>32.82</v>
      </c>
      <c r="G640" t="str">
        <f t="array" ref="G640">IFERROR(INDEX('working sheet'!$F$2:$F$3548, MODE(IF('working sheet'!$D$2:$D$3548=A640, MATCH('working sheet'!$F$2:$F$3548, 'working sheet'!$F$2:$F$3548, 0)))),
         INDEX('working sheet'!$F$2:$F$3548, MATCH(A640, 'working sheet'!$D$2:$D$3548, 0)))</f>
        <v>Latte</v>
      </c>
      <c r="H640" s="7">
        <f t="shared" si="19"/>
        <v>1</v>
      </c>
      <c r="I640" s="7">
        <f>MAX('working sheet'!$B$2:$B$3548)-C640</f>
        <v>186.02591400462552</v>
      </c>
      <c r="J640" s="4" t="str">
        <f t="array" ref="J640">IF(AND(I640&lt;=30, D640&gt;=10, E640&gt;=200), "VIP",  IF(AND(I640&lt;=60, D640&gt;=5, E640&gt;=100), "Loyal", IF(AND(I640&lt;=90, D640&gt;=3), "Regular", IF(I640&lt;=30, "Recent", IF(D640&gt;=3, "Occasional", "At Risk")))))</f>
        <v>At Risk</v>
      </c>
      <c r="K640" t="str">
        <f t="array" ref="K640">IF(OR(J640="VIP", J640="Loyal"), "HIGH",IF(OR(J640="Regular", J640="Recent"), "MEDIUM","LOW"))</f>
        <v>LOW</v>
      </c>
    </row>
    <row r="641" spans="1:11">
      <c r="A641" t="s">
        <v>654</v>
      </c>
      <c r="B641" s="14">
        <f>_xlfn.MINIFS('working sheet'!$B$2:$B$3548, 'working sheet'!$D$2:$D$3548, A641)</f>
        <v>45554.573407025462</v>
      </c>
      <c r="C641" s="17">
        <f>_xlfn.MAXIFS('working sheet'!$B$1:$B$3548,'working sheet'!$D$1:$D$3548,'Customer Portfolio'!A641)</f>
        <v>45554.573407025462</v>
      </c>
      <c r="D641">
        <f>COUNTIFS('working sheet'!$D$1:$D$3548,'Customer Portfolio'!A641)</f>
        <v>1</v>
      </c>
      <c r="E641" s="5">
        <f>SUMIFS('working sheet'!$E$2:$E$3548,'working sheet'!$D$2:$D$3548,'Customer Portfolio'!A641)</f>
        <v>23.02</v>
      </c>
      <c r="F641" s="6">
        <f t="shared" si="18"/>
        <v>23.02</v>
      </c>
      <c r="G641" t="str">
        <f t="array" ref="G641">IFERROR(INDEX('working sheet'!$F$2:$F$3548, MODE(IF('working sheet'!$D$2:$D$3548=A641, MATCH('working sheet'!$F$2:$F$3548, 'working sheet'!$F$2:$F$3548, 0)))),
         INDEX('working sheet'!$F$2:$F$3548, MATCH(A641, 'working sheet'!$D$2:$D$3548, 0)))</f>
        <v>Cortado</v>
      </c>
      <c r="H641" s="7">
        <f t="shared" si="19"/>
        <v>1</v>
      </c>
      <c r="I641" s="7">
        <f>MAX('working sheet'!$B$2:$B$3548)-C641</f>
        <v>185.18467902777775</v>
      </c>
      <c r="J641" s="4" t="str">
        <f t="array" ref="J641">IF(AND(I641&lt;=30, D641&gt;=10, E641&gt;=200), "VIP",  IF(AND(I641&lt;=60, D641&gt;=5, E641&gt;=100), "Loyal", IF(AND(I641&lt;=90, D641&gt;=3), "Regular", IF(I641&lt;=30, "Recent", IF(D641&gt;=3, "Occasional", "At Risk")))))</f>
        <v>At Risk</v>
      </c>
      <c r="K641" t="str">
        <f t="array" ref="K641">IF(OR(J641="VIP", J641="Loyal"), "HIGH",IF(OR(J641="Regular", J641="Recent"), "MEDIUM","LOW"))</f>
        <v>LOW</v>
      </c>
    </row>
    <row r="642" spans="1:11">
      <c r="A642" t="s">
        <v>655</v>
      </c>
      <c r="B642" s="14">
        <f>_xlfn.MINIFS('working sheet'!$B$2:$B$3548, 'working sheet'!$D$2:$D$3548, A642)</f>
        <v>45555.407122685188</v>
      </c>
      <c r="C642" s="17">
        <f>_xlfn.MAXIFS('working sheet'!$B$1:$B$3548,'working sheet'!$D$1:$D$3548,'Customer Portfolio'!A642)</f>
        <v>45558.92725645833</v>
      </c>
      <c r="D642">
        <f>COUNTIFS('working sheet'!$D$1:$D$3548,'Customer Portfolio'!A642)</f>
        <v>3</v>
      </c>
      <c r="E642" s="5">
        <f>SUMIFS('working sheet'!$E$2:$E$3548,'working sheet'!$D$2:$D$3548,'Customer Portfolio'!A642)</f>
        <v>83.76</v>
      </c>
      <c r="F642" s="6">
        <f t="shared" si="18"/>
        <v>27.92</v>
      </c>
      <c r="G642" t="str">
        <f t="array" ref="G642">IFERROR(INDEX('working sheet'!$F$2:$F$3548, MODE(IF('working sheet'!$D$2:$D$3548=A642, MATCH('working sheet'!$F$2:$F$3548, 'working sheet'!$F$2:$F$3548, 0)))),
         INDEX('working sheet'!$F$2:$F$3548, MATCH(A642, 'working sheet'!$D$2:$D$3548, 0)))</f>
        <v>Americano with Milk</v>
      </c>
      <c r="H642" s="7">
        <f t="shared" si="19"/>
        <v>4.5201337731414242</v>
      </c>
      <c r="I642" s="7">
        <f>MAX('working sheet'!$B$2:$B$3548)-C642</f>
        <v>180.83082959491003</v>
      </c>
      <c r="J642" s="4" t="str">
        <f t="array" ref="J642">IF(AND(I642&lt;=30, D642&gt;=10, E642&gt;=200), "VIP",  IF(AND(I642&lt;=60, D642&gt;=5, E642&gt;=100), "Loyal", IF(AND(I642&lt;=90, D642&gt;=3), "Regular", IF(I642&lt;=30, "Recent", IF(D642&gt;=3, "Occasional", "At Risk")))))</f>
        <v>Occasional</v>
      </c>
      <c r="K642" t="str">
        <f t="array" ref="K642">IF(OR(J642="VIP", J642="Loyal"), "HIGH",IF(OR(J642="Regular", J642="Recent"), "MEDIUM","LOW"))</f>
        <v>LOW</v>
      </c>
    </row>
    <row r="643" spans="1:11">
      <c r="A643" t="s">
        <v>656</v>
      </c>
      <c r="B643" s="14">
        <f>_xlfn.MINIFS('working sheet'!$B$2:$B$3548, 'working sheet'!$D$2:$D$3548, A643)</f>
        <v>45555.669092719909</v>
      </c>
      <c r="C643" s="17">
        <f>_xlfn.MAXIFS('working sheet'!$B$1:$B$3548,'working sheet'!$D$1:$D$3548,'Customer Portfolio'!A643)</f>
        <v>45555.669092719909</v>
      </c>
      <c r="D643">
        <f>COUNTIFS('working sheet'!$D$1:$D$3548,'Customer Portfolio'!A643)</f>
        <v>1</v>
      </c>
      <c r="E643" s="5">
        <f>SUMIFS('working sheet'!$E$2:$E$3548,'working sheet'!$D$2:$D$3548,'Customer Portfolio'!A643)</f>
        <v>32.82</v>
      </c>
      <c r="F643" s="6">
        <f t="shared" ref="F643:F706" si="20">E643/D643</f>
        <v>32.82</v>
      </c>
      <c r="G643" t="str">
        <f t="array" ref="G643">IFERROR(INDEX('working sheet'!$F$2:$F$3548, MODE(IF('working sheet'!$D$2:$D$3548=A643, MATCH('working sheet'!$F$2:$F$3548, 'working sheet'!$F$2:$F$3548, 0)))),
         INDEX('working sheet'!$F$2:$F$3548, MATCH(A643, 'working sheet'!$D$2:$D$3548, 0)))</f>
        <v>Latte</v>
      </c>
      <c r="H643" s="7">
        <f t="shared" ref="H643:H706" si="21">C643-B643+1</f>
        <v>1</v>
      </c>
      <c r="I643" s="7">
        <f>MAX('working sheet'!$B$2:$B$3548)-C643</f>
        <v>184.08899333333102</v>
      </c>
      <c r="J643" s="4" t="str">
        <f t="array" ref="J643">IF(AND(I643&lt;=30, D643&gt;=10, E643&gt;=200), "VIP",  IF(AND(I643&lt;=60, D643&gt;=5, E643&gt;=100), "Loyal", IF(AND(I643&lt;=90, D643&gt;=3), "Regular", IF(I643&lt;=30, "Recent", IF(D643&gt;=3, "Occasional", "At Risk")))))</f>
        <v>At Risk</v>
      </c>
      <c r="K643" t="str">
        <f t="array" ref="K643">IF(OR(J643="VIP", J643="Loyal"), "HIGH",IF(OR(J643="Regular", J643="Recent"), "MEDIUM","LOW"))</f>
        <v>LOW</v>
      </c>
    </row>
    <row r="644" spans="1:11">
      <c r="A644" t="s">
        <v>657</v>
      </c>
      <c r="B644" s="14">
        <f>_xlfn.MINIFS('working sheet'!$B$2:$B$3548, 'working sheet'!$D$2:$D$3548, A644)</f>
        <v>45555.860684363426</v>
      </c>
      <c r="C644" s="17">
        <f>_xlfn.MAXIFS('working sheet'!$B$1:$B$3548,'working sheet'!$D$1:$D$3548,'Customer Portfolio'!A644)</f>
        <v>45555.860684363426</v>
      </c>
      <c r="D644">
        <f>COUNTIFS('working sheet'!$D$1:$D$3548,'Customer Portfolio'!A644)</f>
        <v>1</v>
      </c>
      <c r="E644" s="5">
        <f>SUMIFS('working sheet'!$E$2:$E$3548,'working sheet'!$D$2:$D$3548,'Customer Portfolio'!A644)</f>
        <v>23.02</v>
      </c>
      <c r="F644" s="6">
        <f t="shared" si="20"/>
        <v>23.02</v>
      </c>
      <c r="G644" t="str">
        <f t="array" ref="G644">IFERROR(INDEX('working sheet'!$F$2:$F$3548, MODE(IF('working sheet'!$D$2:$D$3548=A644, MATCH('working sheet'!$F$2:$F$3548, 'working sheet'!$F$2:$F$3548, 0)))),
         INDEX('working sheet'!$F$2:$F$3548, MATCH(A644, 'working sheet'!$D$2:$D$3548, 0)))</f>
        <v>Americano</v>
      </c>
      <c r="H644" s="7">
        <f t="shared" si="21"/>
        <v>1</v>
      </c>
      <c r="I644" s="7">
        <f>MAX('working sheet'!$B$2:$B$3548)-C644</f>
        <v>183.89740168981371</v>
      </c>
      <c r="J644" s="4" t="str">
        <f t="array" ref="J644">IF(AND(I644&lt;=30, D644&gt;=10, E644&gt;=200), "VIP",  IF(AND(I644&lt;=60, D644&gt;=5, E644&gt;=100), "Loyal", IF(AND(I644&lt;=90, D644&gt;=3), "Regular", IF(I644&lt;=30, "Recent", IF(D644&gt;=3, "Occasional", "At Risk")))))</f>
        <v>At Risk</v>
      </c>
      <c r="K644" t="str">
        <f t="array" ref="K644">IF(OR(J644="VIP", J644="Loyal"), "HIGH",IF(OR(J644="Regular", J644="Recent"), "MEDIUM","LOW"))</f>
        <v>LOW</v>
      </c>
    </row>
    <row r="645" spans="1:11">
      <c r="A645" t="s">
        <v>658</v>
      </c>
      <c r="B645" s="14">
        <f>_xlfn.MINIFS('working sheet'!$B$2:$B$3548, 'working sheet'!$D$2:$D$3548, A645)</f>
        <v>45556.459200787038</v>
      </c>
      <c r="C645" s="17">
        <f>_xlfn.MAXIFS('working sheet'!$B$1:$B$3548,'working sheet'!$D$1:$D$3548,'Customer Portfolio'!A645)</f>
        <v>45556.459881967596</v>
      </c>
      <c r="D645">
        <f>COUNTIFS('working sheet'!$D$1:$D$3548,'Customer Portfolio'!A645)</f>
        <v>2</v>
      </c>
      <c r="E645" s="5">
        <f>SUMIFS('working sheet'!$E$2:$E$3548,'working sheet'!$D$2:$D$3548,'Customer Portfolio'!A645)</f>
        <v>65.64</v>
      </c>
      <c r="F645" s="6">
        <f t="shared" si="20"/>
        <v>32.82</v>
      </c>
      <c r="G645" t="str">
        <f t="array" ref="G645">IFERROR(INDEX('working sheet'!$F$2:$F$3548, MODE(IF('working sheet'!$D$2:$D$3548=A645, MATCH('working sheet'!$F$2:$F$3548, 'working sheet'!$F$2:$F$3548, 0)))),
         INDEX('working sheet'!$F$2:$F$3548, MATCH(A645, 'working sheet'!$D$2:$D$3548, 0)))</f>
        <v>Latte</v>
      </c>
      <c r="H645" s="7">
        <f t="shared" si="21"/>
        <v>1.0006811805578764</v>
      </c>
      <c r="I645" s="7">
        <f>MAX('working sheet'!$B$2:$B$3548)-C645</f>
        <v>183.2982040856441</v>
      </c>
      <c r="J645" s="4" t="str">
        <f t="array" ref="J645">IF(AND(I645&lt;=30, D645&gt;=10, E645&gt;=200), "VIP",  IF(AND(I645&lt;=60, D645&gt;=5, E645&gt;=100), "Loyal", IF(AND(I645&lt;=90, D645&gt;=3), "Regular", IF(I645&lt;=30, "Recent", IF(D645&gt;=3, "Occasional", "At Risk")))))</f>
        <v>At Risk</v>
      </c>
      <c r="K645" t="str">
        <f t="array" ref="K645">IF(OR(J645="VIP", J645="Loyal"), "HIGH",IF(OR(J645="Regular", J645="Recent"), "MEDIUM","LOW"))</f>
        <v>LOW</v>
      </c>
    </row>
    <row r="646" spans="1:11">
      <c r="A646" t="s">
        <v>659</v>
      </c>
      <c r="B646" s="14">
        <f>_xlfn.MINIFS('working sheet'!$B$2:$B$3548, 'working sheet'!$D$2:$D$3548, A646)</f>
        <v>45556.632052870373</v>
      </c>
      <c r="C646" s="17">
        <f>_xlfn.MAXIFS('working sheet'!$B$1:$B$3548,'working sheet'!$D$1:$D$3548,'Customer Portfolio'!A646)</f>
        <v>45556.632052870373</v>
      </c>
      <c r="D646">
        <f>COUNTIFS('working sheet'!$D$1:$D$3548,'Customer Portfolio'!A646)</f>
        <v>1</v>
      </c>
      <c r="E646" s="5">
        <f>SUMIFS('working sheet'!$E$2:$E$3548,'working sheet'!$D$2:$D$3548,'Customer Portfolio'!A646)</f>
        <v>32.82</v>
      </c>
      <c r="F646" s="6">
        <f t="shared" si="20"/>
        <v>32.82</v>
      </c>
      <c r="G646" t="str">
        <f t="array" ref="G646">IFERROR(INDEX('working sheet'!$F$2:$F$3548, MODE(IF('working sheet'!$D$2:$D$3548=A646, MATCH('working sheet'!$F$2:$F$3548, 'working sheet'!$F$2:$F$3548, 0)))),
         INDEX('working sheet'!$F$2:$F$3548, MATCH(A646, 'working sheet'!$D$2:$D$3548, 0)))</f>
        <v>Cappuccino</v>
      </c>
      <c r="H646" s="7">
        <f t="shared" si="21"/>
        <v>1</v>
      </c>
      <c r="I646" s="7">
        <f>MAX('working sheet'!$B$2:$B$3548)-C646</f>
        <v>183.1260331828671</v>
      </c>
      <c r="J646" s="4" t="str">
        <f t="array" ref="J646">IF(AND(I646&lt;=30, D646&gt;=10, E646&gt;=200), "VIP",  IF(AND(I646&lt;=60, D646&gt;=5, E646&gt;=100), "Loyal", IF(AND(I646&lt;=90, D646&gt;=3), "Regular", IF(I646&lt;=30, "Recent", IF(D646&gt;=3, "Occasional", "At Risk")))))</f>
        <v>At Risk</v>
      </c>
      <c r="K646" t="str">
        <f t="array" ref="K646">IF(OR(J646="VIP", J646="Loyal"), "HIGH",IF(OR(J646="Regular", J646="Recent"), "MEDIUM","LOW"))</f>
        <v>LOW</v>
      </c>
    </row>
    <row r="647" spans="1:11">
      <c r="A647" t="s">
        <v>660</v>
      </c>
      <c r="B647" s="14">
        <f>_xlfn.MINIFS('working sheet'!$B$2:$B$3548, 'working sheet'!$D$2:$D$3548, A647)</f>
        <v>45556.650157511576</v>
      </c>
      <c r="C647" s="17">
        <f>_xlfn.MAXIFS('working sheet'!$B$1:$B$3548,'working sheet'!$D$1:$D$3548,'Customer Portfolio'!A647)</f>
        <v>45556.650157511576</v>
      </c>
      <c r="D647">
        <f>COUNTIFS('working sheet'!$D$1:$D$3548,'Customer Portfolio'!A647)</f>
        <v>1</v>
      </c>
      <c r="E647" s="5">
        <f>SUMIFS('working sheet'!$E$2:$E$3548,'working sheet'!$D$2:$D$3548,'Customer Portfolio'!A647)</f>
        <v>32.82</v>
      </c>
      <c r="F647" s="6">
        <f t="shared" si="20"/>
        <v>32.82</v>
      </c>
      <c r="G647" t="str">
        <f t="array" ref="G647">IFERROR(INDEX('working sheet'!$F$2:$F$3548, MODE(IF('working sheet'!$D$2:$D$3548=A647, MATCH('working sheet'!$F$2:$F$3548, 'working sheet'!$F$2:$F$3548, 0)))),
         INDEX('working sheet'!$F$2:$F$3548, MATCH(A647, 'working sheet'!$D$2:$D$3548, 0)))</f>
        <v>Latte</v>
      </c>
      <c r="H647" s="7">
        <f t="shared" si="21"/>
        <v>1</v>
      </c>
      <c r="I647" s="7">
        <f>MAX('working sheet'!$B$2:$B$3548)-C647</f>
        <v>183.10792854166357</v>
      </c>
      <c r="J647" s="4" t="str">
        <f t="array" ref="J647">IF(AND(I647&lt;=30, D647&gt;=10, E647&gt;=200), "VIP",  IF(AND(I647&lt;=60, D647&gt;=5, E647&gt;=100), "Loyal", IF(AND(I647&lt;=90, D647&gt;=3), "Regular", IF(I647&lt;=30, "Recent", IF(D647&gt;=3, "Occasional", "At Risk")))))</f>
        <v>At Risk</v>
      </c>
      <c r="K647" t="str">
        <f t="array" ref="K647">IF(OR(J647="VIP", J647="Loyal"), "HIGH",IF(OR(J647="Regular", J647="Recent"), "MEDIUM","LOW"))</f>
        <v>LOW</v>
      </c>
    </row>
    <row r="648" spans="1:11">
      <c r="A648" t="s">
        <v>661</v>
      </c>
      <c r="B648" s="14">
        <f>_xlfn.MINIFS('working sheet'!$B$2:$B$3548, 'working sheet'!$D$2:$D$3548, A648)</f>
        <v>45556.929700092594</v>
      </c>
      <c r="C648" s="17">
        <f>_xlfn.MAXIFS('working sheet'!$B$1:$B$3548,'working sheet'!$D$1:$D$3548,'Customer Portfolio'!A648)</f>
        <v>45556.931115277781</v>
      </c>
      <c r="D648">
        <f>COUNTIFS('working sheet'!$D$1:$D$3548,'Customer Portfolio'!A648)</f>
        <v>3</v>
      </c>
      <c r="E648" s="5">
        <f>SUMIFS('working sheet'!$E$2:$E$3548,'working sheet'!$D$2:$D$3548,'Customer Portfolio'!A648)</f>
        <v>73.959999999999994</v>
      </c>
      <c r="F648" s="6">
        <f t="shared" si="20"/>
        <v>24.653333333333332</v>
      </c>
      <c r="G648" t="str">
        <f t="array" ref="G648">IFERROR(INDEX('working sheet'!$F$2:$F$3548, MODE(IF('working sheet'!$D$2:$D$3548=A648, MATCH('working sheet'!$F$2:$F$3548, 'working sheet'!$F$2:$F$3548, 0)))),
         INDEX('working sheet'!$F$2:$F$3548, MATCH(A648, 'working sheet'!$D$2:$D$3548, 0)))</f>
        <v>Americano</v>
      </c>
      <c r="H648" s="7">
        <f t="shared" si="21"/>
        <v>1.0014151851864881</v>
      </c>
      <c r="I648" s="7">
        <f>MAX('working sheet'!$B$2:$B$3548)-C648</f>
        <v>182.8269707754589</v>
      </c>
      <c r="J648" s="4" t="str">
        <f t="array" ref="J648">IF(AND(I648&lt;=30, D648&gt;=10, E648&gt;=200), "VIP",  IF(AND(I648&lt;=60, D648&gt;=5, E648&gt;=100), "Loyal", IF(AND(I648&lt;=90, D648&gt;=3), "Regular", IF(I648&lt;=30, "Recent", IF(D648&gt;=3, "Occasional", "At Risk")))))</f>
        <v>Occasional</v>
      </c>
      <c r="K648" t="str">
        <f t="array" ref="K648">IF(OR(J648="VIP", J648="Loyal"), "HIGH",IF(OR(J648="Regular", J648="Recent"), "MEDIUM","LOW"))</f>
        <v>LOW</v>
      </c>
    </row>
    <row r="649" spans="1:11">
      <c r="A649" t="s">
        <v>662</v>
      </c>
      <c r="B649" s="14">
        <f>_xlfn.MINIFS('working sheet'!$B$2:$B$3548, 'working sheet'!$D$2:$D$3548, A649)</f>
        <v>45557.356182546297</v>
      </c>
      <c r="C649" s="17">
        <f>_xlfn.MAXIFS('working sheet'!$B$1:$B$3548,'working sheet'!$D$1:$D$3548,'Customer Portfolio'!A649)</f>
        <v>45557.356182546297</v>
      </c>
      <c r="D649">
        <f>COUNTIFS('working sheet'!$D$1:$D$3548,'Customer Portfolio'!A649)</f>
        <v>1</v>
      </c>
      <c r="E649" s="5">
        <f>SUMIFS('working sheet'!$E$2:$E$3548,'working sheet'!$D$2:$D$3548,'Customer Portfolio'!A649)</f>
        <v>23.02</v>
      </c>
      <c r="F649" s="6">
        <f t="shared" si="20"/>
        <v>23.02</v>
      </c>
      <c r="G649" t="str">
        <f t="array" ref="G649">IFERROR(INDEX('working sheet'!$F$2:$F$3548, MODE(IF('working sheet'!$D$2:$D$3548=A649, MATCH('working sheet'!$F$2:$F$3548, 'working sheet'!$F$2:$F$3548, 0)))),
         INDEX('working sheet'!$F$2:$F$3548, MATCH(A649, 'working sheet'!$D$2:$D$3548, 0)))</f>
        <v>Americano</v>
      </c>
      <c r="H649" s="7">
        <f t="shared" si="21"/>
        <v>1</v>
      </c>
      <c r="I649" s="7">
        <f>MAX('working sheet'!$B$2:$B$3548)-C649</f>
        <v>182.4019035069432</v>
      </c>
      <c r="J649" s="4" t="str">
        <f t="array" ref="J649">IF(AND(I649&lt;=30, D649&gt;=10, E649&gt;=200), "VIP",  IF(AND(I649&lt;=60, D649&gt;=5, E649&gt;=100), "Loyal", IF(AND(I649&lt;=90, D649&gt;=3), "Regular", IF(I649&lt;=30, "Recent", IF(D649&gt;=3, "Occasional", "At Risk")))))</f>
        <v>At Risk</v>
      </c>
      <c r="K649" t="str">
        <f t="array" ref="K649">IF(OR(J649="VIP", J649="Loyal"), "HIGH",IF(OR(J649="Regular", J649="Recent"), "MEDIUM","LOW"))</f>
        <v>LOW</v>
      </c>
    </row>
    <row r="650" spans="1:11">
      <c r="A650" t="s">
        <v>663</v>
      </c>
      <c r="B650" s="14">
        <f>_xlfn.MINIFS('working sheet'!$B$2:$B$3548, 'working sheet'!$D$2:$D$3548, A650)</f>
        <v>45557.42511300926</v>
      </c>
      <c r="C650" s="17">
        <f>_xlfn.MAXIFS('working sheet'!$B$1:$B$3548,'working sheet'!$D$1:$D$3548,'Customer Portfolio'!A650)</f>
        <v>45557.425793819442</v>
      </c>
      <c r="D650">
        <f>COUNTIFS('working sheet'!$D$1:$D$3548,'Customer Portfolio'!A650)</f>
        <v>2</v>
      </c>
      <c r="E650" s="5">
        <f>SUMIFS('working sheet'!$E$2:$E$3548,'working sheet'!$D$2:$D$3548,'Customer Portfolio'!A650)</f>
        <v>60.74</v>
      </c>
      <c r="F650" s="6">
        <f t="shared" si="20"/>
        <v>30.37</v>
      </c>
      <c r="G650" t="str">
        <f t="array" ref="G650">IFERROR(INDEX('working sheet'!$F$2:$F$3548, MODE(IF('working sheet'!$D$2:$D$3548=A650, MATCH('working sheet'!$F$2:$F$3548, 'working sheet'!$F$2:$F$3548, 0)))),
         INDEX('working sheet'!$F$2:$F$3548, MATCH(A650, 'working sheet'!$D$2:$D$3548, 0)))</f>
        <v>Americano with Milk</v>
      </c>
      <c r="H650" s="7">
        <f t="shared" si="21"/>
        <v>1.00068081018253</v>
      </c>
      <c r="I650" s="7">
        <f>MAX('working sheet'!$B$2:$B$3548)-C650</f>
        <v>182.33229223379749</v>
      </c>
      <c r="J650" s="4" t="str">
        <f t="array" ref="J650">IF(AND(I650&lt;=30, D650&gt;=10, E650&gt;=200), "VIP",  IF(AND(I650&lt;=60, D650&gt;=5, E650&gt;=100), "Loyal", IF(AND(I650&lt;=90, D650&gt;=3), "Regular", IF(I650&lt;=30, "Recent", IF(D650&gt;=3, "Occasional", "At Risk")))))</f>
        <v>At Risk</v>
      </c>
      <c r="K650" t="str">
        <f t="array" ref="K650">IF(OR(J650="VIP", J650="Loyal"), "HIGH",IF(OR(J650="Regular", J650="Recent"), "MEDIUM","LOW"))</f>
        <v>LOW</v>
      </c>
    </row>
    <row r="651" spans="1:11">
      <c r="A651" t="s">
        <v>664</v>
      </c>
      <c r="B651" s="14">
        <f>_xlfn.MINIFS('working sheet'!$B$2:$B$3548, 'working sheet'!$D$2:$D$3548, A651)</f>
        <v>45557.462804479168</v>
      </c>
      <c r="C651" s="17">
        <f>_xlfn.MAXIFS('working sheet'!$B$1:$B$3548,'working sheet'!$D$1:$D$3548,'Customer Portfolio'!A651)</f>
        <v>45585.60397621528</v>
      </c>
      <c r="D651">
        <f>COUNTIFS('working sheet'!$D$1:$D$3548,'Customer Portfolio'!A651)</f>
        <v>11</v>
      </c>
      <c r="E651" s="5">
        <f>SUMIFS('working sheet'!$E$2:$E$3548,'working sheet'!$D$2:$D$3548,'Customer Portfolio'!A651)</f>
        <v>284.58000000000004</v>
      </c>
      <c r="F651" s="6">
        <f t="shared" si="20"/>
        <v>25.870909090909095</v>
      </c>
      <c r="G651" t="str">
        <f t="array" ref="G651">IFERROR(INDEX('working sheet'!$F$2:$F$3548, MODE(IF('working sheet'!$D$2:$D$3548=A651, MATCH('working sheet'!$F$2:$F$3548, 'working sheet'!$F$2:$F$3548, 0)))),
         INDEX('working sheet'!$F$2:$F$3548, MATCH(A651, 'working sheet'!$D$2:$D$3548, 0)))</f>
        <v>Cortado</v>
      </c>
      <c r="H651" s="7">
        <f t="shared" si="21"/>
        <v>29.141171736111573</v>
      </c>
      <c r="I651" s="7">
        <f>MAX('working sheet'!$B$2:$B$3548)-C651</f>
        <v>154.15410983796028</v>
      </c>
      <c r="J651" s="4" t="str">
        <f t="array" ref="J651">IF(AND(I651&lt;=30, D651&gt;=10, E651&gt;=200), "VIP",  IF(AND(I651&lt;=60, D651&gt;=5, E651&gt;=100), "Loyal", IF(AND(I651&lt;=90, D651&gt;=3), "Regular", IF(I651&lt;=30, "Recent", IF(D651&gt;=3, "Occasional", "At Risk")))))</f>
        <v>Occasional</v>
      </c>
      <c r="K651" t="str">
        <f t="array" ref="K651">IF(OR(J651="VIP", J651="Loyal"), "HIGH",IF(OR(J651="Regular", J651="Recent"), "MEDIUM","LOW"))</f>
        <v>LOW</v>
      </c>
    </row>
    <row r="652" spans="1:11">
      <c r="A652" t="s">
        <v>665</v>
      </c>
      <c r="B652" s="14">
        <f>_xlfn.MINIFS('working sheet'!$B$2:$B$3548, 'working sheet'!$D$2:$D$3548, A652)</f>
        <v>45557.494443148149</v>
      </c>
      <c r="C652" s="17">
        <f>_xlfn.MAXIFS('working sheet'!$B$1:$B$3548,'working sheet'!$D$1:$D$3548,'Customer Portfolio'!A652)</f>
        <v>45557.494443148149</v>
      </c>
      <c r="D652">
        <f>COUNTIFS('working sheet'!$D$1:$D$3548,'Customer Portfolio'!A652)</f>
        <v>1</v>
      </c>
      <c r="E652" s="5">
        <f>SUMIFS('working sheet'!$E$2:$E$3548,'working sheet'!$D$2:$D$3548,'Customer Portfolio'!A652)</f>
        <v>27.92</v>
      </c>
      <c r="F652" s="6">
        <f t="shared" si="20"/>
        <v>27.92</v>
      </c>
      <c r="G652" t="str">
        <f t="array" ref="G652">IFERROR(INDEX('working sheet'!$F$2:$F$3548, MODE(IF('working sheet'!$D$2:$D$3548=A652, MATCH('working sheet'!$F$2:$F$3548, 'working sheet'!$F$2:$F$3548, 0)))),
         INDEX('working sheet'!$F$2:$F$3548, MATCH(A652, 'working sheet'!$D$2:$D$3548, 0)))</f>
        <v>Americano with Milk</v>
      </c>
      <c r="H652" s="7">
        <f t="shared" si="21"/>
        <v>1</v>
      </c>
      <c r="I652" s="7">
        <f>MAX('working sheet'!$B$2:$B$3548)-C652</f>
        <v>182.26364290509082</v>
      </c>
      <c r="J652" s="4" t="str">
        <f t="array" ref="J652">IF(AND(I652&lt;=30, D652&gt;=10, E652&gt;=200), "VIP",  IF(AND(I652&lt;=60, D652&gt;=5, E652&gt;=100), "Loyal", IF(AND(I652&lt;=90, D652&gt;=3), "Regular", IF(I652&lt;=30, "Recent", IF(D652&gt;=3, "Occasional", "At Risk")))))</f>
        <v>At Risk</v>
      </c>
      <c r="K652" t="str">
        <f t="array" ref="K652">IF(OR(J652="VIP", J652="Loyal"), "HIGH",IF(OR(J652="Regular", J652="Recent"), "MEDIUM","LOW"))</f>
        <v>LOW</v>
      </c>
    </row>
    <row r="653" spans="1:11">
      <c r="A653" t="s">
        <v>666</v>
      </c>
      <c r="B653" s="14">
        <f>_xlfn.MINIFS('working sheet'!$B$2:$B$3548, 'working sheet'!$D$2:$D$3548, A653)</f>
        <v>45557.648727997686</v>
      </c>
      <c r="C653" s="17">
        <f>_xlfn.MAXIFS('working sheet'!$B$1:$B$3548,'working sheet'!$D$1:$D$3548,'Customer Portfolio'!A653)</f>
        <v>45557.649586041669</v>
      </c>
      <c r="D653">
        <f>COUNTIFS('working sheet'!$D$1:$D$3548,'Customer Portfolio'!A653)</f>
        <v>2</v>
      </c>
      <c r="E653" s="5">
        <f>SUMIFS('working sheet'!$E$2:$E$3548,'working sheet'!$D$2:$D$3548,'Customer Portfolio'!A653)</f>
        <v>60.74</v>
      </c>
      <c r="F653" s="6">
        <f t="shared" si="20"/>
        <v>30.37</v>
      </c>
      <c r="G653" t="str">
        <f t="array" ref="G653">IFERROR(INDEX('working sheet'!$F$2:$F$3548, MODE(IF('working sheet'!$D$2:$D$3548=A653, MATCH('working sheet'!$F$2:$F$3548, 'working sheet'!$F$2:$F$3548, 0)))),
         INDEX('working sheet'!$F$2:$F$3548, MATCH(A653, 'working sheet'!$D$2:$D$3548, 0)))</f>
        <v>Latte</v>
      </c>
      <c r="H653" s="7">
        <f t="shared" si="21"/>
        <v>1.0008580439825892</v>
      </c>
      <c r="I653" s="7">
        <f>MAX('working sheet'!$B$2:$B$3548)-C653</f>
        <v>182.10850001157087</v>
      </c>
      <c r="J653" s="4" t="str">
        <f t="array" ref="J653">IF(AND(I653&lt;=30, D653&gt;=10, E653&gt;=200), "VIP",  IF(AND(I653&lt;=60, D653&gt;=5, E653&gt;=100), "Loyal", IF(AND(I653&lt;=90, D653&gt;=3), "Regular", IF(I653&lt;=30, "Recent", IF(D653&gt;=3, "Occasional", "At Risk")))))</f>
        <v>At Risk</v>
      </c>
      <c r="K653" t="str">
        <f t="array" ref="K653">IF(OR(J653="VIP", J653="Loyal"), "HIGH",IF(OR(J653="Regular", J653="Recent"), "MEDIUM","LOW"))</f>
        <v>LOW</v>
      </c>
    </row>
    <row r="654" spans="1:11">
      <c r="A654" t="s">
        <v>667</v>
      </c>
      <c r="B654" s="14">
        <f>_xlfn.MINIFS('working sheet'!$B$2:$B$3548, 'working sheet'!$D$2:$D$3548, A654)</f>
        <v>45557.684067916663</v>
      </c>
      <c r="C654" s="17">
        <f>_xlfn.MAXIFS('working sheet'!$B$1:$B$3548,'working sheet'!$D$1:$D$3548,'Customer Portfolio'!A654)</f>
        <v>45557.684067916663</v>
      </c>
      <c r="D654">
        <f>COUNTIFS('working sheet'!$D$1:$D$3548,'Customer Portfolio'!A654)</f>
        <v>1</v>
      </c>
      <c r="E654" s="5">
        <f>SUMIFS('working sheet'!$E$2:$E$3548,'working sheet'!$D$2:$D$3548,'Customer Portfolio'!A654)</f>
        <v>32.82</v>
      </c>
      <c r="F654" s="6">
        <f t="shared" si="20"/>
        <v>32.82</v>
      </c>
      <c r="G654" t="str">
        <f t="array" ref="G654">IFERROR(INDEX('working sheet'!$F$2:$F$3548, MODE(IF('working sheet'!$D$2:$D$3548=A654, MATCH('working sheet'!$F$2:$F$3548, 'working sheet'!$F$2:$F$3548, 0)))),
         INDEX('working sheet'!$F$2:$F$3548, MATCH(A654, 'working sheet'!$D$2:$D$3548, 0)))</f>
        <v>Cocoa</v>
      </c>
      <c r="H654" s="7">
        <f t="shared" si="21"/>
        <v>1</v>
      </c>
      <c r="I654" s="7">
        <f>MAX('working sheet'!$B$2:$B$3548)-C654</f>
        <v>182.07401813657634</v>
      </c>
      <c r="J654" s="4" t="str">
        <f t="array" ref="J654">IF(AND(I654&lt;=30, D654&gt;=10, E654&gt;=200), "VIP",  IF(AND(I654&lt;=60, D654&gt;=5, E654&gt;=100), "Loyal", IF(AND(I654&lt;=90, D654&gt;=3), "Regular", IF(I654&lt;=30, "Recent", IF(D654&gt;=3, "Occasional", "At Risk")))))</f>
        <v>At Risk</v>
      </c>
      <c r="K654" t="str">
        <f t="array" ref="K654">IF(OR(J654="VIP", J654="Loyal"), "HIGH",IF(OR(J654="Regular", J654="Recent"), "MEDIUM","LOW"))</f>
        <v>LOW</v>
      </c>
    </row>
    <row r="655" spans="1:11">
      <c r="A655" t="s">
        <v>668</v>
      </c>
      <c r="B655" s="14">
        <f>_xlfn.MINIFS('working sheet'!$B$2:$B$3548, 'working sheet'!$D$2:$D$3548, A655)</f>
        <v>45557.846644467594</v>
      </c>
      <c r="C655" s="17">
        <f>_xlfn.MAXIFS('working sheet'!$B$1:$B$3548,'working sheet'!$D$1:$D$3548,'Customer Portfolio'!A655)</f>
        <v>45557.847634131947</v>
      </c>
      <c r="D655">
        <f>COUNTIFS('working sheet'!$D$1:$D$3548,'Customer Portfolio'!A655)</f>
        <v>2</v>
      </c>
      <c r="E655" s="5">
        <f>SUMIFS('working sheet'!$E$2:$E$3548,'working sheet'!$D$2:$D$3548,'Customer Portfolio'!A655)</f>
        <v>65.64</v>
      </c>
      <c r="F655" s="6">
        <f t="shared" si="20"/>
        <v>32.82</v>
      </c>
      <c r="G655" t="str">
        <f t="array" ref="G655">IFERROR(INDEX('working sheet'!$F$2:$F$3548, MODE(IF('working sheet'!$D$2:$D$3548=A655, MATCH('working sheet'!$F$2:$F$3548, 'working sheet'!$F$2:$F$3548, 0)))),
         INDEX('working sheet'!$F$2:$F$3548, MATCH(A655, 'working sheet'!$D$2:$D$3548, 0)))</f>
        <v>Latte</v>
      </c>
      <c r="H655" s="7">
        <f t="shared" si="21"/>
        <v>1.0009896643532556</v>
      </c>
      <c r="I655" s="7">
        <f>MAX('working sheet'!$B$2:$B$3548)-C655</f>
        <v>181.91045192129241</v>
      </c>
      <c r="J655" s="4" t="str">
        <f t="array" ref="J655">IF(AND(I655&lt;=30, D655&gt;=10, E655&gt;=200), "VIP",  IF(AND(I655&lt;=60, D655&gt;=5, E655&gt;=100), "Loyal", IF(AND(I655&lt;=90, D655&gt;=3), "Regular", IF(I655&lt;=30, "Recent", IF(D655&gt;=3, "Occasional", "At Risk")))))</f>
        <v>At Risk</v>
      </c>
      <c r="K655" t="str">
        <f t="array" ref="K655">IF(OR(J655="VIP", J655="Loyal"), "HIGH",IF(OR(J655="Regular", J655="Recent"), "MEDIUM","LOW"))</f>
        <v>LOW</v>
      </c>
    </row>
    <row r="656" spans="1:11">
      <c r="A656" t="s">
        <v>669</v>
      </c>
      <c r="B656" s="14">
        <f>_xlfn.MINIFS('working sheet'!$B$2:$B$3548, 'working sheet'!$D$2:$D$3548, A656)</f>
        <v>45557.879916597223</v>
      </c>
      <c r="C656" s="17">
        <f>_xlfn.MAXIFS('working sheet'!$B$1:$B$3548,'working sheet'!$D$1:$D$3548,'Customer Portfolio'!A656)</f>
        <v>45557.880726828706</v>
      </c>
      <c r="D656">
        <f>COUNTIFS('working sheet'!$D$1:$D$3548,'Customer Portfolio'!A656)</f>
        <v>2</v>
      </c>
      <c r="E656" s="5">
        <f>SUMIFS('working sheet'!$E$2:$E$3548,'working sheet'!$D$2:$D$3548,'Customer Portfolio'!A656)</f>
        <v>55.84</v>
      </c>
      <c r="F656" s="6">
        <f t="shared" si="20"/>
        <v>27.92</v>
      </c>
      <c r="G656" t="str">
        <f t="array" ref="G656">IFERROR(INDEX('working sheet'!$F$2:$F$3548, MODE(IF('working sheet'!$D$2:$D$3548=A656, MATCH('working sheet'!$F$2:$F$3548, 'working sheet'!$F$2:$F$3548, 0)))),
         INDEX('working sheet'!$F$2:$F$3548, MATCH(A656, 'working sheet'!$D$2:$D$3548, 0)))</f>
        <v>Americano with Milk</v>
      </c>
      <c r="H656" s="7">
        <f t="shared" si="21"/>
        <v>1.0008102314823191</v>
      </c>
      <c r="I656" s="7">
        <f>MAX('working sheet'!$B$2:$B$3548)-C656</f>
        <v>181.8773592245343</v>
      </c>
      <c r="J656" s="4" t="str">
        <f t="array" ref="J656">IF(AND(I656&lt;=30, D656&gt;=10, E656&gt;=200), "VIP",  IF(AND(I656&lt;=60, D656&gt;=5, E656&gt;=100), "Loyal", IF(AND(I656&lt;=90, D656&gt;=3), "Regular", IF(I656&lt;=30, "Recent", IF(D656&gt;=3, "Occasional", "At Risk")))))</f>
        <v>At Risk</v>
      </c>
      <c r="K656" t="str">
        <f t="array" ref="K656">IF(OR(J656="VIP", J656="Loyal"), "HIGH",IF(OR(J656="Regular", J656="Recent"), "MEDIUM","LOW"))</f>
        <v>LOW</v>
      </c>
    </row>
    <row r="657" spans="1:11">
      <c r="A657" t="s">
        <v>670</v>
      </c>
      <c r="B657" s="14">
        <f>_xlfn.MINIFS('working sheet'!$B$2:$B$3548, 'working sheet'!$D$2:$D$3548, A657)</f>
        <v>45557.942388703705</v>
      </c>
      <c r="C657" s="17">
        <f>_xlfn.MAXIFS('working sheet'!$B$1:$B$3548,'working sheet'!$D$1:$D$3548,'Customer Portfolio'!A657)</f>
        <v>45557.942388703705</v>
      </c>
      <c r="D657">
        <f>COUNTIFS('working sheet'!$D$1:$D$3548,'Customer Portfolio'!A657)</f>
        <v>1</v>
      </c>
      <c r="E657" s="5">
        <f>SUMIFS('working sheet'!$E$2:$E$3548,'working sheet'!$D$2:$D$3548,'Customer Portfolio'!A657)</f>
        <v>23.02</v>
      </c>
      <c r="F657" s="6">
        <f t="shared" si="20"/>
        <v>23.02</v>
      </c>
      <c r="G657" t="str">
        <f t="array" ref="G657">IFERROR(INDEX('working sheet'!$F$2:$F$3548, MODE(IF('working sheet'!$D$2:$D$3548=A657, MATCH('working sheet'!$F$2:$F$3548, 'working sheet'!$F$2:$F$3548, 0)))),
         INDEX('working sheet'!$F$2:$F$3548, MATCH(A657, 'working sheet'!$D$2:$D$3548, 0)))</f>
        <v>Americano</v>
      </c>
      <c r="H657" s="7">
        <f t="shared" si="21"/>
        <v>1</v>
      </c>
      <c r="I657" s="7">
        <f>MAX('working sheet'!$B$2:$B$3548)-C657</f>
        <v>181.81569734953518</v>
      </c>
      <c r="J657" s="4" t="str">
        <f t="array" ref="J657">IF(AND(I657&lt;=30, D657&gt;=10, E657&gt;=200), "VIP",  IF(AND(I657&lt;=60, D657&gt;=5, E657&gt;=100), "Loyal", IF(AND(I657&lt;=90, D657&gt;=3), "Regular", IF(I657&lt;=30, "Recent", IF(D657&gt;=3, "Occasional", "At Risk")))))</f>
        <v>At Risk</v>
      </c>
      <c r="K657" t="str">
        <f t="array" ref="K657">IF(OR(J657="VIP", J657="Loyal"), "HIGH",IF(OR(J657="Regular", J657="Recent"), "MEDIUM","LOW"))</f>
        <v>LOW</v>
      </c>
    </row>
    <row r="658" spans="1:11">
      <c r="A658" t="s">
        <v>671</v>
      </c>
      <c r="B658" s="14">
        <f>_xlfn.MINIFS('working sheet'!$B$2:$B$3548, 'working sheet'!$D$2:$D$3548, A658)</f>
        <v>45557.943037106481</v>
      </c>
      <c r="C658" s="17">
        <f>_xlfn.MAXIFS('working sheet'!$B$1:$B$3548,'working sheet'!$D$1:$D$3548,'Customer Portfolio'!A658)</f>
        <v>45557.943037106481</v>
      </c>
      <c r="D658">
        <f>COUNTIFS('working sheet'!$D$1:$D$3548,'Customer Portfolio'!A658)</f>
        <v>1</v>
      </c>
      <c r="E658" s="5">
        <f>SUMIFS('working sheet'!$E$2:$E$3548,'working sheet'!$D$2:$D$3548,'Customer Portfolio'!A658)</f>
        <v>27.92</v>
      </c>
      <c r="F658" s="6">
        <f t="shared" si="20"/>
        <v>27.92</v>
      </c>
      <c r="G658" t="str">
        <f t="array" ref="G658">IFERROR(INDEX('working sheet'!$F$2:$F$3548, MODE(IF('working sheet'!$D$2:$D$3548=A658, MATCH('working sheet'!$F$2:$F$3548, 'working sheet'!$F$2:$F$3548, 0)))),
         INDEX('working sheet'!$F$2:$F$3548, MATCH(A658, 'working sheet'!$D$2:$D$3548, 0)))</f>
        <v>Americano with Milk</v>
      </c>
      <c r="H658" s="7">
        <f t="shared" si="21"/>
        <v>1</v>
      </c>
      <c r="I658" s="7">
        <f>MAX('working sheet'!$B$2:$B$3548)-C658</f>
        <v>181.81504894675891</v>
      </c>
      <c r="J658" s="4" t="str">
        <f t="array" ref="J658">IF(AND(I658&lt;=30, D658&gt;=10, E658&gt;=200), "VIP",  IF(AND(I658&lt;=60, D658&gt;=5, E658&gt;=100), "Loyal", IF(AND(I658&lt;=90, D658&gt;=3), "Regular", IF(I658&lt;=30, "Recent", IF(D658&gt;=3, "Occasional", "At Risk")))))</f>
        <v>At Risk</v>
      </c>
      <c r="K658" t="str">
        <f t="array" ref="K658">IF(OR(J658="VIP", J658="Loyal"), "HIGH",IF(OR(J658="Regular", J658="Recent"), "MEDIUM","LOW"))</f>
        <v>LOW</v>
      </c>
    </row>
    <row r="659" spans="1:11">
      <c r="A659" t="s">
        <v>672</v>
      </c>
      <c r="B659" s="14">
        <f>_xlfn.MINIFS('working sheet'!$B$2:$B$3548, 'working sheet'!$D$2:$D$3548, A659)</f>
        <v>45558.72763415509</v>
      </c>
      <c r="C659" s="17">
        <f>_xlfn.MAXIFS('working sheet'!$B$1:$B$3548,'working sheet'!$D$1:$D$3548,'Customer Portfolio'!A659)</f>
        <v>45574.727649074077</v>
      </c>
      <c r="D659">
        <f>COUNTIFS('working sheet'!$D$1:$D$3548,'Customer Portfolio'!A659)</f>
        <v>3</v>
      </c>
      <c r="E659" s="5">
        <f>SUMIFS('working sheet'!$E$2:$E$3548,'working sheet'!$D$2:$D$3548,'Customer Portfolio'!A659)</f>
        <v>94.539999999999992</v>
      </c>
      <c r="F659" s="6">
        <f t="shared" si="20"/>
        <v>31.513333333333332</v>
      </c>
      <c r="G659" t="str">
        <f t="array" ref="G659">IFERROR(INDEX('working sheet'!$F$2:$F$3548, MODE(IF('working sheet'!$D$2:$D$3548=A659, MATCH('working sheet'!$F$2:$F$3548, 'working sheet'!$F$2:$F$3548, 0)))),
         INDEX('working sheet'!$F$2:$F$3548, MATCH(A659, 'working sheet'!$D$2:$D$3548, 0)))</f>
        <v>Cappuccino</v>
      </c>
      <c r="H659" s="7">
        <f t="shared" si="21"/>
        <v>17.00001491898729</v>
      </c>
      <c r="I659" s="7">
        <f>MAX('working sheet'!$B$2:$B$3548)-C659</f>
        <v>165.03043697916291</v>
      </c>
      <c r="J659" s="4" t="str">
        <f t="array" ref="J659">IF(AND(I659&lt;=30, D659&gt;=10, E659&gt;=200), "VIP",  IF(AND(I659&lt;=60, D659&gt;=5, E659&gt;=100), "Loyal", IF(AND(I659&lt;=90, D659&gt;=3), "Regular", IF(I659&lt;=30, "Recent", IF(D659&gt;=3, "Occasional", "At Risk")))))</f>
        <v>Occasional</v>
      </c>
      <c r="K659" t="str">
        <f t="array" ref="K659">IF(OR(J659="VIP", J659="Loyal"), "HIGH",IF(OR(J659="Regular", J659="Recent"), "MEDIUM","LOW"))</f>
        <v>LOW</v>
      </c>
    </row>
    <row r="660" spans="1:11">
      <c r="A660" t="s">
        <v>673</v>
      </c>
      <c r="B660" s="14">
        <f>_xlfn.MINIFS('working sheet'!$B$2:$B$3548, 'working sheet'!$D$2:$D$3548, A660)</f>
        <v>45558.783685601855</v>
      </c>
      <c r="C660" s="17">
        <f>_xlfn.MAXIFS('working sheet'!$B$1:$B$3548,'working sheet'!$D$1:$D$3548,'Customer Portfolio'!A660)</f>
        <v>45558.783685601855</v>
      </c>
      <c r="D660">
        <f>COUNTIFS('working sheet'!$D$1:$D$3548,'Customer Portfolio'!A660)</f>
        <v>1</v>
      </c>
      <c r="E660" s="5">
        <f>SUMIFS('working sheet'!$E$2:$E$3548,'working sheet'!$D$2:$D$3548,'Customer Portfolio'!A660)</f>
        <v>23.02</v>
      </c>
      <c r="F660" s="6">
        <f t="shared" si="20"/>
        <v>23.02</v>
      </c>
      <c r="G660" t="str">
        <f t="array" ref="G660">IFERROR(INDEX('working sheet'!$F$2:$F$3548, MODE(IF('working sheet'!$D$2:$D$3548=A660, MATCH('working sheet'!$F$2:$F$3548, 'working sheet'!$F$2:$F$3548, 0)))),
         INDEX('working sheet'!$F$2:$F$3548, MATCH(A660, 'working sheet'!$D$2:$D$3548, 0)))</f>
        <v>Americano</v>
      </c>
      <c r="H660" s="7">
        <f t="shared" si="21"/>
        <v>1</v>
      </c>
      <c r="I660" s="7">
        <f>MAX('working sheet'!$B$2:$B$3548)-C660</f>
        <v>180.97440045138501</v>
      </c>
      <c r="J660" s="4" t="str">
        <f t="array" ref="J660">IF(AND(I660&lt;=30, D660&gt;=10, E660&gt;=200), "VIP",  IF(AND(I660&lt;=60, D660&gt;=5, E660&gt;=100), "Loyal", IF(AND(I660&lt;=90, D660&gt;=3), "Regular", IF(I660&lt;=30, "Recent", IF(D660&gt;=3, "Occasional", "At Risk")))))</f>
        <v>At Risk</v>
      </c>
      <c r="K660" t="str">
        <f t="array" ref="K660">IF(OR(J660="VIP", J660="Loyal"), "HIGH",IF(OR(J660="Regular", J660="Recent"), "MEDIUM","LOW"))</f>
        <v>LOW</v>
      </c>
    </row>
    <row r="661" spans="1:11">
      <c r="A661" t="s">
        <v>674</v>
      </c>
      <c r="B661" s="14">
        <f>_xlfn.MINIFS('working sheet'!$B$2:$B$3548, 'working sheet'!$D$2:$D$3548, A661)</f>
        <v>45559.532458368056</v>
      </c>
      <c r="C661" s="17">
        <f>_xlfn.MAXIFS('working sheet'!$B$1:$B$3548,'working sheet'!$D$1:$D$3548,'Customer Portfolio'!A661)</f>
        <v>45559.533210925925</v>
      </c>
      <c r="D661">
        <f>COUNTIFS('working sheet'!$D$1:$D$3548,'Customer Portfolio'!A661)</f>
        <v>2</v>
      </c>
      <c r="E661" s="5">
        <f>SUMIFS('working sheet'!$E$2:$E$3548,'working sheet'!$D$2:$D$3548,'Customer Portfolio'!A661)</f>
        <v>65.64</v>
      </c>
      <c r="F661" s="6">
        <f t="shared" si="20"/>
        <v>32.82</v>
      </c>
      <c r="G661" t="str">
        <f t="array" ref="G661">IFERROR(INDEX('working sheet'!$F$2:$F$3548, MODE(IF('working sheet'!$D$2:$D$3548=A661, MATCH('working sheet'!$F$2:$F$3548, 'working sheet'!$F$2:$F$3548, 0)))),
         INDEX('working sheet'!$F$2:$F$3548, MATCH(A661, 'working sheet'!$D$2:$D$3548, 0)))</f>
        <v>Latte</v>
      </c>
      <c r="H661" s="7">
        <f t="shared" si="21"/>
        <v>1.0007525578694185</v>
      </c>
      <c r="I661" s="7">
        <f>MAX('working sheet'!$B$2:$B$3548)-C661</f>
        <v>180.22487512731459</v>
      </c>
      <c r="J661" s="4" t="str">
        <f t="array" ref="J661">IF(AND(I661&lt;=30, D661&gt;=10, E661&gt;=200), "VIP",  IF(AND(I661&lt;=60, D661&gt;=5, E661&gt;=100), "Loyal", IF(AND(I661&lt;=90, D661&gt;=3), "Regular", IF(I661&lt;=30, "Recent", IF(D661&gt;=3, "Occasional", "At Risk")))))</f>
        <v>At Risk</v>
      </c>
      <c r="K661" t="str">
        <f t="array" ref="K661">IF(OR(J661="VIP", J661="Loyal"), "HIGH",IF(OR(J661="Regular", J661="Recent"), "MEDIUM","LOW"))</f>
        <v>LOW</v>
      </c>
    </row>
    <row r="662" spans="1:11">
      <c r="A662" t="s">
        <v>675</v>
      </c>
      <c r="B662" s="14">
        <f>_xlfn.MINIFS('working sheet'!$B$2:$B$3548, 'working sheet'!$D$2:$D$3548, A662)</f>
        <v>45559.591427534724</v>
      </c>
      <c r="C662" s="17">
        <f>_xlfn.MAXIFS('working sheet'!$B$1:$B$3548,'working sheet'!$D$1:$D$3548,'Customer Portfolio'!A662)</f>
        <v>45559.591427534724</v>
      </c>
      <c r="D662">
        <f>COUNTIFS('working sheet'!$D$1:$D$3548,'Customer Portfolio'!A662)</f>
        <v>1</v>
      </c>
      <c r="E662" s="5">
        <f>SUMIFS('working sheet'!$E$2:$E$3548,'working sheet'!$D$2:$D$3548,'Customer Portfolio'!A662)</f>
        <v>32.82</v>
      </c>
      <c r="F662" s="6">
        <f t="shared" si="20"/>
        <v>32.82</v>
      </c>
      <c r="G662" t="str">
        <f t="array" ref="G662">IFERROR(INDEX('working sheet'!$F$2:$F$3548, MODE(IF('working sheet'!$D$2:$D$3548=A662, MATCH('working sheet'!$F$2:$F$3548, 'working sheet'!$F$2:$F$3548, 0)))),
         INDEX('working sheet'!$F$2:$F$3548, MATCH(A662, 'working sheet'!$D$2:$D$3548, 0)))</f>
        <v>Latte</v>
      </c>
      <c r="H662" s="7">
        <f t="shared" si="21"/>
        <v>1</v>
      </c>
      <c r="I662" s="7">
        <f>MAX('working sheet'!$B$2:$B$3548)-C662</f>
        <v>180.16665851851576</v>
      </c>
      <c r="J662" s="4" t="str">
        <f t="array" ref="J662">IF(AND(I662&lt;=30, D662&gt;=10, E662&gt;=200), "VIP",  IF(AND(I662&lt;=60, D662&gt;=5, E662&gt;=100), "Loyal", IF(AND(I662&lt;=90, D662&gt;=3), "Regular", IF(I662&lt;=30, "Recent", IF(D662&gt;=3, "Occasional", "At Risk")))))</f>
        <v>At Risk</v>
      </c>
      <c r="K662" t="str">
        <f t="array" ref="K662">IF(OR(J662="VIP", J662="Loyal"), "HIGH",IF(OR(J662="Regular", J662="Recent"), "MEDIUM","LOW"))</f>
        <v>LOW</v>
      </c>
    </row>
    <row r="663" spans="1:11">
      <c r="A663" t="s">
        <v>676</v>
      </c>
      <c r="B663" s="14">
        <f>_xlfn.MINIFS('working sheet'!$B$2:$B$3548, 'working sheet'!$D$2:$D$3548, A663)</f>
        <v>45559.605193761578</v>
      </c>
      <c r="C663" s="17">
        <f>_xlfn.MAXIFS('working sheet'!$B$1:$B$3548,'working sheet'!$D$1:$D$3548,'Customer Portfolio'!A663)</f>
        <v>45559.605193761578</v>
      </c>
      <c r="D663">
        <f>COUNTIFS('working sheet'!$D$1:$D$3548,'Customer Portfolio'!A663)</f>
        <v>1</v>
      </c>
      <c r="E663" s="5">
        <f>SUMIFS('working sheet'!$E$2:$E$3548,'working sheet'!$D$2:$D$3548,'Customer Portfolio'!A663)</f>
        <v>23.02</v>
      </c>
      <c r="F663" s="6">
        <f t="shared" si="20"/>
        <v>23.02</v>
      </c>
      <c r="G663" t="str">
        <f t="array" ref="G663">IFERROR(INDEX('working sheet'!$F$2:$F$3548, MODE(IF('working sheet'!$D$2:$D$3548=A663, MATCH('working sheet'!$F$2:$F$3548, 'working sheet'!$F$2:$F$3548, 0)))),
         INDEX('working sheet'!$F$2:$F$3548, MATCH(A663, 'working sheet'!$D$2:$D$3548, 0)))</f>
        <v>Cortado</v>
      </c>
      <c r="H663" s="7">
        <f t="shared" si="21"/>
        <v>1</v>
      </c>
      <c r="I663" s="7">
        <f>MAX('working sheet'!$B$2:$B$3548)-C663</f>
        <v>180.15289229166228</v>
      </c>
      <c r="J663" s="4" t="str">
        <f t="array" ref="J663">IF(AND(I663&lt;=30, D663&gt;=10, E663&gt;=200), "VIP",  IF(AND(I663&lt;=60, D663&gt;=5, E663&gt;=100), "Loyal", IF(AND(I663&lt;=90, D663&gt;=3), "Regular", IF(I663&lt;=30, "Recent", IF(D663&gt;=3, "Occasional", "At Risk")))))</f>
        <v>At Risk</v>
      </c>
      <c r="K663" t="str">
        <f t="array" ref="K663">IF(OR(J663="VIP", J663="Loyal"), "HIGH",IF(OR(J663="Regular", J663="Recent"), "MEDIUM","LOW"))</f>
        <v>LOW</v>
      </c>
    </row>
    <row r="664" spans="1:11">
      <c r="A664" t="s">
        <v>677</v>
      </c>
      <c r="B664" s="14">
        <f>_xlfn.MINIFS('working sheet'!$B$2:$B$3548, 'working sheet'!$D$2:$D$3548, A664)</f>
        <v>45559.844333287037</v>
      </c>
      <c r="C664" s="17">
        <f>_xlfn.MAXIFS('working sheet'!$B$1:$B$3548,'working sheet'!$D$1:$D$3548,'Customer Portfolio'!A664)</f>
        <v>45559.844333287037</v>
      </c>
      <c r="D664">
        <f>COUNTIFS('working sheet'!$D$1:$D$3548,'Customer Portfolio'!A664)</f>
        <v>1</v>
      </c>
      <c r="E664" s="5">
        <f>SUMIFS('working sheet'!$E$2:$E$3548,'working sheet'!$D$2:$D$3548,'Customer Portfolio'!A664)</f>
        <v>32.82</v>
      </c>
      <c r="F664" s="6">
        <f t="shared" si="20"/>
        <v>32.82</v>
      </c>
      <c r="G664" t="str">
        <f t="array" ref="G664">IFERROR(INDEX('working sheet'!$F$2:$F$3548, MODE(IF('working sheet'!$D$2:$D$3548=A664, MATCH('working sheet'!$F$2:$F$3548, 'working sheet'!$F$2:$F$3548, 0)))),
         INDEX('working sheet'!$F$2:$F$3548, MATCH(A664, 'working sheet'!$D$2:$D$3548, 0)))</f>
        <v>Hot Chocolate</v>
      </c>
      <c r="H664" s="7">
        <f t="shared" si="21"/>
        <v>1</v>
      </c>
      <c r="I664" s="7">
        <f>MAX('working sheet'!$B$2:$B$3548)-C664</f>
        <v>179.91375276620238</v>
      </c>
      <c r="J664" s="4" t="str">
        <f t="array" ref="J664">IF(AND(I664&lt;=30, D664&gt;=10, E664&gt;=200), "VIP",  IF(AND(I664&lt;=60, D664&gt;=5, E664&gt;=100), "Loyal", IF(AND(I664&lt;=90, D664&gt;=3), "Regular", IF(I664&lt;=30, "Recent", IF(D664&gt;=3, "Occasional", "At Risk")))))</f>
        <v>At Risk</v>
      </c>
      <c r="K664" t="str">
        <f t="array" ref="K664">IF(OR(J664="VIP", J664="Loyal"), "HIGH",IF(OR(J664="Regular", J664="Recent"), "MEDIUM","LOW"))</f>
        <v>LOW</v>
      </c>
    </row>
    <row r="665" spans="1:11">
      <c r="A665" t="s">
        <v>678</v>
      </c>
      <c r="B665" s="14">
        <f>_xlfn.MINIFS('working sheet'!$B$2:$B$3548, 'working sheet'!$D$2:$D$3548, A665)</f>
        <v>45560.3273275463</v>
      </c>
      <c r="C665" s="17">
        <f>_xlfn.MAXIFS('working sheet'!$B$1:$B$3548,'working sheet'!$D$1:$D$3548,'Customer Portfolio'!A665)</f>
        <v>45643.718310937496</v>
      </c>
      <c r="D665">
        <f>COUNTIFS('working sheet'!$D$1:$D$3548,'Customer Portfolio'!A665)</f>
        <v>3</v>
      </c>
      <c r="E665" s="5">
        <f>SUMIFS('working sheet'!$E$2:$E$3548,'working sheet'!$D$2:$D$3548,'Customer Portfolio'!A665)</f>
        <v>104.34</v>
      </c>
      <c r="F665" s="6">
        <f t="shared" si="20"/>
        <v>34.78</v>
      </c>
      <c r="G665" t="str">
        <f t="array" ref="G665">IFERROR(INDEX('working sheet'!$F$2:$F$3548, MODE(IF('working sheet'!$D$2:$D$3548=A665, MATCH('working sheet'!$F$2:$F$3548, 'working sheet'!$F$2:$F$3548, 0)))),
         INDEX('working sheet'!$F$2:$F$3548, MATCH(A665, 'working sheet'!$D$2:$D$3548, 0)))</f>
        <v>Cappuccino</v>
      </c>
      <c r="H665" s="7">
        <f t="shared" si="21"/>
        <v>84.390983391196642</v>
      </c>
      <c r="I665" s="7">
        <f>MAX('working sheet'!$B$2:$B$3548)-C665</f>
        <v>96.039775115743396</v>
      </c>
      <c r="J665" s="4" t="str">
        <f t="array" ref="J665">IF(AND(I665&lt;=30, D665&gt;=10, E665&gt;=200), "VIP",  IF(AND(I665&lt;=60, D665&gt;=5, E665&gt;=100), "Loyal", IF(AND(I665&lt;=90, D665&gt;=3), "Regular", IF(I665&lt;=30, "Recent", IF(D665&gt;=3, "Occasional", "At Risk")))))</f>
        <v>Occasional</v>
      </c>
      <c r="K665" t="str">
        <f t="array" ref="K665">IF(OR(J665="VIP", J665="Loyal"), "HIGH",IF(OR(J665="Regular", J665="Recent"), "MEDIUM","LOW"))</f>
        <v>LOW</v>
      </c>
    </row>
    <row r="666" spans="1:11">
      <c r="A666" t="s">
        <v>679</v>
      </c>
      <c r="B666" s="14">
        <f>_xlfn.MINIFS('working sheet'!$B$2:$B$3548, 'working sheet'!$D$2:$D$3548, A666)</f>
        <v>45560.493926064817</v>
      </c>
      <c r="C666" s="17">
        <f>_xlfn.MAXIFS('working sheet'!$B$1:$B$3548,'working sheet'!$D$1:$D$3548,'Customer Portfolio'!A666)</f>
        <v>45571.508140740742</v>
      </c>
      <c r="D666">
        <f>COUNTIFS('working sheet'!$D$1:$D$3548,'Customer Portfolio'!A666)</f>
        <v>5</v>
      </c>
      <c r="E666" s="5">
        <f>SUMIFS('working sheet'!$E$2:$E$3548,'working sheet'!$D$2:$D$3548,'Customer Portfolio'!A666)</f>
        <v>163.12</v>
      </c>
      <c r="F666" s="6">
        <f t="shared" si="20"/>
        <v>32.624000000000002</v>
      </c>
      <c r="G666" t="str">
        <f t="array" ref="G666">IFERROR(INDEX('working sheet'!$F$2:$F$3548, MODE(IF('working sheet'!$D$2:$D$3548=A666, MATCH('working sheet'!$F$2:$F$3548, 'working sheet'!$F$2:$F$3548, 0)))),
         INDEX('working sheet'!$F$2:$F$3548, MATCH(A666, 'working sheet'!$D$2:$D$3548, 0)))</f>
        <v>Americano with Milk</v>
      </c>
      <c r="H666" s="7">
        <f t="shared" si="21"/>
        <v>12.01421467592445</v>
      </c>
      <c r="I666" s="7">
        <f>MAX('working sheet'!$B$2:$B$3548)-C666</f>
        <v>168.24994531249831</v>
      </c>
      <c r="J666" s="4" t="str">
        <f t="array" ref="J666">IF(AND(I666&lt;=30, D666&gt;=10, E666&gt;=200), "VIP",  IF(AND(I666&lt;=60, D666&gt;=5, E666&gt;=100), "Loyal", IF(AND(I666&lt;=90, D666&gt;=3), "Regular", IF(I666&lt;=30, "Recent", IF(D666&gt;=3, "Occasional", "At Risk")))))</f>
        <v>Occasional</v>
      </c>
      <c r="K666" t="str">
        <f t="array" ref="K666">IF(OR(J666="VIP", J666="Loyal"), "HIGH",IF(OR(J666="Regular", J666="Recent"), "MEDIUM","LOW"))</f>
        <v>LOW</v>
      </c>
    </row>
    <row r="667" spans="1:11">
      <c r="A667" t="s">
        <v>680</v>
      </c>
      <c r="B667" s="14">
        <f>_xlfn.MINIFS('working sheet'!$B$2:$B$3548, 'working sheet'!$D$2:$D$3548, A667)</f>
        <v>45560.579762199071</v>
      </c>
      <c r="C667" s="17">
        <f>_xlfn.MAXIFS('working sheet'!$B$1:$B$3548,'working sheet'!$D$1:$D$3548,'Customer Portfolio'!A667)</f>
        <v>45563.338026261576</v>
      </c>
      <c r="D667">
        <f>COUNTIFS('working sheet'!$D$1:$D$3548,'Customer Portfolio'!A667)</f>
        <v>3</v>
      </c>
      <c r="E667" s="5">
        <f>SUMIFS('working sheet'!$E$2:$E$3548,'working sheet'!$D$2:$D$3548,'Customer Portfolio'!A667)</f>
        <v>83.76</v>
      </c>
      <c r="F667" s="6">
        <f t="shared" si="20"/>
        <v>27.92</v>
      </c>
      <c r="G667" t="str">
        <f t="array" ref="G667">IFERROR(INDEX('working sheet'!$F$2:$F$3548, MODE(IF('working sheet'!$D$2:$D$3548=A667, MATCH('working sheet'!$F$2:$F$3548, 'working sheet'!$F$2:$F$3548, 0)))),
         INDEX('working sheet'!$F$2:$F$3548, MATCH(A667, 'working sheet'!$D$2:$D$3548, 0)))</f>
        <v>Americano with Milk</v>
      </c>
      <c r="H667" s="7">
        <f t="shared" si="21"/>
        <v>3.7582640625041677</v>
      </c>
      <c r="I667" s="7">
        <f>MAX('working sheet'!$B$2:$B$3548)-C667</f>
        <v>176.42005979166424</v>
      </c>
      <c r="J667" s="4" t="str">
        <f t="array" ref="J667">IF(AND(I667&lt;=30, D667&gt;=10, E667&gt;=200), "VIP",  IF(AND(I667&lt;=60, D667&gt;=5, E667&gt;=100), "Loyal", IF(AND(I667&lt;=90, D667&gt;=3), "Regular", IF(I667&lt;=30, "Recent", IF(D667&gt;=3, "Occasional", "At Risk")))))</f>
        <v>Occasional</v>
      </c>
      <c r="K667" t="str">
        <f t="array" ref="K667">IF(OR(J667="VIP", J667="Loyal"), "HIGH",IF(OR(J667="Regular", J667="Recent"), "MEDIUM","LOW"))</f>
        <v>LOW</v>
      </c>
    </row>
    <row r="668" spans="1:11">
      <c r="A668" t="s">
        <v>681</v>
      </c>
      <c r="B668" s="14">
        <f>_xlfn.MINIFS('working sheet'!$B$2:$B$3548, 'working sheet'!$D$2:$D$3548, A668)</f>
        <v>45560.733763680553</v>
      </c>
      <c r="C668" s="17">
        <f>_xlfn.MAXIFS('working sheet'!$B$1:$B$3548,'working sheet'!$D$1:$D$3548,'Customer Portfolio'!A668)</f>
        <v>45560.734396296299</v>
      </c>
      <c r="D668">
        <f>COUNTIFS('working sheet'!$D$1:$D$3548,'Customer Portfolio'!A668)</f>
        <v>2</v>
      </c>
      <c r="E668" s="5">
        <f>SUMIFS('working sheet'!$E$2:$E$3548,'working sheet'!$D$2:$D$3548,'Customer Portfolio'!A668)</f>
        <v>55.84</v>
      </c>
      <c r="F668" s="6">
        <f t="shared" si="20"/>
        <v>27.92</v>
      </c>
      <c r="G668" t="str">
        <f t="array" ref="G668">IFERROR(INDEX('working sheet'!$F$2:$F$3548, MODE(IF('working sheet'!$D$2:$D$3548=A668, MATCH('working sheet'!$F$2:$F$3548, 'working sheet'!$F$2:$F$3548, 0)))),
         INDEX('working sheet'!$F$2:$F$3548, MATCH(A668, 'working sheet'!$D$2:$D$3548, 0)))</f>
        <v>Americano with Milk</v>
      </c>
      <c r="H668" s="7">
        <f t="shared" si="21"/>
        <v>1.0006326157454168</v>
      </c>
      <c r="I668" s="7">
        <f>MAX('working sheet'!$B$2:$B$3548)-C668</f>
        <v>179.02368975694117</v>
      </c>
      <c r="J668" s="4" t="str">
        <f t="array" ref="J668">IF(AND(I668&lt;=30, D668&gt;=10, E668&gt;=200), "VIP",  IF(AND(I668&lt;=60, D668&gt;=5, E668&gt;=100), "Loyal", IF(AND(I668&lt;=90, D668&gt;=3), "Regular", IF(I668&lt;=30, "Recent", IF(D668&gt;=3, "Occasional", "At Risk")))))</f>
        <v>At Risk</v>
      </c>
      <c r="K668" t="str">
        <f t="array" ref="K668">IF(OR(J668="VIP", J668="Loyal"), "HIGH",IF(OR(J668="Regular", J668="Recent"), "MEDIUM","LOW"))</f>
        <v>LOW</v>
      </c>
    </row>
    <row r="669" spans="1:11">
      <c r="A669" t="s">
        <v>682</v>
      </c>
      <c r="B669" s="14">
        <f>_xlfn.MINIFS('working sheet'!$B$2:$B$3548, 'working sheet'!$D$2:$D$3548, A669)</f>
        <v>45560.899088993057</v>
      </c>
      <c r="C669" s="17">
        <f>_xlfn.MAXIFS('working sheet'!$B$1:$B$3548,'working sheet'!$D$1:$D$3548,'Customer Portfolio'!A669)</f>
        <v>45560.899088993057</v>
      </c>
      <c r="D669">
        <f>COUNTIFS('working sheet'!$D$1:$D$3548,'Customer Portfolio'!A669)</f>
        <v>1</v>
      </c>
      <c r="E669" s="5">
        <f>SUMIFS('working sheet'!$E$2:$E$3548,'working sheet'!$D$2:$D$3548,'Customer Portfolio'!A669)</f>
        <v>23.02</v>
      </c>
      <c r="F669" s="6">
        <f t="shared" si="20"/>
        <v>23.02</v>
      </c>
      <c r="G669" t="str">
        <f t="array" ref="G669">IFERROR(INDEX('working sheet'!$F$2:$F$3548, MODE(IF('working sheet'!$D$2:$D$3548=A669, MATCH('working sheet'!$F$2:$F$3548, 'working sheet'!$F$2:$F$3548, 0)))),
         INDEX('working sheet'!$F$2:$F$3548, MATCH(A669, 'working sheet'!$D$2:$D$3548, 0)))</f>
        <v>Americano</v>
      </c>
      <c r="H669" s="7">
        <f t="shared" si="21"/>
        <v>1</v>
      </c>
      <c r="I669" s="7">
        <f>MAX('working sheet'!$B$2:$B$3548)-C669</f>
        <v>178.85899706018245</v>
      </c>
      <c r="J669" s="4" t="str">
        <f t="array" ref="J669">IF(AND(I669&lt;=30, D669&gt;=10, E669&gt;=200), "VIP",  IF(AND(I669&lt;=60, D669&gt;=5, E669&gt;=100), "Loyal", IF(AND(I669&lt;=90, D669&gt;=3), "Regular", IF(I669&lt;=30, "Recent", IF(D669&gt;=3, "Occasional", "At Risk")))))</f>
        <v>At Risk</v>
      </c>
      <c r="K669" t="str">
        <f t="array" ref="K669">IF(OR(J669="VIP", J669="Loyal"), "HIGH",IF(OR(J669="Regular", J669="Recent"), "MEDIUM","LOW"))</f>
        <v>LOW</v>
      </c>
    </row>
    <row r="670" spans="1:11">
      <c r="A670" t="s">
        <v>683</v>
      </c>
      <c r="B670" s="14">
        <f>_xlfn.MINIFS('working sheet'!$B$2:$B$3548, 'working sheet'!$D$2:$D$3548, A670)</f>
        <v>45561.455467673608</v>
      </c>
      <c r="C670" s="17">
        <f>_xlfn.MAXIFS('working sheet'!$B$1:$B$3548,'working sheet'!$D$1:$D$3548,'Customer Portfolio'!A670)</f>
        <v>45561.455467673608</v>
      </c>
      <c r="D670">
        <f>COUNTIFS('working sheet'!$D$1:$D$3548,'Customer Portfolio'!A670)</f>
        <v>1</v>
      </c>
      <c r="E670" s="5">
        <f>SUMIFS('working sheet'!$E$2:$E$3548,'working sheet'!$D$2:$D$3548,'Customer Portfolio'!A670)</f>
        <v>18.12</v>
      </c>
      <c r="F670" s="6">
        <f t="shared" si="20"/>
        <v>18.12</v>
      </c>
      <c r="G670" t="str">
        <f t="array" ref="G670">IFERROR(INDEX('working sheet'!$F$2:$F$3548, MODE(IF('working sheet'!$D$2:$D$3548=A670, MATCH('working sheet'!$F$2:$F$3548, 'working sheet'!$F$2:$F$3548, 0)))),
         INDEX('working sheet'!$F$2:$F$3548, MATCH(A670, 'working sheet'!$D$2:$D$3548, 0)))</f>
        <v>Espresso</v>
      </c>
      <c r="H670" s="7">
        <f t="shared" si="21"/>
        <v>1</v>
      </c>
      <c r="I670" s="7">
        <f>MAX('working sheet'!$B$2:$B$3548)-C670</f>
        <v>178.30261837963189</v>
      </c>
      <c r="J670" s="4" t="str">
        <f t="array" ref="J670">IF(AND(I670&lt;=30, D670&gt;=10, E670&gt;=200), "VIP",  IF(AND(I670&lt;=60, D670&gt;=5, E670&gt;=100), "Loyal", IF(AND(I670&lt;=90, D670&gt;=3), "Regular", IF(I670&lt;=30, "Recent", IF(D670&gt;=3, "Occasional", "At Risk")))))</f>
        <v>At Risk</v>
      </c>
      <c r="K670" t="str">
        <f t="array" ref="K670">IF(OR(J670="VIP", J670="Loyal"), "HIGH",IF(OR(J670="Regular", J670="Recent"), "MEDIUM","LOW"))</f>
        <v>LOW</v>
      </c>
    </row>
    <row r="671" spans="1:11">
      <c r="A671" t="s">
        <v>684</v>
      </c>
      <c r="B671" s="14">
        <f>_xlfn.MINIFS('working sheet'!$B$2:$B$3548, 'working sheet'!$D$2:$D$3548, A671)</f>
        <v>45561.482506608794</v>
      </c>
      <c r="C671" s="17">
        <f>_xlfn.MAXIFS('working sheet'!$B$1:$B$3548,'working sheet'!$D$1:$D$3548,'Customer Portfolio'!A671)</f>
        <v>45561.482506608794</v>
      </c>
      <c r="D671">
        <f>COUNTIFS('working sheet'!$D$1:$D$3548,'Customer Portfolio'!A671)</f>
        <v>1</v>
      </c>
      <c r="E671" s="5">
        <f>SUMIFS('working sheet'!$E$2:$E$3548,'working sheet'!$D$2:$D$3548,'Customer Portfolio'!A671)</f>
        <v>32.82</v>
      </c>
      <c r="F671" s="6">
        <f t="shared" si="20"/>
        <v>32.82</v>
      </c>
      <c r="G671" t="str">
        <f t="array" ref="G671">IFERROR(INDEX('working sheet'!$F$2:$F$3548, MODE(IF('working sheet'!$D$2:$D$3548=A671, MATCH('working sheet'!$F$2:$F$3548, 'working sheet'!$F$2:$F$3548, 0)))),
         INDEX('working sheet'!$F$2:$F$3548, MATCH(A671, 'working sheet'!$D$2:$D$3548, 0)))</f>
        <v>Cappuccino</v>
      </c>
      <c r="H671" s="7">
        <f t="shared" si="21"/>
        <v>1</v>
      </c>
      <c r="I671" s="7">
        <f>MAX('working sheet'!$B$2:$B$3548)-C671</f>
        <v>178.27557944444561</v>
      </c>
      <c r="J671" s="4" t="str">
        <f t="array" ref="J671">IF(AND(I671&lt;=30, D671&gt;=10, E671&gt;=200), "VIP",  IF(AND(I671&lt;=60, D671&gt;=5, E671&gt;=100), "Loyal", IF(AND(I671&lt;=90, D671&gt;=3), "Regular", IF(I671&lt;=30, "Recent", IF(D671&gt;=3, "Occasional", "At Risk")))))</f>
        <v>At Risk</v>
      </c>
      <c r="K671" t="str">
        <f t="array" ref="K671">IF(OR(J671="VIP", J671="Loyal"), "HIGH",IF(OR(J671="Regular", J671="Recent"), "MEDIUM","LOW"))</f>
        <v>LOW</v>
      </c>
    </row>
    <row r="672" spans="1:11">
      <c r="A672" t="s">
        <v>685</v>
      </c>
      <c r="B672" s="14">
        <f>_xlfn.MINIFS('working sheet'!$B$2:$B$3548, 'working sheet'!$D$2:$D$3548, A672)</f>
        <v>45561.533349166668</v>
      </c>
      <c r="C672" s="17">
        <f>_xlfn.MAXIFS('working sheet'!$B$1:$B$3548,'working sheet'!$D$1:$D$3548,'Customer Portfolio'!A672)</f>
        <v>45561.533349166668</v>
      </c>
      <c r="D672">
        <f>COUNTIFS('working sheet'!$D$1:$D$3548,'Customer Portfolio'!A672)</f>
        <v>1</v>
      </c>
      <c r="E672" s="5">
        <f>SUMIFS('working sheet'!$E$2:$E$3548,'working sheet'!$D$2:$D$3548,'Customer Portfolio'!A672)</f>
        <v>32.82</v>
      </c>
      <c r="F672" s="6">
        <f t="shared" si="20"/>
        <v>32.82</v>
      </c>
      <c r="G672" t="str">
        <f t="array" ref="G672">IFERROR(INDEX('working sheet'!$F$2:$F$3548, MODE(IF('working sheet'!$D$2:$D$3548=A672, MATCH('working sheet'!$F$2:$F$3548, 'working sheet'!$F$2:$F$3548, 0)))),
         INDEX('working sheet'!$F$2:$F$3548, MATCH(A672, 'working sheet'!$D$2:$D$3548, 0)))</f>
        <v>Latte</v>
      </c>
      <c r="H672" s="7">
        <f t="shared" si="21"/>
        <v>1</v>
      </c>
      <c r="I672" s="7">
        <f>MAX('working sheet'!$B$2:$B$3548)-C672</f>
        <v>178.22473688657192</v>
      </c>
      <c r="J672" s="4" t="str">
        <f t="array" ref="J672">IF(AND(I672&lt;=30, D672&gt;=10, E672&gt;=200), "VIP",  IF(AND(I672&lt;=60, D672&gt;=5, E672&gt;=100), "Loyal", IF(AND(I672&lt;=90, D672&gt;=3), "Regular", IF(I672&lt;=30, "Recent", IF(D672&gt;=3, "Occasional", "At Risk")))))</f>
        <v>At Risk</v>
      </c>
      <c r="K672" t="str">
        <f t="array" ref="K672">IF(OR(J672="VIP", J672="Loyal"), "HIGH",IF(OR(J672="Regular", J672="Recent"), "MEDIUM","LOW"))</f>
        <v>LOW</v>
      </c>
    </row>
    <row r="673" spans="1:11">
      <c r="A673" t="s">
        <v>686</v>
      </c>
      <c r="B673" s="14">
        <f>_xlfn.MINIFS('working sheet'!$B$2:$B$3548, 'working sheet'!$D$2:$D$3548, A673)</f>
        <v>45561.765228391203</v>
      </c>
      <c r="C673" s="17">
        <f>_xlfn.MAXIFS('working sheet'!$B$1:$B$3548,'working sheet'!$D$1:$D$3548,'Customer Portfolio'!A673)</f>
        <v>45561.765228391203</v>
      </c>
      <c r="D673">
        <f>COUNTIFS('working sheet'!$D$1:$D$3548,'Customer Portfolio'!A673)</f>
        <v>1</v>
      </c>
      <c r="E673" s="5">
        <f>SUMIFS('working sheet'!$E$2:$E$3548,'working sheet'!$D$2:$D$3548,'Customer Portfolio'!A673)</f>
        <v>32.82</v>
      </c>
      <c r="F673" s="6">
        <f t="shared" si="20"/>
        <v>32.82</v>
      </c>
      <c r="G673" t="str">
        <f t="array" ref="G673">IFERROR(INDEX('working sheet'!$F$2:$F$3548, MODE(IF('working sheet'!$D$2:$D$3548=A673, MATCH('working sheet'!$F$2:$F$3548, 'working sheet'!$F$2:$F$3548, 0)))),
         INDEX('working sheet'!$F$2:$F$3548, MATCH(A673, 'working sheet'!$D$2:$D$3548, 0)))</f>
        <v>Latte</v>
      </c>
      <c r="H673" s="7">
        <f t="shared" si="21"/>
        <v>1</v>
      </c>
      <c r="I673" s="7">
        <f>MAX('working sheet'!$B$2:$B$3548)-C673</f>
        <v>177.99285766203684</v>
      </c>
      <c r="J673" s="4" t="str">
        <f t="array" ref="J673">IF(AND(I673&lt;=30, D673&gt;=10, E673&gt;=200), "VIP",  IF(AND(I673&lt;=60, D673&gt;=5, E673&gt;=100), "Loyal", IF(AND(I673&lt;=90, D673&gt;=3), "Regular", IF(I673&lt;=30, "Recent", IF(D673&gt;=3, "Occasional", "At Risk")))))</f>
        <v>At Risk</v>
      </c>
      <c r="K673" t="str">
        <f t="array" ref="K673">IF(OR(J673="VIP", J673="Loyal"), "HIGH",IF(OR(J673="Regular", J673="Recent"), "MEDIUM","LOW"))</f>
        <v>LOW</v>
      </c>
    </row>
    <row r="674" spans="1:11">
      <c r="A674" t="s">
        <v>687</v>
      </c>
      <c r="B674" s="14">
        <f>_xlfn.MINIFS('working sheet'!$B$2:$B$3548, 'working sheet'!$D$2:$D$3548, A674)</f>
        <v>45561.948091215279</v>
      </c>
      <c r="C674" s="17">
        <f>_xlfn.MAXIFS('working sheet'!$B$1:$B$3548,'working sheet'!$D$1:$D$3548,'Customer Portfolio'!A674)</f>
        <v>45561.948815243057</v>
      </c>
      <c r="D674">
        <f>COUNTIFS('working sheet'!$D$1:$D$3548,'Customer Portfolio'!A674)</f>
        <v>2</v>
      </c>
      <c r="E674" s="5">
        <f>SUMIFS('working sheet'!$E$2:$E$3548,'working sheet'!$D$2:$D$3548,'Customer Portfolio'!A674)</f>
        <v>55.84</v>
      </c>
      <c r="F674" s="6">
        <f t="shared" si="20"/>
        <v>27.92</v>
      </c>
      <c r="G674" t="str">
        <f t="array" ref="G674">IFERROR(INDEX('working sheet'!$F$2:$F$3548, MODE(IF('working sheet'!$D$2:$D$3548=A674, MATCH('working sheet'!$F$2:$F$3548, 'working sheet'!$F$2:$F$3548, 0)))),
         INDEX('working sheet'!$F$2:$F$3548, MATCH(A674, 'working sheet'!$D$2:$D$3548, 0)))</f>
        <v>Latte</v>
      </c>
      <c r="H674" s="7">
        <f t="shared" si="21"/>
        <v>1.0007240277773235</v>
      </c>
      <c r="I674" s="7">
        <f>MAX('working sheet'!$B$2:$B$3548)-C674</f>
        <v>177.80927081018308</v>
      </c>
      <c r="J674" s="4" t="str">
        <f t="array" ref="J674">IF(AND(I674&lt;=30, D674&gt;=10, E674&gt;=200), "VIP",  IF(AND(I674&lt;=60, D674&gt;=5, E674&gt;=100), "Loyal", IF(AND(I674&lt;=90, D674&gt;=3), "Regular", IF(I674&lt;=30, "Recent", IF(D674&gt;=3, "Occasional", "At Risk")))))</f>
        <v>At Risk</v>
      </c>
      <c r="K674" t="str">
        <f t="array" ref="K674">IF(OR(J674="VIP", J674="Loyal"), "HIGH",IF(OR(J674="Regular", J674="Recent"), "MEDIUM","LOW"))</f>
        <v>LOW</v>
      </c>
    </row>
    <row r="675" spans="1:11">
      <c r="A675" t="s">
        <v>688</v>
      </c>
      <c r="B675" s="14">
        <f>_xlfn.MINIFS('working sheet'!$B$2:$B$3548, 'working sheet'!$D$2:$D$3548, A675)</f>
        <v>45562.40352699074</v>
      </c>
      <c r="C675" s="17">
        <f>_xlfn.MAXIFS('working sheet'!$B$1:$B$3548,'working sheet'!$D$1:$D$3548,'Customer Portfolio'!A675)</f>
        <v>45562.40352699074</v>
      </c>
      <c r="D675">
        <f>COUNTIFS('working sheet'!$D$1:$D$3548,'Customer Portfolio'!A675)</f>
        <v>1</v>
      </c>
      <c r="E675" s="5">
        <f>SUMIFS('working sheet'!$E$2:$E$3548,'working sheet'!$D$2:$D$3548,'Customer Portfolio'!A675)</f>
        <v>32.82</v>
      </c>
      <c r="F675" s="6">
        <f t="shared" si="20"/>
        <v>32.82</v>
      </c>
      <c r="G675" t="str">
        <f t="array" ref="G675">IFERROR(INDEX('working sheet'!$F$2:$F$3548, MODE(IF('working sheet'!$D$2:$D$3548=A675, MATCH('working sheet'!$F$2:$F$3548, 'working sheet'!$F$2:$F$3548, 0)))),
         INDEX('working sheet'!$F$2:$F$3548, MATCH(A675, 'working sheet'!$D$2:$D$3548, 0)))</f>
        <v>Cappuccino</v>
      </c>
      <c r="H675" s="7">
        <f t="shared" si="21"/>
        <v>1</v>
      </c>
      <c r="I675" s="7">
        <f>MAX('working sheet'!$B$2:$B$3548)-C675</f>
        <v>177.3545590624999</v>
      </c>
      <c r="J675" s="4" t="str">
        <f t="array" ref="J675">IF(AND(I675&lt;=30, D675&gt;=10, E675&gt;=200), "VIP",  IF(AND(I675&lt;=60, D675&gt;=5, E675&gt;=100), "Loyal", IF(AND(I675&lt;=90, D675&gt;=3), "Regular", IF(I675&lt;=30, "Recent", IF(D675&gt;=3, "Occasional", "At Risk")))))</f>
        <v>At Risk</v>
      </c>
      <c r="K675" t="str">
        <f t="array" ref="K675">IF(OR(J675="VIP", J675="Loyal"), "HIGH",IF(OR(J675="Regular", J675="Recent"), "MEDIUM","LOW"))</f>
        <v>LOW</v>
      </c>
    </row>
    <row r="676" spans="1:11">
      <c r="A676" t="s">
        <v>689</v>
      </c>
      <c r="B676" s="14">
        <f>_xlfn.MINIFS('working sheet'!$B$2:$B$3548, 'working sheet'!$D$2:$D$3548, A676)</f>
        <v>45562.555914988428</v>
      </c>
      <c r="C676" s="17">
        <f>_xlfn.MAXIFS('working sheet'!$B$1:$B$3548,'working sheet'!$D$1:$D$3548,'Customer Portfolio'!A676)</f>
        <v>45562.555914988428</v>
      </c>
      <c r="D676">
        <f>COUNTIFS('working sheet'!$D$1:$D$3548,'Customer Portfolio'!A676)</f>
        <v>1</v>
      </c>
      <c r="E676" s="5">
        <f>SUMIFS('working sheet'!$E$2:$E$3548,'working sheet'!$D$2:$D$3548,'Customer Portfolio'!A676)</f>
        <v>32.82</v>
      </c>
      <c r="F676" s="6">
        <f t="shared" si="20"/>
        <v>32.82</v>
      </c>
      <c r="G676" t="str">
        <f t="array" ref="G676">IFERROR(INDEX('working sheet'!$F$2:$F$3548, MODE(IF('working sheet'!$D$2:$D$3548=A676, MATCH('working sheet'!$F$2:$F$3548, 'working sheet'!$F$2:$F$3548, 0)))),
         INDEX('working sheet'!$F$2:$F$3548, MATCH(A676, 'working sheet'!$D$2:$D$3548, 0)))</f>
        <v>Cappuccino</v>
      </c>
      <c r="H676" s="7">
        <f t="shared" si="21"/>
        <v>1</v>
      </c>
      <c r="I676" s="7">
        <f>MAX('working sheet'!$B$2:$B$3548)-C676</f>
        <v>177.20217106481141</v>
      </c>
      <c r="J676" s="4" t="str">
        <f t="array" ref="J676">IF(AND(I676&lt;=30, D676&gt;=10, E676&gt;=200), "VIP",  IF(AND(I676&lt;=60, D676&gt;=5, E676&gt;=100), "Loyal", IF(AND(I676&lt;=90, D676&gt;=3), "Regular", IF(I676&lt;=30, "Recent", IF(D676&gt;=3, "Occasional", "At Risk")))))</f>
        <v>At Risk</v>
      </c>
      <c r="K676" t="str">
        <f t="array" ref="K676">IF(OR(J676="VIP", J676="Loyal"), "HIGH",IF(OR(J676="Regular", J676="Recent"), "MEDIUM","LOW"))</f>
        <v>LOW</v>
      </c>
    </row>
    <row r="677" spans="1:11">
      <c r="A677" t="s">
        <v>690</v>
      </c>
      <c r="B677" s="14">
        <f>_xlfn.MINIFS('working sheet'!$B$2:$B$3548, 'working sheet'!$D$2:$D$3548, A677)</f>
        <v>45562.559088796297</v>
      </c>
      <c r="C677" s="17">
        <f>_xlfn.MAXIFS('working sheet'!$B$1:$B$3548,'working sheet'!$D$1:$D$3548,'Customer Portfolio'!A677)</f>
        <v>45562.561494293979</v>
      </c>
      <c r="D677">
        <f>COUNTIFS('working sheet'!$D$1:$D$3548,'Customer Portfolio'!A677)</f>
        <v>2</v>
      </c>
      <c r="E677" s="5">
        <f>SUMIFS('working sheet'!$E$2:$E$3548,'working sheet'!$D$2:$D$3548,'Customer Portfolio'!A677)</f>
        <v>55.84</v>
      </c>
      <c r="F677" s="6">
        <f t="shared" si="20"/>
        <v>27.92</v>
      </c>
      <c r="G677" t="str">
        <f t="array" ref="G677">IFERROR(INDEX('working sheet'!$F$2:$F$3548, MODE(IF('working sheet'!$D$2:$D$3548=A677, MATCH('working sheet'!$F$2:$F$3548, 'working sheet'!$F$2:$F$3548, 0)))),
         INDEX('working sheet'!$F$2:$F$3548, MATCH(A677, 'working sheet'!$D$2:$D$3548, 0)))</f>
        <v>Cappuccino</v>
      </c>
      <c r="H677" s="7">
        <f t="shared" si="21"/>
        <v>1.002405497682048</v>
      </c>
      <c r="I677" s="7">
        <f>MAX('working sheet'!$B$2:$B$3548)-C677</f>
        <v>177.19659175926063</v>
      </c>
      <c r="J677" s="4" t="str">
        <f t="array" ref="J677">IF(AND(I677&lt;=30, D677&gt;=10, E677&gt;=200), "VIP",  IF(AND(I677&lt;=60, D677&gt;=5, E677&gt;=100), "Loyal", IF(AND(I677&lt;=90, D677&gt;=3), "Regular", IF(I677&lt;=30, "Recent", IF(D677&gt;=3, "Occasional", "At Risk")))))</f>
        <v>At Risk</v>
      </c>
      <c r="K677" t="str">
        <f t="array" ref="K677">IF(OR(J677="VIP", J677="Loyal"), "HIGH",IF(OR(J677="Regular", J677="Recent"), "MEDIUM","LOW"))</f>
        <v>LOW</v>
      </c>
    </row>
    <row r="678" spans="1:11">
      <c r="A678" t="s">
        <v>691</v>
      </c>
      <c r="B678" s="14">
        <f>_xlfn.MINIFS('working sheet'!$B$2:$B$3548, 'working sheet'!$D$2:$D$3548, A678)</f>
        <v>45562.565190451387</v>
      </c>
      <c r="C678" s="17">
        <f>_xlfn.MAXIFS('working sheet'!$B$1:$B$3548,'working sheet'!$D$1:$D$3548,'Customer Portfolio'!A678)</f>
        <v>45562.565190451387</v>
      </c>
      <c r="D678">
        <f>COUNTIFS('working sheet'!$D$1:$D$3548,'Customer Portfolio'!A678)</f>
        <v>1</v>
      </c>
      <c r="E678" s="5">
        <f>SUMIFS('working sheet'!$E$2:$E$3548,'working sheet'!$D$2:$D$3548,'Customer Portfolio'!A678)</f>
        <v>27.92</v>
      </c>
      <c r="F678" s="6">
        <f t="shared" si="20"/>
        <v>27.92</v>
      </c>
      <c r="G678" t="str">
        <f t="array" ref="G678">IFERROR(INDEX('working sheet'!$F$2:$F$3548, MODE(IF('working sheet'!$D$2:$D$3548=A678, MATCH('working sheet'!$F$2:$F$3548, 'working sheet'!$F$2:$F$3548, 0)))),
         INDEX('working sheet'!$F$2:$F$3548, MATCH(A678, 'working sheet'!$D$2:$D$3548, 0)))</f>
        <v>Americano with Milk</v>
      </c>
      <c r="H678" s="7">
        <f t="shared" si="21"/>
        <v>1</v>
      </c>
      <c r="I678" s="7">
        <f>MAX('working sheet'!$B$2:$B$3548)-C678</f>
        <v>177.1928956018528</v>
      </c>
      <c r="J678" s="4" t="str">
        <f t="array" ref="J678">IF(AND(I678&lt;=30, D678&gt;=10, E678&gt;=200), "VIP",  IF(AND(I678&lt;=60, D678&gt;=5, E678&gt;=100), "Loyal", IF(AND(I678&lt;=90, D678&gt;=3), "Regular", IF(I678&lt;=30, "Recent", IF(D678&gt;=3, "Occasional", "At Risk")))))</f>
        <v>At Risk</v>
      </c>
      <c r="K678" t="str">
        <f t="array" ref="K678">IF(OR(J678="VIP", J678="Loyal"), "HIGH",IF(OR(J678="Regular", J678="Recent"), "MEDIUM","LOW"))</f>
        <v>LOW</v>
      </c>
    </row>
    <row r="679" spans="1:11">
      <c r="A679" t="s">
        <v>692</v>
      </c>
      <c r="B679" s="14">
        <f>_xlfn.MINIFS('working sheet'!$B$2:$B$3548, 'working sheet'!$D$2:$D$3548, A679)</f>
        <v>45562.755366956022</v>
      </c>
      <c r="C679" s="17">
        <f>_xlfn.MAXIFS('working sheet'!$B$1:$B$3548,'working sheet'!$D$1:$D$3548,'Customer Portfolio'!A679)</f>
        <v>45562.756229618055</v>
      </c>
      <c r="D679">
        <f>COUNTIFS('working sheet'!$D$1:$D$3548,'Customer Portfolio'!A679)</f>
        <v>2</v>
      </c>
      <c r="E679" s="5">
        <f>SUMIFS('working sheet'!$E$2:$E$3548,'working sheet'!$D$2:$D$3548,'Customer Portfolio'!A679)</f>
        <v>65.64</v>
      </c>
      <c r="F679" s="6">
        <f t="shared" si="20"/>
        <v>32.82</v>
      </c>
      <c r="G679" t="str">
        <f t="array" ref="G679">IFERROR(INDEX('working sheet'!$F$2:$F$3548, MODE(IF('working sheet'!$D$2:$D$3548=A679, MATCH('working sheet'!$F$2:$F$3548, 'working sheet'!$F$2:$F$3548, 0)))),
         INDEX('working sheet'!$F$2:$F$3548, MATCH(A679, 'working sheet'!$D$2:$D$3548, 0)))</f>
        <v>Latte</v>
      </c>
      <c r="H679" s="7">
        <f t="shared" si="21"/>
        <v>1.0008626620328869</v>
      </c>
      <c r="I679" s="7">
        <f>MAX('working sheet'!$B$2:$B$3548)-C679</f>
        <v>177.00185643518489</v>
      </c>
      <c r="J679" s="4" t="str">
        <f t="array" ref="J679">IF(AND(I679&lt;=30, D679&gt;=10, E679&gt;=200), "VIP",  IF(AND(I679&lt;=60, D679&gt;=5, E679&gt;=100), "Loyal", IF(AND(I679&lt;=90, D679&gt;=3), "Regular", IF(I679&lt;=30, "Recent", IF(D679&gt;=3, "Occasional", "At Risk")))))</f>
        <v>At Risk</v>
      </c>
      <c r="K679" t="str">
        <f t="array" ref="K679">IF(OR(J679="VIP", J679="Loyal"), "HIGH",IF(OR(J679="Regular", J679="Recent"), "MEDIUM","LOW"))</f>
        <v>LOW</v>
      </c>
    </row>
    <row r="680" spans="1:11">
      <c r="A680" t="s">
        <v>693</v>
      </c>
      <c r="B680" s="14">
        <f>_xlfn.MINIFS('working sheet'!$B$2:$B$3548, 'working sheet'!$D$2:$D$3548, A680)</f>
        <v>45562.776225590278</v>
      </c>
      <c r="C680" s="17">
        <f>_xlfn.MAXIFS('working sheet'!$B$1:$B$3548,'working sheet'!$D$1:$D$3548,'Customer Portfolio'!A680)</f>
        <v>45562.776225590278</v>
      </c>
      <c r="D680">
        <f>COUNTIFS('working sheet'!$D$1:$D$3548,'Customer Portfolio'!A680)</f>
        <v>1</v>
      </c>
      <c r="E680" s="5">
        <f>SUMIFS('working sheet'!$E$2:$E$3548,'working sheet'!$D$2:$D$3548,'Customer Portfolio'!A680)</f>
        <v>32.82</v>
      </c>
      <c r="F680" s="6">
        <f t="shared" si="20"/>
        <v>32.82</v>
      </c>
      <c r="G680" t="str">
        <f t="array" ref="G680">IFERROR(INDEX('working sheet'!$F$2:$F$3548, MODE(IF('working sheet'!$D$2:$D$3548=A680, MATCH('working sheet'!$F$2:$F$3548, 'working sheet'!$F$2:$F$3548, 0)))),
         INDEX('working sheet'!$F$2:$F$3548, MATCH(A680, 'working sheet'!$D$2:$D$3548, 0)))</f>
        <v>Cappuccino</v>
      </c>
      <c r="H680" s="7">
        <f t="shared" si="21"/>
        <v>1</v>
      </c>
      <c r="I680" s="7">
        <f>MAX('working sheet'!$B$2:$B$3548)-C680</f>
        <v>176.98186046296178</v>
      </c>
      <c r="J680" s="4" t="str">
        <f t="array" ref="J680">IF(AND(I680&lt;=30, D680&gt;=10, E680&gt;=200), "VIP",  IF(AND(I680&lt;=60, D680&gt;=5, E680&gt;=100), "Loyal", IF(AND(I680&lt;=90, D680&gt;=3), "Regular", IF(I680&lt;=30, "Recent", IF(D680&gt;=3, "Occasional", "At Risk")))))</f>
        <v>At Risk</v>
      </c>
      <c r="K680" t="str">
        <f t="array" ref="K680">IF(OR(J680="VIP", J680="Loyal"), "HIGH",IF(OR(J680="Regular", J680="Recent"), "MEDIUM","LOW"))</f>
        <v>LOW</v>
      </c>
    </row>
    <row r="681" spans="1:11">
      <c r="A681" t="s">
        <v>694</v>
      </c>
      <c r="B681" s="14">
        <f>_xlfn.MINIFS('working sheet'!$B$2:$B$3548, 'working sheet'!$D$2:$D$3548, A681)</f>
        <v>45562.778399965275</v>
      </c>
      <c r="C681" s="17">
        <f>_xlfn.MAXIFS('working sheet'!$B$1:$B$3548,'working sheet'!$D$1:$D$3548,'Customer Portfolio'!A681)</f>
        <v>45562.778399965275</v>
      </c>
      <c r="D681">
        <f>COUNTIFS('working sheet'!$D$1:$D$3548,'Customer Portfolio'!A681)</f>
        <v>1</v>
      </c>
      <c r="E681" s="5">
        <f>SUMIFS('working sheet'!$E$2:$E$3548,'working sheet'!$D$2:$D$3548,'Customer Portfolio'!A681)</f>
        <v>32.82</v>
      </c>
      <c r="F681" s="6">
        <f t="shared" si="20"/>
        <v>32.82</v>
      </c>
      <c r="G681" t="str">
        <f t="array" ref="G681">IFERROR(INDEX('working sheet'!$F$2:$F$3548, MODE(IF('working sheet'!$D$2:$D$3548=A681, MATCH('working sheet'!$F$2:$F$3548, 'working sheet'!$F$2:$F$3548, 0)))),
         INDEX('working sheet'!$F$2:$F$3548, MATCH(A681, 'working sheet'!$D$2:$D$3548, 0)))</f>
        <v>Cappuccino</v>
      </c>
      <c r="H681" s="7">
        <f t="shared" si="21"/>
        <v>1</v>
      </c>
      <c r="I681" s="7">
        <f>MAX('working sheet'!$B$2:$B$3548)-C681</f>
        <v>176.97968608796509</v>
      </c>
      <c r="J681" s="4" t="str">
        <f t="array" ref="J681">IF(AND(I681&lt;=30, D681&gt;=10, E681&gt;=200), "VIP",  IF(AND(I681&lt;=60, D681&gt;=5, E681&gt;=100), "Loyal", IF(AND(I681&lt;=90, D681&gt;=3), "Regular", IF(I681&lt;=30, "Recent", IF(D681&gt;=3, "Occasional", "At Risk")))))</f>
        <v>At Risk</v>
      </c>
      <c r="K681" t="str">
        <f t="array" ref="K681">IF(OR(J681="VIP", J681="Loyal"), "HIGH",IF(OR(J681="Regular", J681="Recent"), "MEDIUM","LOW"))</f>
        <v>LOW</v>
      </c>
    </row>
    <row r="682" spans="1:11">
      <c r="A682" t="s">
        <v>695</v>
      </c>
      <c r="B682" s="14">
        <f>_xlfn.MINIFS('working sheet'!$B$2:$B$3548, 'working sheet'!$D$2:$D$3548, A682)</f>
        <v>45562.873784340278</v>
      </c>
      <c r="C682" s="17">
        <f>_xlfn.MAXIFS('working sheet'!$B$1:$B$3548,'working sheet'!$D$1:$D$3548,'Customer Portfolio'!A682)</f>
        <v>45562.873784340278</v>
      </c>
      <c r="D682">
        <f>COUNTIFS('working sheet'!$D$1:$D$3548,'Customer Portfolio'!A682)</f>
        <v>1</v>
      </c>
      <c r="E682" s="5">
        <f>SUMIFS('working sheet'!$E$2:$E$3548,'working sheet'!$D$2:$D$3548,'Customer Portfolio'!A682)</f>
        <v>27.92</v>
      </c>
      <c r="F682" s="6">
        <f t="shared" si="20"/>
        <v>27.92</v>
      </c>
      <c r="G682" t="str">
        <f t="array" ref="G682">IFERROR(INDEX('working sheet'!$F$2:$F$3548, MODE(IF('working sheet'!$D$2:$D$3548=A682, MATCH('working sheet'!$F$2:$F$3548, 'working sheet'!$F$2:$F$3548, 0)))),
         INDEX('working sheet'!$F$2:$F$3548, MATCH(A682, 'working sheet'!$D$2:$D$3548, 0)))</f>
        <v>Americano with Milk</v>
      </c>
      <c r="H682" s="7">
        <f t="shared" si="21"/>
        <v>1</v>
      </c>
      <c r="I682" s="7">
        <f>MAX('working sheet'!$B$2:$B$3548)-C682</f>
        <v>176.88430171296204</v>
      </c>
      <c r="J682" s="4" t="str">
        <f t="array" ref="J682">IF(AND(I682&lt;=30, D682&gt;=10, E682&gt;=200), "VIP",  IF(AND(I682&lt;=60, D682&gt;=5, E682&gt;=100), "Loyal", IF(AND(I682&lt;=90, D682&gt;=3), "Regular", IF(I682&lt;=30, "Recent", IF(D682&gt;=3, "Occasional", "At Risk")))))</f>
        <v>At Risk</v>
      </c>
      <c r="K682" t="str">
        <f t="array" ref="K682">IF(OR(J682="VIP", J682="Loyal"), "HIGH",IF(OR(J682="Regular", J682="Recent"), "MEDIUM","LOW"))</f>
        <v>LOW</v>
      </c>
    </row>
    <row r="683" spans="1:11">
      <c r="A683" t="s">
        <v>696</v>
      </c>
      <c r="B683" s="14">
        <f>_xlfn.MINIFS('working sheet'!$B$2:$B$3548, 'working sheet'!$D$2:$D$3548, A683)</f>
        <v>45563.396698599536</v>
      </c>
      <c r="C683" s="17">
        <f>_xlfn.MAXIFS('working sheet'!$B$1:$B$3548,'working sheet'!$D$1:$D$3548,'Customer Portfolio'!A683)</f>
        <v>45671.31785255787</v>
      </c>
      <c r="D683">
        <f>COUNTIFS('working sheet'!$D$1:$D$3548,'Customer Portfolio'!A683)</f>
        <v>3</v>
      </c>
      <c r="E683" s="5">
        <f>SUMIFS('working sheet'!$E$2:$E$3548,'working sheet'!$D$2:$D$3548,'Customer Portfolio'!A683)</f>
        <v>99.44</v>
      </c>
      <c r="F683" s="6">
        <f t="shared" si="20"/>
        <v>33.146666666666668</v>
      </c>
      <c r="G683" t="str">
        <f t="array" ref="G683">IFERROR(INDEX('working sheet'!$F$2:$F$3548, MODE(IF('working sheet'!$D$2:$D$3548=A683, MATCH('working sheet'!$F$2:$F$3548, 'working sheet'!$F$2:$F$3548, 0)))),
         INDEX('working sheet'!$F$2:$F$3548, MATCH(A683, 'working sheet'!$D$2:$D$3548, 0)))</f>
        <v>Americano with Milk</v>
      </c>
      <c r="H683" s="7">
        <f t="shared" si="21"/>
        <v>108.92115395833389</v>
      </c>
      <c r="I683" s="7">
        <f>MAX('working sheet'!$B$2:$B$3548)-C683</f>
        <v>68.440233495370194</v>
      </c>
      <c r="J683" s="4" t="str">
        <f t="array" ref="J683">IF(AND(I683&lt;=30, D683&gt;=10, E683&gt;=200), "VIP",  IF(AND(I683&lt;=60, D683&gt;=5, E683&gt;=100), "Loyal", IF(AND(I683&lt;=90, D683&gt;=3), "Regular", IF(I683&lt;=30, "Recent", IF(D683&gt;=3, "Occasional", "At Risk")))))</f>
        <v>Regular</v>
      </c>
      <c r="K683" t="str">
        <f t="array" ref="K683">IF(OR(J683="VIP", J683="Loyal"), "HIGH",IF(OR(J683="Regular", J683="Recent"), "MEDIUM","LOW"))</f>
        <v>MEDIUM</v>
      </c>
    </row>
    <row r="684" spans="1:11">
      <c r="A684" t="s">
        <v>697</v>
      </c>
      <c r="B684" s="14">
        <f>_xlfn.MINIFS('working sheet'!$B$2:$B$3548, 'working sheet'!$D$2:$D$3548, A684)</f>
        <v>45563.706482847221</v>
      </c>
      <c r="C684" s="17">
        <f>_xlfn.MAXIFS('working sheet'!$B$1:$B$3548,'working sheet'!$D$1:$D$3548,'Customer Portfolio'!A684)</f>
        <v>45619.420321226855</v>
      </c>
      <c r="D684">
        <f>COUNTIFS('working sheet'!$D$1:$D$3548,'Customer Portfolio'!A684)</f>
        <v>11</v>
      </c>
      <c r="E684" s="5">
        <f>SUMIFS('working sheet'!$E$2:$E$3548,'working sheet'!$D$2:$D$3548,'Customer Portfolio'!A684)</f>
        <v>363.96</v>
      </c>
      <c r="F684" s="6">
        <f t="shared" si="20"/>
        <v>33.087272727272726</v>
      </c>
      <c r="G684" t="str">
        <f t="array" ref="G684">IFERROR(INDEX('working sheet'!$F$2:$F$3548, MODE(IF('working sheet'!$D$2:$D$3548=A684, MATCH('working sheet'!$F$2:$F$3548, 'working sheet'!$F$2:$F$3548, 0)))),
         INDEX('working sheet'!$F$2:$F$3548, MATCH(A684, 'working sheet'!$D$2:$D$3548, 0)))</f>
        <v>Latte</v>
      </c>
      <c r="H684" s="7">
        <f t="shared" si="21"/>
        <v>56.713838379633671</v>
      </c>
      <c r="I684" s="7">
        <f>MAX('working sheet'!$B$2:$B$3548)-C684</f>
        <v>120.33776482638496</v>
      </c>
      <c r="J684" s="4" t="str">
        <f t="array" ref="J684">IF(AND(I684&lt;=30, D684&gt;=10, E684&gt;=200), "VIP",  IF(AND(I684&lt;=60, D684&gt;=5, E684&gt;=100), "Loyal", IF(AND(I684&lt;=90, D684&gt;=3), "Regular", IF(I684&lt;=30, "Recent", IF(D684&gt;=3, "Occasional", "At Risk")))))</f>
        <v>Occasional</v>
      </c>
      <c r="K684" t="str">
        <f t="array" ref="K684">IF(OR(J684="VIP", J684="Loyal"), "HIGH",IF(OR(J684="Regular", J684="Recent"), "MEDIUM","LOW"))</f>
        <v>LOW</v>
      </c>
    </row>
    <row r="685" spans="1:11">
      <c r="A685" t="s">
        <v>698</v>
      </c>
      <c r="B685" s="14">
        <f>_xlfn.MINIFS('working sheet'!$B$2:$B$3548, 'working sheet'!$D$2:$D$3548, A685)</f>
        <v>45563.726582222225</v>
      </c>
      <c r="C685" s="17">
        <f>_xlfn.MAXIFS('working sheet'!$B$1:$B$3548,'working sheet'!$D$1:$D$3548,'Customer Portfolio'!A685)</f>
        <v>45563.726582222225</v>
      </c>
      <c r="D685">
        <f>COUNTIFS('working sheet'!$D$1:$D$3548,'Customer Portfolio'!A685)</f>
        <v>1</v>
      </c>
      <c r="E685" s="5">
        <f>SUMIFS('working sheet'!$E$2:$E$3548,'working sheet'!$D$2:$D$3548,'Customer Portfolio'!A685)</f>
        <v>30.86</v>
      </c>
      <c r="F685" s="6">
        <f t="shared" si="20"/>
        <v>30.86</v>
      </c>
      <c r="G685" t="str">
        <f t="array" ref="G685">IFERROR(INDEX('working sheet'!$F$2:$F$3548, MODE(IF('working sheet'!$D$2:$D$3548=A685, MATCH('working sheet'!$F$2:$F$3548, 'working sheet'!$F$2:$F$3548, 0)))),
         INDEX('working sheet'!$F$2:$F$3548, MATCH(A685, 'working sheet'!$D$2:$D$3548, 0)))</f>
        <v>Americano with Milk</v>
      </c>
      <c r="H685" s="7">
        <f t="shared" si="21"/>
        <v>1</v>
      </c>
      <c r="I685" s="7">
        <f>MAX('working sheet'!$B$2:$B$3548)-C685</f>
        <v>176.03150383101456</v>
      </c>
      <c r="J685" s="4" t="str">
        <f t="array" ref="J685">IF(AND(I685&lt;=30, D685&gt;=10, E685&gt;=200), "VIP",  IF(AND(I685&lt;=60, D685&gt;=5, E685&gt;=100), "Loyal", IF(AND(I685&lt;=90, D685&gt;=3), "Regular", IF(I685&lt;=30, "Recent", IF(D685&gt;=3, "Occasional", "At Risk")))))</f>
        <v>At Risk</v>
      </c>
      <c r="K685" t="str">
        <f t="array" ref="K685">IF(OR(J685="VIP", J685="Loyal"), "HIGH",IF(OR(J685="Regular", J685="Recent"), "MEDIUM","LOW"))</f>
        <v>LOW</v>
      </c>
    </row>
    <row r="686" spans="1:11">
      <c r="A686" t="s">
        <v>699</v>
      </c>
      <c r="B686" s="14">
        <f>_xlfn.MINIFS('working sheet'!$B$2:$B$3548, 'working sheet'!$D$2:$D$3548, A686)</f>
        <v>45563.860144699072</v>
      </c>
      <c r="C686" s="17">
        <f>_xlfn.MAXIFS('working sheet'!$B$1:$B$3548,'working sheet'!$D$1:$D$3548,'Customer Portfolio'!A686)</f>
        <v>45629.899523761575</v>
      </c>
      <c r="D686">
        <f>COUNTIFS('working sheet'!$D$1:$D$3548,'Customer Portfolio'!A686)</f>
        <v>4</v>
      </c>
      <c r="E686" s="5">
        <f>SUMIFS('working sheet'!$E$2:$E$3548,'working sheet'!$D$2:$D$3548,'Customer Portfolio'!A686)</f>
        <v>143.04</v>
      </c>
      <c r="F686" s="6">
        <f t="shared" si="20"/>
        <v>35.76</v>
      </c>
      <c r="G686" t="str">
        <f t="array" ref="G686">IFERROR(INDEX('working sheet'!$F$2:$F$3548, MODE(IF('working sheet'!$D$2:$D$3548=A686, MATCH('working sheet'!$F$2:$F$3548, 'working sheet'!$F$2:$F$3548, 0)))),
         INDEX('working sheet'!$F$2:$F$3548, MATCH(A686, 'working sheet'!$D$2:$D$3548, 0)))</f>
        <v>Latte</v>
      </c>
      <c r="H686" s="7">
        <f t="shared" si="21"/>
        <v>67.039379062502121</v>
      </c>
      <c r="I686" s="7">
        <f>MAX('working sheet'!$B$2:$B$3548)-C686</f>
        <v>109.85856229166529</v>
      </c>
      <c r="J686" s="4" t="str">
        <f t="array" ref="J686">IF(AND(I686&lt;=30, D686&gt;=10, E686&gt;=200), "VIP",  IF(AND(I686&lt;=60, D686&gt;=5, E686&gt;=100), "Loyal", IF(AND(I686&lt;=90, D686&gt;=3), "Regular", IF(I686&lt;=30, "Recent", IF(D686&gt;=3, "Occasional", "At Risk")))))</f>
        <v>Occasional</v>
      </c>
      <c r="K686" t="str">
        <f t="array" ref="K686">IF(OR(J686="VIP", J686="Loyal"), "HIGH",IF(OR(J686="Regular", J686="Recent"), "MEDIUM","LOW"))</f>
        <v>LOW</v>
      </c>
    </row>
    <row r="687" spans="1:11">
      <c r="A687" t="s">
        <v>700</v>
      </c>
      <c r="B687" s="14">
        <f>_xlfn.MINIFS('working sheet'!$B$2:$B$3548, 'working sheet'!$D$2:$D$3548, A687)</f>
        <v>45563.928203437499</v>
      </c>
      <c r="C687" s="17">
        <f>_xlfn.MAXIFS('working sheet'!$B$1:$B$3548,'working sheet'!$D$1:$D$3548,'Customer Portfolio'!A687)</f>
        <v>45563.928814664352</v>
      </c>
      <c r="D687">
        <f>COUNTIFS('working sheet'!$D$1:$D$3548,'Customer Portfolio'!A687)</f>
        <v>2</v>
      </c>
      <c r="E687" s="5">
        <f>SUMIFS('working sheet'!$E$2:$E$3548,'working sheet'!$D$2:$D$3548,'Customer Portfolio'!A687)</f>
        <v>71.52</v>
      </c>
      <c r="F687" s="6">
        <f t="shared" si="20"/>
        <v>35.76</v>
      </c>
      <c r="G687" t="str">
        <f t="array" ref="G687">IFERROR(INDEX('working sheet'!$F$2:$F$3548, MODE(IF('working sheet'!$D$2:$D$3548=A687, MATCH('working sheet'!$F$2:$F$3548, 'working sheet'!$F$2:$F$3548, 0)))),
         INDEX('working sheet'!$F$2:$F$3548, MATCH(A687, 'working sheet'!$D$2:$D$3548, 0)))</f>
        <v>Cappuccino</v>
      </c>
      <c r="H687" s="7">
        <f t="shared" si="21"/>
        <v>1.000611226852925</v>
      </c>
      <c r="I687" s="7">
        <f>MAX('working sheet'!$B$2:$B$3548)-C687</f>
        <v>175.82927138888772</v>
      </c>
      <c r="J687" s="4" t="str">
        <f t="array" ref="J687">IF(AND(I687&lt;=30, D687&gt;=10, E687&gt;=200), "VIP",  IF(AND(I687&lt;=60, D687&gt;=5, E687&gt;=100), "Loyal", IF(AND(I687&lt;=90, D687&gt;=3), "Regular", IF(I687&lt;=30, "Recent", IF(D687&gt;=3, "Occasional", "At Risk")))))</f>
        <v>At Risk</v>
      </c>
      <c r="K687" t="str">
        <f t="array" ref="K687">IF(OR(J687="VIP", J687="Loyal"), "HIGH",IF(OR(J687="Regular", J687="Recent"), "MEDIUM","LOW"))</f>
        <v>LOW</v>
      </c>
    </row>
    <row r="688" spans="1:11">
      <c r="A688" t="s">
        <v>701</v>
      </c>
      <c r="B688" s="14">
        <f>_xlfn.MINIFS('working sheet'!$B$2:$B$3548, 'working sheet'!$D$2:$D$3548, A688)</f>
        <v>45563.929352685183</v>
      </c>
      <c r="C688" s="17">
        <f>_xlfn.MAXIFS('working sheet'!$B$1:$B$3548,'working sheet'!$D$1:$D$3548,'Customer Portfolio'!A688)</f>
        <v>45563.930011909724</v>
      </c>
      <c r="D688">
        <f>COUNTIFS('working sheet'!$D$1:$D$3548,'Customer Portfolio'!A688)</f>
        <v>2</v>
      </c>
      <c r="E688" s="5">
        <f>SUMIFS('working sheet'!$E$2:$E$3548,'working sheet'!$D$2:$D$3548,'Customer Portfolio'!A688)</f>
        <v>61.72</v>
      </c>
      <c r="F688" s="6">
        <f t="shared" si="20"/>
        <v>30.86</v>
      </c>
      <c r="G688" t="str">
        <f t="array" ref="G688">IFERROR(INDEX('working sheet'!$F$2:$F$3548, MODE(IF('working sheet'!$D$2:$D$3548=A688, MATCH('working sheet'!$F$2:$F$3548, 'working sheet'!$F$2:$F$3548, 0)))),
         INDEX('working sheet'!$F$2:$F$3548, MATCH(A688, 'working sheet'!$D$2:$D$3548, 0)))</f>
        <v>Cortado</v>
      </c>
      <c r="H688" s="7">
        <f t="shared" si="21"/>
        <v>1.0006592245408683</v>
      </c>
      <c r="I688" s="7">
        <f>MAX('working sheet'!$B$2:$B$3548)-C688</f>
        <v>175.82807414351555</v>
      </c>
      <c r="J688" s="4" t="str">
        <f t="array" ref="J688">IF(AND(I688&lt;=30, D688&gt;=10, E688&gt;=200), "VIP",  IF(AND(I688&lt;=60, D688&gt;=5, E688&gt;=100), "Loyal", IF(AND(I688&lt;=90, D688&gt;=3), "Regular", IF(I688&lt;=30, "Recent", IF(D688&gt;=3, "Occasional", "At Risk")))))</f>
        <v>At Risk</v>
      </c>
      <c r="K688" t="str">
        <f t="array" ref="K688">IF(OR(J688="VIP", J688="Loyal"), "HIGH",IF(OR(J688="Regular", J688="Recent"), "MEDIUM","LOW"))</f>
        <v>LOW</v>
      </c>
    </row>
    <row r="689" spans="1:11">
      <c r="A689" t="s">
        <v>702</v>
      </c>
      <c r="B689" s="14">
        <f>_xlfn.MINIFS('working sheet'!$B$2:$B$3548, 'working sheet'!$D$2:$D$3548, A689)</f>
        <v>45564.538444872684</v>
      </c>
      <c r="C689" s="17">
        <f>_xlfn.MAXIFS('working sheet'!$B$1:$B$3548,'working sheet'!$D$1:$D$3548,'Customer Portfolio'!A689)</f>
        <v>45564.538444872684</v>
      </c>
      <c r="D689">
        <f>COUNTIFS('working sheet'!$D$1:$D$3548,'Customer Portfolio'!A689)</f>
        <v>1</v>
      </c>
      <c r="E689" s="5">
        <f>SUMIFS('working sheet'!$E$2:$E$3548,'working sheet'!$D$2:$D$3548,'Customer Portfolio'!A689)</f>
        <v>35.76</v>
      </c>
      <c r="F689" s="6">
        <f t="shared" si="20"/>
        <v>35.76</v>
      </c>
      <c r="G689" t="str">
        <f t="array" ref="G689">IFERROR(INDEX('working sheet'!$F$2:$F$3548, MODE(IF('working sheet'!$D$2:$D$3548=A689, MATCH('working sheet'!$F$2:$F$3548, 'working sheet'!$F$2:$F$3548, 0)))),
         INDEX('working sheet'!$F$2:$F$3548, MATCH(A689, 'working sheet'!$D$2:$D$3548, 0)))</f>
        <v>Latte</v>
      </c>
      <c r="H689" s="7">
        <f t="shared" si="21"/>
        <v>1</v>
      </c>
      <c r="I689" s="7">
        <f>MAX('working sheet'!$B$2:$B$3548)-C689</f>
        <v>175.21964118055621</v>
      </c>
      <c r="J689" s="4" t="str">
        <f t="array" ref="J689">IF(AND(I689&lt;=30, D689&gt;=10, E689&gt;=200), "VIP",  IF(AND(I689&lt;=60, D689&gt;=5, E689&gt;=100), "Loyal", IF(AND(I689&lt;=90, D689&gt;=3), "Regular", IF(I689&lt;=30, "Recent", IF(D689&gt;=3, "Occasional", "At Risk")))))</f>
        <v>At Risk</v>
      </c>
      <c r="K689" t="str">
        <f t="array" ref="K689">IF(OR(J689="VIP", J689="Loyal"), "HIGH",IF(OR(J689="Regular", J689="Recent"), "MEDIUM","LOW"))</f>
        <v>LOW</v>
      </c>
    </row>
    <row r="690" spans="1:11">
      <c r="A690" t="s">
        <v>703</v>
      </c>
      <c r="B690" s="14">
        <f>_xlfn.MINIFS('working sheet'!$B$2:$B$3548, 'working sheet'!$D$2:$D$3548, A690)</f>
        <v>45564.751704814815</v>
      </c>
      <c r="C690" s="17">
        <f>_xlfn.MAXIFS('working sheet'!$B$1:$B$3548,'working sheet'!$D$1:$D$3548,'Customer Portfolio'!A690)</f>
        <v>45564.751704814815</v>
      </c>
      <c r="D690">
        <f>COUNTIFS('working sheet'!$D$1:$D$3548,'Customer Portfolio'!A690)</f>
        <v>1</v>
      </c>
      <c r="E690" s="5">
        <f>SUMIFS('working sheet'!$E$2:$E$3548,'working sheet'!$D$2:$D$3548,'Customer Portfolio'!A690)</f>
        <v>35.76</v>
      </c>
      <c r="F690" s="6">
        <f t="shared" si="20"/>
        <v>35.76</v>
      </c>
      <c r="G690" t="str">
        <f t="array" ref="G690">IFERROR(INDEX('working sheet'!$F$2:$F$3548, MODE(IF('working sheet'!$D$2:$D$3548=A690, MATCH('working sheet'!$F$2:$F$3548, 'working sheet'!$F$2:$F$3548, 0)))),
         INDEX('working sheet'!$F$2:$F$3548, MATCH(A690, 'working sheet'!$D$2:$D$3548, 0)))</f>
        <v>Cappuccino</v>
      </c>
      <c r="H690" s="7">
        <f t="shared" si="21"/>
        <v>1</v>
      </c>
      <c r="I690" s="7">
        <f>MAX('working sheet'!$B$2:$B$3548)-C690</f>
        <v>175.00638123842509</v>
      </c>
      <c r="J690" s="4" t="str">
        <f t="array" ref="J690">IF(AND(I690&lt;=30, D690&gt;=10, E690&gt;=200), "VIP",  IF(AND(I690&lt;=60, D690&gt;=5, E690&gt;=100), "Loyal", IF(AND(I690&lt;=90, D690&gt;=3), "Regular", IF(I690&lt;=30, "Recent", IF(D690&gt;=3, "Occasional", "At Risk")))))</f>
        <v>At Risk</v>
      </c>
      <c r="K690" t="str">
        <f t="array" ref="K690">IF(OR(J690="VIP", J690="Loyal"), "HIGH",IF(OR(J690="Regular", J690="Recent"), "MEDIUM","LOW"))</f>
        <v>LOW</v>
      </c>
    </row>
    <row r="691" spans="1:11">
      <c r="A691" t="s">
        <v>704</v>
      </c>
      <c r="B691" s="14">
        <f>_xlfn.MINIFS('working sheet'!$B$2:$B$3548, 'working sheet'!$D$2:$D$3548, A691)</f>
        <v>45564.938227025465</v>
      </c>
      <c r="C691" s="17">
        <f>_xlfn.MAXIFS('working sheet'!$B$1:$B$3548,'working sheet'!$D$1:$D$3548,'Customer Portfolio'!A691)</f>
        <v>45660.931550370369</v>
      </c>
      <c r="D691">
        <f>COUNTIFS('working sheet'!$D$1:$D$3548,'Customer Portfolio'!A691)</f>
        <v>8</v>
      </c>
      <c r="E691" s="5">
        <f>SUMIFS('working sheet'!$E$2:$E$3548,'working sheet'!$D$2:$D$3548,'Customer Portfolio'!A691)</f>
        <v>286.08</v>
      </c>
      <c r="F691" s="6">
        <f t="shared" si="20"/>
        <v>35.76</v>
      </c>
      <c r="G691" t="str">
        <f t="array" ref="G691">IFERROR(INDEX('working sheet'!$F$2:$F$3548, MODE(IF('working sheet'!$D$2:$D$3548=A691, MATCH('working sheet'!$F$2:$F$3548, 'working sheet'!$F$2:$F$3548, 0)))),
         INDEX('working sheet'!$F$2:$F$3548, MATCH(A691, 'working sheet'!$D$2:$D$3548, 0)))</f>
        <v>Latte</v>
      </c>
      <c r="H691" s="7">
        <f t="shared" si="21"/>
        <v>96.993323344904638</v>
      </c>
      <c r="I691" s="7">
        <f>MAX('working sheet'!$B$2:$B$3548)-C691</f>
        <v>78.826535682870599</v>
      </c>
      <c r="J691" s="4" t="str">
        <f t="array" ref="J691">IF(AND(I691&lt;=30, D691&gt;=10, E691&gt;=200), "VIP",  IF(AND(I691&lt;=60, D691&gt;=5, E691&gt;=100), "Loyal", IF(AND(I691&lt;=90, D691&gt;=3), "Regular", IF(I691&lt;=30, "Recent", IF(D691&gt;=3, "Occasional", "At Risk")))))</f>
        <v>Regular</v>
      </c>
      <c r="K691" t="str">
        <f t="array" ref="K691">IF(OR(J691="VIP", J691="Loyal"), "HIGH",IF(OR(J691="Regular", J691="Recent"), "MEDIUM","LOW"))</f>
        <v>MEDIUM</v>
      </c>
    </row>
    <row r="692" spans="1:11">
      <c r="A692" t="s">
        <v>705</v>
      </c>
      <c r="B692" s="14">
        <f>_xlfn.MINIFS('working sheet'!$B$2:$B$3548, 'working sheet'!$D$2:$D$3548, A692)</f>
        <v>45565.374243854167</v>
      </c>
      <c r="C692" s="17">
        <f>_xlfn.MAXIFS('working sheet'!$B$1:$B$3548,'working sheet'!$D$1:$D$3548,'Customer Portfolio'!A692)</f>
        <v>45608.610588981479</v>
      </c>
      <c r="D692">
        <f>COUNTIFS('working sheet'!$D$1:$D$3548,'Customer Portfolio'!A692)</f>
        <v>2</v>
      </c>
      <c r="E692" s="5">
        <f>SUMIFS('working sheet'!$E$2:$E$3548,'working sheet'!$D$2:$D$3548,'Customer Portfolio'!A692)</f>
        <v>61.72</v>
      </c>
      <c r="F692" s="6">
        <f t="shared" si="20"/>
        <v>30.86</v>
      </c>
      <c r="G692" t="str">
        <f t="array" ref="G692">IFERROR(INDEX('working sheet'!$F$2:$F$3548, MODE(IF('working sheet'!$D$2:$D$3548=A692, MATCH('working sheet'!$F$2:$F$3548, 'working sheet'!$F$2:$F$3548, 0)))),
         INDEX('working sheet'!$F$2:$F$3548, MATCH(A692, 'working sheet'!$D$2:$D$3548, 0)))</f>
        <v>Cortado</v>
      </c>
      <c r="H692" s="7">
        <f t="shared" si="21"/>
        <v>44.236345127312234</v>
      </c>
      <c r="I692" s="7">
        <f>MAX('working sheet'!$B$2:$B$3548)-C692</f>
        <v>131.14749707176088</v>
      </c>
      <c r="J692" s="4" t="str">
        <f t="array" ref="J692">IF(AND(I692&lt;=30, D692&gt;=10, E692&gt;=200), "VIP",  IF(AND(I692&lt;=60, D692&gt;=5, E692&gt;=100), "Loyal", IF(AND(I692&lt;=90, D692&gt;=3), "Regular", IF(I692&lt;=30, "Recent", IF(D692&gt;=3, "Occasional", "At Risk")))))</f>
        <v>At Risk</v>
      </c>
      <c r="K692" t="str">
        <f t="array" ref="K692">IF(OR(J692="VIP", J692="Loyal"), "HIGH",IF(OR(J692="Regular", J692="Recent"), "MEDIUM","LOW"))</f>
        <v>LOW</v>
      </c>
    </row>
    <row r="693" spans="1:11">
      <c r="A693" t="s">
        <v>706</v>
      </c>
      <c r="B693" s="14">
        <f>_xlfn.MINIFS('working sheet'!$B$2:$B$3548, 'working sheet'!$D$2:$D$3548, A693)</f>
        <v>45565.375056909725</v>
      </c>
      <c r="C693" s="17">
        <f>_xlfn.MAXIFS('working sheet'!$B$1:$B$3548,'working sheet'!$D$1:$D$3548,'Customer Portfolio'!A693)</f>
        <v>45565.375056909725</v>
      </c>
      <c r="D693">
        <f>COUNTIFS('working sheet'!$D$1:$D$3548,'Customer Portfolio'!A693)</f>
        <v>1</v>
      </c>
      <c r="E693" s="5">
        <f>SUMIFS('working sheet'!$E$2:$E$3548,'working sheet'!$D$2:$D$3548,'Customer Portfolio'!A693)</f>
        <v>35.76</v>
      </c>
      <c r="F693" s="6">
        <f t="shared" si="20"/>
        <v>35.76</v>
      </c>
      <c r="G693" t="str">
        <f t="array" ref="G693">IFERROR(INDEX('working sheet'!$F$2:$F$3548, MODE(IF('working sheet'!$D$2:$D$3548=A693, MATCH('working sheet'!$F$2:$F$3548, 'working sheet'!$F$2:$F$3548, 0)))),
         INDEX('working sheet'!$F$2:$F$3548, MATCH(A693, 'working sheet'!$D$2:$D$3548, 0)))</f>
        <v>Hot Chocolate</v>
      </c>
      <c r="H693" s="7">
        <f t="shared" si="21"/>
        <v>1</v>
      </c>
      <c r="I693" s="7">
        <f>MAX('working sheet'!$B$2:$B$3548)-C693</f>
        <v>174.38302914351516</v>
      </c>
      <c r="J693" s="4" t="str">
        <f t="array" ref="J693">IF(AND(I693&lt;=30, D693&gt;=10, E693&gt;=200), "VIP",  IF(AND(I693&lt;=60, D693&gt;=5, E693&gt;=100), "Loyal", IF(AND(I693&lt;=90, D693&gt;=3), "Regular", IF(I693&lt;=30, "Recent", IF(D693&gt;=3, "Occasional", "At Risk")))))</f>
        <v>At Risk</v>
      </c>
      <c r="K693" t="str">
        <f t="array" ref="K693">IF(OR(J693="VIP", J693="Loyal"), "HIGH",IF(OR(J693="Regular", J693="Recent"), "MEDIUM","LOW"))</f>
        <v>LOW</v>
      </c>
    </row>
    <row r="694" spans="1:11">
      <c r="A694" t="s">
        <v>707</v>
      </c>
      <c r="B694" s="14">
        <f>_xlfn.MINIFS('working sheet'!$B$2:$B$3548, 'working sheet'!$D$2:$D$3548, A694)</f>
        <v>45565.481187013887</v>
      </c>
      <c r="C694" s="17">
        <f>_xlfn.MAXIFS('working sheet'!$B$1:$B$3548,'working sheet'!$D$1:$D$3548,'Customer Portfolio'!A694)</f>
        <v>45565.481187013887</v>
      </c>
      <c r="D694">
        <f>COUNTIFS('working sheet'!$D$1:$D$3548,'Customer Portfolio'!A694)</f>
        <v>1</v>
      </c>
      <c r="E694" s="5">
        <f>SUMIFS('working sheet'!$E$2:$E$3548,'working sheet'!$D$2:$D$3548,'Customer Portfolio'!A694)</f>
        <v>30.86</v>
      </c>
      <c r="F694" s="6">
        <f t="shared" si="20"/>
        <v>30.86</v>
      </c>
      <c r="G694" t="str">
        <f t="array" ref="G694">IFERROR(INDEX('working sheet'!$F$2:$F$3548, MODE(IF('working sheet'!$D$2:$D$3548=A694, MATCH('working sheet'!$F$2:$F$3548, 'working sheet'!$F$2:$F$3548, 0)))),
         INDEX('working sheet'!$F$2:$F$3548, MATCH(A694, 'working sheet'!$D$2:$D$3548, 0)))</f>
        <v>Americano with Milk</v>
      </c>
      <c r="H694" s="7">
        <f t="shared" si="21"/>
        <v>1</v>
      </c>
      <c r="I694" s="7">
        <f>MAX('working sheet'!$B$2:$B$3548)-C694</f>
        <v>174.27689903935243</v>
      </c>
      <c r="J694" s="4" t="str">
        <f t="array" ref="J694">IF(AND(I694&lt;=30, D694&gt;=10, E694&gt;=200), "VIP",  IF(AND(I694&lt;=60, D694&gt;=5, E694&gt;=100), "Loyal", IF(AND(I694&lt;=90, D694&gt;=3), "Regular", IF(I694&lt;=30, "Recent", IF(D694&gt;=3, "Occasional", "At Risk")))))</f>
        <v>At Risk</v>
      </c>
      <c r="K694" t="str">
        <f t="array" ref="K694">IF(OR(J694="VIP", J694="Loyal"), "HIGH",IF(OR(J694="Regular", J694="Recent"), "MEDIUM","LOW"))</f>
        <v>LOW</v>
      </c>
    </row>
    <row r="695" spans="1:11">
      <c r="A695" t="s">
        <v>708</v>
      </c>
      <c r="B695" s="14">
        <f>_xlfn.MINIFS('working sheet'!$B$2:$B$3548, 'working sheet'!$D$2:$D$3548, A695)</f>
        <v>45565.828635324076</v>
      </c>
      <c r="C695" s="17">
        <f>_xlfn.MAXIFS('working sheet'!$B$1:$B$3548,'working sheet'!$D$1:$D$3548,'Customer Portfolio'!A695)</f>
        <v>45565.829370601852</v>
      </c>
      <c r="D695">
        <f>COUNTIFS('working sheet'!$D$1:$D$3548,'Customer Portfolio'!A695)</f>
        <v>2</v>
      </c>
      <c r="E695" s="5">
        <f>SUMIFS('working sheet'!$E$2:$E$3548,'working sheet'!$D$2:$D$3548,'Customer Portfolio'!A695)</f>
        <v>56.82</v>
      </c>
      <c r="F695" s="6">
        <f t="shared" si="20"/>
        <v>28.41</v>
      </c>
      <c r="G695" t="str">
        <f t="array" ref="G695">IFERROR(INDEX('working sheet'!$F$2:$F$3548, MODE(IF('working sheet'!$D$2:$D$3548=A695, MATCH('working sheet'!$F$2:$F$3548, 'working sheet'!$F$2:$F$3548, 0)))),
         INDEX('working sheet'!$F$2:$F$3548, MATCH(A695, 'working sheet'!$D$2:$D$3548, 0)))</f>
        <v>Americano with Milk</v>
      </c>
      <c r="H695" s="7">
        <f t="shared" si="21"/>
        <v>1.0007352777756751</v>
      </c>
      <c r="I695" s="7">
        <f>MAX('working sheet'!$B$2:$B$3548)-C695</f>
        <v>173.92871545138769</v>
      </c>
      <c r="J695" s="4" t="str">
        <f t="array" ref="J695">IF(AND(I695&lt;=30, D695&gt;=10, E695&gt;=200), "VIP",  IF(AND(I695&lt;=60, D695&gt;=5, E695&gt;=100), "Loyal", IF(AND(I695&lt;=90, D695&gt;=3), "Regular", IF(I695&lt;=30, "Recent", IF(D695&gt;=3, "Occasional", "At Risk")))))</f>
        <v>At Risk</v>
      </c>
      <c r="K695" t="str">
        <f t="array" ref="K695">IF(OR(J695="VIP", J695="Loyal"), "HIGH",IF(OR(J695="Regular", J695="Recent"), "MEDIUM","LOW"))</f>
        <v>LOW</v>
      </c>
    </row>
    <row r="696" spans="1:11">
      <c r="A696" t="s">
        <v>709</v>
      </c>
      <c r="B696" s="14">
        <f>_xlfn.MINIFS('working sheet'!$B$2:$B$3548, 'working sheet'!$D$2:$D$3548, A696)</f>
        <v>45565.90355934028</v>
      </c>
      <c r="C696" s="17">
        <f>_xlfn.MAXIFS('working sheet'!$B$1:$B$3548,'working sheet'!$D$1:$D$3548,'Customer Portfolio'!A696)</f>
        <v>45597.945785833334</v>
      </c>
      <c r="D696">
        <f>COUNTIFS('working sheet'!$D$1:$D$3548,'Customer Portfolio'!A696)</f>
        <v>3</v>
      </c>
      <c r="E696" s="5">
        <f>SUMIFS('working sheet'!$E$2:$E$3548,'working sheet'!$D$2:$D$3548,'Customer Portfolio'!A696)</f>
        <v>92.58</v>
      </c>
      <c r="F696" s="6">
        <f t="shared" si="20"/>
        <v>30.86</v>
      </c>
      <c r="G696" t="str">
        <f t="array" ref="G696">IFERROR(INDEX('working sheet'!$F$2:$F$3548, MODE(IF('working sheet'!$D$2:$D$3548=A696, MATCH('working sheet'!$F$2:$F$3548, 'working sheet'!$F$2:$F$3548, 0)))),
         INDEX('working sheet'!$F$2:$F$3548, MATCH(A696, 'working sheet'!$D$2:$D$3548, 0)))</f>
        <v>Americano with Milk</v>
      </c>
      <c r="H696" s="7">
        <f t="shared" si="21"/>
        <v>33.042226493053022</v>
      </c>
      <c r="I696" s="7">
        <f>MAX('working sheet'!$B$2:$B$3548)-C696</f>
        <v>141.81230021990632</v>
      </c>
      <c r="J696" s="4" t="str">
        <f t="array" ref="J696">IF(AND(I696&lt;=30, D696&gt;=10, E696&gt;=200), "VIP",  IF(AND(I696&lt;=60, D696&gt;=5, E696&gt;=100), "Loyal", IF(AND(I696&lt;=90, D696&gt;=3), "Regular", IF(I696&lt;=30, "Recent", IF(D696&gt;=3, "Occasional", "At Risk")))))</f>
        <v>Occasional</v>
      </c>
      <c r="K696" t="str">
        <f t="array" ref="K696">IF(OR(J696="VIP", J696="Loyal"), "HIGH",IF(OR(J696="Regular", J696="Recent"), "MEDIUM","LOW"))</f>
        <v>LOW</v>
      </c>
    </row>
    <row r="697" spans="1:11">
      <c r="A697" t="s">
        <v>710</v>
      </c>
      <c r="B697" s="14">
        <f>_xlfn.MINIFS('working sheet'!$B$2:$B$3548, 'working sheet'!$D$2:$D$3548, A697)</f>
        <v>45566.324403344908</v>
      </c>
      <c r="C697" s="17">
        <f>_xlfn.MAXIFS('working sheet'!$B$1:$B$3548,'working sheet'!$D$1:$D$3548,'Customer Portfolio'!A697)</f>
        <v>45628.326812175925</v>
      </c>
      <c r="D697">
        <f>COUNTIFS('working sheet'!$D$1:$D$3548,'Customer Portfolio'!A697)</f>
        <v>19</v>
      </c>
      <c r="E697" s="5">
        <f>SUMIFS('working sheet'!$E$2:$E$3548,'working sheet'!$D$2:$D$3548,'Customer Portfolio'!A697)</f>
        <v>679.43999999999994</v>
      </c>
      <c r="F697" s="6">
        <f t="shared" si="20"/>
        <v>35.76</v>
      </c>
      <c r="G697" t="str">
        <f t="array" ref="G697">IFERROR(INDEX('working sheet'!$F$2:$F$3548, MODE(IF('working sheet'!$D$2:$D$3548=A697, MATCH('working sheet'!$F$2:$F$3548, 'working sheet'!$F$2:$F$3548, 0)))),
         INDEX('working sheet'!$F$2:$F$3548, MATCH(A697, 'working sheet'!$D$2:$D$3548, 0)))</f>
        <v>Latte</v>
      </c>
      <c r="H697" s="7">
        <f t="shared" si="21"/>
        <v>63.00240883101651</v>
      </c>
      <c r="I697" s="7">
        <f>MAX('working sheet'!$B$2:$B$3548)-C697</f>
        <v>111.43127387731511</v>
      </c>
      <c r="J697" s="4" t="str">
        <f t="array" ref="J697">IF(AND(I697&lt;=30, D697&gt;=10, E697&gt;=200), "VIP",  IF(AND(I697&lt;=60, D697&gt;=5, E697&gt;=100), "Loyal", IF(AND(I697&lt;=90, D697&gt;=3), "Regular", IF(I697&lt;=30, "Recent", IF(D697&gt;=3, "Occasional", "At Risk")))))</f>
        <v>Occasional</v>
      </c>
      <c r="K697" t="str">
        <f t="array" ref="K697">IF(OR(J697="VIP", J697="Loyal"), "HIGH",IF(OR(J697="Regular", J697="Recent"), "MEDIUM","LOW"))</f>
        <v>LOW</v>
      </c>
    </row>
    <row r="698" spans="1:11">
      <c r="A698" t="s">
        <v>711</v>
      </c>
      <c r="B698" s="14">
        <f>_xlfn.MINIFS('working sheet'!$B$2:$B$3548, 'working sheet'!$D$2:$D$3548, A698)</f>
        <v>45566.496896446763</v>
      </c>
      <c r="C698" s="17">
        <f>_xlfn.MAXIFS('working sheet'!$B$1:$B$3548,'working sheet'!$D$1:$D$3548,'Customer Portfolio'!A698)</f>
        <v>45566.496896446763</v>
      </c>
      <c r="D698">
        <f>COUNTIFS('working sheet'!$D$1:$D$3548,'Customer Portfolio'!A698)</f>
        <v>1</v>
      </c>
      <c r="E698" s="5">
        <f>SUMIFS('working sheet'!$E$2:$E$3548,'working sheet'!$D$2:$D$3548,'Customer Portfolio'!A698)</f>
        <v>30.86</v>
      </c>
      <c r="F698" s="6">
        <f t="shared" si="20"/>
        <v>30.86</v>
      </c>
      <c r="G698" t="str">
        <f t="array" ref="G698">IFERROR(INDEX('working sheet'!$F$2:$F$3548, MODE(IF('working sheet'!$D$2:$D$3548=A698, MATCH('working sheet'!$F$2:$F$3548, 'working sheet'!$F$2:$F$3548, 0)))),
         INDEX('working sheet'!$F$2:$F$3548, MATCH(A698, 'working sheet'!$D$2:$D$3548, 0)))</f>
        <v>Americano with Milk</v>
      </c>
      <c r="H698" s="7">
        <f t="shared" si="21"/>
        <v>1</v>
      </c>
      <c r="I698" s="7">
        <f>MAX('working sheet'!$B$2:$B$3548)-C698</f>
        <v>173.26118960647727</v>
      </c>
      <c r="J698" s="4" t="str">
        <f t="array" ref="J698">IF(AND(I698&lt;=30, D698&gt;=10, E698&gt;=200), "VIP",  IF(AND(I698&lt;=60, D698&gt;=5, E698&gt;=100), "Loyal", IF(AND(I698&lt;=90, D698&gt;=3), "Regular", IF(I698&lt;=30, "Recent", IF(D698&gt;=3, "Occasional", "At Risk")))))</f>
        <v>At Risk</v>
      </c>
      <c r="K698" t="str">
        <f t="array" ref="K698">IF(OR(J698="VIP", J698="Loyal"), "HIGH",IF(OR(J698="Regular", J698="Recent"), "MEDIUM","LOW"))</f>
        <v>LOW</v>
      </c>
    </row>
    <row r="699" spans="1:11">
      <c r="A699" t="s">
        <v>712</v>
      </c>
      <c r="B699" s="14">
        <f>_xlfn.MINIFS('working sheet'!$B$2:$B$3548, 'working sheet'!$D$2:$D$3548, A699)</f>
        <v>45566.508894050923</v>
      </c>
      <c r="C699" s="17">
        <f>_xlfn.MAXIFS('working sheet'!$B$1:$B$3548,'working sheet'!$D$1:$D$3548,'Customer Portfolio'!A699)</f>
        <v>45566.509992847219</v>
      </c>
      <c r="D699">
        <f>COUNTIFS('working sheet'!$D$1:$D$3548,'Customer Portfolio'!A699)</f>
        <v>2</v>
      </c>
      <c r="E699" s="5">
        <f>SUMIFS('working sheet'!$E$2:$E$3548,'working sheet'!$D$2:$D$3548,'Customer Portfolio'!A699)</f>
        <v>61.72</v>
      </c>
      <c r="F699" s="6">
        <f t="shared" si="20"/>
        <v>30.86</v>
      </c>
      <c r="G699" t="str">
        <f t="array" ref="G699">IFERROR(INDEX('working sheet'!$F$2:$F$3548, MODE(IF('working sheet'!$D$2:$D$3548=A699, MATCH('working sheet'!$F$2:$F$3548, 'working sheet'!$F$2:$F$3548, 0)))),
         INDEX('working sheet'!$F$2:$F$3548, MATCH(A699, 'working sheet'!$D$2:$D$3548, 0)))</f>
        <v>Americano with Milk</v>
      </c>
      <c r="H699" s="7">
        <f t="shared" si="21"/>
        <v>1.0010987962959916</v>
      </c>
      <c r="I699" s="7">
        <f>MAX('working sheet'!$B$2:$B$3548)-C699</f>
        <v>173.24809320602071</v>
      </c>
      <c r="J699" s="4" t="str">
        <f t="array" ref="J699">IF(AND(I699&lt;=30, D699&gt;=10, E699&gt;=200), "VIP",  IF(AND(I699&lt;=60, D699&gt;=5, E699&gt;=100), "Loyal", IF(AND(I699&lt;=90, D699&gt;=3), "Regular", IF(I699&lt;=30, "Recent", IF(D699&gt;=3, "Occasional", "At Risk")))))</f>
        <v>At Risk</v>
      </c>
      <c r="K699" t="str">
        <f t="array" ref="K699">IF(OR(J699="VIP", J699="Loyal"), "HIGH",IF(OR(J699="Regular", J699="Recent"), "MEDIUM","LOW"))</f>
        <v>LOW</v>
      </c>
    </row>
    <row r="700" spans="1:11">
      <c r="A700" t="s">
        <v>713</v>
      </c>
      <c r="B700" s="14">
        <f>_xlfn.MINIFS('working sheet'!$B$2:$B$3548, 'working sheet'!$D$2:$D$3548, A700)</f>
        <v>45566.595543483796</v>
      </c>
      <c r="C700" s="17">
        <f>_xlfn.MAXIFS('working sheet'!$B$1:$B$3548,'working sheet'!$D$1:$D$3548,'Customer Portfolio'!A700)</f>
        <v>45566.596441643516</v>
      </c>
      <c r="D700">
        <f>COUNTIFS('working sheet'!$D$1:$D$3548,'Customer Portfolio'!A700)</f>
        <v>2</v>
      </c>
      <c r="E700" s="5">
        <f>SUMIFS('working sheet'!$E$2:$E$3548,'working sheet'!$D$2:$D$3548,'Customer Portfolio'!A700)</f>
        <v>56.82</v>
      </c>
      <c r="F700" s="6">
        <f t="shared" si="20"/>
        <v>28.41</v>
      </c>
      <c r="G700" t="str">
        <f t="array" ref="G700">IFERROR(INDEX('working sheet'!$F$2:$F$3548, MODE(IF('working sheet'!$D$2:$D$3548=A700, MATCH('working sheet'!$F$2:$F$3548, 'working sheet'!$F$2:$F$3548, 0)))),
         INDEX('working sheet'!$F$2:$F$3548, MATCH(A700, 'working sheet'!$D$2:$D$3548, 0)))</f>
        <v>Americano</v>
      </c>
      <c r="H700" s="7">
        <f t="shared" si="21"/>
        <v>1.0008981597202364</v>
      </c>
      <c r="I700" s="7">
        <f>MAX('working sheet'!$B$2:$B$3548)-C700</f>
        <v>173.16164440972352</v>
      </c>
      <c r="J700" s="4" t="str">
        <f t="array" ref="J700">IF(AND(I700&lt;=30, D700&gt;=10, E700&gt;=200), "VIP",  IF(AND(I700&lt;=60, D700&gt;=5, E700&gt;=100), "Loyal", IF(AND(I700&lt;=90, D700&gt;=3), "Regular", IF(I700&lt;=30, "Recent", IF(D700&gt;=3, "Occasional", "At Risk")))))</f>
        <v>At Risk</v>
      </c>
      <c r="K700" t="str">
        <f t="array" ref="K700">IF(OR(J700="VIP", J700="Loyal"), "HIGH",IF(OR(J700="Regular", J700="Recent"), "MEDIUM","LOW"))</f>
        <v>LOW</v>
      </c>
    </row>
    <row r="701" spans="1:11">
      <c r="A701" t="s">
        <v>714</v>
      </c>
      <c r="B701" s="14">
        <f>_xlfn.MINIFS('working sheet'!$B$2:$B$3548, 'working sheet'!$D$2:$D$3548, A701)</f>
        <v>45566.695769456019</v>
      </c>
      <c r="C701" s="17">
        <f>_xlfn.MAXIFS('working sheet'!$B$1:$B$3548,'working sheet'!$D$1:$D$3548,'Customer Portfolio'!A701)</f>
        <v>45586.434135925927</v>
      </c>
      <c r="D701">
        <f>COUNTIFS('working sheet'!$D$1:$D$3548,'Customer Portfolio'!A701)</f>
        <v>3</v>
      </c>
      <c r="E701" s="5">
        <f>SUMIFS('working sheet'!$E$2:$E$3548,'working sheet'!$D$2:$D$3548,'Customer Portfolio'!A701)</f>
        <v>77.88</v>
      </c>
      <c r="F701" s="6">
        <f t="shared" si="20"/>
        <v>25.959999999999997</v>
      </c>
      <c r="G701" t="str">
        <f t="array" ref="G701">IFERROR(INDEX('working sheet'!$F$2:$F$3548, MODE(IF('working sheet'!$D$2:$D$3548=A701, MATCH('working sheet'!$F$2:$F$3548, 'working sheet'!$F$2:$F$3548, 0)))),
         INDEX('working sheet'!$F$2:$F$3548, MATCH(A701, 'working sheet'!$D$2:$D$3548, 0)))</f>
        <v>Americano</v>
      </c>
      <c r="H701" s="7">
        <f t="shared" si="21"/>
        <v>20.738366469908215</v>
      </c>
      <c r="I701" s="7">
        <f>MAX('working sheet'!$B$2:$B$3548)-C701</f>
        <v>153.32395012731286</v>
      </c>
      <c r="J701" s="4" t="str">
        <f t="array" ref="J701">IF(AND(I701&lt;=30, D701&gt;=10, E701&gt;=200), "VIP",  IF(AND(I701&lt;=60, D701&gt;=5, E701&gt;=100), "Loyal", IF(AND(I701&lt;=90, D701&gt;=3), "Regular", IF(I701&lt;=30, "Recent", IF(D701&gt;=3, "Occasional", "At Risk")))))</f>
        <v>Occasional</v>
      </c>
      <c r="K701" t="str">
        <f t="array" ref="K701">IF(OR(J701="VIP", J701="Loyal"), "HIGH",IF(OR(J701="Regular", J701="Recent"), "MEDIUM","LOW"))</f>
        <v>LOW</v>
      </c>
    </row>
    <row r="702" spans="1:11">
      <c r="A702" t="s">
        <v>715</v>
      </c>
      <c r="B702" s="14">
        <f>_xlfn.MINIFS('working sheet'!$B$2:$B$3548, 'working sheet'!$D$2:$D$3548, A702)</f>
        <v>45566.755862789352</v>
      </c>
      <c r="C702" s="17">
        <f>_xlfn.MAXIFS('working sheet'!$B$1:$B$3548,'working sheet'!$D$1:$D$3548,'Customer Portfolio'!A702)</f>
        <v>45653.954547372683</v>
      </c>
      <c r="D702">
        <f>COUNTIFS('working sheet'!$D$1:$D$3548,'Customer Portfolio'!A702)</f>
        <v>2</v>
      </c>
      <c r="E702" s="5">
        <f>SUMIFS('working sheet'!$E$2:$E$3548,'working sheet'!$D$2:$D$3548,'Customer Portfolio'!A702)</f>
        <v>71.52</v>
      </c>
      <c r="F702" s="6">
        <f t="shared" si="20"/>
        <v>35.76</v>
      </c>
      <c r="G702" t="str">
        <f t="array" ref="G702">IFERROR(INDEX('working sheet'!$F$2:$F$3548, MODE(IF('working sheet'!$D$2:$D$3548=A702, MATCH('working sheet'!$F$2:$F$3548, 'working sheet'!$F$2:$F$3548, 0)))),
         INDEX('working sheet'!$F$2:$F$3548, MATCH(A702, 'working sheet'!$D$2:$D$3548, 0)))</f>
        <v>Latte</v>
      </c>
      <c r="H702" s="7">
        <f t="shared" si="21"/>
        <v>88.19868458333076</v>
      </c>
      <c r="I702" s="7">
        <f>MAX('working sheet'!$B$2:$B$3548)-C702</f>
        <v>85.803538680556812</v>
      </c>
      <c r="J702" s="4" t="str">
        <f t="array" ref="J702">IF(AND(I702&lt;=30, D702&gt;=10, E702&gt;=200), "VIP",  IF(AND(I702&lt;=60, D702&gt;=5, E702&gt;=100), "Loyal", IF(AND(I702&lt;=90, D702&gt;=3), "Regular", IF(I702&lt;=30, "Recent", IF(D702&gt;=3, "Occasional", "At Risk")))))</f>
        <v>At Risk</v>
      </c>
      <c r="K702" t="str">
        <f t="array" ref="K702">IF(OR(J702="VIP", J702="Loyal"), "HIGH",IF(OR(J702="Regular", J702="Recent"), "MEDIUM","LOW"))</f>
        <v>LOW</v>
      </c>
    </row>
    <row r="703" spans="1:11">
      <c r="A703" t="s">
        <v>716</v>
      </c>
      <c r="B703" s="14">
        <f>_xlfn.MINIFS('working sheet'!$B$2:$B$3548, 'working sheet'!$D$2:$D$3548, A703)</f>
        <v>45566.766104861112</v>
      </c>
      <c r="C703" s="17">
        <f>_xlfn.MAXIFS('working sheet'!$B$1:$B$3548,'working sheet'!$D$1:$D$3548,'Customer Portfolio'!A703)</f>
        <v>45582.693861180553</v>
      </c>
      <c r="D703">
        <f>COUNTIFS('working sheet'!$D$1:$D$3548,'Customer Portfolio'!A703)</f>
        <v>5</v>
      </c>
      <c r="E703" s="5">
        <f>SUMIFS('working sheet'!$E$2:$E$3548,'working sheet'!$D$2:$D$3548,'Customer Portfolio'!A703)</f>
        <v>178.79999999999998</v>
      </c>
      <c r="F703" s="6">
        <f t="shared" si="20"/>
        <v>35.76</v>
      </c>
      <c r="G703" t="str">
        <f t="array" ref="G703">IFERROR(INDEX('working sheet'!$F$2:$F$3548, MODE(IF('working sheet'!$D$2:$D$3548=A703, MATCH('working sheet'!$F$2:$F$3548, 'working sheet'!$F$2:$F$3548, 0)))),
         INDEX('working sheet'!$F$2:$F$3548, MATCH(A703, 'working sheet'!$D$2:$D$3548, 0)))</f>
        <v>Hot Chocolate</v>
      </c>
      <c r="H703" s="7">
        <f t="shared" si="21"/>
        <v>16.927756319440959</v>
      </c>
      <c r="I703" s="7">
        <f>MAX('working sheet'!$B$2:$B$3548)-C703</f>
        <v>157.06422487268719</v>
      </c>
      <c r="J703" s="4" t="str">
        <f t="array" ref="J703">IF(AND(I703&lt;=30, D703&gt;=10, E703&gt;=200), "VIP",  IF(AND(I703&lt;=60, D703&gt;=5, E703&gt;=100), "Loyal", IF(AND(I703&lt;=90, D703&gt;=3), "Regular", IF(I703&lt;=30, "Recent", IF(D703&gt;=3, "Occasional", "At Risk")))))</f>
        <v>Occasional</v>
      </c>
      <c r="K703" t="str">
        <f t="array" ref="K703">IF(OR(J703="VIP", J703="Loyal"), "HIGH",IF(OR(J703="Regular", J703="Recent"), "MEDIUM","LOW"))</f>
        <v>LOW</v>
      </c>
    </row>
    <row r="704" spans="1:11">
      <c r="A704" t="s">
        <v>717</v>
      </c>
      <c r="B704" s="14">
        <f>_xlfn.MINIFS('working sheet'!$B$2:$B$3548, 'working sheet'!$D$2:$D$3548, A704)</f>
        <v>45567.331467511576</v>
      </c>
      <c r="C704" s="17">
        <f>_xlfn.MAXIFS('working sheet'!$B$1:$B$3548,'working sheet'!$D$1:$D$3548,'Customer Portfolio'!A704)</f>
        <v>45596.329367256942</v>
      </c>
      <c r="D704">
        <f>COUNTIFS('working sheet'!$D$1:$D$3548,'Customer Portfolio'!A704)</f>
        <v>5</v>
      </c>
      <c r="E704" s="5">
        <f>SUMIFS('working sheet'!$E$2:$E$3548,'working sheet'!$D$2:$D$3548,'Customer Portfolio'!A704)</f>
        <v>178.79999999999998</v>
      </c>
      <c r="F704" s="6">
        <f t="shared" si="20"/>
        <v>35.76</v>
      </c>
      <c r="G704" t="str">
        <f t="array" ref="G704">IFERROR(INDEX('working sheet'!$F$2:$F$3548, MODE(IF('working sheet'!$D$2:$D$3548=A704, MATCH('working sheet'!$F$2:$F$3548, 'working sheet'!$F$2:$F$3548, 0)))),
         INDEX('working sheet'!$F$2:$F$3548, MATCH(A704, 'working sheet'!$D$2:$D$3548, 0)))</f>
        <v>Latte</v>
      </c>
      <c r="H704" s="7">
        <f t="shared" si="21"/>
        <v>29.99789974536543</v>
      </c>
      <c r="I704" s="7">
        <f>MAX('working sheet'!$B$2:$B$3548)-C704</f>
        <v>143.4287187962982</v>
      </c>
      <c r="J704" s="4" t="str">
        <f t="array" ref="J704">IF(AND(I704&lt;=30, D704&gt;=10, E704&gt;=200), "VIP",  IF(AND(I704&lt;=60, D704&gt;=5, E704&gt;=100), "Loyal", IF(AND(I704&lt;=90, D704&gt;=3), "Regular", IF(I704&lt;=30, "Recent", IF(D704&gt;=3, "Occasional", "At Risk")))))</f>
        <v>Occasional</v>
      </c>
      <c r="K704" t="str">
        <f t="array" ref="K704">IF(OR(J704="VIP", J704="Loyal"), "HIGH",IF(OR(J704="Regular", J704="Recent"), "MEDIUM","LOW"))</f>
        <v>LOW</v>
      </c>
    </row>
    <row r="705" spans="1:11">
      <c r="A705" t="s">
        <v>718</v>
      </c>
      <c r="B705" s="14">
        <f>_xlfn.MINIFS('working sheet'!$B$2:$B$3548, 'working sheet'!$D$2:$D$3548, A705)</f>
        <v>45567.433278611112</v>
      </c>
      <c r="C705" s="17">
        <f>_xlfn.MAXIFS('working sheet'!$B$1:$B$3548,'working sheet'!$D$1:$D$3548,'Customer Portfolio'!A705)</f>
        <v>45567.433278611112</v>
      </c>
      <c r="D705">
        <f>COUNTIFS('working sheet'!$D$1:$D$3548,'Customer Portfolio'!A705)</f>
        <v>1</v>
      </c>
      <c r="E705" s="5">
        <f>SUMIFS('working sheet'!$E$2:$E$3548,'working sheet'!$D$2:$D$3548,'Customer Portfolio'!A705)</f>
        <v>30.86</v>
      </c>
      <c r="F705" s="6">
        <f t="shared" si="20"/>
        <v>30.86</v>
      </c>
      <c r="G705" t="str">
        <f t="array" ref="G705">IFERROR(INDEX('working sheet'!$F$2:$F$3548, MODE(IF('working sheet'!$D$2:$D$3548=A705, MATCH('working sheet'!$F$2:$F$3548, 'working sheet'!$F$2:$F$3548, 0)))),
         INDEX('working sheet'!$F$2:$F$3548, MATCH(A705, 'working sheet'!$D$2:$D$3548, 0)))</f>
        <v>Americano with Milk</v>
      </c>
      <c r="H705" s="7">
        <f t="shared" si="21"/>
        <v>1</v>
      </c>
      <c r="I705" s="7">
        <f>MAX('working sheet'!$B$2:$B$3548)-C705</f>
        <v>172.32480744212808</v>
      </c>
      <c r="J705" s="4" t="str">
        <f t="array" ref="J705">IF(AND(I705&lt;=30, D705&gt;=10, E705&gt;=200), "VIP",  IF(AND(I705&lt;=60, D705&gt;=5, E705&gt;=100), "Loyal", IF(AND(I705&lt;=90, D705&gt;=3), "Regular", IF(I705&lt;=30, "Recent", IF(D705&gt;=3, "Occasional", "At Risk")))))</f>
        <v>At Risk</v>
      </c>
      <c r="K705" t="str">
        <f t="array" ref="K705">IF(OR(J705="VIP", J705="Loyal"), "HIGH",IF(OR(J705="Regular", J705="Recent"), "MEDIUM","LOW"))</f>
        <v>LOW</v>
      </c>
    </row>
    <row r="706" spans="1:11">
      <c r="A706" t="s">
        <v>719</v>
      </c>
      <c r="B706" s="14">
        <f>_xlfn.MINIFS('working sheet'!$B$2:$B$3548, 'working sheet'!$D$2:$D$3548, A706)</f>
        <v>45567.478401539352</v>
      </c>
      <c r="C706" s="17">
        <f>_xlfn.MAXIFS('working sheet'!$B$1:$B$3548,'working sheet'!$D$1:$D$3548,'Customer Portfolio'!A706)</f>
        <v>45567.478401539352</v>
      </c>
      <c r="D706">
        <f>COUNTIFS('working sheet'!$D$1:$D$3548,'Customer Portfolio'!A706)</f>
        <v>1</v>
      </c>
      <c r="E706" s="5">
        <f>SUMIFS('working sheet'!$E$2:$E$3548,'working sheet'!$D$2:$D$3548,'Customer Portfolio'!A706)</f>
        <v>35.76</v>
      </c>
      <c r="F706" s="6">
        <f t="shared" si="20"/>
        <v>35.76</v>
      </c>
      <c r="G706" t="str">
        <f t="array" ref="G706">IFERROR(INDEX('working sheet'!$F$2:$F$3548, MODE(IF('working sheet'!$D$2:$D$3548=A706, MATCH('working sheet'!$F$2:$F$3548, 'working sheet'!$F$2:$F$3548, 0)))),
         INDEX('working sheet'!$F$2:$F$3548, MATCH(A706, 'working sheet'!$D$2:$D$3548, 0)))</f>
        <v>Cappuccino</v>
      </c>
      <c r="H706" s="7">
        <f t="shared" si="21"/>
        <v>1</v>
      </c>
      <c r="I706" s="7">
        <f>MAX('working sheet'!$B$2:$B$3548)-C706</f>
        <v>172.27968451388733</v>
      </c>
      <c r="J706" s="4" t="str">
        <f t="array" ref="J706">IF(AND(I706&lt;=30, D706&gt;=10, E706&gt;=200), "VIP",  IF(AND(I706&lt;=60, D706&gt;=5, E706&gt;=100), "Loyal", IF(AND(I706&lt;=90, D706&gt;=3), "Regular", IF(I706&lt;=30, "Recent", IF(D706&gt;=3, "Occasional", "At Risk")))))</f>
        <v>At Risk</v>
      </c>
      <c r="K706" t="str">
        <f t="array" ref="K706">IF(OR(J706="VIP", J706="Loyal"), "HIGH",IF(OR(J706="Regular", J706="Recent"), "MEDIUM","LOW"))</f>
        <v>LOW</v>
      </c>
    </row>
    <row r="707" spans="1:11">
      <c r="A707" t="s">
        <v>720</v>
      </c>
      <c r="B707" s="14">
        <f>_xlfn.MINIFS('working sheet'!$B$2:$B$3548, 'working sheet'!$D$2:$D$3548, A707)</f>
        <v>45567.634515532409</v>
      </c>
      <c r="C707" s="17">
        <f>_xlfn.MAXIFS('working sheet'!$B$1:$B$3548,'working sheet'!$D$1:$D$3548,'Customer Portfolio'!A707)</f>
        <v>45567.634515532409</v>
      </c>
      <c r="D707">
        <f>COUNTIFS('working sheet'!$D$1:$D$3548,'Customer Portfolio'!A707)</f>
        <v>1</v>
      </c>
      <c r="E707" s="5">
        <f>SUMIFS('working sheet'!$E$2:$E$3548,'working sheet'!$D$2:$D$3548,'Customer Portfolio'!A707)</f>
        <v>35.76</v>
      </c>
      <c r="F707" s="6">
        <f t="shared" ref="F707:F770" si="22">E707/D707</f>
        <v>35.76</v>
      </c>
      <c r="G707" t="str">
        <f t="array" ref="G707">IFERROR(INDEX('working sheet'!$F$2:$F$3548, MODE(IF('working sheet'!$D$2:$D$3548=A707, MATCH('working sheet'!$F$2:$F$3548, 'working sheet'!$F$2:$F$3548, 0)))),
         INDEX('working sheet'!$F$2:$F$3548, MATCH(A707, 'working sheet'!$D$2:$D$3548, 0)))</f>
        <v>Cappuccino</v>
      </c>
      <c r="H707" s="7">
        <f t="shared" ref="H707:H770" si="23">C707-B707+1</f>
        <v>1</v>
      </c>
      <c r="I707" s="7">
        <f>MAX('working sheet'!$B$2:$B$3548)-C707</f>
        <v>172.12357052083098</v>
      </c>
      <c r="J707" s="4" t="str">
        <f t="array" ref="J707">IF(AND(I707&lt;=30, D707&gt;=10, E707&gt;=200), "VIP",  IF(AND(I707&lt;=60, D707&gt;=5, E707&gt;=100), "Loyal", IF(AND(I707&lt;=90, D707&gt;=3), "Regular", IF(I707&lt;=30, "Recent", IF(D707&gt;=3, "Occasional", "At Risk")))))</f>
        <v>At Risk</v>
      </c>
      <c r="K707" t="str">
        <f t="array" ref="K707">IF(OR(J707="VIP", J707="Loyal"), "HIGH",IF(OR(J707="Regular", J707="Recent"), "MEDIUM","LOW"))</f>
        <v>LOW</v>
      </c>
    </row>
    <row r="708" spans="1:11">
      <c r="A708" t="s">
        <v>721</v>
      </c>
      <c r="B708" s="14">
        <f>_xlfn.MINIFS('working sheet'!$B$2:$B$3548, 'working sheet'!$D$2:$D$3548, A708)</f>
        <v>45567.930829293982</v>
      </c>
      <c r="C708" s="17">
        <f>_xlfn.MAXIFS('working sheet'!$B$1:$B$3548,'working sheet'!$D$1:$D$3548,'Customer Portfolio'!A708)</f>
        <v>45593.501111736114</v>
      </c>
      <c r="D708">
        <f>COUNTIFS('working sheet'!$D$1:$D$3548,'Customer Portfolio'!A708)</f>
        <v>2</v>
      </c>
      <c r="E708" s="5">
        <f>SUMIFS('working sheet'!$E$2:$E$3548,'working sheet'!$D$2:$D$3548,'Customer Portfolio'!A708)</f>
        <v>71.52</v>
      </c>
      <c r="F708" s="6">
        <f t="shared" si="22"/>
        <v>35.76</v>
      </c>
      <c r="G708" t="str">
        <f t="array" ref="G708">IFERROR(INDEX('working sheet'!$F$2:$F$3548, MODE(IF('working sheet'!$D$2:$D$3548=A708, MATCH('working sheet'!$F$2:$F$3548, 'working sheet'!$F$2:$F$3548, 0)))),
         INDEX('working sheet'!$F$2:$F$3548, MATCH(A708, 'working sheet'!$D$2:$D$3548, 0)))</f>
        <v>Hot Chocolate</v>
      </c>
      <c r="H708" s="7">
        <f t="shared" si="23"/>
        <v>26.570282442131429</v>
      </c>
      <c r="I708" s="7">
        <f>MAX('working sheet'!$B$2:$B$3548)-C708</f>
        <v>146.25697431712615</v>
      </c>
      <c r="J708" s="4" t="str">
        <f t="array" ref="J708">IF(AND(I708&lt;=30, D708&gt;=10, E708&gt;=200), "VIP",  IF(AND(I708&lt;=60, D708&gt;=5, E708&gt;=100), "Loyal", IF(AND(I708&lt;=90, D708&gt;=3), "Regular", IF(I708&lt;=30, "Recent", IF(D708&gt;=3, "Occasional", "At Risk")))))</f>
        <v>At Risk</v>
      </c>
      <c r="K708" t="str">
        <f t="array" ref="K708">IF(OR(J708="VIP", J708="Loyal"), "HIGH",IF(OR(J708="Regular", J708="Recent"), "MEDIUM","LOW"))</f>
        <v>LOW</v>
      </c>
    </row>
    <row r="709" spans="1:11">
      <c r="A709" t="s">
        <v>722</v>
      </c>
      <c r="B709" s="14">
        <f>_xlfn.MINIFS('working sheet'!$B$2:$B$3548, 'working sheet'!$D$2:$D$3548, A709)</f>
        <v>45568.574721319441</v>
      </c>
      <c r="C709" s="17">
        <f>_xlfn.MAXIFS('working sheet'!$B$1:$B$3548,'working sheet'!$D$1:$D$3548,'Customer Portfolio'!A709)</f>
        <v>45568.574721319441</v>
      </c>
      <c r="D709">
        <f>COUNTIFS('working sheet'!$D$1:$D$3548,'Customer Portfolio'!A709)</f>
        <v>1</v>
      </c>
      <c r="E709" s="5">
        <f>SUMIFS('working sheet'!$E$2:$E$3548,'working sheet'!$D$2:$D$3548,'Customer Portfolio'!A709)</f>
        <v>35.76</v>
      </c>
      <c r="F709" s="6">
        <f t="shared" si="22"/>
        <v>35.76</v>
      </c>
      <c r="G709" t="str">
        <f t="array" ref="G709">IFERROR(INDEX('working sheet'!$F$2:$F$3548, MODE(IF('working sheet'!$D$2:$D$3548=A709, MATCH('working sheet'!$F$2:$F$3548, 'working sheet'!$F$2:$F$3548, 0)))),
         INDEX('working sheet'!$F$2:$F$3548, MATCH(A709, 'working sheet'!$D$2:$D$3548, 0)))</f>
        <v>Cocoa</v>
      </c>
      <c r="H709" s="7">
        <f t="shared" si="23"/>
        <v>1</v>
      </c>
      <c r="I709" s="7">
        <f>MAX('working sheet'!$B$2:$B$3548)-C709</f>
        <v>171.18336473379895</v>
      </c>
      <c r="J709" s="4" t="str">
        <f t="array" ref="J709">IF(AND(I709&lt;=30, D709&gt;=10, E709&gt;=200), "VIP",  IF(AND(I709&lt;=60, D709&gt;=5, E709&gt;=100), "Loyal", IF(AND(I709&lt;=90, D709&gt;=3), "Regular", IF(I709&lt;=30, "Recent", IF(D709&gt;=3, "Occasional", "At Risk")))))</f>
        <v>At Risk</v>
      </c>
      <c r="K709" t="str">
        <f t="array" ref="K709">IF(OR(J709="VIP", J709="Loyal"), "HIGH",IF(OR(J709="Regular", J709="Recent"), "MEDIUM","LOW"))</f>
        <v>LOW</v>
      </c>
    </row>
    <row r="710" spans="1:11">
      <c r="A710" t="s">
        <v>723</v>
      </c>
      <c r="B710" s="14">
        <f>_xlfn.MINIFS('working sheet'!$B$2:$B$3548, 'working sheet'!$D$2:$D$3548, A710)</f>
        <v>45568.633393055556</v>
      </c>
      <c r="C710" s="17">
        <f>_xlfn.MAXIFS('working sheet'!$B$1:$B$3548,'working sheet'!$D$1:$D$3548,'Customer Portfolio'!A710)</f>
        <v>45568.633393055556</v>
      </c>
      <c r="D710">
        <f>COUNTIFS('working sheet'!$D$1:$D$3548,'Customer Portfolio'!A710)</f>
        <v>1</v>
      </c>
      <c r="E710" s="5">
        <f>SUMIFS('working sheet'!$E$2:$E$3548,'working sheet'!$D$2:$D$3548,'Customer Portfolio'!A710)</f>
        <v>30.86</v>
      </c>
      <c r="F710" s="6">
        <f t="shared" si="22"/>
        <v>30.86</v>
      </c>
      <c r="G710" t="str">
        <f t="array" ref="G710">IFERROR(INDEX('working sheet'!$F$2:$F$3548, MODE(IF('working sheet'!$D$2:$D$3548=A710, MATCH('working sheet'!$F$2:$F$3548, 'working sheet'!$F$2:$F$3548, 0)))),
         INDEX('working sheet'!$F$2:$F$3548, MATCH(A710, 'working sheet'!$D$2:$D$3548, 0)))</f>
        <v>Americano with Milk</v>
      </c>
      <c r="H710" s="7">
        <f t="shared" si="23"/>
        <v>1</v>
      </c>
      <c r="I710" s="7">
        <f>MAX('working sheet'!$B$2:$B$3548)-C710</f>
        <v>171.12469299768418</v>
      </c>
      <c r="J710" s="4" t="str">
        <f t="array" ref="J710">IF(AND(I710&lt;=30, D710&gt;=10, E710&gt;=200), "VIP",  IF(AND(I710&lt;=60, D710&gt;=5, E710&gt;=100), "Loyal", IF(AND(I710&lt;=90, D710&gt;=3), "Regular", IF(I710&lt;=30, "Recent", IF(D710&gt;=3, "Occasional", "At Risk")))))</f>
        <v>At Risk</v>
      </c>
      <c r="K710" t="str">
        <f t="array" ref="K710">IF(OR(J710="VIP", J710="Loyal"), "HIGH",IF(OR(J710="Regular", J710="Recent"), "MEDIUM","LOW"))</f>
        <v>LOW</v>
      </c>
    </row>
    <row r="711" spans="1:11">
      <c r="A711" t="s">
        <v>724</v>
      </c>
      <c r="B711" s="14">
        <f>_xlfn.MINIFS('working sheet'!$B$2:$B$3548, 'working sheet'!$D$2:$D$3548, A711)</f>
        <v>45568.842335196758</v>
      </c>
      <c r="C711" s="17">
        <f>_xlfn.MAXIFS('working sheet'!$B$1:$B$3548,'working sheet'!$D$1:$D$3548,'Customer Portfolio'!A711)</f>
        <v>45568.843110891205</v>
      </c>
      <c r="D711">
        <f>COUNTIFS('working sheet'!$D$1:$D$3548,'Customer Portfolio'!A711)</f>
        <v>2</v>
      </c>
      <c r="E711" s="5">
        <f>SUMIFS('working sheet'!$E$2:$E$3548,'working sheet'!$D$2:$D$3548,'Customer Portfolio'!A711)</f>
        <v>61.72</v>
      </c>
      <c r="F711" s="6">
        <f t="shared" si="22"/>
        <v>30.86</v>
      </c>
      <c r="G711" t="str">
        <f t="array" ref="G711">IFERROR(INDEX('working sheet'!$F$2:$F$3548, MODE(IF('working sheet'!$D$2:$D$3548=A711, MATCH('working sheet'!$F$2:$F$3548, 'working sheet'!$F$2:$F$3548, 0)))),
         INDEX('working sheet'!$F$2:$F$3548, MATCH(A711, 'working sheet'!$D$2:$D$3548, 0)))</f>
        <v>Cortado</v>
      </c>
      <c r="H711" s="7">
        <f t="shared" si="23"/>
        <v>1.0007756944469293</v>
      </c>
      <c r="I711" s="7">
        <f>MAX('working sheet'!$B$2:$B$3548)-C711</f>
        <v>170.91497516203526</v>
      </c>
      <c r="J711" s="4" t="str">
        <f t="array" ref="J711">IF(AND(I711&lt;=30, D711&gt;=10, E711&gt;=200), "VIP",  IF(AND(I711&lt;=60, D711&gt;=5, E711&gt;=100), "Loyal", IF(AND(I711&lt;=90, D711&gt;=3), "Regular", IF(I711&lt;=30, "Recent", IF(D711&gt;=3, "Occasional", "At Risk")))))</f>
        <v>At Risk</v>
      </c>
      <c r="K711" t="str">
        <f t="array" ref="K711">IF(OR(J711="VIP", J711="Loyal"), "HIGH",IF(OR(J711="Regular", J711="Recent"), "MEDIUM","LOW"))</f>
        <v>LOW</v>
      </c>
    </row>
    <row r="712" spans="1:11">
      <c r="A712" t="s">
        <v>725</v>
      </c>
      <c r="B712" s="14">
        <f>_xlfn.MINIFS('working sheet'!$B$2:$B$3548, 'working sheet'!$D$2:$D$3548, A712)</f>
        <v>45568.895178125</v>
      </c>
      <c r="C712" s="17">
        <f>_xlfn.MAXIFS('working sheet'!$B$1:$B$3548,'working sheet'!$D$1:$D$3548,'Customer Portfolio'!A712)</f>
        <v>45568.895178125</v>
      </c>
      <c r="D712">
        <f>COUNTIFS('working sheet'!$D$1:$D$3548,'Customer Portfolio'!A712)</f>
        <v>1</v>
      </c>
      <c r="E712" s="5">
        <f>SUMIFS('working sheet'!$E$2:$E$3548,'working sheet'!$D$2:$D$3548,'Customer Portfolio'!A712)</f>
        <v>35.76</v>
      </c>
      <c r="F712" s="6">
        <f t="shared" si="22"/>
        <v>35.76</v>
      </c>
      <c r="G712" t="str">
        <f t="array" ref="G712">IFERROR(INDEX('working sheet'!$F$2:$F$3548, MODE(IF('working sheet'!$D$2:$D$3548=A712, MATCH('working sheet'!$F$2:$F$3548, 'working sheet'!$F$2:$F$3548, 0)))),
         INDEX('working sheet'!$F$2:$F$3548, MATCH(A712, 'working sheet'!$D$2:$D$3548, 0)))</f>
        <v>Cappuccino</v>
      </c>
      <c r="H712" s="7">
        <f t="shared" si="23"/>
        <v>1</v>
      </c>
      <c r="I712" s="7">
        <f>MAX('working sheet'!$B$2:$B$3548)-C712</f>
        <v>170.86290792824002</v>
      </c>
      <c r="J712" s="4" t="str">
        <f t="array" ref="J712">IF(AND(I712&lt;=30, D712&gt;=10, E712&gt;=200), "VIP",  IF(AND(I712&lt;=60, D712&gt;=5, E712&gt;=100), "Loyal", IF(AND(I712&lt;=90, D712&gt;=3), "Regular", IF(I712&lt;=30, "Recent", IF(D712&gt;=3, "Occasional", "At Risk")))))</f>
        <v>At Risk</v>
      </c>
      <c r="K712" t="str">
        <f t="array" ref="K712">IF(OR(J712="VIP", J712="Loyal"), "HIGH",IF(OR(J712="Regular", J712="Recent"), "MEDIUM","LOW"))</f>
        <v>LOW</v>
      </c>
    </row>
    <row r="713" spans="1:11">
      <c r="A713" t="s">
        <v>726</v>
      </c>
      <c r="B713" s="14">
        <f>_xlfn.MINIFS('working sheet'!$B$2:$B$3548, 'working sheet'!$D$2:$D$3548, A713)</f>
        <v>45568.896532997685</v>
      </c>
      <c r="C713" s="17">
        <f>_xlfn.MAXIFS('working sheet'!$B$1:$B$3548,'working sheet'!$D$1:$D$3548,'Customer Portfolio'!A713)</f>
        <v>45568.896532997685</v>
      </c>
      <c r="D713">
        <f>COUNTIFS('working sheet'!$D$1:$D$3548,'Customer Portfolio'!A713)</f>
        <v>1</v>
      </c>
      <c r="E713" s="5">
        <f>SUMIFS('working sheet'!$E$2:$E$3548,'working sheet'!$D$2:$D$3548,'Customer Portfolio'!A713)</f>
        <v>35.76</v>
      </c>
      <c r="F713" s="6">
        <f t="shared" si="22"/>
        <v>35.76</v>
      </c>
      <c r="G713" t="str">
        <f t="array" ref="G713">IFERROR(INDEX('working sheet'!$F$2:$F$3548, MODE(IF('working sheet'!$D$2:$D$3548=A713, MATCH('working sheet'!$F$2:$F$3548, 'working sheet'!$F$2:$F$3548, 0)))),
         INDEX('working sheet'!$F$2:$F$3548, MATCH(A713, 'working sheet'!$D$2:$D$3548, 0)))</f>
        <v>Hot Chocolate</v>
      </c>
      <c r="H713" s="7">
        <f t="shared" si="23"/>
        <v>1</v>
      </c>
      <c r="I713" s="7">
        <f>MAX('working sheet'!$B$2:$B$3548)-C713</f>
        <v>170.8615530555544</v>
      </c>
      <c r="J713" s="4" t="str">
        <f t="array" ref="J713">IF(AND(I713&lt;=30, D713&gt;=10, E713&gt;=200), "VIP",  IF(AND(I713&lt;=60, D713&gt;=5, E713&gt;=100), "Loyal", IF(AND(I713&lt;=90, D713&gt;=3), "Regular", IF(I713&lt;=30, "Recent", IF(D713&gt;=3, "Occasional", "At Risk")))))</f>
        <v>At Risk</v>
      </c>
      <c r="K713" t="str">
        <f t="array" ref="K713">IF(OR(J713="VIP", J713="Loyal"), "HIGH",IF(OR(J713="Regular", J713="Recent"), "MEDIUM","LOW"))</f>
        <v>LOW</v>
      </c>
    </row>
    <row r="714" spans="1:11">
      <c r="A714" t="s">
        <v>727</v>
      </c>
      <c r="B714" s="14">
        <f>_xlfn.MINIFS('working sheet'!$B$2:$B$3548, 'working sheet'!$D$2:$D$3548, A714)</f>
        <v>45569.732810289352</v>
      </c>
      <c r="C714" s="17">
        <f>_xlfn.MAXIFS('working sheet'!$B$1:$B$3548,'working sheet'!$D$1:$D$3548,'Customer Portfolio'!A714)</f>
        <v>45575.789991307873</v>
      </c>
      <c r="D714">
        <f>COUNTIFS('working sheet'!$D$1:$D$3548,'Customer Portfolio'!A714)</f>
        <v>3</v>
      </c>
      <c r="E714" s="5">
        <f>SUMIFS('working sheet'!$E$2:$E$3548,'working sheet'!$D$2:$D$3548,'Customer Portfolio'!A714)</f>
        <v>102.38</v>
      </c>
      <c r="F714" s="6">
        <f t="shared" si="22"/>
        <v>34.126666666666665</v>
      </c>
      <c r="G714" t="str">
        <f t="array" ref="G714">IFERROR(INDEX('working sheet'!$F$2:$F$3548, MODE(IF('working sheet'!$D$2:$D$3548=A714, MATCH('working sheet'!$F$2:$F$3548, 'working sheet'!$F$2:$F$3548, 0)))),
         INDEX('working sheet'!$F$2:$F$3548, MATCH(A714, 'working sheet'!$D$2:$D$3548, 0)))</f>
        <v>Latte</v>
      </c>
      <c r="H714" s="7">
        <f t="shared" si="23"/>
        <v>7.0571810185210779</v>
      </c>
      <c r="I714" s="7">
        <f>MAX('working sheet'!$B$2:$B$3548)-C714</f>
        <v>163.96809474536713</v>
      </c>
      <c r="J714" s="4" t="str">
        <f t="array" ref="J714">IF(AND(I714&lt;=30, D714&gt;=10, E714&gt;=200), "VIP",  IF(AND(I714&lt;=60, D714&gt;=5, E714&gt;=100), "Loyal", IF(AND(I714&lt;=90, D714&gt;=3), "Regular", IF(I714&lt;=30, "Recent", IF(D714&gt;=3, "Occasional", "At Risk")))))</f>
        <v>Occasional</v>
      </c>
      <c r="K714" t="str">
        <f t="array" ref="K714">IF(OR(J714="VIP", J714="Loyal"), "HIGH",IF(OR(J714="Regular", J714="Recent"), "MEDIUM","LOW"))</f>
        <v>LOW</v>
      </c>
    </row>
    <row r="715" spans="1:11">
      <c r="A715" t="s">
        <v>728</v>
      </c>
      <c r="B715" s="14">
        <f>_xlfn.MINIFS('working sheet'!$B$2:$B$3548, 'working sheet'!$D$2:$D$3548, A715)</f>
        <v>45569.737756724535</v>
      </c>
      <c r="C715" s="17">
        <f>_xlfn.MAXIFS('working sheet'!$B$1:$B$3548,'working sheet'!$D$1:$D$3548,'Customer Portfolio'!A715)</f>
        <v>45642.365900763885</v>
      </c>
      <c r="D715">
        <f>COUNTIFS('working sheet'!$D$1:$D$3548,'Customer Portfolio'!A715)</f>
        <v>4</v>
      </c>
      <c r="E715" s="5">
        <f>SUMIFS('working sheet'!$E$2:$E$3548,'working sheet'!$D$2:$D$3548,'Customer Portfolio'!A715)</f>
        <v>143.04</v>
      </c>
      <c r="F715" s="6">
        <f t="shared" si="22"/>
        <v>35.76</v>
      </c>
      <c r="G715" t="str">
        <f t="array" ref="G715">IFERROR(INDEX('working sheet'!$F$2:$F$3548, MODE(IF('working sheet'!$D$2:$D$3548=A715, MATCH('working sheet'!$F$2:$F$3548, 'working sheet'!$F$2:$F$3548, 0)))),
         INDEX('working sheet'!$F$2:$F$3548, MATCH(A715, 'working sheet'!$D$2:$D$3548, 0)))</f>
        <v>Cocoa</v>
      </c>
      <c r="H715" s="7">
        <f t="shared" si="23"/>
        <v>73.628144039350445</v>
      </c>
      <c r="I715" s="7">
        <f>MAX('working sheet'!$B$2:$B$3548)-C715</f>
        <v>97.392185289354529</v>
      </c>
      <c r="J715" s="4" t="str">
        <f t="array" ref="J715">IF(AND(I715&lt;=30, D715&gt;=10, E715&gt;=200), "VIP",  IF(AND(I715&lt;=60, D715&gt;=5, E715&gt;=100), "Loyal", IF(AND(I715&lt;=90, D715&gt;=3), "Regular", IF(I715&lt;=30, "Recent", IF(D715&gt;=3, "Occasional", "At Risk")))))</f>
        <v>Occasional</v>
      </c>
      <c r="K715" t="str">
        <f t="array" ref="K715">IF(OR(J715="VIP", J715="Loyal"), "HIGH",IF(OR(J715="Regular", J715="Recent"), "MEDIUM","LOW"))</f>
        <v>LOW</v>
      </c>
    </row>
    <row r="716" spans="1:11">
      <c r="A716" t="s">
        <v>729</v>
      </c>
      <c r="B716" s="14">
        <f>_xlfn.MINIFS('working sheet'!$B$2:$B$3548, 'working sheet'!$D$2:$D$3548, A716)</f>
        <v>45570.399825266206</v>
      </c>
      <c r="C716" s="17">
        <f>_xlfn.MAXIFS('working sheet'!$B$1:$B$3548,'working sheet'!$D$1:$D$3548,'Customer Portfolio'!A716)</f>
        <v>45591.80510769676</v>
      </c>
      <c r="D716">
        <f>COUNTIFS('working sheet'!$D$1:$D$3548,'Customer Portfolio'!A716)</f>
        <v>2</v>
      </c>
      <c r="E716" s="5">
        <f>SUMIFS('working sheet'!$E$2:$E$3548,'working sheet'!$D$2:$D$3548,'Customer Portfolio'!A716)</f>
        <v>71.52</v>
      </c>
      <c r="F716" s="6">
        <f t="shared" si="22"/>
        <v>35.76</v>
      </c>
      <c r="G716" t="str">
        <f t="array" ref="G716">IFERROR(INDEX('working sheet'!$F$2:$F$3548, MODE(IF('working sheet'!$D$2:$D$3548=A716, MATCH('working sheet'!$F$2:$F$3548, 'working sheet'!$F$2:$F$3548, 0)))),
         INDEX('working sheet'!$F$2:$F$3548, MATCH(A716, 'working sheet'!$D$2:$D$3548, 0)))</f>
        <v>Cocoa</v>
      </c>
      <c r="H716" s="7">
        <f t="shared" si="23"/>
        <v>22.405282430554507</v>
      </c>
      <c r="I716" s="7">
        <f>MAX('working sheet'!$B$2:$B$3548)-C716</f>
        <v>147.95297835647943</v>
      </c>
      <c r="J716" s="4" t="str">
        <f t="array" ref="J716">IF(AND(I716&lt;=30, D716&gt;=10, E716&gt;=200), "VIP",  IF(AND(I716&lt;=60, D716&gt;=5, E716&gt;=100), "Loyal", IF(AND(I716&lt;=90, D716&gt;=3), "Regular", IF(I716&lt;=30, "Recent", IF(D716&gt;=3, "Occasional", "At Risk")))))</f>
        <v>At Risk</v>
      </c>
      <c r="K716" t="str">
        <f t="array" ref="K716">IF(OR(J716="VIP", J716="Loyal"), "HIGH",IF(OR(J716="Regular", J716="Recent"), "MEDIUM","LOW"))</f>
        <v>LOW</v>
      </c>
    </row>
    <row r="717" spans="1:11">
      <c r="A717" t="s">
        <v>730</v>
      </c>
      <c r="B717" s="14">
        <f>_xlfn.MINIFS('working sheet'!$B$2:$B$3548, 'working sheet'!$D$2:$D$3548, A717)</f>
        <v>45571.496861643522</v>
      </c>
      <c r="C717" s="17">
        <f>_xlfn.MAXIFS('working sheet'!$B$1:$B$3548,'working sheet'!$D$1:$D$3548,'Customer Portfolio'!A717)</f>
        <v>45571.496861643522</v>
      </c>
      <c r="D717">
        <f>COUNTIFS('working sheet'!$D$1:$D$3548,'Customer Portfolio'!A717)</f>
        <v>1</v>
      </c>
      <c r="E717" s="5">
        <f>SUMIFS('working sheet'!$E$2:$E$3548,'working sheet'!$D$2:$D$3548,'Customer Portfolio'!A717)</f>
        <v>35.76</v>
      </c>
      <c r="F717" s="6">
        <f t="shared" si="22"/>
        <v>35.76</v>
      </c>
      <c r="G717" t="str">
        <f t="array" ref="G717">IFERROR(INDEX('working sheet'!$F$2:$F$3548, MODE(IF('working sheet'!$D$2:$D$3548=A717, MATCH('working sheet'!$F$2:$F$3548, 'working sheet'!$F$2:$F$3548, 0)))),
         INDEX('working sheet'!$F$2:$F$3548, MATCH(A717, 'working sheet'!$D$2:$D$3548, 0)))</f>
        <v>Latte</v>
      </c>
      <c r="H717" s="7">
        <f t="shared" si="23"/>
        <v>1</v>
      </c>
      <c r="I717" s="7">
        <f>MAX('working sheet'!$B$2:$B$3548)-C717</f>
        <v>168.26122440971812</v>
      </c>
      <c r="J717" s="4" t="str">
        <f t="array" ref="J717">IF(AND(I717&lt;=30, D717&gt;=10, E717&gt;=200), "VIP",  IF(AND(I717&lt;=60, D717&gt;=5, E717&gt;=100), "Loyal", IF(AND(I717&lt;=90, D717&gt;=3), "Regular", IF(I717&lt;=30, "Recent", IF(D717&gt;=3, "Occasional", "At Risk")))))</f>
        <v>At Risk</v>
      </c>
      <c r="K717" t="str">
        <f t="array" ref="K717">IF(OR(J717="VIP", J717="Loyal"), "HIGH",IF(OR(J717="Regular", J717="Recent"), "MEDIUM","LOW"))</f>
        <v>LOW</v>
      </c>
    </row>
    <row r="718" spans="1:11">
      <c r="A718" t="s">
        <v>731</v>
      </c>
      <c r="B718" s="14">
        <f>_xlfn.MINIFS('working sheet'!$B$2:$B$3548, 'working sheet'!$D$2:$D$3548, A718)</f>
        <v>45571.573653645835</v>
      </c>
      <c r="C718" s="17">
        <f>_xlfn.MAXIFS('working sheet'!$B$1:$B$3548,'working sheet'!$D$1:$D$3548,'Customer Portfolio'!A718)</f>
        <v>45571.574328159724</v>
      </c>
      <c r="D718">
        <f>COUNTIFS('working sheet'!$D$1:$D$3548,'Customer Portfolio'!A718)</f>
        <v>2</v>
      </c>
      <c r="E718" s="5">
        <f>SUMIFS('working sheet'!$E$2:$E$3548,'working sheet'!$D$2:$D$3548,'Customer Portfolio'!A718)</f>
        <v>61.72</v>
      </c>
      <c r="F718" s="6">
        <f t="shared" si="22"/>
        <v>30.86</v>
      </c>
      <c r="G718" t="str">
        <f t="array" ref="G718">IFERROR(INDEX('working sheet'!$F$2:$F$3548, MODE(IF('working sheet'!$D$2:$D$3548=A718, MATCH('working sheet'!$F$2:$F$3548, 'working sheet'!$F$2:$F$3548, 0)))),
         INDEX('working sheet'!$F$2:$F$3548, MATCH(A718, 'working sheet'!$D$2:$D$3548, 0)))</f>
        <v>Americano</v>
      </c>
      <c r="H718" s="7">
        <f t="shared" si="23"/>
        <v>1.0006745138889528</v>
      </c>
      <c r="I718" s="7">
        <f>MAX('working sheet'!$B$2:$B$3548)-C718</f>
        <v>168.18375789351558</v>
      </c>
      <c r="J718" s="4" t="str">
        <f t="array" ref="J718">IF(AND(I718&lt;=30, D718&gt;=10, E718&gt;=200), "VIP",  IF(AND(I718&lt;=60, D718&gt;=5, E718&gt;=100), "Loyal", IF(AND(I718&lt;=90, D718&gt;=3), "Regular", IF(I718&lt;=30, "Recent", IF(D718&gt;=3, "Occasional", "At Risk")))))</f>
        <v>At Risk</v>
      </c>
      <c r="K718" t="str">
        <f t="array" ref="K718">IF(OR(J718="VIP", J718="Loyal"), "HIGH",IF(OR(J718="Regular", J718="Recent"), "MEDIUM","LOW"))</f>
        <v>LOW</v>
      </c>
    </row>
    <row r="719" spans="1:11">
      <c r="A719" t="s">
        <v>732</v>
      </c>
      <c r="B719" s="14">
        <f>_xlfn.MINIFS('working sheet'!$B$2:$B$3548, 'working sheet'!$D$2:$D$3548, A719)</f>
        <v>45571.576390509261</v>
      </c>
      <c r="C719" s="17">
        <f>_xlfn.MAXIFS('working sheet'!$B$1:$B$3548,'working sheet'!$D$1:$D$3548,'Customer Portfolio'!A719)</f>
        <v>45571.577734756946</v>
      </c>
      <c r="D719">
        <f>COUNTIFS('working sheet'!$D$1:$D$3548,'Customer Portfolio'!A719)</f>
        <v>3</v>
      </c>
      <c r="E719" s="5">
        <f>SUMIFS('working sheet'!$E$2:$E$3548,'working sheet'!$D$2:$D$3548,'Customer Portfolio'!A719)</f>
        <v>102.38</v>
      </c>
      <c r="F719" s="6">
        <f t="shared" si="22"/>
        <v>34.126666666666665</v>
      </c>
      <c r="G719" t="str">
        <f t="array" ref="G719">IFERROR(INDEX('working sheet'!$F$2:$F$3548, MODE(IF('working sheet'!$D$2:$D$3548=A719, MATCH('working sheet'!$F$2:$F$3548, 'working sheet'!$F$2:$F$3548, 0)))),
         INDEX('working sheet'!$F$2:$F$3548, MATCH(A719, 'working sheet'!$D$2:$D$3548, 0)))</f>
        <v>Americano with Milk</v>
      </c>
      <c r="H719" s="7">
        <f t="shared" si="23"/>
        <v>1.0013442476847558</v>
      </c>
      <c r="I719" s="7">
        <f>MAX('working sheet'!$B$2:$B$3548)-C719</f>
        <v>168.18035129629425</v>
      </c>
      <c r="J719" s="4" t="str">
        <f t="array" ref="J719">IF(AND(I719&lt;=30, D719&gt;=10, E719&gt;=200), "VIP",  IF(AND(I719&lt;=60, D719&gt;=5, E719&gt;=100), "Loyal", IF(AND(I719&lt;=90, D719&gt;=3), "Regular", IF(I719&lt;=30, "Recent", IF(D719&gt;=3, "Occasional", "At Risk")))))</f>
        <v>Occasional</v>
      </c>
      <c r="K719" t="str">
        <f t="array" ref="K719">IF(OR(J719="VIP", J719="Loyal"), "HIGH",IF(OR(J719="Regular", J719="Recent"), "MEDIUM","LOW"))</f>
        <v>LOW</v>
      </c>
    </row>
    <row r="720" spans="1:11">
      <c r="A720" t="s">
        <v>733</v>
      </c>
      <c r="B720" s="14">
        <f>_xlfn.MINIFS('working sheet'!$B$2:$B$3548, 'working sheet'!$D$2:$D$3548, A720)</f>
        <v>45571.688583194446</v>
      </c>
      <c r="C720" s="17">
        <f>_xlfn.MAXIFS('working sheet'!$B$1:$B$3548,'working sheet'!$D$1:$D$3548,'Customer Portfolio'!A720)</f>
        <v>45571.688583194446</v>
      </c>
      <c r="D720">
        <f>COUNTIFS('working sheet'!$D$1:$D$3548,'Customer Portfolio'!A720)</f>
        <v>1</v>
      </c>
      <c r="E720" s="5">
        <f>SUMIFS('working sheet'!$E$2:$E$3548,'working sheet'!$D$2:$D$3548,'Customer Portfolio'!A720)</f>
        <v>35.76</v>
      </c>
      <c r="F720" s="6">
        <f t="shared" si="22"/>
        <v>35.76</v>
      </c>
      <c r="G720" t="str">
        <f t="array" ref="G720">IFERROR(INDEX('working sheet'!$F$2:$F$3548, MODE(IF('working sheet'!$D$2:$D$3548=A720, MATCH('working sheet'!$F$2:$F$3548, 'working sheet'!$F$2:$F$3548, 0)))),
         INDEX('working sheet'!$F$2:$F$3548, MATCH(A720, 'working sheet'!$D$2:$D$3548, 0)))</f>
        <v>Cappuccino</v>
      </c>
      <c r="H720" s="7">
        <f t="shared" si="23"/>
        <v>1</v>
      </c>
      <c r="I720" s="7">
        <f>MAX('working sheet'!$B$2:$B$3548)-C720</f>
        <v>168.06950285879429</v>
      </c>
      <c r="J720" s="4" t="str">
        <f t="array" ref="J720">IF(AND(I720&lt;=30, D720&gt;=10, E720&gt;=200), "VIP",  IF(AND(I720&lt;=60, D720&gt;=5, E720&gt;=100), "Loyal", IF(AND(I720&lt;=90, D720&gt;=3), "Regular", IF(I720&lt;=30, "Recent", IF(D720&gt;=3, "Occasional", "At Risk")))))</f>
        <v>At Risk</v>
      </c>
      <c r="K720" t="str">
        <f t="array" ref="K720">IF(OR(J720="VIP", J720="Loyal"), "HIGH",IF(OR(J720="Regular", J720="Recent"), "MEDIUM","LOW"))</f>
        <v>LOW</v>
      </c>
    </row>
    <row r="721" spans="1:11">
      <c r="A721" t="s">
        <v>734</v>
      </c>
      <c r="B721" s="14">
        <f>_xlfn.MINIFS('working sheet'!$B$2:$B$3548, 'working sheet'!$D$2:$D$3548, A721)</f>
        <v>45571.691500289351</v>
      </c>
      <c r="C721" s="17">
        <f>_xlfn.MAXIFS('working sheet'!$B$1:$B$3548,'working sheet'!$D$1:$D$3548,'Customer Portfolio'!A721)</f>
        <v>45571.691500289351</v>
      </c>
      <c r="D721">
        <f>COUNTIFS('working sheet'!$D$1:$D$3548,'Customer Portfolio'!A721)</f>
        <v>1</v>
      </c>
      <c r="E721" s="5">
        <f>SUMIFS('working sheet'!$E$2:$E$3548,'working sheet'!$D$2:$D$3548,'Customer Portfolio'!A721)</f>
        <v>21.06</v>
      </c>
      <c r="F721" s="6">
        <f t="shared" si="22"/>
        <v>21.06</v>
      </c>
      <c r="G721" t="str">
        <f t="array" ref="G721">IFERROR(INDEX('working sheet'!$F$2:$F$3548, MODE(IF('working sheet'!$D$2:$D$3548=A721, MATCH('working sheet'!$F$2:$F$3548, 'working sheet'!$F$2:$F$3548, 0)))),
         INDEX('working sheet'!$F$2:$F$3548, MATCH(A721, 'working sheet'!$D$2:$D$3548, 0)))</f>
        <v>Espresso</v>
      </c>
      <c r="H721" s="7">
        <f t="shared" si="23"/>
        <v>1</v>
      </c>
      <c r="I721" s="7">
        <f>MAX('working sheet'!$B$2:$B$3548)-C721</f>
        <v>168.06658576388872</v>
      </c>
      <c r="J721" s="4" t="str">
        <f t="array" ref="J721">IF(AND(I721&lt;=30, D721&gt;=10, E721&gt;=200), "VIP",  IF(AND(I721&lt;=60, D721&gt;=5, E721&gt;=100), "Loyal", IF(AND(I721&lt;=90, D721&gt;=3), "Regular", IF(I721&lt;=30, "Recent", IF(D721&gt;=3, "Occasional", "At Risk")))))</f>
        <v>At Risk</v>
      </c>
      <c r="K721" t="str">
        <f t="array" ref="K721">IF(OR(J721="VIP", J721="Loyal"), "HIGH",IF(OR(J721="Regular", J721="Recent"), "MEDIUM","LOW"))</f>
        <v>LOW</v>
      </c>
    </row>
    <row r="722" spans="1:11">
      <c r="A722" t="s">
        <v>735</v>
      </c>
      <c r="B722" s="14">
        <f>_xlfn.MINIFS('working sheet'!$B$2:$B$3548, 'working sheet'!$D$2:$D$3548, A722)</f>
        <v>45571.762326099539</v>
      </c>
      <c r="C722" s="17">
        <f>_xlfn.MAXIFS('working sheet'!$B$1:$B$3548,'working sheet'!$D$1:$D$3548,'Customer Portfolio'!A722)</f>
        <v>45571.762326099539</v>
      </c>
      <c r="D722">
        <f>COUNTIFS('working sheet'!$D$1:$D$3548,'Customer Portfolio'!A722)</f>
        <v>1</v>
      </c>
      <c r="E722" s="5">
        <f>SUMIFS('working sheet'!$E$2:$E$3548,'working sheet'!$D$2:$D$3548,'Customer Portfolio'!A722)</f>
        <v>30.86</v>
      </c>
      <c r="F722" s="6">
        <f t="shared" si="22"/>
        <v>30.86</v>
      </c>
      <c r="G722" t="str">
        <f t="array" ref="G722">IFERROR(INDEX('working sheet'!$F$2:$F$3548, MODE(IF('working sheet'!$D$2:$D$3548=A722, MATCH('working sheet'!$F$2:$F$3548, 'working sheet'!$F$2:$F$3548, 0)))),
         INDEX('working sheet'!$F$2:$F$3548, MATCH(A722, 'working sheet'!$D$2:$D$3548, 0)))</f>
        <v>Americano with Milk</v>
      </c>
      <c r="H722" s="7">
        <f t="shared" si="23"/>
        <v>1</v>
      </c>
      <c r="I722" s="7">
        <f>MAX('working sheet'!$B$2:$B$3548)-C722</f>
        <v>167.99575995370105</v>
      </c>
      <c r="J722" s="4" t="str">
        <f t="array" ref="J722">IF(AND(I722&lt;=30, D722&gt;=10, E722&gt;=200), "VIP",  IF(AND(I722&lt;=60, D722&gt;=5, E722&gt;=100), "Loyal", IF(AND(I722&lt;=90, D722&gt;=3), "Regular", IF(I722&lt;=30, "Recent", IF(D722&gt;=3, "Occasional", "At Risk")))))</f>
        <v>At Risk</v>
      </c>
      <c r="K722" t="str">
        <f t="array" ref="K722">IF(OR(J722="VIP", J722="Loyal"), "HIGH",IF(OR(J722="Regular", J722="Recent"), "MEDIUM","LOW"))</f>
        <v>LOW</v>
      </c>
    </row>
    <row r="723" spans="1:11">
      <c r="A723" t="s">
        <v>736</v>
      </c>
      <c r="B723" s="14">
        <f>_xlfn.MINIFS('working sheet'!$B$2:$B$3548, 'working sheet'!$D$2:$D$3548, A723)</f>
        <v>45571.774496157406</v>
      </c>
      <c r="C723" s="17">
        <f>_xlfn.MAXIFS('working sheet'!$B$1:$B$3548,'working sheet'!$D$1:$D$3548,'Customer Portfolio'!A723)</f>
        <v>45601.912727395837</v>
      </c>
      <c r="D723">
        <f>COUNTIFS('working sheet'!$D$1:$D$3548,'Customer Portfolio'!A723)</f>
        <v>2</v>
      </c>
      <c r="E723" s="5">
        <f>SUMIFS('working sheet'!$E$2:$E$3548,'working sheet'!$D$2:$D$3548,'Customer Portfolio'!A723)</f>
        <v>71.52</v>
      </c>
      <c r="F723" s="6">
        <f t="shared" si="22"/>
        <v>35.76</v>
      </c>
      <c r="G723" t="str">
        <f t="array" ref="G723">IFERROR(INDEX('working sheet'!$F$2:$F$3548, MODE(IF('working sheet'!$D$2:$D$3548=A723, MATCH('working sheet'!$F$2:$F$3548, 'working sheet'!$F$2:$F$3548, 0)))),
         INDEX('working sheet'!$F$2:$F$3548, MATCH(A723, 'working sheet'!$D$2:$D$3548, 0)))</f>
        <v>Hot Chocolate</v>
      </c>
      <c r="H723" s="7">
        <f t="shared" si="23"/>
        <v>31.138231238430308</v>
      </c>
      <c r="I723" s="7">
        <f>MAX('working sheet'!$B$2:$B$3548)-C723</f>
        <v>137.84535865740327</v>
      </c>
      <c r="J723" s="4" t="str">
        <f t="array" ref="J723">IF(AND(I723&lt;=30, D723&gt;=10, E723&gt;=200), "VIP",  IF(AND(I723&lt;=60, D723&gt;=5, E723&gt;=100), "Loyal", IF(AND(I723&lt;=90, D723&gt;=3), "Regular", IF(I723&lt;=30, "Recent", IF(D723&gt;=3, "Occasional", "At Risk")))))</f>
        <v>At Risk</v>
      </c>
      <c r="K723" t="str">
        <f t="array" ref="K723">IF(OR(J723="VIP", J723="Loyal"), "HIGH",IF(OR(J723="Regular", J723="Recent"), "MEDIUM","LOW"))</f>
        <v>LOW</v>
      </c>
    </row>
    <row r="724" spans="1:11">
      <c r="A724" t="s">
        <v>737</v>
      </c>
      <c r="B724" s="14">
        <f>_xlfn.MINIFS('working sheet'!$B$2:$B$3548, 'working sheet'!$D$2:$D$3548, A724)</f>
        <v>45571.881399178237</v>
      </c>
      <c r="C724" s="17">
        <f>_xlfn.MAXIFS('working sheet'!$B$1:$B$3548,'working sheet'!$D$1:$D$3548,'Customer Portfolio'!A724)</f>
        <v>45571.881949953706</v>
      </c>
      <c r="D724">
        <f>COUNTIFS('working sheet'!$D$1:$D$3548,'Customer Portfolio'!A724)</f>
        <v>2</v>
      </c>
      <c r="E724" s="5">
        <f>SUMIFS('working sheet'!$E$2:$E$3548,'working sheet'!$D$2:$D$3548,'Customer Portfolio'!A724)</f>
        <v>71.52</v>
      </c>
      <c r="F724" s="6">
        <f t="shared" si="22"/>
        <v>35.76</v>
      </c>
      <c r="G724" t="str">
        <f t="array" ref="G724">IFERROR(INDEX('working sheet'!$F$2:$F$3548, MODE(IF('working sheet'!$D$2:$D$3548=A724, MATCH('working sheet'!$F$2:$F$3548, 'working sheet'!$F$2:$F$3548, 0)))),
         INDEX('working sheet'!$F$2:$F$3548, MATCH(A724, 'working sheet'!$D$2:$D$3548, 0)))</f>
        <v>Hot Chocolate</v>
      </c>
      <c r="H724" s="7">
        <f t="shared" si="23"/>
        <v>1.0005507754685823</v>
      </c>
      <c r="I724" s="7">
        <f>MAX('working sheet'!$B$2:$B$3548)-C724</f>
        <v>167.87613609953405</v>
      </c>
      <c r="J724" s="4" t="str">
        <f t="array" ref="J724">IF(AND(I724&lt;=30, D724&gt;=10, E724&gt;=200), "VIP",  IF(AND(I724&lt;=60, D724&gt;=5, E724&gt;=100), "Loyal", IF(AND(I724&lt;=90, D724&gt;=3), "Regular", IF(I724&lt;=30, "Recent", IF(D724&gt;=3, "Occasional", "At Risk")))))</f>
        <v>At Risk</v>
      </c>
      <c r="K724" t="str">
        <f t="array" ref="K724">IF(OR(J724="VIP", J724="Loyal"), "HIGH",IF(OR(J724="Regular", J724="Recent"), "MEDIUM","LOW"))</f>
        <v>LOW</v>
      </c>
    </row>
    <row r="725" spans="1:11">
      <c r="A725" t="s">
        <v>738</v>
      </c>
      <c r="B725" s="14">
        <f>_xlfn.MINIFS('working sheet'!$B$2:$B$3548, 'working sheet'!$D$2:$D$3548, A725)</f>
        <v>45572.356671562498</v>
      </c>
      <c r="C725" s="17">
        <f>_xlfn.MAXIFS('working sheet'!$B$1:$B$3548,'working sheet'!$D$1:$D$3548,'Customer Portfolio'!A725)</f>
        <v>45572.356671562498</v>
      </c>
      <c r="D725">
        <f>COUNTIFS('working sheet'!$D$1:$D$3548,'Customer Portfolio'!A725)</f>
        <v>1</v>
      </c>
      <c r="E725" s="5">
        <f>SUMIFS('working sheet'!$E$2:$E$3548,'working sheet'!$D$2:$D$3548,'Customer Portfolio'!A725)</f>
        <v>35.76</v>
      </c>
      <c r="F725" s="6">
        <f t="shared" si="22"/>
        <v>35.76</v>
      </c>
      <c r="G725" t="str">
        <f t="array" ref="G725">IFERROR(INDEX('working sheet'!$F$2:$F$3548, MODE(IF('working sheet'!$D$2:$D$3548=A725, MATCH('working sheet'!$F$2:$F$3548, 'working sheet'!$F$2:$F$3548, 0)))),
         INDEX('working sheet'!$F$2:$F$3548, MATCH(A725, 'working sheet'!$D$2:$D$3548, 0)))</f>
        <v>Latte</v>
      </c>
      <c r="H725" s="7">
        <f t="shared" si="23"/>
        <v>1</v>
      </c>
      <c r="I725" s="7">
        <f>MAX('working sheet'!$B$2:$B$3548)-C725</f>
        <v>167.40141449074144</v>
      </c>
      <c r="J725" s="4" t="str">
        <f t="array" ref="J725">IF(AND(I725&lt;=30, D725&gt;=10, E725&gt;=200), "VIP",  IF(AND(I725&lt;=60, D725&gt;=5, E725&gt;=100), "Loyal", IF(AND(I725&lt;=90, D725&gt;=3), "Regular", IF(I725&lt;=30, "Recent", IF(D725&gt;=3, "Occasional", "At Risk")))))</f>
        <v>At Risk</v>
      </c>
      <c r="K725" t="str">
        <f t="array" ref="K725">IF(OR(J725="VIP", J725="Loyal"), "HIGH",IF(OR(J725="Regular", J725="Recent"), "MEDIUM","LOW"))</f>
        <v>LOW</v>
      </c>
    </row>
    <row r="726" spans="1:11">
      <c r="A726" t="s">
        <v>739</v>
      </c>
      <c r="B726" s="14">
        <f>_xlfn.MINIFS('working sheet'!$B$2:$B$3548, 'working sheet'!$D$2:$D$3548, A726)</f>
        <v>45572.378797349535</v>
      </c>
      <c r="C726" s="17">
        <f>_xlfn.MAXIFS('working sheet'!$B$1:$B$3548,'working sheet'!$D$1:$D$3548,'Customer Portfolio'!A726)</f>
        <v>45576.372034571759</v>
      </c>
      <c r="D726">
        <f>COUNTIFS('working sheet'!$D$1:$D$3548,'Customer Portfolio'!A726)</f>
        <v>2</v>
      </c>
      <c r="E726" s="5">
        <f>SUMIFS('working sheet'!$E$2:$E$3548,'working sheet'!$D$2:$D$3548,'Customer Portfolio'!A726)</f>
        <v>71.52</v>
      </c>
      <c r="F726" s="6">
        <f t="shared" si="22"/>
        <v>35.76</v>
      </c>
      <c r="G726" t="str">
        <f t="array" ref="G726">IFERROR(INDEX('working sheet'!$F$2:$F$3548, MODE(IF('working sheet'!$D$2:$D$3548=A726, MATCH('working sheet'!$F$2:$F$3548, 'working sheet'!$F$2:$F$3548, 0)))),
         INDEX('working sheet'!$F$2:$F$3548, MATCH(A726, 'working sheet'!$D$2:$D$3548, 0)))</f>
        <v>Cocoa</v>
      </c>
      <c r="H726" s="7">
        <f t="shared" si="23"/>
        <v>4.9932372222247068</v>
      </c>
      <c r="I726" s="7">
        <f>MAX('working sheet'!$B$2:$B$3548)-C726</f>
        <v>163.38605148148054</v>
      </c>
      <c r="J726" s="4" t="str">
        <f t="array" ref="J726">IF(AND(I726&lt;=30, D726&gt;=10, E726&gt;=200), "VIP",  IF(AND(I726&lt;=60, D726&gt;=5, E726&gt;=100), "Loyal", IF(AND(I726&lt;=90, D726&gt;=3), "Regular", IF(I726&lt;=30, "Recent", IF(D726&gt;=3, "Occasional", "At Risk")))))</f>
        <v>At Risk</v>
      </c>
      <c r="K726" t="str">
        <f t="array" ref="K726">IF(OR(J726="VIP", J726="Loyal"), "HIGH",IF(OR(J726="Regular", J726="Recent"), "MEDIUM","LOW"))</f>
        <v>LOW</v>
      </c>
    </row>
    <row r="727" spans="1:11">
      <c r="A727" t="s">
        <v>740</v>
      </c>
      <c r="B727" s="14">
        <f>_xlfn.MINIFS('working sheet'!$B$2:$B$3548, 'working sheet'!$D$2:$D$3548, A727)</f>
        <v>45572.381925034722</v>
      </c>
      <c r="C727" s="17">
        <f>_xlfn.MAXIFS('working sheet'!$B$1:$B$3548,'working sheet'!$D$1:$D$3548,'Customer Portfolio'!A727)</f>
        <v>45586.613866284722</v>
      </c>
      <c r="D727">
        <f>COUNTIFS('working sheet'!$D$1:$D$3548,'Customer Portfolio'!A727)</f>
        <v>5</v>
      </c>
      <c r="E727" s="5">
        <f>SUMIFS('working sheet'!$E$2:$E$3548,'working sheet'!$D$2:$D$3548,'Customer Portfolio'!A727)</f>
        <v>173.89999999999998</v>
      </c>
      <c r="F727" s="6">
        <f t="shared" si="22"/>
        <v>34.779999999999994</v>
      </c>
      <c r="G727" t="str">
        <f t="array" ref="G727">IFERROR(INDEX('working sheet'!$F$2:$F$3548, MODE(IF('working sheet'!$D$2:$D$3548=A727, MATCH('working sheet'!$F$2:$F$3548, 'working sheet'!$F$2:$F$3548, 0)))),
         INDEX('working sheet'!$F$2:$F$3548, MATCH(A727, 'working sheet'!$D$2:$D$3548, 0)))</f>
        <v>Latte</v>
      </c>
      <c r="H727" s="7">
        <f t="shared" si="23"/>
        <v>15.231941250000091</v>
      </c>
      <c r="I727" s="7">
        <f>MAX('working sheet'!$B$2:$B$3548)-C727</f>
        <v>153.14421976851736</v>
      </c>
      <c r="J727" s="4" t="str">
        <f t="array" ref="J727">IF(AND(I727&lt;=30, D727&gt;=10, E727&gt;=200), "VIP",  IF(AND(I727&lt;=60, D727&gt;=5, E727&gt;=100), "Loyal", IF(AND(I727&lt;=90, D727&gt;=3), "Regular", IF(I727&lt;=30, "Recent", IF(D727&gt;=3, "Occasional", "At Risk")))))</f>
        <v>Occasional</v>
      </c>
      <c r="K727" t="str">
        <f t="array" ref="K727">IF(OR(J727="VIP", J727="Loyal"), "HIGH",IF(OR(J727="Regular", J727="Recent"), "MEDIUM","LOW"))</f>
        <v>LOW</v>
      </c>
    </row>
    <row r="728" spans="1:11">
      <c r="A728" t="s">
        <v>741</v>
      </c>
      <c r="B728" s="14">
        <f>_xlfn.MINIFS('working sheet'!$B$2:$B$3548, 'working sheet'!$D$2:$D$3548, A728)</f>
        <v>45572.512462002313</v>
      </c>
      <c r="C728" s="17">
        <f>_xlfn.MAXIFS('working sheet'!$B$1:$B$3548,'working sheet'!$D$1:$D$3548,'Customer Portfolio'!A728)</f>
        <v>45654.429678541666</v>
      </c>
      <c r="D728">
        <f>COUNTIFS('working sheet'!$D$1:$D$3548,'Customer Portfolio'!A728)</f>
        <v>2</v>
      </c>
      <c r="E728" s="5">
        <f>SUMIFS('working sheet'!$E$2:$E$3548,'working sheet'!$D$2:$D$3548,'Customer Portfolio'!A728)</f>
        <v>61.72</v>
      </c>
      <c r="F728" s="6">
        <f t="shared" si="22"/>
        <v>30.86</v>
      </c>
      <c r="G728" t="str">
        <f t="array" ref="G728">IFERROR(INDEX('working sheet'!$F$2:$F$3548, MODE(IF('working sheet'!$D$2:$D$3548=A728, MATCH('working sheet'!$F$2:$F$3548, 'working sheet'!$F$2:$F$3548, 0)))),
         INDEX('working sheet'!$F$2:$F$3548, MATCH(A728, 'working sheet'!$D$2:$D$3548, 0)))</f>
        <v>Americano with Milk</v>
      </c>
      <c r="H728" s="7">
        <f t="shared" si="23"/>
        <v>82.917216539353831</v>
      </c>
      <c r="I728" s="7">
        <f>MAX('working sheet'!$B$2:$B$3548)-C728</f>
        <v>85.328407511573459</v>
      </c>
      <c r="J728" s="4" t="str">
        <f t="array" ref="J728">IF(AND(I728&lt;=30, D728&gt;=10, E728&gt;=200), "VIP",  IF(AND(I728&lt;=60, D728&gt;=5, E728&gt;=100), "Loyal", IF(AND(I728&lt;=90, D728&gt;=3), "Regular", IF(I728&lt;=30, "Recent", IF(D728&gt;=3, "Occasional", "At Risk")))))</f>
        <v>At Risk</v>
      </c>
      <c r="K728" t="str">
        <f t="array" ref="K728">IF(OR(J728="VIP", J728="Loyal"), "HIGH",IF(OR(J728="Regular", J728="Recent"), "MEDIUM","LOW"))</f>
        <v>LOW</v>
      </c>
    </row>
    <row r="729" spans="1:11">
      <c r="A729" t="s">
        <v>742</v>
      </c>
      <c r="B729" s="14">
        <f>_xlfn.MINIFS('working sheet'!$B$2:$B$3548, 'working sheet'!$D$2:$D$3548, A729)</f>
        <v>45572.605384930554</v>
      </c>
      <c r="C729" s="17">
        <f>_xlfn.MAXIFS('working sheet'!$B$1:$B$3548,'working sheet'!$D$1:$D$3548,'Customer Portfolio'!A729)</f>
        <v>45572.606004224537</v>
      </c>
      <c r="D729">
        <f>COUNTIFS('working sheet'!$D$1:$D$3548,'Customer Portfolio'!A729)</f>
        <v>2</v>
      </c>
      <c r="E729" s="5">
        <f>SUMIFS('working sheet'!$E$2:$E$3548,'working sheet'!$D$2:$D$3548,'Customer Portfolio'!A729)</f>
        <v>51.92</v>
      </c>
      <c r="F729" s="6">
        <f t="shared" si="22"/>
        <v>25.96</v>
      </c>
      <c r="G729" t="str">
        <f t="array" ref="G729">IFERROR(INDEX('working sheet'!$F$2:$F$3548, MODE(IF('working sheet'!$D$2:$D$3548=A729, MATCH('working sheet'!$F$2:$F$3548, 'working sheet'!$F$2:$F$3548, 0)))),
         INDEX('working sheet'!$F$2:$F$3548, MATCH(A729, 'working sheet'!$D$2:$D$3548, 0)))</f>
        <v>Americano</v>
      </c>
      <c r="H729" s="7">
        <f t="shared" si="23"/>
        <v>1.0006192939836183</v>
      </c>
      <c r="I729" s="7">
        <f>MAX('working sheet'!$B$2:$B$3548)-C729</f>
        <v>167.15208182870265</v>
      </c>
      <c r="J729" s="4" t="str">
        <f t="array" ref="J729">IF(AND(I729&lt;=30, D729&gt;=10, E729&gt;=200), "VIP",  IF(AND(I729&lt;=60, D729&gt;=5, E729&gt;=100), "Loyal", IF(AND(I729&lt;=90, D729&gt;=3), "Regular", IF(I729&lt;=30, "Recent", IF(D729&gt;=3, "Occasional", "At Risk")))))</f>
        <v>At Risk</v>
      </c>
      <c r="K729" t="str">
        <f t="array" ref="K729">IF(OR(J729="VIP", J729="Loyal"), "HIGH",IF(OR(J729="Regular", J729="Recent"), "MEDIUM","LOW"))</f>
        <v>LOW</v>
      </c>
    </row>
    <row r="730" spans="1:11">
      <c r="A730" t="s">
        <v>743</v>
      </c>
      <c r="B730" s="14">
        <f>_xlfn.MINIFS('working sheet'!$B$2:$B$3548, 'working sheet'!$D$2:$D$3548, A730)</f>
        <v>45573.544454918978</v>
      </c>
      <c r="C730" s="17">
        <f>_xlfn.MAXIFS('working sheet'!$B$1:$B$3548,'working sheet'!$D$1:$D$3548,'Customer Portfolio'!A730)</f>
        <v>45655.887029282407</v>
      </c>
      <c r="D730">
        <f>COUNTIFS('working sheet'!$D$1:$D$3548,'Customer Portfolio'!A730)</f>
        <v>3</v>
      </c>
      <c r="E730" s="5">
        <f>SUMIFS('working sheet'!$E$2:$E$3548,'working sheet'!$D$2:$D$3548,'Customer Portfolio'!A730)</f>
        <v>107.28</v>
      </c>
      <c r="F730" s="6">
        <f t="shared" si="22"/>
        <v>35.76</v>
      </c>
      <c r="G730" t="str">
        <f t="array" ref="G730">IFERROR(INDEX('working sheet'!$F$2:$F$3548, MODE(IF('working sheet'!$D$2:$D$3548=A730, MATCH('working sheet'!$F$2:$F$3548, 'working sheet'!$F$2:$F$3548, 0)))),
         INDEX('working sheet'!$F$2:$F$3548, MATCH(A730, 'working sheet'!$D$2:$D$3548, 0)))</f>
        <v>Latte</v>
      </c>
      <c r="H730" s="7">
        <f t="shared" si="23"/>
        <v>83.342574363428866</v>
      </c>
      <c r="I730" s="7">
        <f>MAX('working sheet'!$B$2:$B$3548)-C730</f>
        <v>83.871056770833093</v>
      </c>
      <c r="J730" s="4" t="str">
        <f t="array" ref="J730">IF(AND(I730&lt;=30, D730&gt;=10, E730&gt;=200), "VIP",  IF(AND(I730&lt;=60, D730&gt;=5, E730&gt;=100), "Loyal", IF(AND(I730&lt;=90, D730&gt;=3), "Regular", IF(I730&lt;=30, "Recent", IF(D730&gt;=3, "Occasional", "At Risk")))))</f>
        <v>Regular</v>
      </c>
      <c r="K730" t="str">
        <f t="array" ref="K730">IF(OR(J730="VIP", J730="Loyal"), "HIGH",IF(OR(J730="Regular", J730="Recent"), "MEDIUM","LOW"))</f>
        <v>MEDIUM</v>
      </c>
    </row>
    <row r="731" spans="1:11">
      <c r="A731" t="s">
        <v>744</v>
      </c>
      <c r="B731" s="14">
        <f>_xlfn.MINIFS('working sheet'!$B$2:$B$3548, 'working sheet'!$D$2:$D$3548, A731)</f>
        <v>45573.660221319442</v>
      </c>
      <c r="C731" s="17">
        <f>_xlfn.MAXIFS('working sheet'!$B$1:$B$3548,'working sheet'!$D$1:$D$3548,'Customer Portfolio'!A731)</f>
        <v>45573.660221319442</v>
      </c>
      <c r="D731">
        <f>COUNTIFS('working sheet'!$D$1:$D$3548,'Customer Portfolio'!A731)</f>
        <v>1</v>
      </c>
      <c r="E731" s="5">
        <f>SUMIFS('working sheet'!$E$2:$E$3548,'working sheet'!$D$2:$D$3548,'Customer Portfolio'!A731)</f>
        <v>30.86</v>
      </c>
      <c r="F731" s="6">
        <f t="shared" si="22"/>
        <v>30.86</v>
      </c>
      <c r="G731" t="str">
        <f t="array" ref="G731">IFERROR(INDEX('working sheet'!$F$2:$F$3548, MODE(IF('working sheet'!$D$2:$D$3548=A731, MATCH('working sheet'!$F$2:$F$3548, 'working sheet'!$F$2:$F$3548, 0)))),
         INDEX('working sheet'!$F$2:$F$3548, MATCH(A731, 'working sheet'!$D$2:$D$3548, 0)))</f>
        <v>Americano with Milk</v>
      </c>
      <c r="H731" s="7">
        <f t="shared" si="23"/>
        <v>1</v>
      </c>
      <c r="I731" s="7">
        <f>MAX('working sheet'!$B$2:$B$3548)-C731</f>
        <v>166.09786473379791</v>
      </c>
      <c r="J731" s="4" t="str">
        <f t="array" ref="J731">IF(AND(I731&lt;=30, D731&gt;=10, E731&gt;=200), "VIP",  IF(AND(I731&lt;=60, D731&gt;=5, E731&gt;=100), "Loyal", IF(AND(I731&lt;=90, D731&gt;=3), "Regular", IF(I731&lt;=30, "Recent", IF(D731&gt;=3, "Occasional", "At Risk")))))</f>
        <v>At Risk</v>
      </c>
      <c r="K731" t="str">
        <f t="array" ref="K731">IF(OR(J731="VIP", J731="Loyal"), "HIGH",IF(OR(J731="Regular", J731="Recent"), "MEDIUM","LOW"))</f>
        <v>LOW</v>
      </c>
    </row>
    <row r="732" spans="1:11">
      <c r="A732" t="s">
        <v>745</v>
      </c>
      <c r="B732" s="14">
        <f>_xlfn.MINIFS('working sheet'!$B$2:$B$3548, 'working sheet'!$D$2:$D$3548, A732)</f>
        <v>45573.861579386576</v>
      </c>
      <c r="C732" s="17">
        <f>_xlfn.MAXIFS('working sheet'!$B$1:$B$3548,'working sheet'!$D$1:$D$3548,'Customer Portfolio'!A732)</f>
        <v>45672.903637314812</v>
      </c>
      <c r="D732">
        <f>COUNTIFS('working sheet'!$D$1:$D$3548,'Customer Portfolio'!A732)</f>
        <v>7</v>
      </c>
      <c r="E732" s="5">
        <f>SUMIFS('working sheet'!$E$2:$E$3548,'working sheet'!$D$2:$D$3548,'Customer Portfolio'!A732)</f>
        <v>245.41999999999996</v>
      </c>
      <c r="F732" s="6">
        <f t="shared" si="22"/>
        <v>35.059999999999995</v>
      </c>
      <c r="G732" t="str">
        <f t="array" ref="G732">IFERROR(INDEX('working sheet'!$F$2:$F$3548, MODE(IF('working sheet'!$D$2:$D$3548=A732, MATCH('working sheet'!$F$2:$F$3548, 'working sheet'!$F$2:$F$3548, 0)))),
         INDEX('working sheet'!$F$2:$F$3548, MATCH(A732, 'working sheet'!$D$2:$D$3548, 0)))</f>
        <v>Cappuccino</v>
      </c>
      <c r="H732" s="7">
        <f t="shared" si="23"/>
        <v>100.04205792823632</v>
      </c>
      <c r="I732" s="7">
        <f>MAX('working sheet'!$B$2:$B$3548)-C732</f>
        <v>66.854448738427891</v>
      </c>
      <c r="J732" s="4" t="str">
        <f t="array" ref="J732">IF(AND(I732&lt;=30, D732&gt;=10, E732&gt;=200), "VIP",  IF(AND(I732&lt;=60, D732&gt;=5, E732&gt;=100), "Loyal", IF(AND(I732&lt;=90, D732&gt;=3), "Regular", IF(I732&lt;=30, "Recent", IF(D732&gt;=3, "Occasional", "At Risk")))))</f>
        <v>Regular</v>
      </c>
      <c r="K732" t="str">
        <f t="array" ref="K732">IF(OR(J732="VIP", J732="Loyal"), "HIGH",IF(OR(J732="Regular", J732="Recent"), "MEDIUM","LOW"))</f>
        <v>MEDIUM</v>
      </c>
    </row>
    <row r="733" spans="1:11">
      <c r="A733" t="s">
        <v>746</v>
      </c>
      <c r="B733" s="14">
        <f>_xlfn.MINIFS('working sheet'!$B$2:$B$3548, 'working sheet'!$D$2:$D$3548, A733)</f>
        <v>45573.868850949075</v>
      </c>
      <c r="C733" s="17">
        <f>_xlfn.MAXIFS('working sheet'!$B$1:$B$3548,'working sheet'!$D$1:$D$3548,'Customer Portfolio'!A733)</f>
        <v>45573.868850949075</v>
      </c>
      <c r="D733">
        <f>COUNTIFS('working sheet'!$D$1:$D$3548,'Customer Portfolio'!A733)</f>
        <v>1</v>
      </c>
      <c r="E733" s="5">
        <f>SUMIFS('working sheet'!$E$2:$E$3548,'working sheet'!$D$2:$D$3548,'Customer Portfolio'!A733)</f>
        <v>35.76</v>
      </c>
      <c r="F733" s="6">
        <f t="shared" si="22"/>
        <v>35.76</v>
      </c>
      <c r="G733" t="str">
        <f t="array" ref="G733">IFERROR(INDEX('working sheet'!$F$2:$F$3548, MODE(IF('working sheet'!$D$2:$D$3548=A733, MATCH('working sheet'!$F$2:$F$3548, 'working sheet'!$F$2:$F$3548, 0)))),
         INDEX('working sheet'!$F$2:$F$3548, MATCH(A733, 'working sheet'!$D$2:$D$3548, 0)))</f>
        <v>Latte</v>
      </c>
      <c r="H733" s="7">
        <f t="shared" si="23"/>
        <v>1</v>
      </c>
      <c r="I733" s="7">
        <f>MAX('working sheet'!$B$2:$B$3548)-C733</f>
        <v>165.88923510416498</v>
      </c>
      <c r="J733" s="4" t="str">
        <f t="array" ref="J733">IF(AND(I733&lt;=30, D733&gt;=10, E733&gt;=200), "VIP",  IF(AND(I733&lt;=60, D733&gt;=5, E733&gt;=100), "Loyal", IF(AND(I733&lt;=90, D733&gt;=3), "Regular", IF(I733&lt;=30, "Recent", IF(D733&gt;=3, "Occasional", "At Risk")))))</f>
        <v>At Risk</v>
      </c>
      <c r="K733" t="str">
        <f t="array" ref="K733">IF(OR(J733="VIP", J733="Loyal"), "HIGH",IF(OR(J733="Regular", J733="Recent"), "MEDIUM","LOW"))</f>
        <v>LOW</v>
      </c>
    </row>
    <row r="734" spans="1:11">
      <c r="A734" t="s">
        <v>747</v>
      </c>
      <c r="B734" s="14">
        <f>_xlfn.MINIFS('working sheet'!$B$2:$B$3548, 'working sheet'!$D$2:$D$3548, A734)</f>
        <v>45574.443019976854</v>
      </c>
      <c r="C734" s="17">
        <f>_xlfn.MAXIFS('working sheet'!$B$1:$B$3548,'working sheet'!$D$1:$D$3548,'Customer Portfolio'!A734)</f>
        <v>45574.443019976854</v>
      </c>
      <c r="D734">
        <f>COUNTIFS('working sheet'!$D$1:$D$3548,'Customer Portfolio'!A734)</f>
        <v>1</v>
      </c>
      <c r="E734" s="5">
        <f>SUMIFS('working sheet'!$E$2:$E$3548,'working sheet'!$D$2:$D$3548,'Customer Portfolio'!A734)</f>
        <v>21.06</v>
      </c>
      <c r="F734" s="6">
        <f t="shared" si="22"/>
        <v>21.06</v>
      </c>
      <c r="G734" t="str">
        <f t="array" ref="G734">IFERROR(INDEX('working sheet'!$F$2:$F$3548, MODE(IF('working sheet'!$D$2:$D$3548=A734, MATCH('working sheet'!$F$2:$F$3548, 'working sheet'!$F$2:$F$3548, 0)))),
         INDEX('working sheet'!$F$2:$F$3548, MATCH(A734, 'working sheet'!$D$2:$D$3548, 0)))</f>
        <v>Espresso</v>
      </c>
      <c r="H734" s="7">
        <f t="shared" si="23"/>
        <v>1</v>
      </c>
      <c r="I734" s="7">
        <f>MAX('working sheet'!$B$2:$B$3548)-C734</f>
        <v>165.31506607638585</v>
      </c>
      <c r="J734" s="4" t="str">
        <f t="array" ref="J734">IF(AND(I734&lt;=30, D734&gt;=10, E734&gt;=200), "VIP",  IF(AND(I734&lt;=60, D734&gt;=5, E734&gt;=100), "Loyal", IF(AND(I734&lt;=90, D734&gt;=3), "Regular", IF(I734&lt;=30, "Recent", IF(D734&gt;=3, "Occasional", "At Risk")))))</f>
        <v>At Risk</v>
      </c>
      <c r="K734" t="str">
        <f t="array" ref="K734">IF(OR(J734="VIP", J734="Loyal"), "HIGH",IF(OR(J734="Regular", J734="Recent"), "MEDIUM","LOW"))</f>
        <v>LOW</v>
      </c>
    </row>
    <row r="735" spans="1:11">
      <c r="A735" t="s">
        <v>748</v>
      </c>
      <c r="B735" s="14">
        <f>_xlfn.MINIFS('working sheet'!$B$2:$B$3548, 'working sheet'!$D$2:$D$3548, A735)</f>
        <v>45574.470858078705</v>
      </c>
      <c r="C735" s="17">
        <f>_xlfn.MAXIFS('working sheet'!$B$1:$B$3548,'working sheet'!$D$1:$D$3548,'Customer Portfolio'!A735)</f>
        <v>45595.507620266202</v>
      </c>
      <c r="D735">
        <f>COUNTIFS('working sheet'!$D$1:$D$3548,'Customer Portfolio'!A735)</f>
        <v>2</v>
      </c>
      <c r="E735" s="5">
        <f>SUMIFS('working sheet'!$E$2:$E$3548,'working sheet'!$D$2:$D$3548,'Customer Portfolio'!A735)</f>
        <v>56.82</v>
      </c>
      <c r="F735" s="6">
        <f t="shared" si="22"/>
        <v>28.41</v>
      </c>
      <c r="G735" t="str">
        <f t="array" ref="G735">IFERROR(INDEX('working sheet'!$F$2:$F$3548, MODE(IF('working sheet'!$D$2:$D$3548=A735, MATCH('working sheet'!$F$2:$F$3548, 'working sheet'!$F$2:$F$3548, 0)))),
         INDEX('working sheet'!$F$2:$F$3548, MATCH(A735, 'working sheet'!$D$2:$D$3548, 0)))</f>
        <v>Americano</v>
      </c>
      <c r="H735" s="7">
        <f t="shared" si="23"/>
        <v>22.036762187497516</v>
      </c>
      <c r="I735" s="7">
        <f>MAX('working sheet'!$B$2:$B$3548)-C735</f>
        <v>144.25046578703768</v>
      </c>
      <c r="J735" s="4" t="str">
        <f t="array" ref="J735">IF(AND(I735&lt;=30, D735&gt;=10, E735&gt;=200), "VIP",  IF(AND(I735&lt;=60, D735&gt;=5, E735&gt;=100), "Loyal", IF(AND(I735&lt;=90, D735&gt;=3), "Regular", IF(I735&lt;=30, "Recent", IF(D735&gt;=3, "Occasional", "At Risk")))))</f>
        <v>At Risk</v>
      </c>
      <c r="K735" t="str">
        <f t="array" ref="K735">IF(OR(J735="VIP", J735="Loyal"), "HIGH",IF(OR(J735="Regular", J735="Recent"), "MEDIUM","LOW"))</f>
        <v>LOW</v>
      </c>
    </row>
    <row r="736" spans="1:11">
      <c r="A736" t="s">
        <v>749</v>
      </c>
      <c r="B736" s="14">
        <f>_xlfn.MINIFS('working sheet'!$B$2:$B$3548, 'working sheet'!$D$2:$D$3548, A736)</f>
        <v>45574.578179814816</v>
      </c>
      <c r="C736" s="17">
        <f>_xlfn.MAXIFS('working sheet'!$B$1:$B$3548,'working sheet'!$D$1:$D$3548,'Customer Portfolio'!A736)</f>
        <v>45574.578179814816</v>
      </c>
      <c r="D736">
        <f>COUNTIFS('working sheet'!$D$1:$D$3548,'Customer Portfolio'!A736)</f>
        <v>1</v>
      </c>
      <c r="E736" s="5">
        <f>SUMIFS('working sheet'!$E$2:$E$3548,'working sheet'!$D$2:$D$3548,'Customer Portfolio'!A736)</f>
        <v>30.86</v>
      </c>
      <c r="F736" s="6">
        <f t="shared" si="22"/>
        <v>30.86</v>
      </c>
      <c r="G736" t="str">
        <f t="array" ref="G736">IFERROR(INDEX('working sheet'!$F$2:$F$3548, MODE(IF('working sheet'!$D$2:$D$3548=A736, MATCH('working sheet'!$F$2:$F$3548, 'working sheet'!$F$2:$F$3548, 0)))),
         INDEX('working sheet'!$F$2:$F$3548, MATCH(A736, 'working sheet'!$D$2:$D$3548, 0)))</f>
        <v>Americano with Milk</v>
      </c>
      <c r="H736" s="7">
        <f t="shared" si="23"/>
        <v>1</v>
      </c>
      <c r="I736" s="7">
        <f>MAX('working sheet'!$B$2:$B$3548)-C736</f>
        <v>165.17990623842343</v>
      </c>
      <c r="J736" s="4" t="str">
        <f t="array" ref="J736">IF(AND(I736&lt;=30, D736&gt;=10, E736&gt;=200), "VIP",  IF(AND(I736&lt;=60, D736&gt;=5, E736&gt;=100), "Loyal", IF(AND(I736&lt;=90, D736&gt;=3), "Regular", IF(I736&lt;=30, "Recent", IF(D736&gt;=3, "Occasional", "At Risk")))))</f>
        <v>At Risk</v>
      </c>
      <c r="K736" t="str">
        <f t="array" ref="K736">IF(OR(J736="VIP", J736="Loyal"), "HIGH",IF(OR(J736="Regular", J736="Recent"), "MEDIUM","LOW"))</f>
        <v>LOW</v>
      </c>
    </row>
    <row r="737" spans="1:11">
      <c r="A737" t="s">
        <v>750</v>
      </c>
      <c r="B737" s="14">
        <f>_xlfn.MINIFS('working sheet'!$B$2:$B$3548, 'working sheet'!$D$2:$D$3548, A737)</f>
        <v>45574.743050370373</v>
      </c>
      <c r="C737" s="17">
        <f>_xlfn.MAXIFS('working sheet'!$B$1:$B$3548,'working sheet'!$D$1:$D$3548,'Customer Portfolio'!A737)</f>
        <v>45580.469762372682</v>
      </c>
      <c r="D737">
        <f>COUNTIFS('working sheet'!$D$1:$D$3548,'Customer Portfolio'!A737)</f>
        <v>3</v>
      </c>
      <c r="E737" s="5">
        <f>SUMIFS('working sheet'!$E$2:$E$3548,'working sheet'!$D$2:$D$3548,'Customer Portfolio'!A737)</f>
        <v>92.579999999999984</v>
      </c>
      <c r="F737" s="6">
        <f t="shared" si="22"/>
        <v>30.859999999999996</v>
      </c>
      <c r="G737" t="str">
        <f t="array" ref="G737">IFERROR(INDEX('working sheet'!$F$2:$F$3548, MODE(IF('working sheet'!$D$2:$D$3548=A737, MATCH('working sheet'!$F$2:$F$3548, 'working sheet'!$F$2:$F$3548, 0)))),
         INDEX('working sheet'!$F$2:$F$3548, MATCH(A737, 'working sheet'!$D$2:$D$3548, 0)))</f>
        <v>Espresso</v>
      </c>
      <c r="H737" s="7">
        <f t="shared" si="23"/>
        <v>6.7267120023097959</v>
      </c>
      <c r="I737" s="7">
        <f>MAX('working sheet'!$B$2:$B$3548)-C737</f>
        <v>159.28832368055737</v>
      </c>
      <c r="J737" s="4" t="str">
        <f t="array" ref="J737">IF(AND(I737&lt;=30, D737&gt;=10, E737&gt;=200), "VIP",  IF(AND(I737&lt;=60, D737&gt;=5, E737&gt;=100), "Loyal", IF(AND(I737&lt;=90, D737&gt;=3), "Regular", IF(I737&lt;=30, "Recent", IF(D737&gt;=3, "Occasional", "At Risk")))))</f>
        <v>Occasional</v>
      </c>
      <c r="K737" t="str">
        <f t="array" ref="K737">IF(OR(J737="VIP", J737="Loyal"), "HIGH",IF(OR(J737="Regular", J737="Recent"), "MEDIUM","LOW"))</f>
        <v>LOW</v>
      </c>
    </row>
    <row r="738" spans="1:11">
      <c r="A738" t="s">
        <v>751</v>
      </c>
      <c r="B738" s="14">
        <f>_xlfn.MINIFS('working sheet'!$B$2:$B$3548, 'working sheet'!$D$2:$D$3548, A738)</f>
        <v>45574.867505787035</v>
      </c>
      <c r="C738" s="17">
        <f>_xlfn.MAXIFS('working sheet'!$B$1:$B$3548,'working sheet'!$D$1:$D$3548,'Customer Portfolio'!A738)</f>
        <v>45574.867505787035</v>
      </c>
      <c r="D738">
        <f>COUNTIFS('working sheet'!$D$1:$D$3548,'Customer Portfolio'!A738)</f>
        <v>1</v>
      </c>
      <c r="E738" s="5">
        <f>SUMIFS('working sheet'!$E$2:$E$3548,'working sheet'!$D$2:$D$3548,'Customer Portfolio'!A738)</f>
        <v>35.76</v>
      </c>
      <c r="F738" s="6">
        <f t="shared" si="22"/>
        <v>35.76</v>
      </c>
      <c r="G738" t="str">
        <f t="array" ref="G738">IFERROR(INDEX('working sheet'!$F$2:$F$3548, MODE(IF('working sheet'!$D$2:$D$3548=A738, MATCH('working sheet'!$F$2:$F$3548, 'working sheet'!$F$2:$F$3548, 0)))),
         INDEX('working sheet'!$F$2:$F$3548, MATCH(A738, 'working sheet'!$D$2:$D$3548, 0)))</f>
        <v>Cappuccino</v>
      </c>
      <c r="H738" s="7">
        <f t="shared" si="23"/>
        <v>1</v>
      </c>
      <c r="I738" s="7">
        <f>MAX('working sheet'!$B$2:$B$3548)-C738</f>
        <v>164.89058026620478</v>
      </c>
      <c r="J738" s="4" t="str">
        <f t="array" ref="J738">IF(AND(I738&lt;=30, D738&gt;=10, E738&gt;=200), "VIP",  IF(AND(I738&lt;=60, D738&gt;=5, E738&gt;=100), "Loyal", IF(AND(I738&lt;=90, D738&gt;=3), "Regular", IF(I738&lt;=30, "Recent", IF(D738&gt;=3, "Occasional", "At Risk")))))</f>
        <v>At Risk</v>
      </c>
      <c r="K738" t="str">
        <f t="array" ref="K738">IF(OR(J738="VIP", J738="Loyal"), "HIGH",IF(OR(J738="Regular", J738="Recent"), "MEDIUM","LOW"))</f>
        <v>LOW</v>
      </c>
    </row>
    <row r="739" spans="1:11">
      <c r="A739" t="s">
        <v>752</v>
      </c>
      <c r="B739" s="14">
        <f>_xlfn.MINIFS('working sheet'!$B$2:$B$3548, 'working sheet'!$D$2:$D$3548, A739)</f>
        <v>45575.410928368059</v>
      </c>
      <c r="C739" s="17">
        <f>_xlfn.MAXIFS('working sheet'!$B$1:$B$3548,'working sheet'!$D$1:$D$3548,'Customer Portfolio'!A739)</f>
        <v>45575.410928368059</v>
      </c>
      <c r="D739">
        <f>COUNTIFS('working sheet'!$D$1:$D$3548,'Customer Portfolio'!A739)</f>
        <v>1</v>
      </c>
      <c r="E739" s="5">
        <f>SUMIFS('working sheet'!$E$2:$E$3548,'working sheet'!$D$2:$D$3548,'Customer Portfolio'!A739)</f>
        <v>35.76</v>
      </c>
      <c r="F739" s="6">
        <f t="shared" si="22"/>
        <v>35.76</v>
      </c>
      <c r="G739" t="str">
        <f t="array" ref="G739">IFERROR(INDEX('working sheet'!$F$2:$F$3548, MODE(IF('working sheet'!$D$2:$D$3548=A739, MATCH('working sheet'!$F$2:$F$3548, 'working sheet'!$F$2:$F$3548, 0)))),
         INDEX('working sheet'!$F$2:$F$3548, MATCH(A739, 'working sheet'!$D$2:$D$3548, 0)))</f>
        <v>Hot Chocolate</v>
      </c>
      <c r="H739" s="7">
        <f t="shared" si="23"/>
        <v>1</v>
      </c>
      <c r="I739" s="7">
        <f>MAX('working sheet'!$B$2:$B$3548)-C739</f>
        <v>164.34715768518072</v>
      </c>
      <c r="J739" s="4" t="str">
        <f t="array" ref="J739">IF(AND(I739&lt;=30, D739&gt;=10, E739&gt;=200), "VIP",  IF(AND(I739&lt;=60, D739&gt;=5, E739&gt;=100), "Loyal", IF(AND(I739&lt;=90, D739&gt;=3), "Regular", IF(I739&lt;=30, "Recent", IF(D739&gt;=3, "Occasional", "At Risk")))))</f>
        <v>At Risk</v>
      </c>
      <c r="K739" t="str">
        <f t="array" ref="K739">IF(OR(J739="VIP", J739="Loyal"), "HIGH",IF(OR(J739="Regular", J739="Recent"), "MEDIUM","LOW"))</f>
        <v>LOW</v>
      </c>
    </row>
    <row r="740" spans="1:11">
      <c r="A740" t="s">
        <v>753</v>
      </c>
      <c r="B740" s="14">
        <f>_xlfn.MINIFS('working sheet'!$B$2:$B$3548, 'working sheet'!$D$2:$D$3548, A740)</f>
        <v>45575.45523861111</v>
      </c>
      <c r="C740" s="17">
        <f>_xlfn.MAXIFS('working sheet'!$B$1:$B$3548,'working sheet'!$D$1:$D$3548,'Customer Portfolio'!A740)</f>
        <v>45575.45523861111</v>
      </c>
      <c r="D740">
        <f>COUNTIFS('working sheet'!$D$1:$D$3548,'Customer Portfolio'!A740)</f>
        <v>1</v>
      </c>
      <c r="E740" s="5">
        <f>SUMIFS('working sheet'!$E$2:$E$3548,'working sheet'!$D$2:$D$3548,'Customer Portfolio'!A740)</f>
        <v>35.76</v>
      </c>
      <c r="F740" s="6">
        <f t="shared" si="22"/>
        <v>35.76</v>
      </c>
      <c r="G740" t="str">
        <f t="array" ref="G740">IFERROR(INDEX('working sheet'!$F$2:$F$3548, MODE(IF('working sheet'!$D$2:$D$3548=A740, MATCH('working sheet'!$F$2:$F$3548, 'working sheet'!$F$2:$F$3548, 0)))),
         INDEX('working sheet'!$F$2:$F$3548, MATCH(A740, 'working sheet'!$D$2:$D$3548, 0)))</f>
        <v>Latte</v>
      </c>
      <c r="H740" s="7">
        <f t="shared" si="23"/>
        <v>1</v>
      </c>
      <c r="I740" s="7">
        <f>MAX('working sheet'!$B$2:$B$3548)-C740</f>
        <v>164.30284744212986</v>
      </c>
      <c r="J740" s="4" t="str">
        <f t="array" ref="J740">IF(AND(I740&lt;=30, D740&gt;=10, E740&gt;=200), "VIP",  IF(AND(I740&lt;=60, D740&gt;=5, E740&gt;=100), "Loyal", IF(AND(I740&lt;=90, D740&gt;=3), "Regular", IF(I740&lt;=30, "Recent", IF(D740&gt;=3, "Occasional", "At Risk")))))</f>
        <v>At Risk</v>
      </c>
      <c r="K740" t="str">
        <f t="array" ref="K740">IF(OR(J740="VIP", J740="Loyal"), "HIGH",IF(OR(J740="Regular", J740="Recent"), "MEDIUM","LOW"))</f>
        <v>LOW</v>
      </c>
    </row>
    <row r="741" spans="1:11">
      <c r="A741" t="s">
        <v>754</v>
      </c>
      <c r="B741" s="14">
        <f>_xlfn.MINIFS('working sheet'!$B$2:$B$3548, 'working sheet'!$D$2:$D$3548, A741)</f>
        <v>45575.461335057873</v>
      </c>
      <c r="C741" s="17">
        <f>_xlfn.MAXIFS('working sheet'!$B$1:$B$3548,'working sheet'!$D$1:$D$3548,'Customer Portfolio'!A741)</f>
        <v>45576.545155127315</v>
      </c>
      <c r="D741">
        <f>COUNTIFS('working sheet'!$D$1:$D$3548,'Customer Portfolio'!A741)</f>
        <v>2</v>
      </c>
      <c r="E741" s="5">
        <f>SUMIFS('working sheet'!$E$2:$E$3548,'working sheet'!$D$2:$D$3548,'Customer Portfolio'!A741)</f>
        <v>71.52</v>
      </c>
      <c r="F741" s="6">
        <f t="shared" si="22"/>
        <v>35.76</v>
      </c>
      <c r="G741" t="str">
        <f t="array" ref="G741">IFERROR(INDEX('working sheet'!$F$2:$F$3548, MODE(IF('working sheet'!$D$2:$D$3548=A741, MATCH('working sheet'!$F$2:$F$3548, 'working sheet'!$F$2:$F$3548, 0)))),
         INDEX('working sheet'!$F$2:$F$3548, MATCH(A741, 'working sheet'!$D$2:$D$3548, 0)))</f>
        <v>Latte</v>
      </c>
      <c r="H741" s="7">
        <f t="shared" si="23"/>
        <v>2.0838200694415718</v>
      </c>
      <c r="I741" s="7">
        <f>MAX('working sheet'!$B$2:$B$3548)-C741</f>
        <v>163.21293092592532</v>
      </c>
      <c r="J741" s="4" t="str">
        <f t="array" ref="J741">IF(AND(I741&lt;=30, D741&gt;=10, E741&gt;=200), "VIP",  IF(AND(I741&lt;=60, D741&gt;=5, E741&gt;=100), "Loyal", IF(AND(I741&lt;=90, D741&gt;=3), "Regular", IF(I741&lt;=30, "Recent", IF(D741&gt;=3, "Occasional", "At Risk")))))</f>
        <v>At Risk</v>
      </c>
      <c r="K741" t="str">
        <f t="array" ref="K741">IF(OR(J741="VIP", J741="Loyal"), "HIGH",IF(OR(J741="Regular", J741="Recent"), "MEDIUM","LOW"))</f>
        <v>LOW</v>
      </c>
    </row>
    <row r="742" spans="1:11">
      <c r="A742" t="s">
        <v>755</v>
      </c>
      <c r="B742" s="14">
        <f>_xlfn.MINIFS('working sheet'!$B$2:$B$3548, 'working sheet'!$D$2:$D$3548, A742)</f>
        <v>45575.736624814817</v>
      </c>
      <c r="C742" s="17">
        <f>_xlfn.MAXIFS('working sheet'!$B$1:$B$3548,'working sheet'!$D$1:$D$3548,'Customer Portfolio'!A742)</f>
        <v>45575.736624814817</v>
      </c>
      <c r="D742">
        <f>COUNTIFS('working sheet'!$D$1:$D$3548,'Customer Portfolio'!A742)</f>
        <v>1</v>
      </c>
      <c r="E742" s="5">
        <f>SUMIFS('working sheet'!$E$2:$E$3548,'working sheet'!$D$2:$D$3548,'Customer Portfolio'!A742)</f>
        <v>35.76</v>
      </c>
      <c r="F742" s="6">
        <f t="shared" si="22"/>
        <v>35.76</v>
      </c>
      <c r="G742" t="str">
        <f t="array" ref="G742">IFERROR(INDEX('working sheet'!$F$2:$F$3548, MODE(IF('working sheet'!$D$2:$D$3548=A742, MATCH('working sheet'!$F$2:$F$3548, 'working sheet'!$F$2:$F$3548, 0)))),
         INDEX('working sheet'!$F$2:$F$3548, MATCH(A742, 'working sheet'!$D$2:$D$3548, 0)))</f>
        <v>Latte</v>
      </c>
      <c r="H742" s="7">
        <f t="shared" si="23"/>
        <v>1</v>
      </c>
      <c r="I742" s="7">
        <f>MAX('working sheet'!$B$2:$B$3548)-C742</f>
        <v>164.02146123842249</v>
      </c>
      <c r="J742" s="4" t="str">
        <f t="array" ref="J742">IF(AND(I742&lt;=30, D742&gt;=10, E742&gt;=200), "VIP",  IF(AND(I742&lt;=60, D742&gt;=5, E742&gt;=100), "Loyal", IF(AND(I742&lt;=90, D742&gt;=3), "Regular", IF(I742&lt;=30, "Recent", IF(D742&gt;=3, "Occasional", "At Risk")))))</f>
        <v>At Risk</v>
      </c>
      <c r="K742" t="str">
        <f t="array" ref="K742">IF(OR(J742="VIP", J742="Loyal"), "HIGH",IF(OR(J742="Regular", J742="Recent"), "MEDIUM","LOW"))</f>
        <v>LOW</v>
      </c>
    </row>
    <row r="743" spans="1:11">
      <c r="A743" t="s">
        <v>756</v>
      </c>
      <c r="B743" s="14">
        <f>_xlfn.MINIFS('working sheet'!$B$2:$B$3548, 'working sheet'!$D$2:$D$3548, A743)</f>
        <v>45575.76287859954</v>
      </c>
      <c r="C743" s="17">
        <f>_xlfn.MAXIFS('working sheet'!$B$1:$B$3548,'working sheet'!$D$1:$D$3548,'Customer Portfolio'!A743)</f>
        <v>45602.552463680557</v>
      </c>
      <c r="D743">
        <f>COUNTIFS('working sheet'!$D$1:$D$3548,'Customer Portfolio'!A743)</f>
        <v>2</v>
      </c>
      <c r="E743" s="5">
        <f>SUMIFS('working sheet'!$E$2:$E$3548,'working sheet'!$D$2:$D$3548,'Customer Portfolio'!A743)</f>
        <v>51.92</v>
      </c>
      <c r="F743" s="6">
        <f t="shared" si="22"/>
        <v>25.96</v>
      </c>
      <c r="G743" t="str">
        <f t="array" ref="G743">IFERROR(INDEX('working sheet'!$F$2:$F$3548, MODE(IF('working sheet'!$D$2:$D$3548=A743, MATCH('working sheet'!$F$2:$F$3548, 'working sheet'!$F$2:$F$3548, 0)))),
         INDEX('working sheet'!$F$2:$F$3548, MATCH(A743, 'working sheet'!$D$2:$D$3548, 0)))</f>
        <v>Americano</v>
      </c>
      <c r="H743" s="7">
        <f t="shared" si="23"/>
        <v>27.789585081016412</v>
      </c>
      <c r="I743" s="7">
        <f>MAX('working sheet'!$B$2:$B$3548)-C743</f>
        <v>137.20562237268314</v>
      </c>
      <c r="J743" s="4" t="str">
        <f t="array" ref="J743">IF(AND(I743&lt;=30, D743&gt;=10, E743&gt;=200), "VIP",  IF(AND(I743&lt;=60, D743&gt;=5, E743&gt;=100), "Loyal", IF(AND(I743&lt;=90, D743&gt;=3), "Regular", IF(I743&lt;=30, "Recent", IF(D743&gt;=3, "Occasional", "At Risk")))))</f>
        <v>At Risk</v>
      </c>
      <c r="K743" t="str">
        <f t="array" ref="K743">IF(OR(J743="VIP", J743="Loyal"), "HIGH",IF(OR(J743="Regular", J743="Recent"), "MEDIUM","LOW"))</f>
        <v>LOW</v>
      </c>
    </row>
    <row r="744" spans="1:11">
      <c r="A744" t="s">
        <v>757</v>
      </c>
      <c r="B744" s="14">
        <f>_xlfn.MINIFS('working sheet'!$B$2:$B$3548, 'working sheet'!$D$2:$D$3548, A744)</f>
        <v>45576.373716458336</v>
      </c>
      <c r="C744" s="17">
        <f>_xlfn.MAXIFS('working sheet'!$B$1:$B$3548,'working sheet'!$D$1:$D$3548,'Customer Portfolio'!A744)</f>
        <v>45576.373716458336</v>
      </c>
      <c r="D744">
        <f>COUNTIFS('working sheet'!$D$1:$D$3548,'Customer Portfolio'!A744)</f>
        <v>1</v>
      </c>
      <c r="E744" s="5">
        <f>SUMIFS('working sheet'!$E$2:$E$3548,'working sheet'!$D$2:$D$3548,'Customer Portfolio'!A744)</f>
        <v>35.76</v>
      </c>
      <c r="F744" s="6">
        <f t="shared" si="22"/>
        <v>35.76</v>
      </c>
      <c r="G744" t="str">
        <f t="array" ref="G744">IFERROR(INDEX('working sheet'!$F$2:$F$3548, MODE(IF('working sheet'!$D$2:$D$3548=A744, MATCH('working sheet'!$F$2:$F$3548, 'working sheet'!$F$2:$F$3548, 0)))),
         INDEX('working sheet'!$F$2:$F$3548, MATCH(A744, 'working sheet'!$D$2:$D$3548, 0)))</f>
        <v>Hot Chocolate</v>
      </c>
      <c r="H744" s="7">
        <f t="shared" si="23"/>
        <v>1</v>
      </c>
      <c r="I744" s="7">
        <f>MAX('working sheet'!$B$2:$B$3548)-C744</f>
        <v>163.38436959490355</v>
      </c>
      <c r="J744" s="4" t="str">
        <f t="array" ref="J744">IF(AND(I744&lt;=30, D744&gt;=10, E744&gt;=200), "VIP",  IF(AND(I744&lt;=60, D744&gt;=5, E744&gt;=100), "Loyal", IF(AND(I744&lt;=90, D744&gt;=3), "Regular", IF(I744&lt;=30, "Recent", IF(D744&gt;=3, "Occasional", "At Risk")))))</f>
        <v>At Risk</v>
      </c>
      <c r="K744" t="str">
        <f t="array" ref="K744">IF(OR(J744="VIP", J744="Loyal"), "HIGH",IF(OR(J744="Regular", J744="Recent"), "MEDIUM","LOW"))</f>
        <v>LOW</v>
      </c>
    </row>
    <row r="745" spans="1:11">
      <c r="A745" t="s">
        <v>758</v>
      </c>
      <c r="B745" s="14">
        <f>_xlfn.MINIFS('working sheet'!$B$2:$B$3548, 'working sheet'!$D$2:$D$3548, A745)</f>
        <v>45576.397017800926</v>
      </c>
      <c r="C745" s="17">
        <f>_xlfn.MAXIFS('working sheet'!$B$1:$B$3548,'working sheet'!$D$1:$D$3548,'Customer Portfolio'!A745)</f>
        <v>45576.397017800926</v>
      </c>
      <c r="D745">
        <f>COUNTIFS('working sheet'!$D$1:$D$3548,'Customer Portfolio'!A745)</f>
        <v>1</v>
      </c>
      <c r="E745" s="5">
        <f>SUMIFS('working sheet'!$E$2:$E$3548,'working sheet'!$D$2:$D$3548,'Customer Portfolio'!A745)</f>
        <v>30.86</v>
      </c>
      <c r="F745" s="6">
        <f t="shared" si="22"/>
        <v>30.86</v>
      </c>
      <c r="G745" t="str">
        <f t="array" ref="G745">IFERROR(INDEX('working sheet'!$F$2:$F$3548, MODE(IF('working sheet'!$D$2:$D$3548=A745, MATCH('working sheet'!$F$2:$F$3548, 'working sheet'!$F$2:$F$3548, 0)))),
         INDEX('working sheet'!$F$2:$F$3548, MATCH(A745, 'working sheet'!$D$2:$D$3548, 0)))</f>
        <v>Americano with Milk</v>
      </c>
      <c r="H745" s="7">
        <f t="shared" si="23"/>
        <v>1</v>
      </c>
      <c r="I745" s="7">
        <f>MAX('working sheet'!$B$2:$B$3548)-C745</f>
        <v>163.361068252314</v>
      </c>
      <c r="J745" s="4" t="str">
        <f t="array" ref="J745">IF(AND(I745&lt;=30, D745&gt;=10, E745&gt;=200), "VIP",  IF(AND(I745&lt;=60, D745&gt;=5, E745&gt;=100), "Loyal", IF(AND(I745&lt;=90, D745&gt;=3), "Regular", IF(I745&lt;=30, "Recent", IF(D745&gt;=3, "Occasional", "At Risk")))))</f>
        <v>At Risk</v>
      </c>
      <c r="K745" t="str">
        <f t="array" ref="K745">IF(OR(J745="VIP", J745="Loyal"), "HIGH",IF(OR(J745="Regular", J745="Recent"), "MEDIUM","LOW"))</f>
        <v>LOW</v>
      </c>
    </row>
    <row r="746" spans="1:11">
      <c r="A746" t="s">
        <v>759</v>
      </c>
      <c r="B746" s="14">
        <f>_xlfn.MINIFS('working sheet'!$B$2:$B$3548, 'working sheet'!$D$2:$D$3548, A746)</f>
        <v>45576.60671915509</v>
      </c>
      <c r="C746" s="17">
        <f>_xlfn.MAXIFS('working sheet'!$B$1:$B$3548,'working sheet'!$D$1:$D$3548,'Customer Portfolio'!A746)</f>
        <v>45576.607978148146</v>
      </c>
      <c r="D746">
        <f>COUNTIFS('working sheet'!$D$1:$D$3548,'Customer Portfolio'!A746)</f>
        <v>2</v>
      </c>
      <c r="E746" s="5">
        <f>SUMIFS('working sheet'!$E$2:$E$3548,'working sheet'!$D$2:$D$3548,'Customer Portfolio'!A746)</f>
        <v>61.72</v>
      </c>
      <c r="F746" s="6">
        <f t="shared" si="22"/>
        <v>30.86</v>
      </c>
      <c r="G746" t="str">
        <f t="array" ref="G746">IFERROR(INDEX('working sheet'!$F$2:$F$3548, MODE(IF('working sheet'!$D$2:$D$3548=A746, MATCH('working sheet'!$F$2:$F$3548, 'working sheet'!$F$2:$F$3548, 0)))),
         INDEX('working sheet'!$F$2:$F$3548, MATCH(A746, 'working sheet'!$D$2:$D$3548, 0)))</f>
        <v>Cocoa</v>
      </c>
      <c r="H746" s="7">
        <f t="shared" si="23"/>
        <v>1.0012589930556715</v>
      </c>
      <c r="I746" s="7">
        <f>MAX('working sheet'!$B$2:$B$3548)-C746</f>
        <v>163.15010790509405</v>
      </c>
      <c r="J746" s="4" t="str">
        <f t="array" ref="J746">IF(AND(I746&lt;=30, D746&gt;=10, E746&gt;=200), "VIP",  IF(AND(I746&lt;=60, D746&gt;=5, E746&gt;=100), "Loyal", IF(AND(I746&lt;=90, D746&gt;=3), "Regular", IF(I746&lt;=30, "Recent", IF(D746&gt;=3, "Occasional", "At Risk")))))</f>
        <v>At Risk</v>
      </c>
      <c r="K746" t="str">
        <f t="array" ref="K746">IF(OR(J746="VIP", J746="Loyal"), "HIGH",IF(OR(J746="Regular", J746="Recent"), "MEDIUM","LOW"))</f>
        <v>LOW</v>
      </c>
    </row>
    <row r="747" spans="1:11">
      <c r="A747" t="s">
        <v>760</v>
      </c>
      <c r="B747" s="14">
        <f>_xlfn.MINIFS('working sheet'!$B$2:$B$3548, 'working sheet'!$D$2:$D$3548, A747)</f>
        <v>45576.716751539352</v>
      </c>
      <c r="C747" s="17">
        <f>_xlfn.MAXIFS('working sheet'!$B$1:$B$3548,'working sheet'!$D$1:$D$3548,'Customer Portfolio'!A747)</f>
        <v>45576.71761107639</v>
      </c>
      <c r="D747">
        <f>COUNTIFS('working sheet'!$D$1:$D$3548,'Customer Portfolio'!A747)</f>
        <v>2</v>
      </c>
      <c r="E747" s="5">
        <f>SUMIFS('working sheet'!$E$2:$E$3548,'working sheet'!$D$2:$D$3548,'Customer Portfolio'!A747)</f>
        <v>71.52</v>
      </c>
      <c r="F747" s="6">
        <f t="shared" si="22"/>
        <v>35.76</v>
      </c>
      <c r="G747" t="str">
        <f t="array" ref="G747">IFERROR(INDEX('working sheet'!$F$2:$F$3548, MODE(IF('working sheet'!$D$2:$D$3548=A747, MATCH('working sheet'!$F$2:$F$3548, 'working sheet'!$F$2:$F$3548, 0)))),
         INDEX('working sheet'!$F$2:$F$3548, MATCH(A747, 'working sheet'!$D$2:$D$3548, 0)))</f>
        <v>Latte</v>
      </c>
      <c r="H747" s="7">
        <f t="shared" si="23"/>
        <v>1.0008595370381954</v>
      </c>
      <c r="I747" s="7">
        <f>MAX('working sheet'!$B$2:$B$3548)-C747</f>
        <v>163.04047497684951</v>
      </c>
      <c r="J747" s="4" t="str">
        <f t="array" ref="J747">IF(AND(I747&lt;=30, D747&gt;=10, E747&gt;=200), "VIP",  IF(AND(I747&lt;=60, D747&gt;=5, E747&gt;=100), "Loyal", IF(AND(I747&lt;=90, D747&gt;=3), "Regular", IF(I747&lt;=30, "Recent", IF(D747&gt;=3, "Occasional", "At Risk")))))</f>
        <v>At Risk</v>
      </c>
      <c r="K747" t="str">
        <f t="array" ref="K747">IF(OR(J747="VIP", J747="Loyal"), "HIGH",IF(OR(J747="Regular", J747="Recent"), "MEDIUM","LOW"))</f>
        <v>LOW</v>
      </c>
    </row>
    <row r="748" spans="1:11">
      <c r="A748" t="s">
        <v>761</v>
      </c>
      <c r="B748" s="14">
        <f>_xlfn.MINIFS('working sheet'!$B$2:$B$3548, 'working sheet'!$D$2:$D$3548, A748)</f>
        <v>45576.726518124997</v>
      </c>
      <c r="C748" s="17">
        <f>_xlfn.MAXIFS('working sheet'!$B$1:$B$3548,'working sheet'!$D$1:$D$3548,'Customer Portfolio'!A748)</f>
        <v>45576.726518124997</v>
      </c>
      <c r="D748">
        <f>COUNTIFS('working sheet'!$D$1:$D$3548,'Customer Portfolio'!A748)</f>
        <v>1</v>
      </c>
      <c r="E748" s="5">
        <f>SUMIFS('working sheet'!$E$2:$E$3548,'working sheet'!$D$2:$D$3548,'Customer Portfolio'!A748)</f>
        <v>35.76</v>
      </c>
      <c r="F748" s="6">
        <f t="shared" si="22"/>
        <v>35.76</v>
      </c>
      <c r="G748" t="str">
        <f t="array" ref="G748">IFERROR(INDEX('working sheet'!$F$2:$F$3548, MODE(IF('working sheet'!$D$2:$D$3548=A748, MATCH('working sheet'!$F$2:$F$3548, 'working sheet'!$F$2:$F$3548, 0)))),
         INDEX('working sheet'!$F$2:$F$3548, MATCH(A748, 'working sheet'!$D$2:$D$3548, 0)))</f>
        <v>Hot Chocolate</v>
      </c>
      <c r="H748" s="7">
        <f t="shared" si="23"/>
        <v>1</v>
      </c>
      <c r="I748" s="7">
        <f>MAX('working sheet'!$B$2:$B$3548)-C748</f>
        <v>163.03156792824302</v>
      </c>
      <c r="J748" s="4" t="str">
        <f t="array" ref="J748">IF(AND(I748&lt;=30, D748&gt;=10, E748&gt;=200), "VIP",  IF(AND(I748&lt;=60, D748&gt;=5, E748&gt;=100), "Loyal", IF(AND(I748&lt;=90, D748&gt;=3), "Regular", IF(I748&lt;=30, "Recent", IF(D748&gt;=3, "Occasional", "At Risk")))))</f>
        <v>At Risk</v>
      </c>
      <c r="K748" t="str">
        <f t="array" ref="K748">IF(OR(J748="VIP", J748="Loyal"), "HIGH",IF(OR(J748="Regular", J748="Recent"), "MEDIUM","LOW"))</f>
        <v>LOW</v>
      </c>
    </row>
    <row r="749" spans="1:11">
      <c r="A749" t="s">
        <v>762</v>
      </c>
      <c r="B749" s="14">
        <f>_xlfn.MINIFS('working sheet'!$B$2:$B$3548, 'working sheet'!$D$2:$D$3548, A749)</f>
        <v>45576.912426006944</v>
      </c>
      <c r="C749" s="17">
        <f>_xlfn.MAXIFS('working sheet'!$B$1:$B$3548,'working sheet'!$D$1:$D$3548,'Customer Portfolio'!A749)</f>
        <v>45639.899791145835</v>
      </c>
      <c r="D749">
        <f>COUNTIFS('working sheet'!$D$1:$D$3548,'Customer Portfolio'!A749)</f>
        <v>3</v>
      </c>
      <c r="E749" s="5">
        <f>SUMIFS('working sheet'!$E$2:$E$3548,'working sheet'!$D$2:$D$3548,'Customer Portfolio'!A749)</f>
        <v>102.38</v>
      </c>
      <c r="F749" s="6">
        <f t="shared" si="22"/>
        <v>34.126666666666665</v>
      </c>
      <c r="G749" t="str">
        <f t="array" ref="G749">IFERROR(INDEX('working sheet'!$F$2:$F$3548, MODE(IF('working sheet'!$D$2:$D$3548=A749, MATCH('working sheet'!$F$2:$F$3548, 'working sheet'!$F$2:$F$3548, 0)))),
         INDEX('working sheet'!$F$2:$F$3548, MATCH(A749, 'working sheet'!$D$2:$D$3548, 0)))</f>
        <v>Americano with Milk</v>
      </c>
      <c r="H749" s="7">
        <f t="shared" si="23"/>
        <v>63.987365138891619</v>
      </c>
      <c r="I749" s="7">
        <f>MAX('working sheet'!$B$2:$B$3548)-C749</f>
        <v>99.858294907404343</v>
      </c>
      <c r="J749" s="4" t="str">
        <f t="array" ref="J749">IF(AND(I749&lt;=30, D749&gt;=10, E749&gt;=200), "VIP",  IF(AND(I749&lt;=60, D749&gt;=5, E749&gt;=100), "Loyal", IF(AND(I749&lt;=90, D749&gt;=3), "Regular", IF(I749&lt;=30, "Recent", IF(D749&gt;=3, "Occasional", "At Risk")))))</f>
        <v>Occasional</v>
      </c>
      <c r="K749" t="str">
        <f t="array" ref="K749">IF(OR(J749="VIP", J749="Loyal"), "HIGH",IF(OR(J749="Regular", J749="Recent"), "MEDIUM","LOW"))</f>
        <v>LOW</v>
      </c>
    </row>
    <row r="750" spans="1:11">
      <c r="A750" t="s">
        <v>763</v>
      </c>
      <c r="B750" s="14">
        <f>_xlfn.MINIFS('working sheet'!$B$2:$B$3548, 'working sheet'!$D$2:$D$3548, A750)</f>
        <v>45576.941986493053</v>
      </c>
      <c r="C750" s="17">
        <f>_xlfn.MAXIFS('working sheet'!$B$1:$B$3548,'working sheet'!$D$1:$D$3548,'Customer Portfolio'!A750)</f>
        <v>45576.942670150464</v>
      </c>
      <c r="D750">
        <f>COUNTIFS('working sheet'!$D$1:$D$3548,'Customer Portfolio'!A750)</f>
        <v>2</v>
      </c>
      <c r="E750" s="5">
        <f>SUMIFS('working sheet'!$E$2:$E$3548,'working sheet'!$D$2:$D$3548,'Customer Portfolio'!A750)</f>
        <v>71.52</v>
      </c>
      <c r="F750" s="6">
        <f t="shared" si="22"/>
        <v>35.76</v>
      </c>
      <c r="G750" t="str">
        <f t="array" ref="G750">IFERROR(INDEX('working sheet'!$F$2:$F$3548, MODE(IF('working sheet'!$D$2:$D$3548=A750, MATCH('working sheet'!$F$2:$F$3548, 'working sheet'!$F$2:$F$3548, 0)))),
         INDEX('working sheet'!$F$2:$F$3548, MATCH(A750, 'working sheet'!$D$2:$D$3548, 0)))</f>
        <v>Hot Chocolate</v>
      </c>
      <c r="H750" s="7">
        <f t="shared" si="23"/>
        <v>1.0006836574102635</v>
      </c>
      <c r="I750" s="7">
        <f>MAX('working sheet'!$B$2:$B$3548)-C750</f>
        <v>162.81541590277629</v>
      </c>
      <c r="J750" s="4" t="str">
        <f t="array" ref="J750">IF(AND(I750&lt;=30, D750&gt;=10, E750&gt;=200), "VIP",  IF(AND(I750&lt;=60, D750&gt;=5, E750&gt;=100), "Loyal", IF(AND(I750&lt;=90, D750&gt;=3), "Regular", IF(I750&lt;=30, "Recent", IF(D750&gt;=3, "Occasional", "At Risk")))))</f>
        <v>At Risk</v>
      </c>
      <c r="K750" t="str">
        <f t="array" ref="K750">IF(OR(J750="VIP", J750="Loyal"), "HIGH",IF(OR(J750="Regular", J750="Recent"), "MEDIUM","LOW"))</f>
        <v>LOW</v>
      </c>
    </row>
    <row r="751" spans="1:11">
      <c r="A751" t="s">
        <v>764</v>
      </c>
      <c r="B751" s="14">
        <f>_xlfn.MINIFS('working sheet'!$B$2:$B$3548, 'working sheet'!$D$2:$D$3548, A751)</f>
        <v>45577.495614502317</v>
      </c>
      <c r="C751" s="17">
        <f>_xlfn.MAXIFS('working sheet'!$B$1:$B$3548,'working sheet'!$D$1:$D$3548,'Customer Portfolio'!A751)</f>
        <v>45577.495614502317</v>
      </c>
      <c r="D751">
        <f>COUNTIFS('working sheet'!$D$1:$D$3548,'Customer Portfolio'!A751)</f>
        <v>1</v>
      </c>
      <c r="E751" s="5">
        <f>SUMIFS('working sheet'!$E$2:$E$3548,'working sheet'!$D$2:$D$3548,'Customer Portfolio'!A751)</f>
        <v>30.86</v>
      </c>
      <c r="F751" s="6">
        <f t="shared" si="22"/>
        <v>30.86</v>
      </c>
      <c r="G751" t="str">
        <f t="array" ref="G751">IFERROR(INDEX('working sheet'!$F$2:$F$3548, MODE(IF('working sheet'!$D$2:$D$3548=A751, MATCH('working sheet'!$F$2:$F$3548, 'working sheet'!$F$2:$F$3548, 0)))),
         INDEX('working sheet'!$F$2:$F$3548, MATCH(A751, 'working sheet'!$D$2:$D$3548, 0)))</f>
        <v>Americano with Milk</v>
      </c>
      <c r="H751" s="7">
        <f t="shared" si="23"/>
        <v>1</v>
      </c>
      <c r="I751" s="7">
        <f>MAX('working sheet'!$B$2:$B$3548)-C751</f>
        <v>162.26247155092278</v>
      </c>
      <c r="J751" s="4" t="str">
        <f t="array" ref="J751">IF(AND(I751&lt;=30, D751&gt;=10, E751&gt;=200), "VIP",  IF(AND(I751&lt;=60, D751&gt;=5, E751&gt;=100), "Loyal", IF(AND(I751&lt;=90, D751&gt;=3), "Regular", IF(I751&lt;=30, "Recent", IF(D751&gt;=3, "Occasional", "At Risk")))))</f>
        <v>At Risk</v>
      </c>
      <c r="K751" t="str">
        <f t="array" ref="K751">IF(OR(J751="VIP", J751="Loyal"), "HIGH",IF(OR(J751="Regular", J751="Recent"), "MEDIUM","LOW"))</f>
        <v>LOW</v>
      </c>
    </row>
    <row r="752" spans="1:11">
      <c r="A752" t="s">
        <v>765</v>
      </c>
      <c r="B752" s="14">
        <f>_xlfn.MINIFS('working sheet'!$B$2:$B$3548, 'working sheet'!$D$2:$D$3548, A752)</f>
        <v>45577.55471128472</v>
      </c>
      <c r="C752" s="17">
        <f>_xlfn.MAXIFS('working sheet'!$B$1:$B$3548,'working sheet'!$D$1:$D$3548,'Customer Portfolio'!A752)</f>
        <v>45586.528058958334</v>
      </c>
      <c r="D752">
        <f>COUNTIFS('working sheet'!$D$1:$D$3548,'Customer Portfolio'!A752)</f>
        <v>2</v>
      </c>
      <c r="E752" s="5">
        <f>SUMIFS('working sheet'!$E$2:$E$3548,'working sheet'!$D$2:$D$3548,'Customer Portfolio'!A752)</f>
        <v>71.52</v>
      </c>
      <c r="F752" s="6">
        <f t="shared" si="22"/>
        <v>35.76</v>
      </c>
      <c r="G752" t="str">
        <f t="array" ref="G752">IFERROR(INDEX('working sheet'!$F$2:$F$3548, MODE(IF('working sheet'!$D$2:$D$3548=A752, MATCH('working sheet'!$F$2:$F$3548, 'working sheet'!$F$2:$F$3548, 0)))),
         INDEX('working sheet'!$F$2:$F$3548, MATCH(A752, 'working sheet'!$D$2:$D$3548, 0)))</f>
        <v>Cappuccino</v>
      </c>
      <c r="H752" s="7">
        <f t="shared" si="23"/>
        <v>9.9733476736146258</v>
      </c>
      <c r="I752" s="7">
        <f>MAX('working sheet'!$B$2:$B$3548)-C752</f>
        <v>153.23002709490538</v>
      </c>
      <c r="J752" s="4" t="str">
        <f t="array" ref="J752">IF(AND(I752&lt;=30, D752&gt;=10, E752&gt;=200), "VIP",  IF(AND(I752&lt;=60, D752&gt;=5, E752&gt;=100), "Loyal", IF(AND(I752&lt;=90, D752&gt;=3), "Regular", IF(I752&lt;=30, "Recent", IF(D752&gt;=3, "Occasional", "At Risk")))))</f>
        <v>At Risk</v>
      </c>
      <c r="K752" t="str">
        <f t="array" ref="K752">IF(OR(J752="VIP", J752="Loyal"), "HIGH",IF(OR(J752="Regular", J752="Recent"), "MEDIUM","LOW"))</f>
        <v>LOW</v>
      </c>
    </row>
    <row r="753" spans="1:11">
      <c r="A753" t="s">
        <v>766</v>
      </c>
      <c r="B753" s="14">
        <f>_xlfn.MINIFS('working sheet'!$B$2:$B$3548, 'working sheet'!$D$2:$D$3548, A753)</f>
        <v>45578.514428182869</v>
      </c>
      <c r="C753" s="17">
        <f>_xlfn.MAXIFS('working sheet'!$B$1:$B$3548,'working sheet'!$D$1:$D$3548,'Customer Portfolio'!A753)</f>
        <v>45578.514428182869</v>
      </c>
      <c r="D753">
        <f>COUNTIFS('working sheet'!$D$1:$D$3548,'Customer Portfolio'!A753)</f>
        <v>1</v>
      </c>
      <c r="E753" s="5">
        <f>SUMIFS('working sheet'!$E$2:$E$3548,'working sheet'!$D$2:$D$3548,'Customer Portfolio'!A753)</f>
        <v>30.86</v>
      </c>
      <c r="F753" s="6">
        <f t="shared" si="22"/>
        <v>30.86</v>
      </c>
      <c r="G753" t="str">
        <f t="array" ref="G753">IFERROR(INDEX('working sheet'!$F$2:$F$3548, MODE(IF('working sheet'!$D$2:$D$3548=A753, MATCH('working sheet'!$F$2:$F$3548, 'working sheet'!$F$2:$F$3548, 0)))),
         INDEX('working sheet'!$F$2:$F$3548, MATCH(A753, 'working sheet'!$D$2:$D$3548, 0)))</f>
        <v>Americano with Milk</v>
      </c>
      <c r="H753" s="7">
        <f t="shared" si="23"/>
        <v>1</v>
      </c>
      <c r="I753" s="7">
        <f>MAX('working sheet'!$B$2:$B$3548)-C753</f>
        <v>161.24365787037095</v>
      </c>
      <c r="J753" s="4" t="str">
        <f t="array" ref="J753">IF(AND(I753&lt;=30, D753&gt;=10, E753&gt;=200), "VIP",  IF(AND(I753&lt;=60, D753&gt;=5, E753&gt;=100), "Loyal", IF(AND(I753&lt;=90, D753&gt;=3), "Regular", IF(I753&lt;=30, "Recent", IF(D753&gt;=3, "Occasional", "At Risk")))))</f>
        <v>At Risk</v>
      </c>
      <c r="K753" t="str">
        <f t="array" ref="K753">IF(OR(J753="VIP", J753="Loyal"), "HIGH",IF(OR(J753="Regular", J753="Recent"), "MEDIUM","LOW"))</f>
        <v>LOW</v>
      </c>
    </row>
    <row r="754" spans="1:11">
      <c r="A754" t="s">
        <v>767</v>
      </c>
      <c r="B754" s="14">
        <f>_xlfn.MINIFS('working sheet'!$B$2:$B$3548, 'working sheet'!$D$2:$D$3548, A754)</f>
        <v>45578.765958553238</v>
      </c>
      <c r="C754" s="17">
        <f>_xlfn.MAXIFS('working sheet'!$B$1:$B$3548,'working sheet'!$D$1:$D$3548,'Customer Portfolio'!A754)</f>
        <v>45578.765958553238</v>
      </c>
      <c r="D754">
        <f>COUNTIFS('working sheet'!$D$1:$D$3548,'Customer Portfolio'!A754)</f>
        <v>1</v>
      </c>
      <c r="E754" s="5">
        <f>SUMIFS('working sheet'!$E$2:$E$3548,'working sheet'!$D$2:$D$3548,'Customer Portfolio'!A754)</f>
        <v>35.76</v>
      </c>
      <c r="F754" s="6">
        <f t="shared" si="22"/>
        <v>35.76</v>
      </c>
      <c r="G754" t="str">
        <f t="array" ref="G754">IFERROR(INDEX('working sheet'!$F$2:$F$3548, MODE(IF('working sheet'!$D$2:$D$3548=A754, MATCH('working sheet'!$F$2:$F$3548, 'working sheet'!$F$2:$F$3548, 0)))),
         INDEX('working sheet'!$F$2:$F$3548, MATCH(A754, 'working sheet'!$D$2:$D$3548, 0)))</f>
        <v>Cappuccino</v>
      </c>
      <c r="H754" s="7">
        <f t="shared" si="23"/>
        <v>1</v>
      </c>
      <c r="I754" s="7">
        <f>MAX('working sheet'!$B$2:$B$3548)-C754</f>
        <v>160.99212750000152</v>
      </c>
      <c r="J754" s="4" t="str">
        <f t="array" ref="J754">IF(AND(I754&lt;=30, D754&gt;=10, E754&gt;=200), "VIP",  IF(AND(I754&lt;=60, D754&gt;=5, E754&gt;=100), "Loyal", IF(AND(I754&lt;=90, D754&gt;=3), "Regular", IF(I754&lt;=30, "Recent", IF(D754&gt;=3, "Occasional", "At Risk")))))</f>
        <v>At Risk</v>
      </c>
      <c r="K754" t="str">
        <f t="array" ref="K754">IF(OR(J754="VIP", J754="Loyal"), "HIGH",IF(OR(J754="Regular", J754="Recent"), "MEDIUM","LOW"))</f>
        <v>LOW</v>
      </c>
    </row>
    <row r="755" spans="1:11">
      <c r="A755" t="s">
        <v>768</v>
      </c>
      <c r="B755" s="14">
        <f>_xlfn.MINIFS('working sheet'!$B$2:$B$3548, 'working sheet'!$D$2:$D$3548, A755)</f>
        <v>45579.409659155092</v>
      </c>
      <c r="C755" s="17">
        <f>_xlfn.MAXIFS('working sheet'!$B$1:$B$3548,'working sheet'!$D$1:$D$3548,'Customer Portfolio'!A755)</f>
        <v>45579.409659155092</v>
      </c>
      <c r="D755">
        <f>COUNTIFS('working sheet'!$D$1:$D$3548,'Customer Portfolio'!A755)</f>
        <v>1</v>
      </c>
      <c r="E755" s="5">
        <f>SUMIFS('working sheet'!$E$2:$E$3548,'working sheet'!$D$2:$D$3548,'Customer Portfolio'!A755)</f>
        <v>35.76</v>
      </c>
      <c r="F755" s="6">
        <f t="shared" si="22"/>
        <v>35.76</v>
      </c>
      <c r="G755" t="str">
        <f t="array" ref="G755">IFERROR(INDEX('working sheet'!$F$2:$F$3548, MODE(IF('working sheet'!$D$2:$D$3548=A755, MATCH('working sheet'!$F$2:$F$3548, 'working sheet'!$F$2:$F$3548, 0)))),
         INDEX('working sheet'!$F$2:$F$3548, MATCH(A755, 'working sheet'!$D$2:$D$3548, 0)))</f>
        <v>Cocoa</v>
      </c>
      <c r="H755" s="7">
        <f t="shared" si="23"/>
        <v>1</v>
      </c>
      <c r="I755" s="7">
        <f>MAX('working sheet'!$B$2:$B$3548)-C755</f>
        <v>160.34842689814832</v>
      </c>
      <c r="J755" s="4" t="str">
        <f t="array" ref="J755">IF(AND(I755&lt;=30, D755&gt;=10, E755&gt;=200), "VIP",  IF(AND(I755&lt;=60, D755&gt;=5, E755&gt;=100), "Loyal", IF(AND(I755&lt;=90, D755&gt;=3), "Regular", IF(I755&lt;=30, "Recent", IF(D755&gt;=3, "Occasional", "At Risk")))))</f>
        <v>At Risk</v>
      </c>
      <c r="K755" t="str">
        <f t="array" ref="K755">IF(OR(J755="VIP", J755="Loyal"), "HIGH",IF(OR(J755="Regular", J755="Recent"), "MEDIUM","LOW"))</f>
        <v>LOW</v>
      </c>
    </row>
    <row r="756" spans="1:11">
      <c r="A756" t="s">
        <v>769</v>
      </c>
      <c r="B756" s="14">
        <f>_xlfn.MINIFS('working sheet'!$B$2:$B$3548, 'working sheet'!$D$2:$D$3548, A756)</f>
        <v>45579.474890925929</v>
      </c>
      <c r="C756" s="17">
        <f>_xlfn.MAXIFS('working sheet'!$B$1:$B$3548,'working sheet'!$D$1:$D$3548,'Customer Portfolio'!A756)</f>
        <v>45579.474890925929</v>
      </c>
      <c r="D756">
        <f>COUNTIFS('working sheet'!$D$1:$D$3548,'Customer Portfolio'!A756)</f>
        <v>1</v>
      </c>
      <c r="E756" s="5">
        <f>SUMIFS('working sheet'!$E$2:$E$3548,'working sheet'!$D$2:$D$3548,'Customer Portfolio'!A756)</f>
        <v>35.76</v>
      </c>
      <c r="F756" s="6">
        <f t="shared" si="22"/>
        <v>35.76</v>
      </c>
      <c r="G756" t="str">
        <f t="array" ref="G756">IFERROR(INDEX('working sheet'!$F$2:$F$3548, MODE(IF('working sheet'!$D$2:$D$3548=A756, MATCH('working sheet'!$F$2:$F$3548, 'working sheet'!$F$2:$F$3548, 0)))),
         INDEX('working sheet'!$F$2:$F$3548, MATCH(A756, 'working sheet'!$D$2:$D$3548, 0)))</f>
        <v>Cappuccino</v>
      </c>
      <c r="H756" s="7">
        <f t="shared" si="23"/>
        <v>1</v>
      </c>
      <c r="I756" s="7">
        <f>MAX('working sheet'!$B$2:$B$3548)-C756</f>
        <v>160.28319512731105</v>
      </c>
      <c r="J756" s="4" t="str">
        <f t="array" ref="J756">IF(AND(I756&lt;=30, D756&gt;=10, E756&gt;=200), "VIP",  IF(AND(I756&lt;=60, D756&gt;=5, E756&gt;=100), "Loyal", IF(AND(I756&lt;=90, D756&gt;=3), "Regular", IF(I756&lt;=30, "Recent", IF(D756&gt;=3, "Occasional", "At Risk")))))</f>
        <v>At Risk</v>
      </c>
      <c r="K756" t="str">
        <f t="array" ref="K756">IF(OR(J756="VIP", J756="Loyal"), "HIGH",IF(OR(J756="Regular", J756="Recent"), "MEDIUM","LOW"))</f>
        <v>LOW</v>
      </c>
    </row>
    <row r="757" spans="1:11">
      <c r="A757" t="s">
        <v>770</v>
      </c>
      <c r="B757" s="14">
        <f>_xlfn.MINIFS('working sheet'!$B$2:$B$3548, 'working sheet'!$D$2:$D$3548, A757)</f>
        <v>45579.608415925926</v>
      </c>
      <c r="C757" s="17">
        <f>_xlfn.MAXIFS('working sheet'!$B$1:$B$3548,'working sheet'!$D$1:$D$3548,'Customer Portfolio'!A757)</f>
        <v>45579.608415925926</v>
      </c>
      <c r="D757">
        <f>COUNTIFS('working sheet'!$D$1:$D$3548,'Customer Portfolio'!A757)</f>
        <v>1</v>
      </c>
      <c r="E757" s="5">
        <f>SUMIFS('working sheet'!$E$2:$E$3548,'working sheet'!$D$2:$D$3548,'Customer Portfolio'!A757)</f>
        <v>35.76</v>
      </c>
      <c r="F757" s="6">
        <f t="shared" si="22"/>
        <v>35.76</v>
      </c>
      <c r="G757" t="str">
        <f t="array" ref="G757">IFERROR(INDEX('working sheet'!$F$2:$F$3548, MODE(IF('working sheet'!$D$2:$D$3548=A757, MATCH('working sheet'!$F$2:$F$3548, 'working sheet'!$F$2:$F$3548, 0)))),
         INDEX('working sheet'!$F$2:$F$3548, MATCH(A757, 'working sheet'!$D$2:$D$3548, 0)))</f>
        <v>Latte</v>
      </c>
      <c r="H757" s="7">
        <f t="shared" si="23"/>
        <v>1</v>
      </c>
      <c r="I757" s="7">
        <f>MAX('working sheet'!$B$2:$B$3548)-C757</f>
        <v>160.14967012731358</v>
      </c>
      <c r="J757" s="4" t="str">
        <f t="array" ref="J757">IF(AND(I757&lt;=30, D757&gt;=10, E757&gt;=200), "VIP",  IF(AND(I757&lt;=60, D757&gt;=5, E757&gt;=100), "Loyal", IF(AND(I757&lt;=90, D757&gt;=3), "Regular", IF(I757&lt;=30, "Recent", IF(D757&gt;=3, "Occasional", "At Risk")))))</f>
        <v>At Risk</v>
      </c>
      <c r="K757" t="str">
        <f t="array" ref="K757">IF(OR(J757="VIP", J757="Loyal"), "HIGH",IF(OR(J757="Regular", J757="Recent"), "MEDIUM","LOW"))</f>
        <v>LOW</v>
      </c>
    </row>
    <row r="758" spans="1:11">
      <c r="A758" t="s">
        <v>771</v>
      </c>
      <c r="B758" s="14">
        <f>_xlfn.MINIFS('working sheet'!$B$2:$B$3548, 'working sheet'!$D$2:$D$3548, A758)</f>
        <v>45579.692910486112</v>
      </c>
      <c r="C758" s="17">
        <f>_xlfn.MAXIFS('working sheet'!$B$1:$B$3548,'working sheet'!$D$1:$D$3548,'Customer Portfolio'!A758)</f>
        <v>45579.692910486112</v>
      </c>
      <c r="D758">
        <f>COUNTIFS('working sheet'!$D$1:$D$3548,'Customer Portfolio'!A758)</f>
        <v>1</v>
      </c>
      <c r="E758" s="5">
        <f>SUMIFS('working sheet'!$E$2:$E$3548,'working sheet'!$D$2:$D$3548,'Customer Portfolio'!A758)</f>
        <v>25.96</v>
      </c>
      <c r="F758" s="6">
        <f t="shared" si="22"/>
        <v>25.96</v>
      </c>
      <c r="G758" t="str">
        <f t="array" ref="G758">IFERROR(INDEX('working sheet'!$F$2:$F$3548, MODE(IF('working sheet'!$D$2:$D$3548=A758, MATCH('working sheet'!$F$2:$F$3548, 'working sheet'!$F$2:$F$3548, 0)))),
         INDEX('working sheet'!$F$2:$F$3548, MATCH(A758, 'working sheet'!$D$2:$D$3548, 0)))</f>
        <v>Americano</v>
      </c>
      <c r="H758" s="7">
        <f t="shared" si="23"/>
        <v>1</v>
      </c>
      <c r="I758" s="7">
        <f>MAX('working sheet'!$B$2:$B$3548)-C758</f>
        <v>160.06517556712788</v>
      </c>
      <c r="J758" s="4" t="str">
        <f t="array" ref="J758">IF(AND(I758&lt;=30, D758&gt;=10, E758&gt;=200), "VIP",  IF(AND(I758&lt;=60, D758&gt;=5, E758&gt;=100), "Loyal", IF(AND(I758&lt;=90, D758&gt;=3), "Regular", IF(I758&lt;=30, "Recent", IF(D758&gt;=3, "Occasional", "At Risk")))))</f>
        <v>At Risk</v>
      </c>
      <c r="K758" t="str">
        <f t="array" ref="K758">IF(OR(J758="VIP", J758="Loyal"), "HIGH",IF(OR(J758="Regular", J758="Recent"), "MEDIUM","LOW"))</f>
        <v>LOW</v>
      </c>
    </row>
    <row r="759" spans="1:11">
      <c r="A759" t="s">
        <v>772</v>
      </c>
      <c r="B759" s="14">
        <f>_xlfn.MINIFS('working sheet'!$B$2:$B$3548, 'working sheet'!$D$2:$D$3548, A759)</f>
        <v>45579.763416562499</v>
      </c>
      <c r="C759" s="17">
        <f>_xlfn.MAXIFS('working sheet'!$B$1:$B$3548,'working sheet'!$D$1:$D$3548,'Customer Portfolio'!A759)</f>
        <v>45579.764127129631</v>
      </c>
      <c r="D759">
        <f>COUNTIFS('working sheet'!$D$1:$D$3548,'Customer Portfolio'!A759)</f>
        <v>2</v>
      </c>
      <c r="E759" s="5">
        <f>SUMIFS('working sheet'!$E$2:$E$3548,'working sheet'!$D$2:$D$3548,'Customer Portfolio'!A759)</f>
        <v>71.52</v>
      </c>
      <c r="F759" s="6">
        <f t="shared" si="22"/>
        <v>35.76</v>
      </c>
      <c r="G759" t="str">
        <f t="array" ref="G759">IFERROR(INDEX('working sheet'!$F$2:$F$3548, MODE(IF('working sheet'!$D$2:$D$3548=A759, MATCH('working sheet'!$F$2:$F$3548, 'working sheet'!$F$2:$F$3548, 0)))),
         INDEX('working sheet'!$F$2:$F$3548, MATCH(A759, 'working sheet'!$D$2:$D$3548, 0)))</f>
        <v>Latte</v>
      </c>
      <c r="H759" s="7">
        <f t="shared" si="23"/>
        <v>1.000710567132046</v>
      </c>
      <c r="I759" s="7">
        <f>MAX('working sheet'!$B$2:$B$3548)-C759</f>
        <v>159.99395892360917</v>
      </c>
      <c r="J759" s="4" t="str">
        <f t="array" ref="J759">IF(AND(I759&lt;=30, D759&gt;=10, E759&gt;=200), "VIP",  IF(AND(I759&lt;=60, D759&gt;=5, E759&gt;=100), "Loyal", IF(AND(I759&lt;=90, D759&gt;=3), "Regular", IF(I759&lt;=30, "Recent", IF(D759&gt;=3, "Occasional", "At Risk")))))</f>
        <v>At Risk</v>
      </c>
      <c r="K759" t="str">
        <f t="array" ref="K759">IF(OR(J759="VIP", J759="Loyal"), "HIGH",IF(OR(J759="Regular", J759="Recent"), "MEDIUM","LOW"))</f>
        <v>LOW</v>
      </c>
    </row>
    <row r="760" spans="1:11">
      <c r="A760" t="s">
        <v>773</v>
      </c>
      <c r="B760" s="14">
        <f>_xlfn.MINIFS('working sheet'!$B$2:$B$3548, 'working sheet'!$D$2:$D$3548, A760)</f>
        <v>45579.922844097222</v>
      </c>
      <c r="C760" s="17">
        <f>_xlfn.MAXIFS('working sheet'!$B$1:$B$3548,'working sheet'!$D$1:$D$3548,'Customer Portfolio'!A760)</f>
        <v>45579.922844097222</v>
      </c>
      <c r="D760">
        <f>COUNTIFS('working sheet'!$D$1:$D$3548,'Customer Portfolio'!A760)</f>
        <v>1</v>
      </c>
      <c r="E760" s="5">
        <f>SUMIFS('working sheet'!$E$2:$E$3548,'working sheet'!$D$2:$D$3548,'Customer Portfolio'!A760)</f>
        <v>35.76</v>
      </c>
      <c r="F760" s="6">
        <f t="shared" si="22"/>
        <v>35.76</v>
      </c>
      <c r="G760" t="str">
        <f t="array" ref="G760">IFERROR(INDEX('working sheet'!$F$2:$F$3548, MODE(IF('working sheet'!$D$2:$D$3548=A760, MATCH('working sheet'!$F$2:$F$3548, 'working sheet'!$F$2:$F$3548, 0)))),
         INDEX('working sheet'!$F$2:$F$3548, MATCH(A760, 'working sheet'!$D$2:$D$3548, 0)))</f>
        <v>Latte</v>
      </c>
      <c r="H760" s="7">
        <f t="shared" si="23"/>
        <v>1</v>
      </c>
      <c r="I760" s="7">
        <f>MAX('working sheet'!$B$2:$B$3548)-C760</f>
        <v>159.83524195601785</v>
      </c>
      <c r="J760" s="4" t="str">
        <f t="array" ref="J760">IF(AND(I760&lt;=30, D760&gt;=10, E760&gt;=200), "VIP",  IF(AND(I760&lt;=60, D760&gt;=5, E760&gt;=100), "Loyal", IF(AND(I760&lt;=90, D760&gt;=3), "Regular", IF(I760&lt;=30, "Recent", IF(D760&gt;=3, "Occasional", "At Risk")))))</f>
        <v>At Risk</v>
      </c>
      <c r="K760" t="str">
        <f t="array" ref="K760">IF(OR(J760="VIP", J760="Loyal"), "HIGH",IF(OR(J760="Regular", J760="Recent"), "MEDIUM","LOW"))</f>
        <v>LOW</v>
      </c>
    </row>
    <row r="761" spans="1:11">
      <c r="A761" t="s">
        <v>774</v>
      </c>
      <c r="B761" s="14">
        <f>_xlfn.MINIFS('working sheet'!$B$2:$B$3548, 'working sheet'!$D$2:$D$3548, A761)</f>
        <v>45579.92388509259</v>
      </c>
      <c r="C761" s="17">
        <f>_xlfn.MAXIFS('working sheet'!$B$1:$B$3548,'working sheet'!$D$1:$D$3548,'Customer Portfolio'!A761)</f>
        <v>45579.92388509259</v>
      </c>
      <c r="D761">
        <f>COUNTIFS('working sheet'!$D$1:$D$3548,'Customer Portfolio'!A761)</f>
        <v>1</v>
      </c>
      <c r="E761" s="5">
        <f>SUMIFS('working sheet'!$E$2:$E$3548,'working sheet'!$D$2:$D$3548,'Customer Portfolio'!A761)</f>
        <v>35.76</v>
      </c>
      <c r="F761" s="6">
        <f t="shared" si="22"/>
        <v>35.76</v>
      </c>
      <c r="G761" t="str">
        <f t="array" ref="G761">IFERROR(INDEX('working sheet'!$F$2:$F$3548, MODE(IF('working sheet'!$D$2:$D$3548=A761, MATCH('working sheet'!$F$2:$F$3548, 'working sheet'!$F$2:$F$3548, 0)))),
         INDEX('working sheet'!$F$2:$F$3548, MATCH(A761, 'working sheet'!$D$2:$D$3548, 0)))</f>
        <v>Latte</v>
      </c>
      <c r="H761" s="7">
        <f t="shared" si="23"/>
        <v>1</v>
      </c>
      <c r="I761" s="7">
        <f>MAX('working sheet'!$B$2:$B$3548)-C761</f>
        <v>159.83420096064947</v>
      </c>
      <c r="J761" s="4" t="str">
        <f t="array" ref="J761">IF(AND(I761&lt;=30, D761&gt;=10, E761&gt;=200), "VIP",  IF(AND(I761&lt;=60, D761&gt;=5, E761&gt;=100), "Loyal", IF(AND(I761&lt;=90, D761&gt;=3), "Regular", IF(I761&lt;=30, "Recent", IF(D761&gt;=3, "Occasional", "At Risk")))))</f>
        <v>At Risk</v>
      </c>
      <c r="K761" t="str">
        <f t="array" ref="K761">IF(OR(J761="VIP", J761="Loyal"), "HIGH",IF(OR(J761="Regular", J761="Recent"), "MEDIUM","LOW"))</f>
        <v>LOW</v>
      </c>
    </row>
    <row r="762" spans="1:11">
      <c r="A762" t="s">
        <v>775</v>
      </c>
      <c r="B762" s="14">
        <f>_xlfn.MINIFS('working sheet'!$B$2:$B$3548, 'working sheet'!$D$2:$D$3548, A762)</f>
        <v>45580.357151238422</v>
      </c>
      <c r="C762" s="17">
        <f>_xlfn.MAXIFS('working sheet'!$B$1:$B$3548,'working sheet'!$D$1:$D$3548,'Customer Portfolio'!A762)</f>
        <v>45580.357151238422</v>
      </c>
      <c r="D762">
        <f>COUNTIFS('working sheet'!$D$1:$D$3548,'Customer Portfolio'!A762)</f>
        <v>1</v>
      </c>
      <c r="E762" s="5">
        <f>SUMIFS('working sheet'!$E$2:$E$3548,'working sheet'!$D$2:$D$3548,'Customer Portfolio'!A762)</f>
        <v>21.06</v>
      </c>
      <c r="F762" s="6">
        <f t="shared" si="22"/>
        <v>21.06</v>
      </c>
      <c r="G762" t="str">
        <f t="array" ref="G762">IFERROR(INDEX('working sheet'!$F$2:$F$3548, MODE(IF('working sheet'!$D$2:$D$3548=A762, MATCH('working sheet'!$F$2:$F$3548, 'working sheet'!$F$2:$F$3548, 0)))),
         INDEX('working sheet'!$F$2:$F$3548, MATCH(A762, 'working sheet'!$D$2:$D$3548, 0)))</f>
        <v>Espresso</v>
      </c>
      <c r="H762" s="7">
        <f t="shared" si="23"/>
        <v>1</v>
      </c>
      <c r="I762" s="7">
        <f>MAX('working sheet'!$B$2:$B$3548)-C762</f>
        <v>159.40093481481745</v>
      </c>
      <c r="J762" s="4" t="str">
        <f t="array" ref="J762">IF(AND(I762&lt;=30, D762&gt;=10, E762&gt;=200), "VIP",  IF(AND(I762&lt;=60, D762&gt;=5, E762&gt;=100), "Loyal", IF(AND(I762&lt;=90, D762&gt;=3), "Regular", IF(I762&lt;=30, "Recent", IF(D762&gt;=3, "Occasional", "At Risk")))))</f>
        <v>At Risk</v>
      </c>
      <c r="K762" t="str">
        <f t="array" ref="K762">IF(OR(J762="VIP", J762="Loyal"), "HIGH",IF(OR(J762="Regular", J762="Recent"), "MEDIUM","LOW"))</f>
        <v>LOW</v>
      </c>
    </row>
    <row r="763" spans="1:11">
      <c r="A763" t="s">
        <v>776</v>
      </c>
      <c r="B763" s="14">
        <f>_xlfn.MINIFS('working sheet'!$B$2:$B$3548, 'working sheet'!$D$2:$D$3548, A763)</f>
        <v>45580.467615312496</v>
      </c>
      <c r="C763" s="17">
        <f>_xlfn.MAXIFS('working sheet'!$B$1:$B$3548,'working sheet'!$D$1:$D$3548,'Customer Portfolio'!A763)</f>
        <v>45580.467615312496</v>
      </c>
      <c r="D763">
        <f>COUNTIFS('working sheet'!$D$1:$D$3548,'Customer Portfolio'!A763)</f>
        <v>1</v>
      </c>
      <c r="E763" s="5">
        <f>SUMIFS('working sheet'!$E$2:$E$3548,'working sheet'!$D$2:$D$3548,'Customer Portfolio'!A763)</f>
        <v>35.76</v>
      </c>
      <c r="F763" s="6">
        <f t="shared" si="22"/>
        <v>35.76</v>
      </c>
      <c r="G763" t="str">
        <f t="array" ref="G763">IFERROR(INDEX('working sheet'!$F$2:$F$3548, MODE(IF('working sheet'!$D$2:$D$3548=A763, MATCH('working sheet'!$F$2:$F$3548, 'working sheet'!$F$2:$F$3548, 0)))),
         INDEX('working sheet'!$F$2:$F$3548, MATCH(A763, 'working sheet'!$D$2:$D$3548, 0)))</f>
        <v>Hot Chocolate</v>
      </c>
      <c r="H763" s="7">
        <f t="shared" si="23"/>
        <v>1</v>
      </c>
      <c r="I763" s="7">
        <f>MAX('working sheet'!$B$2:$B$3548)-C763</f>
        <v>159.29047074074333</v>
      </c>
      <c r="J763" s="4" t="str">
        <f t="array" ref="J763">IF(AND(I763&lt;=30, D763&gt;=10, E763&gt;=200), "VIP",  IF(AND(I763&lt;=60, D763&gt;=5, E763&gt;=100), "Loyal", IF(AND(I763&lt;=90, D763&gt;=3), "Regular", IF(I763&lt;=30, "Recent", IF(D763&gt;=3, "Occasional", "At Risk")))))</f>
        <v>At Risk</v>
      </c>
      <c r="K763" t="str">
        <f t="array" ref="K763">IF(OR(J763="VIP", J763="Loyal"), "HIGH",IF(OR(J763="Regular", J763="Recent"), "MEDIUM","LOW"))</f>
        <v>LOW</v>
      </c>
    </row>
    <row r="764" spans="1:11">
      <c r="A764" t="s">
        <v>777</v>
      </c>
      <c r="B764" s="14">
        <f>_xlfn.MINIFS('working sheet'!$B$2:$B$3548, 'working sheet'!$D$2:$D$3548, A764)</f>
        <v>45580.54216704861</v>
      </c>
      <c r="C764" s="17">
        <f>_xlfn.MAXIFS('working sheet'!$B$1:$B$3548,'working sheet'!$D$1:$D$3548,'Customer Portfolio'!A764)</f>
        <v>45580.54216704861</v>
      </c>
      <c r="D764">
        <f>COUNTIFS('working sheet'!$D$1:$D$3548,'Customer Portfolio'!A764)</f>
        <v>1</v>
      </c>
      <c r="E764" s="5">
        <f>SUMIFS('working sheet'!$E$2:$E$3548,'working sheet'!$D$2:$D$3548,'Customer Portfolio'!A764)</f>
        <v>35.76</v>
      </c>
      <c r="F764" s="6">
        <f t="shared" si="22"/>
        <v>35.76</v>
      </c>
      <c r="G764" t="str">
        <f t="array" ref="G764">IFERROR(INDEX('working sheet'!$F$2:$F$3548, MODE(IF('working sheet'!$D$2:$D$3548=A764, MATCH('working sheet'!$F$2:$F$3548, 'working sheet'!$F$2:$F$3548, 0)))),
         INDEX('working sheet'!$F$2:$F$3548, MATCH(A764, 'working sheet'!$D$2:$D$3548, 0)))</f>
        <v>Latte</v>
      </c>
      <c r="H764" s="7">
        <f t="shared" si="23"/>
        <v>1</v>
      </c>
      <c r="I764" s="7">
        <f>MAX('working sheet'!$B$2:$B$3548)-C764</f>
        <v>159.21591900462954</v>
      </c>
      <c r="J764" s="4" t="str">
        <f t="array" ref="J764">IF(AND(I764&lt;=30, D764&gt;=10, E764&gt;=200), "VIP",  IF(AND(I764&lt;=60, D764&gt;=5, E764&gt;=100), "Loyal", IF(AND(I764&lt;=90, D764&gt;=3), "Regular", IF(I764&lt;=30, "Recent", IF(D764&gt;=3, "Occasional", "At Risk")))))</f>
        <v>At Risk</v>
      </c>
      <c r="K764" t="str">
        <f t="array" ref="K764">IF(OR(J764="VIP", J764="Loyal"), "HIGH",IF(OR(J764="Regular", J764="Recent"), "MEDIUM","LOW"))</f>
        <v>LOW</v>
      </c>
    </row>
    <row r="765" spans="1:11">
      <c r="A765" t="s">
        <v>778</v>
      </c>
      <c r="B765" s="14">
        <f>_xlfn.MINIFS('working sheet'!$B$2:$B$3548, 'working sheet'!$D$2:$D$3548, A765)</f>
        <v>45580.552602268515</v>
      </c>
      <c r="C765" s="17">
        <f>_xlfn.MAXIFS('working sheet'!$B$1:$B$3548,'working sheet'!$D$1:$D$3548,'Customer Portfolio'!A765)</f>
        <v>45581.555676736112</v>
      </c>
      <c r="D765">
        <f>COUNTIFS('working sheet'!$D$1:$D$3548,'Customer Portfolio'!A765)</f>
        <v>2</v>
      </c>
      <c r="E765" s="5">
        <f>SUMIFS('working sheet'!$E$2:$E$3548,'working sheet'!$D$2:$D$3548,'Customer Portfolio'!A765)</f>
        <v>56.82</v>
      </c>
      <c r="F765" s="6">
        <f t="shared" si="22"/>
        <v>28.41</v>
      </c>
      <c r="G765" t="str">
        <f t="array" ref="G765">IFERROR(INDEX('working sheet'!$F$2:$F$3548, MODE(IF('working sheet'!$D$2:$D$3548=A765, MATCH('working sheet'!$F$2:$F$3548, 'working sheet'!$F$2:$F$3548, 0)))),
         INDEX('working sheet'!$F$2:$F$3548, MATCH(A765, 'working sheet'!$D$2:$D$3548, 0)))</f>
        <v>Americano with Milk</v>
      </c>
      <c r="H765" s="7">
        <f t="shared" si="23"/>
        <v>2.003074467596889</v>
      </c>
      <c r="I765" s="7">
        <f>MAX('working sheet'!$B$2:$B$3548)-C765</f>
        <v>158.2024093171276</v>
      </c>
      <c r="J765" s="4" t="str">
        <f t="array" ref="J765">IF(AND(I765&lt;=30, D765&gt;=10, E765&gt;=200), "VIP",  IF(AND(I765&lt;=60, D765&gt;=5, E765&gt;=100), "Loyal", IF(AND(I765&lt;=90, D765&gt;=3), "Regular", IF(I765&lt;=30, "Recent", IF(D765&gt;=3, "Occasional", "At Risk")))))</f>
        <v>At Risk</v>
      </c>
      <c r="K765" t="str">
        <f t="array" ref="K765">IF(OR(J765="VIP", J765="Loyal"), "HIGH",IF(OR(J765="Regular", J765="Recent"), "MEDIUM","LOW"))</f>
        <v>LOW</v>
      </c>
    </row>
    <row r="766" spans="1:11">
      <c r="A766" t="s">
        <v>779</v>
      </c>
      <c r="B766" s="14">
        <f>_xlfn.MINIFS('working sheet'!$B$2:$B$3548, 'working sheet'!$D$2:$D$3548, A766)</f>
        <v>45580.662691122685</v>
      </c>
      <c r="C766" s="17">
        <f>_xlfn.MAXIFS('working sheet'!$B$1:$B$3548,'working sheet'!$D$1:$D$3548,'Customer Portfolio'!A766)</f>
        <v>45580.663414803239</v>
      </c>
      <c r="D766">
        <f>COUNTIFS('working sheet'!$D$1:$D$3548,'Customer Portfolio'!A766)</f>
        <v>2</v>
      </c>
      <c r="E766" s="5">
        <f>SUMIFS('working sheet'!$E$2:$E$3548,'working sheet'!$D$2:$D$3548,'Customer Portfolio'!A766)</f>
        <v>47.019999999999996</v>
      </c>
      <c r="F766" s="6">
        <f t="shared" si="22"/>
        <v>23.509999999999998</v>
      </c>
      <c r="G766" t="str">
        <f t="array" ref="G766">IFERROR(INDEX('working sheet'!$F$2:$F$3548, MODE(IF('working sheet'!$D$2:$D$3548=A766, MATCH('working sheet'!$F$2:$F$3548, 'working sheet'!$F$2:$F$3548, 0)))),
         INDEX('working sheet'!$F$2:$F$3548, MATCH(A766, 'working sheet'!$D$2:$D$3548, 0)))</f>
        <v>Americano</v>
      </c>
      <c r="H766" s="7">
        <f t="shared" si="23"/>
        <v>1.0007236805540742</v>
      </c>
      <c r="I766" s="7">
        <f>MAX('working sheet'!$B$2:$B$3548)-C766</f>
        <v>159.09467125000083</v>
      </c>
      <c r="J766" s="4" t="str">
        <f t="array" ref="J766">IF(AND(I766&lt;=30, D766&gt;=10, E766&gt;=200), "VIP",  IF(AND(I766&lt;=60, D766&gt;=5, E766&gt;=100), "Loyal", IF(AND(I766&lt;=90, D766&gt;=3), "Regular", IF(I766&lt;=30, "Recent", IF(D766&gt;=3, "Occasional", "At Risk")))))</f>
        <v>At Risk</v>
      </c>
      <c r="K766" t="str">
        <f t="array" ref="K766">IF(OR(J766="VIP", J766="Loyal"), "HIGH",IF(OR(J766="Regular", J766="Recent"), "MEDIUM","LOW"))</f>
        <v>LOW</v>
      </c>
    </row>
    <row r="767" spans="1:11">
      <c r="A767" t="s">
        <v>780</v>
      </c>
      <c r="B767" s="14">
        <f>_xlfn.MINIFS('working sheet'!$B$2:$B$3548, 'working sheet'!$D$2:$D$3548, A767)</f>
        <v>45580.711242303238</v>
      </c>
      <c r="C767" s="17">
        <f>_xlfn.MAXIFS('working sheet'!$B$1:$B$3548,'working sheet'!$D$1:$D$3548,'Customer Portfolio'!A767)</f>
        <v>45580.711242303238</v>
      </c>
      <c r="D767">
        <f>COUNTIFS('working sheet'!$D$1:$D$3548,'Customer Portfolio'!A767)</f>
        <v>1</v>
      </c>
      <c r="E767" s="5">
        <f>SUMIFS('working sheet'!$E$2:$E$3548,'working sheet'!$D$2:$D$3548,'Customer Portfolio'!A767)</f>
        <v>35.76</v>
      </c>
      <c r="F767" s="6">
        <f t="shared" si="22"/>
        <v>35.76</v>
      </c>
      <c r="G767" t="str">
        <f t="array" ref="G767">IFERROR(INDEX('working sheet'!$F$2:$F$3548, MODE(IF('working sheet'!$D$2:$D$3548=A767, MATCH('working sheet'!$F$2:$F$3548, 'working sheet'!$F$2:$F$3548, 0)))),
         INDEX('working sheet'!$F$2:$F$3548, MATCH(A767, 'working sheet'!$D$2:$D$3548, 0)))</f>
        <v>Hot Chocolate</v>
      </c>
      <c r="H767" s="7">
        <f t="shared" si="23"/>
        <v>1</v>
      </c>
      <c r="I767" s="7">
        <f>MAX('working sheet'!$B$2:$B$3548)-C767</f>
        <v>159.04684375000215</v>
      </c>
      <c r="J767" s="4" t="str">
        <f t="array" ref="J767">IF(AND(I767&lt;=30, D767&gt;=10, E767&gt;=200), "VIP",  IF(AND(I767&lt;=60, D767&gt;=5, E767&gt;=100), "Loyal", IF(AND(I767&lt;=90, D767&gt;=3), "Regular", IF(I767&lt;=30, "Recent", IF(D767&gt;=3, "Occasional", "At Risk")))))</f>
        <v>At Risk</v>
      </c>
      <c r="K767" t="str">
        <f t="array" ref="K767">IF(OR(J767="VIP", J767="Loyal"), "HIGH",IF(OR(J767="Regular", J767="Recent"), "MEDIUM","LOW"))</f>
        <v>LOW</v>
      </c>
    </row>
    <row r="768" spans="1:11">
      <c r="A768" t="s">
        <v>781</v>
      </c>
      <c r="B768" s="14">
        <f>_xlfn.MINIFS('working sheet'!$B$2:$B$3548, 'working sheet'!$D$2:$D$3548, A768)</f>
        <v>45580.807191886575</v>
      </c>
      <c r="C768" s="17">
        <f>_xlfn.MAXIFS('working sheet'!$B$1:$B$3548,'working sheet'!$D$1:$D$3548,'Customer Portfolio'!A768)</f>
        <v>45580.807839733796</v>
      </c>
      <c r="D768">
        <f>COUNTIFS('working sheet'!$D$1:$D$3548,'Customer Portfolio'!A768)</f>
        <v>2</v>
      </c>
      <c r="E768" s="5">
        <f>SUMIFS('working sheet'!$E$2:$E$3548,'working sheet'!$D$2:$D$3548,'Customer Portfolio'!A768)</f>
        <v>61.72</v>
      </c>
      <c r="F768" s="6">
        <f t="shared" si="22"/>
        <v>30.86</v>
      </c>
      <c r="G768" t="str">
        <f t="array" ref="G768">IFERROR(INDEX('working sheet'!$F$2:$F$3548, MODE(IF('working sheet'!$D$2:$D$3548=A768, MATCH('working sheet'!$F$2:$F$3548, 'working sheet'!$F$2:$F$3548, 0)))),
         INDEX('working sheet'!$F$2:$F$3548, MATCH(A768, 'working sheet'!$D$2:$D$3548, 0)))</f>
        <v>Americano</v>
      </c>
      <c r="H768" s="7">
        <f t="shared" si="23"/>
        <v>1.0006478472205345</v>
      </c>
      <c r="I768" s="7">
        <f>MAX('working sheet'!$B$2:$B$3548)-C768</f>
        <v>158.95024631944398</v>
      </c>
      <c r="J768" s="4" t="str">
        <f t="array" ref="J768">IF(AND(I768&lt;=30, D768&gt;=10, E768&gt;=200), "VIP",  IF(AND(I768&lt;=60, D768&gt;=5, E768&gt;=100), "Loyal", IF(AND(I768&lt;=90, D768&gt;=3), "Regular", IF(I768&lt;=30, "Recent", IF(D768&gt;=3, "Occasional", "At Risk")))))</f>
        <v>At Risk</v>
      </c>
      <c r="K768" t="str">
        <f t="array" ref="K768">IF(OR(J768="VIP", J768="Loyal"), "HIGH",IF(OR(J768="Regular", J768="Recent"), "MEDIUM","LOW"))</f>
        <v>LOW</v>
      </c>
    </row>
    <row r="769" spans="1:11">
      <c r="A769" t="s">
        <v>782</v>
      </c>
      <c r="B769" s="14">
        <f>_xlfn.MINIFS('working sheet'!$B$2:$B$3548, 'working sheet'!$D$2:$D$3548, A769)</f>
        <v>45581.492877696757</v>
      </c>
      <c r="C769" s="17">
        <f>_xlfn.MAXIFS('working sheet'!$B$1:$B$3548,'working sheet'!$D$1:$D$3548,'Customer Portfolio'!A769)</f>
        <v>45581.492877696757</v>
      </c>
      <c r="D769">
        <f>COUNTIFS('working sheet'!$D$1:$D$3548,'Customer Portfolio'!A769)</f>
        <v>1</v>
      </c>
      <c r="E769" s="5">
        <f>SUMIFS('working sheet'!$E$2:$E$3548,'working sheet'!$D$2:$D$3548,'Customer Portfolio'!A769)</f>
        <v>25.96</v>
      </c>
      <c r="F769" s="6">
        <f t="shared" si="22"/>
        <v>25.96</v>
      </c>
      <c r="G769" t="str">
        <f t="array" ref="G769">IFERROR(INDEX('working sheet'!$F$2:$F$3548, MODE(IF('working sheet'!$D$2:$D$3548=A769, MATCH('working sheet'!$F$2:$F$3548, 'working sheet'!$F$2:$F$3548, 0)))),
         INDEX('working sheet'!$F$2:$F$3548, MATCH(A769, 'working sheet'!$D$2:$D$3548, 0)))</f>
        <v>Americano</v>
      </c>
      <c r="H769" s="7">
        <f t="shared" si="23"/>
        <v>1</v>
      </c>
      <c r="I769" s="7">
        <f>MAX('working sheet'!$B$2:$B$3548)-C769</f>
        <v>158.26520835648262</v>
      </c>
      <c r="J769" s="4" t="str">
        <f t="array" ref="J769">IF(AND(I769&lt;=30, D769&gt;=10, E769&gt;=200), "VIP",  IF(AND(I769&lt;=60, D769&gt;=5, E769&gt;=100), "Loyal", IF(AND(I769&lt;=90, D769&gt;=3), "Regular", IF(I769&lt;=30, "Recent", IF(D769&gt;=3, "Occasional", "At Risk")))))</f>
        <v>At Risk</v>
      </c>
      <c r="K769" t="str">
        <f t="array" ref="K769">IF(OR(J769="VIP", J769="Loyal"), "HIGH",IF(OR(J769="Regular", J769="Recent"), "MEDIUM","LOW"))</f>
        <v>LOW</v>
      </c>
    </row>
    <row r="770" spans="1:11">
      <c r="A770" t="s">
        <v>783</v>
      </c>
      <c r="B770" s="14">
        <f>_xlfn.MINIFS('working sheet'!$B$2:$B$3548, 'working sheet'!$D$2:$D$3548, A770)</f>
        <v>45581.520651087965</v>
      </c>
      <c r="C770" s="17">
        <f>_xlfn.MAXIFS('working sheet'!$B$1:$B$3548,'working sheet'!$D$1:$D$3548,'Customer Portfolio'!A770)</f>
        <v>45614.328004849536</v>
      </c>
      <c r="D770">
        <f>COUNTIFS('working sheet'!$D$1:$D$3548,'Customer Portfolio'!A770)</f>
        <v>3</v>
      </c>
      <c r="E770" s="5">
        <f>SUMIFS('working sheet'!$E$2:$E$3548,'working sheet'!$D$2:$D$3548,'Customer Portfolio'!A770)</f>
        <v>92.58</v>
      </c>
      <c r="F770" s="6">
        <f t="shared" si="22"/>
        <v>30.86</v>
      </c>
      <c r="G770" t="str">
        <f t="array" ref="G770">IFERROR(INDEX('working sheet'!$F$2:$F$3548, MODE(IF('working sheet'!$D$2:$D$3548=A770, MATCH('working sheet'!$F$2:$F$3548, 'working sheet'!$F$2:$F$3548, 0)))),
         INDEX('working sheet'!$F$2:$F$3548, MATCH(A770, 'working sheet'!$D$2:$D$3548, 0)))</f>
        <v>Americano with Milk</v>
      </c>
      <c r="H770" s="7">
        <f t="shared" si="23"/>
        <v>33.807353761570994</v>
      </c>
      <c r="I770" s="7">
        <f>MAX('working sheet'!$B$2:$B$3548)-C770</f>
        <v>125.43008120370359</v>
      </c>
      <c r="J770" s="4" t="str">
        <f t="array" ref="J770">IF(AND(I770&lt;=30, D770&gt;=10, E770&gt;=200), "VIP",  IF(AND(I770&lt;=60, D770&gt;=5, E770&gt;=100), "Loyal", IF(AND(I770&lt;=90, D770&gt;=3), "Regular", IF(I770&lt;=30, "Recent", IF(D770&gt;=3, "Occasional", "At Risk")))))</f>
        <v>Occasional</v>
      </c>
      <c r="K770" t="str">
        <f t="array" ref="K770">IF(OR(J770="VIP", J770="Loyal"), "HIGH",IF(OR(J770="Regular", J770="Recent"), "MEDIUM","LOW"))</f>
        <v>LOW</v>
      </c>
    </row>
    <row r="771" spans="1:11">
      <c r="A771" t="s">
        <v>784</v>
      </c>
      <c r="B771" s="14">
        <f>_xlfn.MINIFS('working sheet'!$B$2:$B$3548, 'working sheet'!$D$2:$D$3548, A771)</f>
        <v>45581.698258530094</v>
      </c>
      <c r="C771" s="17">
        <f>_xlfn.MAXIFS('working sheet'!$B$1:$B$3548,'working sheet'!$D$1:$D$3548,'Customer Portfolio'!A771)</f>
        <v>45581.698258530094</v>
      </c>
      <c r="D771">
        <f>COUNTIFS('working sheet'!$D$1:$D$3548,'Customer Portfolio'!A771)</f>
        <v>1</v>
      </c>
      <c r="E771" s="5">
        <f>SUMIFS('working sheet'!$E$2:$E$3548,'working sheet'!$D$2:$D$3548,'Customer Portfolio'!A771)</f>
        <v>35.76</v>
      </c>
      <c r="F771" s="6">
        <f t="shared" ref="F771:F834" si="24">E771/D771</f>
        <v>35.76</v>
      </c>
      <c r="G771" t="str">
        <f t="array" ref="G771">IFERROR(INDEX('working sheet'!$F$2:$F$3548, MODE(IF('working sheet'!$D$2:$D$3548=A771, MATCH('working sheet'!$F$2:$F$3548, 'working sheet'!$F$2:$F$3548, 0)))),
         INDEX('working sheet'!$F$2:$F$3548, MATCH(A771, 'working sheet'!$D$2:$D$3548, 0)))</f>
        <v>Latte</v>
      </c>
      <c r="H771" s="7">
        <f t="shared" ref="H771:H834" si="25">C771-B771+1</f>
        <v>1</v>
      </c>
      <c r="I771" s="7">
        <f>MAX('working sheet'!$B$2:$B$3548)-C771</f>
        <v>158.05982752314594</v>
      </c>
      <c r="J771" s="4" t="str">
        <f t="array" ref="J771">IF(AND(I771&lt;=30, D771&gt;=10, E771&gt;=200), "VIP",  IF(AND(I771&lt;=60, D771&gt;=5, E771&gt;=100), "Loyal", IF(AND(I771&lt;=90, D771&gt;=3), "Regular", IF(I771&lt;=30, "Recent", IF(D771&gt;=3, "Occasional", "At Risk")))))</f>
        <v>At Risk</v>
      </c>
      <c r="K771" t="str">
        <f t="array" ref="K771">IF(OR(J771="VIP", J771="Loyal"), "HIGH",IF(OR(J771="Regular", J771="Recent"), "MEDIUM","LOW"))</f>
        <v>LOW</v>
      </c>
    </row>
    <row r="772" spans="1:11">
      <c r="A772" t="s">
        <v>785</v>
      </c>
      <c r="B772" s="14">
        <f>_xlfn.MINIFS('working sheet'!$B$2:$B$3548, 'working sheet'!$D$2:$D$3548, A772)</f>
        <v>45581.817851979169</v>
      </c>
      <c r="C772" s="17">
        <f>_xlfn.MAXIFS('working sheet'!$B$1:$B$3548,'working sheet'!$D$1:$D$3548,'Customer Portfolio'!A772)</f>
        <v>45631.668171469908</v>
      </c>
      <c r="D772">
        <f>COUNTIFS('working sheet'!$D$1:$D$3548,'Customer Portfolio'!A772)</f>
        <v>3</v>
      </c>
      <c r="E772" s="5">
        <f>SUMIFS('working sheet'!$E$2:$E$3548,'working sheet'!$D$2:$D$3548,'Customer Portfolio'!A772)</f>
        <v>97.47999999999999</v>
      </c>
      <c r="F772" s="6">
        <f t="shared" si="24"/>
        <v>32.493333333333332</v>
      </c>
      <c r="G772" t="str">
        <f t="array" ref="G772">IFERROR(INDEX('working sheet'!$F$2:$F$3548, MODE(IF('working sheet'!$D$2:$D$3548=A772, MATCH('working sheet'!$F$2:$F$3548, 'working sheet'!$F$2:$F$3548, 0)))),
         INDEX('working sheet'!$F$2:$F$3548, MATCH(A772, 'working sheet'!$D$2:$D$3548, 0)))</f>
        <v>Americano with Milk</v>
      </c>
      <c r="H772" s="7">
        <f t="shared" si="25"/>
        <v>50.850319490738912</v>
      </c>
      <c r="I772" s="7">
        <f>MAX('working sheet'!$B$2:$B$3548)-C772</f>
        <v>108.08991458333185</v>
      </c>
      <c r="J772" s="4" t="str">
        <f t="array" ref="J772">IF(AND(I772&lt;=30, D772&gt;=10, E772&gt;=200), "VIP",  IF(AND(I772&lt;=60, D772&gt;=5, E772&gt;=100), "Loyal", IF(AND(I772&lt;=90, D772&gt;=3), "Regular", IF(I772&lt;=30, "Recent", IF(D772&gt;=3, "Occasional", "At Risk")))))</f>
        <v>Occasional</v>
      </c>
      <c r="K772" t="str">
        <f t="array" ref="K772">IF(OR(J772="VIP", J772="Loyal"), "HIGH",IF(OR(J772="Regular", J772="Recent"), "MEDIUM","LOW"))</f>
        <v>LOW</v>
      </c>
    </row>
    <row r="773" spans="1:11">
      <c r="A773" t="s">
        <v>786</v>
      </c>
      <c r="B773" s="14">
        <f>_xlfn.MINIFS('working sheet'!$B$2:$B$3548, 'working sheet'!$D$2:$D$3548, A773)</f>
        <v>45581.889219131946</v>
      </c>
      <c r="C773" s="17">
        <f>_xlfn.MAXIFS('working sheet'!$B$1:$B$3548,'working sheet'!$D$1:$D$3548,'Customer Portfolio'!A773)</f>
        <v>45581.889219131946</v>
      </c>
      <c r="D773">
        <f>COUNTIFS('working sheet'!$D$1:$D$3548,'Customer Portfolio'!A773)</f>
        <v>1</v>
      </c>
      <c r="E773" s="5">
        <f>SUMIFS('working sheet'!$E$2:$E$3548,'working sheet'!$D$2:$D$3548,'Customer Portfolio'!A773)</f>
        <v>35.76</v>
      </c>
      <c r="F773" s="6">
        <f t="shared" si="24"/>
        <v>35.76</v>
      </c>
      <c r="G773" t="str">
        <f t="array" ref="G773">IFERROR(INDEX('working sheet'!$F$2:$F$3548, MODE(IF('working sheet'!$D$2:$D$3548=A773, MATCH('working sheet'!$F$2:$F$3548, 'working sheet'!$F$2:$F$3548, 0)))),
         INDEX('working sheet'!$F$2:$F$3548, MATCH(A773, 'working sheet'!$D$2:$D$3548, 0)))</f>
        <v>Hot Chocolate</v>
      </c>
      <c r="H773" s="7">
        <f t="shared" si="25"/>
        <v>1</v>
      </c>
      <c r="I773" s="7">
        <f>MAX('working sheet'!$B$2:$B$3548)-C773</f>
        <v>157.86886692129337</v>
      </c>
      <c r="J773" s="4" t="str">
        <f t="array" ref="J773">IF(AND(I773&lt;=30, D773&gt;=10, E773&gt;=200), "VIP",  IF(AND(I773&lt;=60, D773&gt;=5, E773&gt;=100), "Loyal", IF(AND(I773&lt;=90, D773&gt;=3), "Regular", IF(I773&lt;=30, "Recent", IF(D773&gt;=3, "Occasional", "At Risk")))))</f>
        <v>At Risk</v>
      </c>
      <c r="K773" t="str">
        <f t="array" ref="K773">IF(OR(J773="VIP", J773="Loyal"), "HIGH",IF(OR(J773="Regular", J773="Recent"), "MEDIUM","LOW"))</f>
        <v>LOW</v>
      </c>
    </row>
    <row r="774" spans="1:11">
      <c r="A774" t="s">
        <v>787</v>
      </c>
      <c r="B774" s="14">
        <f>_xlfn.MINIFS('working sheet'!$B$2:$B$3548, 'working sheet'!$D$2:$D$3548, A774)</f>
        <v>45582.39198104167</v>
      </c>
      <c r="C774" s="17">
        <f>_xlfn.MAXIFS('working sheet'!$B$1:$B$3548,'working sheet'!$D$1:$D$3548,'Customer Portfolio'!A774)</f>
        <v>45582.39198104167</v>
      </c>
      <c r="D774">
        <f>COUNTIFS('working sheet'!$D$1:$D$3548,'Customer Portfolio'!A774)</f>
        <v>1</v>
      </c>
      <c r="E774" s="5">
        <f>SUMIFS('working sheet'!$E$2:$E$3548,'working sheet'!$D$2:$D$3548,'Customer Portfolio'!A774)</f>
        <v>30.86</v>
      </c>
      <c r="F774" s="6">
        <f t="shared" si="24"/>
        <v>30.86</v>
      </c>
      <c r="G774" t="str">
        <f t="array" ref="G774">IFERROR(INDEX('working sheet'!$F$2:$F$3548, MODE(IF('working sheet'!$D$2:$D$3548=A774, MATCH('working sheet'!$F$2:$F$3548, 'working sheet'!$F$2:$F$3548, 0)))),
         INDEX('working sheet'!$F$2:$F$3548, MATCH(A774, 'working sheet'!$D$2:$D$3548, 0)))</f>
        <v>Americano with Milk</v>
      </c>
      <c r="H774" s="7">
        <f t="shared" si="25"/>
        <v>1</v>
      </c>
      <c r="I774" s="7">
        <f>MAX('working sheet'!$B$2:$B$3548)-C774</f>
        <v>157.36610501156974</v>
      </c>
      <c r="J774" s="4" t="str">
        <f t="array" ref="J774">IF(AND(I774&lt;=30, D774&gt;=10, E774&gt;=200), "VIP",  IF(AND(I774&lt;=60, D774&gt;=5, E774&gt;=100), "Loyal", IF(AND(I774&lt;=90, D774&gt;=3), "Regular", IF(I774&lt;=30, "Recent", IF(D774&gt;=3, "Occasional", "At Risk")))))</f>
        <v>At Risk</v>
      </c>
      <c r="K774" t="str">
        <f t="array" ref="K774">IF(OR(J774="VIP", J774="Loyal"), "HIGH",IF(OR(J774="Regular", J774="Recent"), "MEDIUM","LOW"))</f>
        <v>LOW</v>
      </c>
    </row>
    <row r="775" spans="1:11">
      <c r="A775" t="s">
        <v>788</v>
      </c>
      <c r="B775" s="14">
        <f>_xlfn.MINIFS('working sheet'!$B$2:$B$3548, 'working sheet'!$D$2:$D$3548, A775)</f>
        <v>45582.499616354165</v>
      </c>
      <c r="C775" s="17">
        <f>_xlfn.MAXIFS('working sheet'!$B$1:$B$3548,'working sheet'!$D$1:$D$3548,'Customer Portfolio'!A775)</f>
        <v>45582.499616354165</v>
      </c>
      <c r="D775">
        <f>COUNTIFS('working sheet'!$D$1:$D$3548,'Customer Portfolio'!A775)</f>
        <v>1</v>
      </c>
      <c r="E775" s="5">
        <f>SUMIFS('working sheet'!$E$2:$E$3548,'working sheet'!$D$2:$D$3548,'Customer Portfolio'!A775)</f>
        <v>30.86</v>
      </c>
      <c r="F775" s="6">
        <f t="shared" si="24"/>
        <v>30.86</v>
      </c>
      <c r="G775" t="str">
        <f t="array" ref="G775">IFERROR(INDEX('working sheet'!$F$2:$F$3548, MODE(IF('working sheet'!$D$2:$D$3548=A775, MATCH('working sheet'!$F$2:$F$3548, 'working sheet'!$F$2:$F$3548, 0)))),
         INDEX('working sheet'!$F$2:$F$3548, MATCH(A775, 'working sheet'!$D$2:$D$3548, 0)))</f>
        <v>Americano with Milk</v>
      </c>
      <c r="H775" s="7">
        <f t="shared" si="25"/>
        <v>1</v>
      </c>
      <c r="I775" s="7">
        <f>MAX('working sheet'!$B$2:$B$3548)-C775</f>
        <v>157.25846969907434</v>
      </c>
      <c r="J775" s="4" t="str">
        <f t="array" ref="J775">IF(AND(I775&lt;=30, D775&gt;=10, E775&gt;=200), "VIP",  IF(AND(I775&lt;=60, D775&gt;=5, E775&gt;=100), "Loyal", IF(AND(I775&lt;=90, D775&gt;=3), "Regular", IF(I775&lt;=30, "Recent", IF(D775&gt;=3, "Occasional", "At Risk")))))</f>
        <v>At Risk</v>
      </c>
      <c r="K775" t="str">
        <f t="array" ref="K775">IF(OR(J775="VIP", J775="Loyal"), "HIGH",IF(OR(J775="Regular", J775="Recent"), "MEDIUM","LOW"))</f>
        <v>LOW</v>
      </c>
    </row>
    <row r="776" spans="1:11">
      <c r="A776" t="s">
        <v>789</v>
      </c>
      <c r="B776" s="14">
        <f>_xlfn.MINIFS('working sheet'!$B$2:$B$3548, 'working sheet'!$D$2:$D$3548, A776)</f>
        <v>45582.581538136576</v>
      </c>
      <c r="C776" s="17">
        <f>_xlfn.MAXIFS('working sheet'!$B$1:$B$3548,'working sheet'!$D$1:$D$3548,'Customer Portfolio'!A776)</f>
        <v>45582.581538136576</v>
      </c>
      <c r="D776">
        <f>COUNTIFS('working sheet'!$D$1:$D$3548,'Customer Portfolio'!A776)</f>
        <v>1</v>
      </c>
      <c r="E776" s="5">
        <f>SUMIFS('working sheet'!$E$2:$E$3548,'working sheet'!$D$2:$D$3548,'Customer Portfolio'!A776)</f>
        <v>35.76</v>
      </c>
      <c r="F776" s="6">
        <f t="shared" si="24"/>
        <v>35.76</v>
      </c>
      <c r="G776" t="str">
        <f t="array" ref="G776">IFERROR(INDEX('working sheet'!$F$2:$F$3548, MODE(IF('working sheet'!$D$2:$D$3548=A776, MATCH('working sheet'!$F$2:$F$3548, 'working sheet'!$F$2:$F$3548, 0)))),
         INDEX('working sheet'!$F$2:$F$3548, MATCH(A776, 'working sheet'!$D$2:$D$3548, 0)))</f>
        <v>Latte</v>
      </c>
      <c r="H776" s="7">
        <f t="shared" si="25"/>
        <v>1</v>
      </c>
      <c r="I776" s="7">
        <f>MAX('working sheet'!$B$2:$B$3548)-C776</f>
        <v>157.17654791666428</v>
      </c>
      <c r="J776" s="4" t="str">
        <f t="array" ref="J776">IF(AND(I776&lt;=30, D776&gt;=10, E776&gt;=200), "VIP",  IF(AND(I776&lt;=60, D776&gt;=5, E776&gt;=100), "Loyal", IF(AND(I776&lt;=90, D776&gt;=3), "Regular", IF(I776&lt;=30, "Recent", IF(D776&gt;=3, "Occasional", "At Risk")))))</f>
        <v>At Risk</v>
      </c>
      <c r="K776" t="str">
        <f t="array" ref="K776">IF(OR(J776="VIP", J776="Loyal"), "HIGH",IF(OR(J776="Regular", J776="Recent"), "MEDIUM","LOW"))</f>
        <v>LOW</v>
      </c>
    </row>
    <row r="777" spans="1:11">
      <c r="A777" t="s">
        <v>790</v>
      </c>
      <c r="B777" s="14">
        <f>_xlfn.MINIFS('working sheet'!$B$2:$B$3548, 'working sheet'!$D$2:$D$3548, A777)</f>
        <v>45582.60743747685</v>
      </c>
      <c r="C777" s="17">
        <f>_xlfn.MAXIFS('working sheet'!$B$1:$B$3548,'working sheet'!$D$1:$D$3548,'Customer Portfolio'!A777)</f>
        <v>45582.60743747685</v>
      </c>
      <c r="D777">
        <f>COUNTIFS('working sheet'!$D$1:$D$3548,'Customer Portfolio'!A777)</f>
        <v>1</v>
      </c>
      <c r="E777" s="5">
        <f>SUMIFS('working sheet'!$E$2:$E$3548,'working sheet'!$D$2:$D$3548,'Customer Portfolio'!A777)</f>
        <v>25.96</v>
      </c>
      <c r="F777" s="6">
        <f t="shared" si="24"/>
        <v>25.96</v>
      </c>
      <c r="G777" t="str">
        <f t="array" ref="G777">IFERROR(INDEX('working sheet'!$F$2:$F$3548, MODE(IF('working sheet'!$D$2:$D$3548=A777, MATCH('working sheet'!$F$2:$F$3548, 'working sheet'!$F$2:$F$3548, 0)))),
         INDEX('working sheet'!$F$2:$F$3548, MATCH(A777, 'working sheet'!$D$2:$D$3548, 0)))</f>
        <v>Americano</v>
      </c>
      <c r="H777" s="7">
        <f t="shared" si="25"/>
        <v>1</v>
      </c>
      <c r="I777" s="7">
        <f>MAX('working sheet'!$B$2:$B$3548)-C777</f>
        <v>157.15064857638936</v>
      </c>
      <c r="J777" s="4" t="str">
        <f t="array" ref="J777">IF(AND(I777&lt;=30, D777&gt;=10, E777&gt;=200), "VIP",  IF(AND(I777&lt;=60, D777&gt;=5, E777&gt;=100), "Loyal", IF(AND(I777&lt;=90, D777&gt;=3), "Regular", IF(I777&lt;=30, "Recent", IF(D777&gt;=3, "Occasional", "At Risk")))))</f>
        <v>At Risk</v>
      </c>
      <c r="K777" t="str">
        <f t="array" ref="K777">IF(OR(J777="VIP", J777="Loyal"), "HIGH",IF(OR(J777="Regular", J777="Recent"), "MEDIUM","LOW"))</f>
        <v>LOW</v>
      </c>
    </row>
    <row r="778" spans="1:11">
      <c r="A778" t="s">
        <v>791</v>
      </c>
      <c r="B778" s="14">
        <f>_xlfn.MINIFS('working sheet'!$B$2:$B$3548, 'working sheet'!$D$2:$D$3548, A778)</f>
        <v>45582.700415011575</v>
      </c>
      <c r="C778" s="17">
        <f>_xlfn.MAXIFS('working sheet'!$B$1:$B$3548,'working sheet'!$D$1:$D$3548,'Customer Portfolio'!A778)</f>
        <v>45582.701078194441</v>
      </c>
      <c r="D778">
        <f>COUNTIFS('working sheet'!$D$1:$D$3548,'Customer Portfolio'!A778)</f>
        <v>2</v>
      </c>
      <c r="E778" s="5">
        <f>SUMIFS('working sheet'!$E$2:$E$3548,'working sheet'!$D$2:$D$3548,'Customer Portfolio'!A778)</f>
        <v>71.52</v>
      </c>
      <c r="F778" s="6">
        <f t="shared" si="24"/>
        <v>35.76</v>
      </c>
      <c r="G778" t="str">
        <f t="array" ref="G778">IFERROR(INDEX('working sheet'!$F$2:$F$3548, MODE(IF('working sheet'!$D$2:$D$3548=A778, MATCH('working sheet'!$F$2:$F$3548, 'working sheet'!$F$2:$F$3548, 0)))),
         INDEX('working sheet'!$F$2:$F$3548, MATCH(A778, 'working sheet'!$D$2:$D$3548, 0)))</f>
        <v>Hot Chocolate</v>
      </c>
      <c r="H778" s="7">
        <f t="shared" si="25"/>
        <v>1.0006631828655372</v>
      </c>
      <c r="I778" s="7">
        <f>MAX('working sheet'!$B$2:$B$3548)-C778</f>
        <v>157.0570078587989</v>
      </c>
      <c r="J778" s="4" t="str">
        <f t="array" ref="J778">IF(AND(I778&lt;=30, D778&gt;=10, E778&gt;=200), "VIP",  IF(AND(I778&lt;=60, D778&gt;=5, E778&gt;=100), "Loyal", IF(AND(I778&lt;=90, D778&gt;=3), "Regular", IF(I778&lt;=30, "Recent", IF(D778&gt;=3, "Occasional", "At Risk")))))</f>
        <v>At Risk</v>
      </c>
      <c r="K778" t="str">
        <f t="array" ref="K778">IF(OR(J778="VIP", J778="Loyal"), "HIGH",IF(OR(J778="Regular", J778="Recent"), "MEDIUM","LOW"))</f>
        <v>LOW</v>
      </c>
    </row>
    <row r="779" spans="1:11">
      <c r="A779" t="s">
        <v>792</v>
      </c>
      <c r="B779" s="14">
        <f>_xlfn.MINIFS('working sheet'!$B$2:$B$3548, 'working sheet'!$D$2:$D$3548, A779)</f>
        <v>45582.841393564813</v>
      </c>
      <c r="C779" s="17">
        <f>_xlfn.MAXIFS('working sheet'!$B$1:$B$3548,'working sheet'!$D$1:$D$3548,'Customer Portfolio'!A779)</f>
        <v>45582.841393564813</v>
      </c>
      <c r="D779">
        <f>COUNTIFS('working sheet'!$D$1:$D$3548,'Customer Portfolio'!A779)</f>
        <v>1</v>
      </c>
      <c r="E779" s="5">
        <f>SUMIFS('working sheet'!$E$2:$E$3548,'working sheet'!$D$2:$D$3548,'Customer Portfolio'!A779)</f>
        <v>30.86</v>
      </c>
      <c r="F779" s="6">
        <f t="shared" si="24"/>
        <v>30.86</v>
      </c>
      <c r="G779" t="str">
        <f t="array" ref="G779">IFERROR(INDEX('working sheet'!$F$2:$F$3548, MODE(IF('working sheet'!$D$2:$D$3548=A779, MATCH('working sheet'!$F$2:$F$3548, 'working sheet'!$F$2:$F$3548, 0)))),
         INDEX('working sheet'!$F$2:$F$3548, MATCH(A779, 'working sheet'!$D$2:$D$3548, 0)))</f>
        <v>Americano with Milk</v>
      </c>
      <c r="H779" s="7">
        <f t="shared" si="25"/>
        <v>1</v>
      </c>
      <c r="I779" s="7">
        <f>MAX('working sheet'!$B$2:$B$3548)-C779</f>
        <v>156.91669248842663</v>
      </c>
      <c r="J779" s="4" t="str">
        <f t="array" ref="J779">IF(AND(I779&lt;=30, D779&gt;=10, E779&gt;=200), "VIP",  IF(AND(I779&lt;=60, D779&gt;=5, E779&gt;=100), "Loyal", IF(AND(I779&lt;=90, D779&gt;=3), "Regular", IF(I779&lt;=30, "Recent", IF(D779&gt;=3, "Occasional", "At Risk")))))</f>
        <v>At Risk</v>
      </c>
      <c r="K779" t="str">
        <f t="array" ref="K779">IF(OR(J779="VIP", J779="Loyal"), "HIGH",IF(OR(J779="Regular", J779="Recent"), "MEDIUM","LOW"))</f>
        <v>LOW</v>
      </c>
    </row>
    <row r="780" spans="1:11">
      <c r="A780" t="s">
        <v>793</v>
      </c>
      <c r="B780" s="14">
        <f>_xlfn.MINIFS('working sheet'!$B$2:$B$3548, 'working sheet'!$D$2:$D$3548, A780)</f>
        <v>45582.907094270835</v>
      </c>
      <c r="C780" s="17">
        <f>_xlfn.MAXIFS('working sheet'!$B$1:$B$3548,'working sheet'!$D$1:$D$3548,'Customer Portfolio'!A780)</f>
        <v>45582.909659942132</v>
      </c>
      <c r="D780">
        <f>COUNTIFS('working sheet'!$D$1:$D$3548,'Customer Portfolio'!A780)</f>
        <v>4</v>
      </c>
      <c r="E780" s="5">
        <f>SUMIFS('working sheet'!$E$2:$E$3548,'working sheet'!$D$2:$D$3548,'Customer Portfolio'!A780)</f>
        <v>143.04</v>
      </c>
      <c r="F780" s="6">
        <f t="shared" si="24"/>
        <v>35.76</v>
      </c>
      <c r="G780" t="str">
        <f t="array" ref="G780">IFERROR(INDEX('working sheet'!$F$2:$F$3548, MODE(IF('working sheet'!$D$2:$D$3548=A780, MATCH('working sheet'!$F$2:$F$3548, 'working sheet'!$F$2:$F$3548, 0)))),
         INDEX('working sheet'!$F$2:$F$3548, MATCH(A780, 'working sheet'!$D$2:$D$3548, 0)))</f>
        <v>Latte</v>
      </c>
      <c r="H780" s="7">
        <f t="shared" si="25"/>
        <v>1.0025656712969067</v>
      </c>
      <c r="I780" s="7">
        <f>MAX('working sheet'!$B$2:$B$3548)-C780</f>
        <v>156.84842611110798</v>
      </c>
      <c r="J780" s="4" t="str">
        <f t="array" ref="J780">IF(AND(I780&lt;=30, D780&gt;=10, E780&gt;=200), "VIP",  IF(AND(I780&lt;=60, D780&gt;=5, E780&gt;=100), "Loyal", IF(AND(I780&lt;=90, D780&gt;=3), "Regular", IF(I780&lt;=30, "Recent", IF(D780&gt;=3, "Occasional", "At Risk")))))</f>
        <v>Occasional</v>
      </c>
      <c r="K780" t="str">
        <f t="array" ref="K780">IF(OR(J780="VIP", J780="Loyal"), "HIGH",IF(OR(J780="Regular", J780="Recent"), "MEDIUM","LOW"))</f>
        <v>LOW</v>
      </c>
    </row>
    <row r="781" spans="1:11">
      <c r="A781" t="s">
        <v>794</v>
      </c>
      <c r="B781" s="14">
        <f>_xlfn.MINIFS('working sheet'!$B$2:$B$3548, 'working sheet'!$D$2:$D$3548, A781)</f>
        <v>45583.413428576387</v>
      </c>
      <c r="C781" s="17">
        <f>_xlfn.MAXIFS('working sheet'!$B$1:$B$3548,'working sheet'!$D$1:$D$3548,'Customer Portfolio'!A781)</f>
        <v>45583.496514074075</v>
      </c>
      <c r="D781">
        <f>COUNTIFS('working sheet'!$D$1:$D$3548,'Customer Portfolio'!A781)</f>
        <v>2</v>
      </c>
      <c r="E781" s="5">
        <f>SUMIFS('working sheet'!$E$2:$E$3548,'working sheet'!$D$2:$D$3548,'Customer Portfolio'!A781)</f>
        <v>71.52</v>
      </c>
      <c r="F781" s="6">
        <f t="shared" si="24"/>
        <v>35.76</v>
      </c>
      <c r="G781" t="str">
        <f t="array" ref="G781">IFERROR(INDEX('working sheet'!$F$2:$F$3548, MODE(IF('working sheet'!$D$2:$D$3548=A781, MATCH('working sheet'!$F$2:$F$3548, 'working sheet'!$F$2:$F$3548, 0)))),
         INDEX('working sheet'!$F$2:$F$3548, MATCH(A781, 'working sheet'!$D$2:$D$3548, 0)))</f>
        <v>Cappuccino</v>
      </c>
      <c r="H781" s="7">
        <f t="shared" si="25"/>
        <v>1.0830854976884439</v>
      </c>
      <c r="I781" s="7">
        <f>MAX('working sheet'!$B$2:$B$3548)-C781</f>
        <v>156.26157197916473</v>
      </c>
      <c r="J781" s="4" t="str">
        <f t="array" ref="J781">IF(AND(I781&lt;=30, D781&gt;=10, E781&gt;=200), "VIP",  IF(AND(I781&lt;=60, D781&gt;=5, E781&gt;=100), "Loyal", IF(AND(I781&lt;=90, D781&gt;=3), "Regular", IF(I781&lt;=30, "Recent", IF(D781&gt;=3, "Occasional", "At Risk")))))</f>
        <v>At Risk</v>
      </c>
      <c r="K781" t="str">
        <f t="array" ref="K781">IF(OR(J781="VIP", J781="Loyal"), "HIGH",IF(OR(J781="Regular", J781="Recent"), "MEDIUM","LOW"))</f>
        <v>LOW</v>
      </c>
    </row>
    <row r="782" spans="1:11">
      <c r="A782" t="s">
        <v>795</v>
      </c>
      <c r="B782" s="14">
        <f>_xlfn.MINIFS('working sheet'!$B$2:$B$3548, 'working sheet'!$D$2:$D$3548, A782)</f>
        <v>45583.618797650466</v>
      </c>
      <c r="C782" s="17">
        <f>_xlfn.MAXIFS('working sheet'!$B$1:$B$3548,'working sheet'!$D$1:$D$3548,'Customer Portfolio'!A782)</f>
        <v>45583.619621817132</v>
      </c>
      <c r="D782">
        <f>COUNTIFS('working sheet'!$D$1:$D$3548,'Customer Portfolio'!A782)</f>
        <v>2</v>
      </c>
      <c r="E782" s="5">
        <f>SUMIFS('working sheet'!$E$2:$E$3548,'working sheet'!$D$2:$D$3548,'Customer Portfolio'!A782)</f>
        <v>71.52</v>
      </c>
      <c r="F782" s="6">
        <f t="shared" si="24"/>
        <v>35.76</v>
      </c>
      <c r="G782" t="str">
        <f t="array" ref="G782">IFERROR(INDEX('working sheet'!$F$2:$F$3548, MODE(IF('working sheet'!$D$2:$D$3548=A782, MATCH('working sheet'!$F$2:$F$3548, 'working sheet'!$F$2:$F$3548, 0)))),
         INDEX('working sheet'!$F$2:$F$3548, MATCH(A782, 'working sheet'!$D$2:$D$3548, 0)))</f>
        <v>Latte</v>
      </c>
      <c r="H782" s="7">
        <f t="shared" si="25"/>
        <v>1.0008241666655522</v>
      </c>
      <c r="I782" s="7">
        <f>MAX('working sheet'!$B$2:$B$3548)-C782</f>
        <v>156.13846423610812</v>
      </c>
      <c r="J782" s="4" t="str">
        <f t="array" ref="J782">IF(AND(I782&lt;=30, D782&gt;=10, E782&gt;=200), "VIP",  IF(AND(I782&lt;=60, D782&gt;=5, E782&gt;=100), "Loyal", IF(AND(I782&lt;=90, D782&gt;=3), "Regular", IF(I782&lt;=30, "Recent", IF(D782&gt;=3, "Occasional", "At Risk")))))</f>
        <v>At Risk</v>
      </c>
      <c r="K782" t="str">
        <f t="array" ref="K782">IF(OR(J782="VIP", J782="Loyal"), "HIGH",IF(OR(J782="Regular", J782="Recent"), "MEDIUM","LOW"))</f>
        <v>LOW</v>
      </c>
    </row>
    <row r="783" spans="1:11">
      <c r="A783" t="s">
        <v>796</v>
      </c>
      <c r="B783" s="14">
        <f>_xlfn.MINIFS('working sheet'!$B$2:$B$3548, 'working sheet'!$D$2:$D$3548, A783)</f>
        <v>45583.673586527781</v>
      </c>
      <c r="C783" s="17">
        <f>_xlfn.MAXIFS('working sheet'!$B$1:$B$3548,'working sheet'!$D$1:$D$3548,'Customer Portfolio'!A783)</f>
        <v>45583.673586527781</v>
      </c>
      <c r="D783">
        <f>COUNTIFS('working sheet'!$D$1:$D$3548,'Customer Portfolio'!A783)</f>
        <v>1</v>
      </c>
      <c r="E783" s="5">
        <f>SUMIFS('working sheet'!$E$2:$E$3548,'working sheet'!$D$2:$D$3548,'Customer Portfolio'!A783)</f>
        <v>35.76</v>
      </c>
      <c r="F783" s="6">
        <f t="shared" si="24"/>
        <v>35.76</v>
      </c>
      <c r="G783" t="str">
        <f t="array" ref="G783">IFERROR(INDEX('working sheet'!$F$2:$F$3548, MODE(IF('working sheet'!$D$2:$D$3548=A783, MATCH('working sheet'!$F$2:$F$3548, 'working sheet'!$F$2:$F$3548, 0)))),
         INDEX('working sheet'!$F$2:$F$3548, MATCH(A783, 'working sheet'!$D$2:$D$3548, 0)))</f>
        <v>Latte</v>
      </c>
      <c r="H783" s="7">
        <f t="shared" si="25"/>
        <v>1</v>
      </c>
      <c r="I783" s="7">
        <f>MAX('working sheet'!$B$2:$B$3548)-C783</f>
        <v>156.08449952545925</v>
      </c>
      <c r="J783" s="4" t="str">
        <f t="array" ref="J783">IF(AND(I783&lt;=30, D783&gt;=10, E783&gt;=200), "VIP",  IF(AND(I783&lt;=60, D783&gt;=5, E783&gt;=100), "Loyal", IF(AND(I783&lt;=90, D783&gt;=3), "Regular", IF(I783&lt;=30, "Recent", IF(D783&gt;=3, "Occasional", "At Risk")))))</f>
        <v>At Risk</v>
      </c>
      <c r="K783" t="str">
        <f t="array" ref="K783">IF(OR(J783="VIP", J783="Loyal"), "HIGH",IF(OR(J783="Regular", J783="Recent"), "MEDIUM","LOW"))</f>
        <v>LOW</v>
      </c>
    </row>
    <row r="784" spans="1:11">
      <c r="A784" t="s">
        <v>797</v>
      </c>
      <c r="B784" s="14">
        <f>_xlfn.MINIFS('working sheet'!$B$2:$B$3548, 'working sheet'!$D$2:$D$3548, A784)</f>
        <v>45583.740034467592</v>
      </c>
      <c r="C784" s="17">
        <f>_xlfn.MAXIFS('working sheet'!$B$1:$B$3548,'working sheet'!$D$1:$D$3548,'Customer Portfolio'!A784)</f>
        <v>45630.437356446761</v>
      </c>
      <c r="D784">
        <f>COUNTIFS('working sheet'!$D$1:$D$3548,'Customer Portfolio'!A784)</f>
        <v>2</v>
      </c>
      <c r="E784" s="5">
        <f>SUMIFS('working sheet'!$E$2:$E$3548,'working sheet'!$D$2:$D$3548,'Customer Portfolio'!A784)</f>
        <v>71.52</v>
      </c>
      <c r="F784" s="6">
        <f t="shared" si="24"/>
        <v>35.76</v>
      </c>
      <c r="G784" t="str">
        <f t="array" ref="G784">IFERROR(INDEX('working sheet'!$F$2:$F$3548, MODE(IF('working sheet'!$D$2:$D$3548=A784, MATCH('working sheet'!$F$2:$F$3548, 'working sheet'!$F$2:$F$3548, 0)))),
         INDEX('working sheet'!$F$2:$F$3548, MATCH(A784, 'working sheet'!$D$2:$D$3548, 0)))</f>
        <v>Hot Chocolate</v>
      </c>
      <c r="H784" s="7">
        <f t="shared" si="25"/>
        <v>47.697321979168919</v>
      </c>
      <c r="I784" s="7">
        <f>MAX('working sheet'!$B$2:$B$3548)-C784</f>
        <v>109.32072960647929</v>
      </c>
      <c r="J784" s="4" t="str">
        <f t="array" ref="J784">IF(AND(I784&lt;=30, D784&gt;=10, E784&gt;=200), "VIP",  IF(AND(I784&lt;=60, D784&gt;=5, E784&gt;=100), "Loyal", IF(AND(I784&lt;=90, D784&gt;=3), "Regular", IF(I784&lt;=30, "Recent", IF(D784&gt;=3, "Occasional", "At Risk")))))</f>
        <v>At Risk</v>
      </c>
      <c r="K784" t="str">
        <f t="array" ref="K784">IF(OR(J784="VIP", J784="Loyal"), "HIGH",IF(OR(J784="Regular", J784="Recent"), "MEDIUM","LOW"))</f>
        <v>LOW</v>
      </c>
    </row>
    <row r="785" spans="1:11">
      <c r="A785" t="s">
        <v>798</v>
      </c>
      <c r="B785" s="14">
        <f>_xlfn.MINIFS('working sheet'!$B$2:$B$3548, 'working sheet'!$D$2:$D$3548, A785)</f>
        <v>45583.91138203704</v>
      </c>
      <c r="C785" s="17">
        <f>_xlfn.MAXIFS('working sheet'!$B$1:$B$3548,'working sheet'!$D$1:$D$3548,'Customer Portfolio'!A785)</f>
        <v>45583.91138203704</v>
      </c>
      <c r="D785">
        <f>COUNTIFS('working sheet'!$D$1:$D$3548,'Customer Portfolio'!A785)</f>
        <v>1</v>
      </c>
      <c r="E785" s="5">
        <f>SUMIFS('working sheet'!$E$2:$E$3548,'working sheet'!$D$2:$D$3548,'Customer Portfolio'!A785)</f>
        <v>30.86</v>
      </c>
      <c r="F785" s="6">
        <f t="shared" si="24"/>
        <v>30.86</v>
      </c>
      <c r="G785" t="str">
        <f t="array" ref="G785">IFERROR(INDEX('working sheet'!$F$2:$F$3548, MODE(IF('working sheet'!$D$2:$D$3548=A785, MATCH('working sheet'!$F$2:$F$3548, 'working sheet'!$F$2:$F$3548, 0)))),
         INDEX('working sheet'!$F$2:$F$3548, MATCH(A785, 'working sheet'!$D$2:$D$3548, 0)))</f>
        <v>Americano with Milk</v>
      </c>
      <c r="H785" s="7">
        <f t="shared" si="25"/>
        <v>1</v>
      </c>
      <c r="I785" s="7">
        <f>MAX('working sheet'!$B$2:$B$3548)-C785</f>
        <v>155.84670401619951</v>
      </c>
      <c r="J785" s="4" t="str">
        <f t="array" ref="J785">IF(AND(I785&lt;=30, D785&gt;=10, E785&gt;=200), "VIP",  IF(AND(I785&lt;=60, D785&gt;=5, E785&gt;=100), "Loyal", IF(AND(I785&lt;=90, D785&gt;=3), "Regular", IF(I785&lt;=30, "Recent", IF(D785&gt;=3, "Occasional", "At Risk")))))</f>
        <v>At Risk</v>
      </c>
      <c r="K785" t="str">
        <f t="array" ref="K785">IF(OR(J785="VIP", J785="Loyal"), "HIGH",IF(OR(J785="Regular", J785="Recent"), "MEDIUM","LOW"))</f>
        <v>LOW</v>
      </c>
    </row>
    <row r="786" spans="1:11">
      <c r="A786" t="s">
        <v>799</v>
      </c>
      <c r="B786" s="14">
        <f>_xlfn.MINIFS('working sheet'!$B$2:$B$3548, 'working sheet'!$D$2:$D$3548, A786)</f>
        <v>45584.357102476853</v>
      </c>
      <c r="C786" s="17">
        <f>_xlfn.MAXIFS('working sheet'!$B$1:$B$3548,'working sheet'!$D$1:$D$3548,'Customer Portfolio'!A786)</f>
        <v>45584.357102476853</v>
      </c>
      <c r="D786">
        <f>COUNTIFS('working sheet'!$D$1:$D$3548,'Customer Portfolio'!A786)</f>
        <v>1</v>
      </c>
      <c r="E786" s="5">
        <f>SUMIFS('working sheet'!$E$2:$E$3548,'working sheet'!$D$2:$D$3548,'Customer Portfolio'!A786)</f>
        <v>30.86</v>
      </c>
      <c r="F786" s="6">
        <f t="shared" si="24"/>
        <v>30.86</v>
      </c>
      <c r="G786" t="str">
        <f t="array" ref="G786">IFERROR(INDEX('working sheet'!$F$2:$F$3548, MODE(IF('working sheet'!$D$2:$D$3548=A786, MATCH('working sheet'!$F$2:$F$3548, 'working sheet'!$F$2:$F$3548, 0)))),
         INDEX('working sheet'!$F$2:$F$3548, MATCH(A786, 'working sheet'!$D$2:$D$3548, 0)))</f>
        <v>Americano with Milk</v>
      </c>
      <c r="H786" s="7">
        <f t="shared" si="25"/>
        <v>1</v>
      </c>
      <c r="I786" s="7">
        <f>MAX('working sheet'!$B$2:$B$3548)-C786</f>
        <v>155.40098357638635</v>
      </c>
      <c r="J786" s="4" t="str">
        <f t="array" ref="J786">IF(AND(I786&lt;=30, D786&gt;=10, E786&gt;=200), "VIP",  IF(AND(I786&lt;=60, D786&gt;=5, E786&gt;=100), "Loyal", IF(AND(I786&lt;=90, D786&gt;=3), "Regular", IF(I786&lt;=30, "Recent", IF(D786&gt;=3, "Occasional", "At Risk")))))</f>
        <v>At Risk</v>
      </c>
      <c r="K786" t="str">
        <f t="array" ref="K786">IF(OR(J786="VIP", J786="Loyal"), "HIGH",IF(OR(J786="Regular", J786="Recent"), "MEDIUM","LOW"))</f>
        <v>LOW</v>
      </c>
    </row>
    <row r="787" spans="1:11">
      <c r="A787" t="s">
        <v>800</v>
      </c>
      <c r="B787" s="14">
        <f>_xlfn.MINIFS('working sheet'!$B$2:$B$3548, 'working sheet'!$D$2:$D$3548, A787)</f>
        <v>45584.949047418981</v>
      </c>
      <c r="C787" s="17">
        <f>_xlfn.MAXIFS('working sheet'!$B$1:$B$3548,'working sheet'!$D$1:$D$3548,'Customer Portfolio'!A787)</f>
        <v>45584.949047418981</v>
      </c>
      <c r="D787">
        <f>COUNTIFS('working sheet'!$D$1:$D$3548,'Customer Portfolio'!A787)</f>
        <v>1</v>
      </c>
      <c r="E787" s="5">
        <f>SUMIFS('working sheet'!$E$2:$E$3548,'working sheet'!$D$2:$D$3548,'Customer Portfolio'!A787)</f>
        <v>35.76</v>
      </c>
      <c r="F787" s="6">
        <f t="shared" si="24"/>
        <v>35.76</v>
      </c>
      <c r="G787" t="str">
        <f t="array" ref="G787">IFERROR(INDEX('working sheet'!$F$2:$F$3548, MODE(IF('working sheet'!$D$2:$D$3548=A787, MATCH('working sheet'!$F$2:$F$3548, 'working sheet'!$F$2:$F$3548, 0)))),
         INDEX('working sheet'!$F$2:$F$3548, MATCH(A787, 'working sheet'!$D$2:$D$3548, 0)))</f>
        <v>Cappuccino</v>
      </c>
      <c r="H787" s="7">
        <f t="shared" si="25"/>
        <v>1</v>
      </c>
      <c r="I787" s="7">
        <f>MAX('working sheet'!$B$2:$B$3548)-C787</f>
        <v>154.8090386342592</v>
      </c>
      <c r="J787" s="4" t="str">
        <f t="array" ref="J787">IF(AND(I787&lt;=30, D787&gt;=10, E787&gt;=200), "VIP",  IF(AND(I787&lt;=60, D787&gt;=5, E787&gt;=100), "Loyal", IF(AND(I787&lt;=90, D787&gt;=3), "Regular", IF(I787&lt;=30, "Recent", IF(D787&gt;=3, "Occasional", "At Risk")))))</f>
        <v>At Risk</v>
      </c>
      <c r="K787" t="str">
        <f t="array" ref="K787">IF(OR(J787="VIP", J787="Loyal"), "HIGH",IF(OR(J787="Regular", J787="Recent"), "MEDIUM","LOW"))</f>
        <v>LOW</v>
      </c>
    </row>
    <row r="788" spans="1:11">
      <c r="A788" t="s">
        <v>801</v>
      </c>
      <c r="B788" s="14">
        <f>_xlfn.MINIFS('working sheet'!$B$2:$B$3548, 'working sheet'!$D$2:$D$3548, A788)</f>
        <v>45585.470044456022</v>
      </c>
      <c r="C788" s="17">
        <f>_xlfn.MAXIFS('working sheet'!$B$1:$B$3548,'working sheet'!$D$1:$D$3548,'Customer Portfolio'!A788)</f>
        <v>45634.447022291664</v>
      </c>
      <c r="D788">
        <f>COUNTIFS('working sheet'!$D$1:$D$3548,'Customer Portfolio'!A788)</f>
        <v>3</v>
      </c>
      <c r="E788" s="5">
        <f>SUMIFS('working sheet'!$E$2:$E$3548,'working sheet'!$D$2:$D$3548,'Customer Portfolio'!A788)</f>
        <v>107.28</v>
      </c>
      <c r="F788" s="6">
        <f t="shared" si="24"/>
        <v>35.76</v>
      </c>
      <c r="G788" t="str">
        <f t="array" ref="G788">IFERROR(INDEX('working sheet'!$F$2:$F$3548, MODE(IF('working sheet'!$D$2:$D$3548=A788, MATCH('working sheet'!$F$2:$F$3548, 'working sheet'!$F$2:$F$3548, 0)))),
         INDEX('working sheet'!$F$2:$F$3548, MATCH(A788, 'working sheet'!$D$2:$D$3548, 0)))</f>
        <v>Latte</v>
      </c>
      <c r="H788" s="7">
        <f t="shared" si="25"/>
        <v>49.976977835642174</v>
      </c>
      <c r="I788" s="7">
        <f>MAX('working sheet'!$B$2:$B$3548)-C788</f>
        <v>105.3110637615755</v>
      </c>
      <c r="J788" s="4" t="str">
        <f t="array" ref="J788">IF(AND(I788&lt;=30, D788&gt;=10, E788&gt;=200), "VIP",  IF(AND(I788&lt;=60, D788&gt;=5, E788&gt;=100), "Loyal", IF(AND(I788&lt;=90, D788&gt;=3), "Regular", IF(I788&lt;=30, "Recent", IF(D788&gt;=3, "Occasional", "At Risk")))))</f>
        <v>Occasional</v>
      </c>
      <c r="K788" t="str">
        <f t="array" ref="K788">IF(OR(J788="VIP", J788="Loyal"), "HIGH",IF(OR(J788="Regular", J788="Recent"), "MEDIUM","LOW"))</f>
        <v>LOW</v>
      </c>
    </row>
    <row r="789" spans="1:11">
      <c r="A789" t="s">
        <v>802</v>
      </c>
      <c r="B789" s="14">
        <f>_xlfn.MINIFS('working sheet'!$B$2:$B$3548, 'working sheet'!$D$2:$D$3548, A789)</f>
        <v>45585.698029895837</v>
      </c>
      <c r="C789" s="17">
        <f>_xlfn.MAXIFS('working sheet'!$B$1:$B$3548,'working sheet'!$D$1:$D$3548,'Customer Portfolio'!A789)</f>
        <v>45589.658679826389</v>
      </c>
      <c r="D789">
        <f>COUNTIFS('working sheet'!$D$1:$D$3548,'Customer Portfolio'!A789)</f>
        <v>4</v>
      </c>
      <c r="E789" s="5">
        <f>SUMIFS('working sheet'!$E$2:$E$3548,'working sheet'!$D$2:$D$3548,'Customer Portfolio'!A789)</f>
        <v>143.04</v>
      </c>
      <c r="F789" s="6">
        <f t="shared" si="24"/>
        <v>35.76</v>
      </c>
      <c r="G789" t="str">
        <f t="array" ref="G789">IFERROR(INDEX('working sheet'!$F$2:$F$3548, MODE(IF('working sheet'!$D$2:$D$3548=A789, MATCH('working sheet'!$F$2:$F$3548, 'working sheet'!$F$2:$F$3548, 0)))),
         INDEX('working sheet'!$F$2:$F$3548, MATCH(A789, 'working sheet'!$D$2:$D$3548, 0)))</f>
        <v>Latte</v>
      </c>
      <c r="H789" s="7">
        <f t="shared" si="25"/>
        <v>4.960649930551881</v>
      </c>
      <c r="I789" s="7">
        <f>MAX('working sheet'!$B$2:$B$3548)-C789</f>
        <v>150.09940622685099</v>
      </c>
      <c r="J789" s="4" t="str">
        <f t="array" ref="J789">IF(AND(I789&lt;=30, D789&gt;=10, E789&gt;=200), "VIP",  IF(AND(I789&lt;=60, D789&gt;=5, E789&gt;=100), "Loyal", IF(AND(I789&lt;=90, D789&gt;=3), "Regular", IF(I789&lt;=30, "Recent", IF(D789&gt;=3, "Occasional", "At Risk")))))</f>
        <v>Occasional</v>
      </c>
      <c r="K789" t="str">
        <f t="array" ref="K789">IF(OR(J789="VIP", J789="Loyal"), "HIGH",IF(OR(J789="Regular", J789="Recent"), "MEDIUM","LOW"))</f>
        <v>LOW</v>
      </c>
    </row>
    <row r="790" spans="1:11">
      <c r="A790" t="s">
        <v>803</v>
      </c>
      <c r="B790" s="14">
        <f>_xlfn.MINIFS('working sheet'!$B$2:$B$3548, 'working sheet'!$D$2:$D$3548, A790)</f>
        <v>45585.884931076391</v>
      </c>
      <c r="C790" s="17">
        <f>_xlfn.MAXIFS('working sheet'!$B$1:$B$3548,'working sheet'!$D$1:$D$3548,'Customer Portfolio'!A790)</f>
        <v>45586.938014467596</v>
      </c>
      <c r="D790">
        <f>COUNTIFS('working sheet'!$D$1:$D$3548,'Customer Portfolio'!A790)</f>
        <v>2</v>
      </c>
      <c r="E790" s="5">
        <f>SUMIFS('working sheet'!$E$2:$E$3548,'working sheet'!$D$2:$D$3548,'Customer Portfolio'!A790)</f>
        <v>71.52</v>
      </c>
      <c r="F790" s="6">
        <f t="shared" si="24"/>
        <v>35.76</v>
      </c>
      <c r="G790" t="str">
        <f t="array" ref="G790">IFERROR(INDEX('working sheet'!$F$2:$F$3548, MODE(IF('working sheet'!$D$2:$D$3548=A790, MATCH('working sheet'!$F$2:$F$3548, 'working sheet'!$F$2:$F$3548, 0)))),
         INDEX('working sheet'!$F$2:$F$3548, MATCH(A790, 'working sheet'!$D$2:$D$3548, 0)))</f>
        <v>Hot Chocolate</v>
      </c>
      <c r="H790" s="7">
        <f t="shared" si="25"/>
        <v>2.0530833912052913</v>
      </c>
      <c r="I790" s="7">
        <f>MAX('working sheet'!$B$2:$B$3548)-C790</f>
        <v>152.82007158564375</v>
      </c>
      <c r="J790" s="4" t="str">
        <f t="array" ref="J790">IF(AND(I790&lt;=30, D790&gt;=10, E790&gt;=200), "VIP",  IF(AND(I790&lt;=60, D790&gt;=5, E790&gt;=100), "Loyal", IF(AND(I790&lt;=90, D790&gt;=3), "Regular", IF(I790&lt;=30, "Recent", IF(D790&gt;=3, "Occasional", "At Risk")))))</f>
        <v>At Risk</v>
      </c>
      <c r="K790" t="str">
        <f t="array" ref="K790">IF(OR(J790="VIP", J790="Loyal"), "HIGH",IF(OR(J790="Regular", J790="Recent"), "MEDIUM","LOW"))</f>
        <v>LOW</v>
      </c>
    </row>
    <row r="791" spans="1:11">
      <c r="A791" t="s">
        <v>804</v>
      </c>
      <c r="B791" s="14">
        <f>_xlfn.MINIFS('working sheet'!$B$2:$B$3548, 'working sheet'!$D$2:$D$3548, A791)</f>
        <v>45585.885622453701</v>
      </c>
      <c r="C791" s="17">
        <f>_xlfn.MAXIFS('working sheet'!$B$1:$B$3548,'working sheet'!$D$1:$D$3548,'Customer Portfolio'!A791)</f>
        <v>45585.885622453701</v>
      </c>
      <c r="D791">
        <f>COUNTIFS('working sheet'!$D$1:$D$3548,'Customer Portfolio'!A791)</f>
        <v>1</v>
      </c>
      <c r="E791" s="5">
        <f>SUMIFS('working sheet'!$E$2:$E$3548,'working sheet'!$D$2:$D$3548,'Customer Portfolio'!A791)</f>
        <v>25.96</v>
      </c>
      <c r="F791" s="6">
        <f t="shared" si="24"/>
        <v>25.96</v>
      </c>
      <c r="G791" t="str">
        <f t="array" ref="G791">IFERROR(INDEX('working sheet'!$F$2:$F$3548, MODE(IF('working sheet'!$D$2:$D$3548=A791, MATCH('working sheet'!$F$2:$F$3548, 'working sheet'!$F$2:$F$3548, 0)))),
         INDEX('working sheet'!$F$2:$F$3548, MATCH(A791, 'working sheet'!$D$2:$D$3548, 0)))</f>
        <v>Cortado</v>
      </c>
      <c r="H791" s="7">
        <f t="shared" si="25"/>
        <v>1</v>
      </c>
      <c r="I791" s="7">
        <f>MAX('working sheet'!$B$2:$B$3548)-C791</f>
        <v>153.87246359953861</v>
      </c>
      <c r="J791" s="4" t="str">
        <f t="array" ref="J791">IF(AND(I791&lt;=30, D791&gt;=10, E791&gt;=200), "VIP",  IF(AND(I791&lt;=60, D791&gt;=5, E791&gt;=100), "Loyal", IF(AND(I791&lt;=90, D791&gt;=3), "Regular", IF(I791&lt;=30, "Recent", IF(D791&gt;=3, "Occasional", "At Risk")))))</f>
        <v>At Risk</v>
      </c>
      <c r="K791" t="str">
        <f t="array" ref="K791">IF(OR(J791="VIP", J791="Loyal"), "HIGH",IF(OR(J791="Regular", J791="Recent"), "MEDIUM","LOW"))</f>
        <v>LOW</v>
      </c>
    </row>
    <row r="792" spans="1:11">
      <c r="A792" t="s">
        <v>805</v>
      </c>
      <c r="B792" s="14">
        <f>_xlfn.MINIFS('working sheet'!$B$2:$B$3548, 'working sheet'!$D$2:$D$3548, A792)</f>
        <v>45585.887116493053</v>
      </c>
      <c r="C792" s="17">
        <f>_xlfn.MAXIFS('working sheet'!$B$1:$B$3548,'working sheet'!$D$1:$D$3548,'Customer Portfolio'!A792)</f>
        <v>45586.938587569442</v>
      </c>
      <c r="D792">
        <f>COUNTIFS('working sheet'!$D$1:$D$3548,'Customer Portfolio'!A792)</f>
        <v>2</v>
      </c>
      <c r="E792" s="5">
        <f>SUMIFS('working sheet'!$E$2:$E$3548,'working sheet'!$D$2:$D$3548,'Customer Portfolio'!A792)</f>
        <v>71.52</v>
      </c>
      <c r="F792" s="6">
        <f t="shared" si="24"/>
        <v>35.76</v>
      </c>
      <c r="G792" t="str">
        <f t="array" ref="G792">IFERROR(INDEX('working sheet'!$F$2:$F$3548, MODE(IF('working sheet'!$D$2:$D$3548=A792, MATCH('working sheet'!$F$2:$F$3548, 'working sheet'!$F$2:$F$3548, 0)))),
         INDEX('working sheet'!$F$2:$F$3548, MATCH(A792, 'working sheet'!$D$2:$D$3548, 0)))</f>
        <v>Cocoa</v>
      </c>
      <c r="H792" s="7">
        <f t="shared" si="25"/>
        <v>2.0514710763891344</v>
      </c>
      <c r="I792" s="7">
        <f>MAX('working sheet'!$B$2:$B$3548)-C792</f>
        <v>152.81949848379736</v>
      </c>
      <c r="J792" s="4" t="str">
        <f t="array" ref="J792">IF(AND(I792&lt;=30, D792&gt;=10, E792&gt;=200), "VIP",  IF(AND(I792&lt;=60, D792&gt;=5, E792&gt;=100), "Loyal", IF(AND(I792&lt;=90, D792&gt;=3), "Regular", IF(I792&lt;=30, "Recent", IF(D792&gt;=3, "Occasional", "At Risk")))))</f>
        <v>At Risk</v>
      </c>
      <c r="K792" t="str">
        <f t="array" ref="K792">IF(OR(J792="VIP", J792="Loyal"), "HIGH",IF(OR(J792="Regular", J792="Recent"), "MEDIUM","LOW"))</f>
        <v>LOW</v>
      </c>
    </row>
    <row r="793" spans="1:11">
      <c r="A793" t="s">
        <v>806</v>
      </c>
      <c r="B793" s="14">
        <f>_xlfn.MINIFS('working sheet'!$B$2:$B$3548, 'working sheet'!$D$2:$D$3548, A793)</f>
        <v>45585.892362094906</v>
      </c>
      <c r="C793" s="17">
        <f>_xlfn.MAXIFS('working sheet'!$B$1:$B$3548,'working sheet'!$D$1:$D$3548,'Customer Portfolio'!A793)</f>
        <v>45585.892362094906</v>
      </c>
      <c r="D793">
        <f>COUNTIFS('working sheet'!$D$1:$D$3548,'Customer Portfolio'!A793)</f>
        <v>1</v>
      </c>
      <c r="E793" s="5">
        <f>SUMIFS('working sheet'!$E$2:$E$3548,'working sheet'!$D$2:$D$3548,'Customer Portfolio'!A793)</f>
        <v>35.76</v>
      </c>
      <c r="F793" s="6">
        <f t="shared" si="24"/>
        <v>35.76</v>
      </c>
      <c r="G793" t="str">
        <f t="array" ref="G793">IFERROR(INDEX('working sheet'!$F$2:$F$3548, MODE(IF('working sheet'!$D$2:$D$3548=A793, MATCH('working sheet'!$F$2:$F$3548, 'working sheet'!$F$2:$F$3548, 0)))),
         INDEX('working sheet'!$F$2:$F$3548, MATCH(A793, 'working sheet'!$D$2:$D$3548, 0)))</f>
        <v>Latte</v>
      </c>
      <c r="H793" s="7">
        <f t="shared" si="25"/>
        <v>1</v>
      </c>
      <c r="I793" s="7">
        <f>MAX('working sheet'!$B$2:$B$3548)-C793</f>
        <v>153.86572395833355</v>
      </c>
      <c r="J793" s="4" t="str">
        <f t="array" ref="J793">IF(AND(I793&lt;=30, D793&gt;=10, E793&gt;=200), "VIP",  IF(AND(I793&lt;=60, D793&gt;=5, E793&gt;=100), "Loyal", IF(AND(I793&lt;=90, D793&gt;=3), "Regular", IF(I793&lt;=30, "Recent", IF(D793&gt;=3, "Occasional", "At Risk")))))</f>
        <v>At Risk</v>
      </c>
      <c r="K793" t="str">
        <f t="array" ref="K793">IF(OR(J793="VIP", J793="Loyal"), "HIGH",IF(OR(J793="Regular", J793="Recent"), "MEDIUM","LOW"))</f>
        <v>LOW</v>
      </c>
    </row>
    <row r="794" spans="1:11">
      <c r="A794" t="s">
        <v>807</v>
      </c>
      <c r="B794" s="14">
        <f>_xlfn.MINIFS('working sheet'!$B$2:$B$3548, 'working sheet'!$D$2:$D$3548, A794)</f>
        <v>45586.398906793984</v>
      </c>
      <c r="C794" s="17">
        <f>_xlfn.MAXIFS('working sheet'!$B$1:$B$3548,'working sheet'!$D$1:$D$3548,'Customer Portfolio'!A794)</f>
        <v>45586.398906793984</v>
      </c>
      <c r="D794">
        <f>COUNTIFS('working sheet'!$D$1:$D$3548,'Customer Portfolio'!A794)</f>
        <v>1</v>
      </c>
      <c r="E794" s="5">
        <f>SUMIFS('working sheet'!$E$2:$E$3548,'working sheet'!$D$2:$D$3548,'Customer Portfolio'!A794)</f>
        <v>35.76</v>
      </c>
      <c r="F794" s="6">
        <f t="shared" si="24"/>
        <v>35.76</v>
      </c>
      <c r="G794" t="str">
        <f t="array" ref="G794">IFERROR(INDEX('working sheet'!$F$2:$F$3548, MODE(IF('working sheet'!$D$2:$D$3548=A794, MATCH('working sheet'!$F$2:$F$3548, 'working sheet'!$F$2:$F$3548, 0)))),
         INDEX('working sheet'!$F$2:$F$3548, MATCH(A794, 'working sheet'!$D$2:$D$3548, 0)))</f>
        <v>Latte</v>
      </c>
      <c r="H794" s="7">
        <f t="shared" si="25"/>
        <v>1</v>
      </c>
      <c r="I794" s="7">
        <f>MAX('working sheet'!$B$2:$B$3548)-C794</f>
        <v>153.35917925925605</v>
      </c>
      <c r="J794" s="4" t="str">
        <f t="array" ref="J794">IF(AND(I794&lt;=30, D794&gt;=10, E794&gt;=200), "VIP",  IF(AND(I794&lt;=60, D794&gt;=5, E794&gt;=100), "Loyal", IF(AND(I794&lt;=90, D794&gt;=3), "Regular", IF(I794&lt;=30, "Recent", IF(D794&gt;=3, "Occasional", "At Risk")))))</f>
        <v>At Risk</v>
      </c>
      <c r="K794" t="str">
        <f t="array" ref="K794">IF(OR(J794="VIP", J794="Loyal"), "HIGH",IF(OR(J794="Regular", J794="Recent"), "MEDIUM","LOW"))</f>
        <v>LOW</v>
      </c>
    </row>
    <row r="795" spans="1:11">
      <c r="A795" t="s">
        <v>808</v>
      </c>
      <c r="B795" s="14">
        <f>_xlfn.MINIFS('working sheet'!$B$2:$B$3548, 'working sheet'!$D$2:$D$3548, A795)</f>
        <v>45586.613148715274</v>
      </c>
      <c r="C795" s="17">
        <f>_xlfn.MAXIFS('working sheet'!$B$1:$B$3548,'working sheet'!$D$1:$D$3548,'Customer Portfolio'!A795)</f>
        <v>45586.613148715274</v>
      </c>
      <c r="D795">
        <f>COUNTIFS('working sheet'!$D$1:$D$3548,'Customer Portfolio'!A795)</f>
        <v>1</v>
      </c>
      <c r="E795" s="5">
        <f>SUMIFS('working sheet'!$E$2:$E$3548,'working sheet'!$D$2:$D$3548,'Customer Portfolio'!A795)</f>
        <v>35.76</v>
      </c>
      <c r="F795" s="6">
        <f t="shared" si="24"/>
        <v>35.76</v>
      </c>
      <c r="G795" t="str">
        <f t="array" ref="G795">IFERROR(INDEX('working sheet'!$F$2:$F$3548, MODE(IF('working sheet'!$D$2:$D$3548=A795, MATCH('working sheet'!$F$2:$F$3548, 'working sheet'!$F$2:$F$3548, 0)))),
         INDEX('working sheet'!$F$2:$F$3548, MATCH(A795, 'working sheet'!$D$2:$D$3548, 0)))</f>
        <v>Latte</v>
      </c>
      <c r="H795" s="7">
        <f t="shared" si="25"/>
        <v>1</v>
      </c>
      <c r="I795" s="7">
        <f>MAX('working sheet'!$B$2:$B$3548)-C795</f>
        <v>153.14493733796553</v>
      </c>
      <c r="J795" s="4" t="str">
        <f t="array" ref="J795">IF(AND(I795&lt;=30, D795&gt;=10, E795&gt;=200), "VIP",  IF(AND(I795&lt;=60, D795&gt;=5, E795&gt;=100), "Loyal", IF(AND(I795&lt;=90, D795&gt;=3), "Regular", IF(I795&lt;=30, "Recent", IF(D795&gt;=3, "Occasional", "At Risk")))))</f>
        <v>At Risk</v>
      </c>
      <c r="K795" t="str">
        <f t="array" ref="K795">IF(OR(J795="VIP", J795="Loyal"), "HIGH",IF(OR(J795="Regular", J795="Recent"), "MEDIUM","LOW"))</f>
        <v>LOW</v>
      </c>
    </row>
    <row r="796" spans="1:11">
      <c r="A796" t="s">
        <v>809</v>
      </c>
      <c r="B796" s="14">
        <f>_xlfn.MINIFS('working sheet'!$B$2:$B$3548, 'working sheet'!$D$2:$D$3548, A796)</f>
        <v>45586.643778252313</v>
      </c>
      <c r="C796" s="17">
        <f>_xlfn.MAXIFS('working sheet'!$B$1:$B$3548,'working sheet'!$D$1:$D$3548,'Customer Portfolio'!A796)</f>
        <v>45586.643778252313</v>
      </c>
      <c r="D796">
        <f>COUNTIFS('working sheet'!$D$1:$D$3548,'Customer Portfolio'!A796)</f>
        <v>1</v>
      </c>
      <c r="E796" s="5">
        <f>SUMIFS('working sheet'!$E$2:$E$3548,'working sheet'!$D$2:$D$3548,'Customer Portfolio'!A796)</f>
        <v>30.86</v>
      </c>
      <c r="F796" s="6">
        <f t="shared" si="24"/>
        <v>30.86</v>
      </c>
      <c r="G796" t="str">
        <f t="array" ref="G796">IFERROR(INDEX('working sheet'!$F$2:$F$3548, MODE(IF('working sheet'!$D$2:$D$3548=A796, MATCH('working sheet'!$F$2:$F$3548, 'working sheet'!$F$2:$F$3548, 0)))),
         INDEX('working sheet'!$F$2:$F$3548, MATCH(A796, 'working sheet'!$D$2:$D$3548, 0)))</f>
        <v>Americano with Milk</v>
      </c>
      <c r="H796" s="7">
        <f t="shared" si="25"/>
        <v>1</v>
      </c>
      <c r="I796" s="7">
        <f>MAX('working sheet'!$B$2:$B$3548)-C796</f>
        <v>153.11430780092633</v>
      </c>
      <c r="J796" s="4" t="str">
        <f t="array" ref="J796">IF(AND(I796&lt;=30, D796&gt;=10, E796&gt;=200), "VIP",  IF(AND(I796&lt;=60, D796&gt;=5, E796&gt;=100), "Loyal", IF(AND(I796&lt;=90, D796&gt;=3), "Regular", IF(I796&lt;=30, "Recent", IF(D796&gt;=3, "Occasional", "At Risk")))))</f>
        <v>At Risk</v>
      </c>
      <c r="K796" t="str">
        <f t="array" ref="K796">IF(OR(J796="VIP", J796="Loyal"), "HIGH",IF(OR(J796="Regular", J796="Recent"), "MEDIUM","LOW"))</f>
        <v>LOW</v>
      </c>
    </row>
    <row r="797" spans="1:11">
      <c r="A797" t="s">
        <v>810</v>
      </c>
      <c r="B797" s="14">
        <f>_xlfn.MINIFS('working sheet'!$B$2:$B$3548, 'working sheet'!$D$2:$D$3548, A797)</f>
        <v>45586.652137569443</v>
      </c>
      <c r="C797" s="17">
        <f>_xlfn.MAXIFS('working sheet'!$B$1:$B$3548,'working sheet'!$D$1:$D$3548,'Customer Portfolio'!A797)</f>
        <v>45586.652137569443</v>
      </c>
      <c r="D797">
        <f>COUNTIFS('working sheet'!$D$1:$D$3548,'Customer Portfolio'!A797)</f>
        <v>1</v>
      </c>
      <c r="E797" s="5">
        <f>SUMIFS('working sheet'!$E$2:$E$3548,'working sheet'!$D$2:$D$3548,'Customer Portfolio'!A797)</f>
        <v>25.96</v>
      </c>
      <c r="F797" s="6">
        <f t="shared" si="24"/>
        <v>25.96</v>
      </c>
      <c r="G797" t="str">
        <f t="array" ref="G797">IFERROR(INDEX('working sheet'!$F$2:$F$3548, MODE(IF('working sheet'!$D$2:$D$3548=A797, MATCH('working sheet'!$F$2:$F$3548, 'working sheet'!$F$2:$F$3548, 0)))),
         INDEX('working sheet'!$F$2:$F$3548, MATCH(A797, 'working sheet'!$D$2:$D$3548, 0)))</f>
        <v>Cortado</v>
      </c>
      <c r="H797" s="7">
        <f t="shared" si="25"/>
        <v>1</v>
      </c>
      <c r="I797" s="7">
        <f>MAX('working sheet'!$B$2:$B$3548)-C797</f>
        <v>153.10594848379696</v>
      </c>
      <c r="J797" s="4" t="str">
        <f t="array" ref="J797">IF(AND(I797&lt;=30, D797&gt;=10, E797&gt;=200), "VIP",  IF(AND(I797&lt;=60, D797&gt;=5, E797&gt;=100), "Loyal", IF(AND(I797&lt;=90, D797&gt;=3), "Regular", IF(I797&lt;=30, "Recent", IF(D797&gt;=3, "Occasional", "At Risk")))))</f>
        <v>At Risk</v>
      </c>
      <c r="K797" t="str">
        <f t="array" ref="K797">IF(OR(J797="VIP", J797="Loyal"), "HIGH",IF(OR(J797="Regular", J797="Recent"), "MEDIUM","LOW"))</f>
        <v>LOW</v>
      </c>
    </row>
    <row r="798" spans="1:11">
      <c r="A798" t="s">
        <v>811</v>
      </c>
      <c r="B798" s="14">
        <f>_xlfn.MINIFS('working sheet'!$B$2:$B$3548, 'working sheet'!$D$2:$D$3548, A798)</f>
        <v>45586.705122094907</v>
      </c>
      <c r="C798" s="17">
        <f>_xlfn.MAXIFS('working sheet'!$B$1:$B$3548,'working sheet'!$D$1:$D$3548,'Customer Portfolio'!A798)</f>
        <v>45586.705122094907</v>
      </c>
      <c r="D798">
        <f>COUNTIFS('working sheet'!$D$1:$D$3548,'Customer Portfolio'!A798)</f>
        <v>1</v>
      </c>
      <c r="E798" s="5">
        <f>SUMIFS('working sheet'!$E$2:$E$3548,'working sheet'!$D$2:$D$3548,'Customer Portfolio'!A798)</f>
        <v>35.76</v>
      </c>
      <c r="F798" s="6">
        <f t="shared" si="24"/>
        <v>35.76</v>
      </c>
      <c r="G798" t="str">
        <f t="array" ref="G798">IFERROR(INDEX('working sheet'!$F$2:$F$3548, MODE(IF('working sheet'!$D$2:$D$3548=A798, MATCH('working sheet'!$F$2:$F$3548, 'working sheet'!$F$2:$F$3548, 0)))),
         INDEX('working sheet'!$F$2:$F$3548, MATCH(A798, 'working sheet'!$D$2:$D$3548, 0)))</f>
        <v>Latte</v>
      </c>
      <c r="H798" s="7">
        <f t="shared" si="25"/>
        <v>1</v>
      </c>
      <c r="I798" s="7">
        <f>MAX('working sheet'!$B$2:$B$3548)-C798</f>
        <v>153.05296395833284</v>
      </c>
      <c r="J798" s="4" t="str">
        <f t="array" ref="J798">IF(AND(I798&lt;=30, D798&gt;=10, E798&gt;=200), "VIP",  IF(AND(I798&lt;=60, D798&gt;=5, E798&gt;=100), "Loyal", IF(AND(I798&lt;=90, D798&gt;=3), "Regular", IF(I798&lt;=30, "Recent", IF(D798&gt;=3, "Occasional", "At Risk")))))</f>
        <v>At Risk</v>
      </c>
      <c r="K798" t="str">
        <f t="array" ref="K798">IF(OR(J798="VIP", J798="Loyal"), "HIGH",IF(OR(J798="Regular", J798="Recent"), "MEDIUM","LOW"))</f>
        <v>LOW</v>
      </c>
    </row>
    <row r="799" spans="1:11">
      <c r="A799" t="s">
        <v>812</v>
      </c>
      <c r="B799" s="14">
        <f>_xlfn.MINIFS('working sheet'!$B$2:$B$3548, 'working sheet'!$D$2:$D$3548, A799)</f>
        <v>45586.806404537034</v>
      </c>
      <c r="C799" s="17">
        <f>_xlfn.MAXIFS('working sheet'!$B$1:$B$3548,'working sheet'!$D$1:$D$3548,'Customer Portfolio'!A799)</f>
        <v>45641.748673449074</v>
      </c>
      <c r="D799">
        <f>COUNTIFS('working sheet'!$D$1:$D$3548,'Customer Portfolio'!A799)</f>
        <v>2</v>
      </c>
      <c r="E799" s="5">
        <f>SUMIFS('working sheet'!$E$2:$E$3548,'working sheet'!$D$2:$D$3548,'Customer Portfolio'!A799)</f>
        <v>71.52</v>
      </c>
      <c r="F799" s="6">
        <f t="shared" si="24"/>
        <v>35.76</v>
      </c>
      <c r="G799" t="str">
        <f t="array" ref="G799">IFERROR(INDEX('working sheet'!$F$2:$F$3548, MODE(IF('working sheet'!$D$2:$D$3548=A799, MATCH('working sheet'!$F$2:$F$3548, 'working sheet'!$F$2:$F$3548, 0)))),
         INDEX('working sheet'!$F$2:$F$3548, MATCH(A799, 'working sheet'!$D$2:$D$3548, 0)))</f>
        <v>Hot Chocolate</v>
      </c>
      <c r="H799" s="7">
        <f t="shared" si="25"/>
        <v>55.942268912040163</v>
      </c>
      <c r="I799" s="7">
        <f>MAX('working sheet'!$B$2:$B$3548)-C799</f>
        <v>98.009412604165846</v>
      </c>
      <c r="J799" s="4" t="str">
        <f t="array" ref="J799">IF(AND(I799&lt;=30, D799&gt;=10, E799&gt;=200), "VIP",  IF(AND(I799&lt;=60, D799&gt;=5, E799&gt;=100), "Loyal", IF(AND(I799&lt;=90, D799&gt;=3), "Regular", IF(I799&lt;=30, "Recent", IF(D799&gt;=3, "Occasional", "At Risk")))))</f>
        <v>At Risk</v>
      </c>
      <c r="K799" t="str">
        <f t="array" ref="K799">IF(OR(J799="VIP", J799="Loyal"), "HIGH",IF(OR(J799="Regular", J799="Recent"), "MEDIUM","LOW"))</f>
        <v>LOW</v>
      </c>
    </row>
    <row r="800" spans="1:11">
      <c r="A800" t="s">
        <v>813</v>
      </c>
      <c r="B800" s="14">
        <f>_xlfn.MINIFS('working sheet'!$B$2:$B$3548, 'working sheet'!$D$2:$D$3548, A800)</f>
        <v>45586.878890115739</v>
      </c>
      <c r="C800" s="17">
        <f>_xlfn.MAXIFS('working sheet'!$B$1:$B$3548,'working sheet'!$D$1:$D$3548,'Customer Portfolio'!A800)</f>
        <v>45594.838607164354</v>
      </c>
      <c r="D800">
        <f>COUNTIFS('working sheet'!$D$1:$D$3548,'Customer Portfolio'!A800)</f>
        <v>2</v>
      </c>
      <c r="E800" s="5">
        <f>SUMIFS('working sheet'!$E$2:$E$3548,'working sheet'!$D$2:$D$3548,'Customer Portfolio'!A800)</f>
        <v>71.52</v>
      </c>
      <c r="F800" s="6">
        <f t="shared" si="24"/>
        <v>35.76</v>
      </c>
      <c r="G800" t="str">
        <f t="array" ref="G800">IFERROR(INDEX('working sheet'!$F$2:$F$3548, MODE(IF('working sheet'!$D$2:$D$3548=A800, MATCH('working sheet'!$F$2:$F$3548, 'working sheet'!$F$2:$F$3548, 0)))),
         INDEX('working sheet'!$F$2:$F$3548, MATCH(A800, 'working sheet'!$D$2:$D$3548, 0)))</f>
        <v>Latte</v>
      </c>
      <c r="H800" s="7">
        <f t="shared" si="25"/>
        <v>8.9597170486158575</v>
      </c>
      <c r="I800" s="7">
        <f>MAX('working sheet'!$B$2:$B$3548)-C800</f>
        <v>144.91947888888535</v>
      </c>
      <c r="J800" s="4" t="str">
        <f t="array" ref="J800">IF(AND(I800&lt;=30, D800&gt;=10, E800&gt;=200), "VIP",  IF(AND(I800&lt;=60, D800&gt;=5, E800&gt;=100), "Loyal", IF(AND(I800&lt;=90, D800&gt;=3), "Regular", IF(I800&lt;=30, "Recent", IF(D800&gt;=3, "Occasional", "At Risk")))))</f>
        <v>At Risk</v>
      </c>
      <c r="K800" t="str">
        <f t="array" ref="K800">IF(OR(J800="VIP", J800="Loyal"), "HIGH",IF(OR(J800="Regular", J800="Recent"), "MEDIUM","LOW"))</f>
        <v>LOW</v>
      </c>
    </row>
    <row r="801" spans="1:11">
      <c r="A801" t="s">
        <v>814</v>
      </c>
      <c r="B801" s="14">
        <f>_xlfn.MINIFS('working sheet'!$B$2:$B$3548, 'working sheet'!$D$2:$D$3548, A801)</f>
        <v>45587.38738896991</v>
      </c>
      <c r="C801" s="17">
        <f>_xlfn.MAXIFS('working sheet'!$B$1:$B$3548,'working sheet'!$D$1:$D$3548,'Customer Portfolio'!A801)</f>
        <v>45587.38738896991</v>
      </c>
      <c r="D801">
        <f>COUNTIFS('working sheet'!$D$1:$D$3548,'Customer Portfolio'!A801)</f>
        <v>1</v>
      </c>
      <c r="E801" s="5">
        <f>SUMIFS('working sheet'!$E$2:$E$3548,'working sheet'!$D$2:$D$3548,'Customer Portfolio'!A801)</f>
        <v>25.96</v>
      </c>
      <c r="F801" s="6">
        <f t="shared" si="24"/>
        <v>25.96</v>
      </c>
      <c r="G801" t="str">
        <f t="array" ref="G801">IFERROR(INDEX('working sheet'!$F$2:$F$3548, MODE(IF('working sheet'!$D$2:$D$3548=A801, MATCH('working sheet'!$F$2:$F$3548, 'working sheet'!$F$2:$F$3548, 0)))),
         INDEX('working sheet'!$F$2:$F$3548, MATCH(A801, 'working sheet'!$D$2:$D$3548, 0)))</f>
        <v>Cortado</v>
      </c>
      <c r="H801" s="7">
        <f t="shared" si="25"/>
        <v>1</v>
      </c>
      <c r="I801" s="7">
        <f>MAX('working sheet'!$B$2:$B$3548)-C801</f>
        <v>152.37069708333001</v>
      </c>
      <c r="J801" s="4" t="str">
        <f t="array" ref="J801">IF(AND(I801&lt;=30, D801&gt;=10, E801&gt;=200), "VIP",  IF(AND(I801&lt;=60, D801&gt;=5, E801&gt;=100), "Loyal", IF(AND(I801&lt;=90, D801&gt;=3), "Regular", IF(I801&lt;=30, "Recent", IF(D801&gt;=3, "Occasional", "At Risk")))))</f>
        <v>At Risk</v>
      </c>
      <c r="K801" t="str">
        <f t="array" ref="K801">IF(OR(J801="VIP", J801="Loyal"), "HIGH",IF(OR(J801="Regular", J801="Recent"), "MEDIUM","LOW"))</f>
        <v>LOW</v>
      </c>
    </row>
    <row r="802" spans="1:11">
      <c r="A802" t="s">
        <v>815</v>
      </c>
      <c r="B802" s="14">
        <f>_xlfn.MINIFS('working sheet'!$B$2:$B$3548, 'working sheet'!$D$2:$D$3548, A802)</f>
        <v>45587.754890902776</v>
      </c>
      <c r="C802" s="17">
        <f>_xlfn.MAXIFS('working sheet'!$B$1:$B$3548,'working sheet'!$D$1:$D$3548,'Customer Portfolio'!A802)</f>
        <v>45587.754890902776</v>
      </c>
      <c r="D802">
        <f>COUNTIFS('working sheet'!$D$1:$D$3548,'Customer Portfolio'!A802)</f>
        <v>1</v>
      </c>
      <c r="E802" s="5">
        <f>SUMIFS('working sheet'!$E$2:$E$3548,'working sheet'!$D$2:$D$3548,'Customer Portfolio'!A802)</f>
        <v>25.96</v>
      </c>
      <c r="F802" s="6">
        <f t="shared" si="24"/>
        <v>25.96</v>
      </c>
      <c r="G802" t="str">
        <f t="array" ref="G802">IFERROR(INDEX('working sheet'!$F$2:$F$3548, MODE(IF('working sheet'!$D$2:$D$3548=A802, MATCH('working sheet'!$F$2:$F$3548, 'working sheet'!$F$2:$F$3548, 0)))),
         INDEX('working sheet'!$F$2:$F$3548, MATCH(A802, 'working sheet'!$D$2:$D$3548, 0)))</f>
        <v>Americano</v>
      </c>
      <c r="H802" s="7">
        <f t="shared" si="25"/>
        <v>1</v>
      </c>
      <c r="I802" s="7">
        <f>MAX('working sheet'!$B$2:$B$3548)-C802</f>
        <v>152.00319515046431</v>
      </c>
      <c r="J802" s="4" t="str">
        <f t="array" ref="J802">IF(AND(I802&lt;=30, D802&gt;=10, E802&gt;=200), "VIP",  IF(AND(I802&lt;=60, D802&gt;=5, E802&gt;=100), "Loyal", IF(AND(I802&lt;=90, D802&gt;=3), "Regular", IF(I802&lt;=30, "Recent", IF(D802&gt;=3, "Occasional", "At Risk")))))</f>
        <v>At Risk</v>
      </c>
      <c r="K802" t="str">
        <f t="array" ref="K802">IF(OR(J802="VIP", J802="Loyal"), "HIGH",IF(OR(J802="Regular", J802="Recent"), "MEDIUM","LOW"))</f>
        <v>LOW</v>
      </c>
    </row>
    <row r="803" spans="1:11">
      <c r="A803" t="s">
        <v>816</v>
      </c>
      <c r="B803" s="14">
        <f>_xlfn.MINIFS('working sheet'!$B$2:$B$3548, 'working sheet'!$D$2:$D$3548, A803)</f>
        <v>45588.521590567128</v>
      </c>
      <c r="C803" s="17">
        <f>_xlfn.MAXIFS('working sheet'!$B$1:$B$3548,'working sheet'!$D$1:$D$3548,'Customer Portfolio'!A803)</f>
        <v>45635.542302233793</v>
      </c>
      <c r="D803">
        <f>COUNTIFS('working sheet'!$D$1:$D$3548,'Customer Portfolio'!A803)</f>
        <v>2</v>
      </c>
      <c r="E803" s="5">
        <f>SUMIFS('working sheet'!$E$2:$E$3548,'working sheet'!$D$2:$D$3548,'Customer Portfolio'!A803)</f>
        <v>56.82</v>
      </c>
      <c r="F803" s="6">
        <f t="shared" si="24"/>
        <v>28.41</v>
      </c>
      <c r="G803" t="str">
        <f t="array" ref="G803">IFERROR(INDEX('working sheet'!$F$2:$F$3548, MODE(IF('working sheet'!$D$2:$D$3548=A803, MATCH('working sheet'!$F$2:$F$3548, 'working sheet'!$F$2:$F$3548, 0)))),
         INDEX('working sheet'!$F$2:$F$3548, MATCH(A803, 'working sheet'!$D$2:$D$3548, 0)))</f>
        <v>Americano with Milk</v>
      </c>
      <c r="H803" s="7">
        <f t="shared" si="25"/>
        <v>48.020711666664283</v>
      </c>
      <c r="I803" s="7">
        <f>MAX('working sheet'!$B$2:$B$3548)-C803</f>
        <v>104.2157838194471</v>
      </c>
      <c r="J803" s="4" t="str">
        <f t="array" ref="J803">IF(AND(I803&lt;=30, D803&gt;=10, E803&gt;=200), "VIP",  IF(AND(I803&lt;=60, D803&gt;=5, E803&gt;=100), "Loyal", IF(AND(I803&lt;=90, D803&gt;=3), "Regular", IF(I803&lt;=30, "Recent", IF(D803&gt;=3, "Occasional", "At Risk")))))</f>
        <v>At Risk</v>
      </c>
      <c r="K803" t="str">
        <f t="array" ref="K803">IF(OR(J803="VIP", J803="Loyal"), "HIGH",IF(OR(J803="Regular", J803="Recent"), "MEDIUM","LOW"))</f>
        <v>LOW</v>
      </c>
    </row>
    <row r="804" spans="1:11">
      <c r="A804" t="s">
        <v>817</v>
      </c>
      <c r="B804" s="14">
        <f>_xlfn.MINIFS('working sheet'!$B$2:$B$3548, 'working sheet'!$D$2:$D$3548, A804)</f>
        <v>45588.680581736109</v>
      </c>
      <c r="C804" s="17">
        <f>_xlfn.MAXIFS('working sheet'!$B$1:$B$3548,'working sheet'!$D$1:$D$3548,'Customer Portfolio'!A804)</f>
        <v>45588.68135457176</v>
      </c>
      <c r="D804">
        <f>COUNTIFS('working sheet'!$D$1:$D$3548,'Customer Portfolio'!A804)</f>
        <v>2</v>
      </c>
      <c r="E804" s="5">
        <f>SUMIFS('working sheet'!$E$2:$E$3548,'working sheet'!$D$2:$D$3548,'Customer Portfolio'!A804)</f>
        <v>61.72</v>
      </c>
      <c r="F804" s="6">
        <f t="shared" si="24"/>
        <v>30.86</v>
      </c>
      <c r="G804" t="str">
        <f t="array" ref="G804">IFERROR(INDEX('working sheet'!$F$2:$F$3548, MODE(IF('working sheet'!$D$2:$D$3548=A804, MATCH('working sheet'!$F$2:$F$3548, 'working sheet'!$F$2:$F$3548, 0)))),
         INDEX('working sheet'!$F$2:$F$3548, MATCH(A804, 'working sheet'!$D$2:$D$3548, 0)))</f>
        <v>Americano with Milk</v>
      </c>
      <c r="H804" s="7">
        <f t="shared" si="25"/>
        <v>1.0007728356504231</v>
      </c>
      <c r="I804" s="7">
        <f>MAX('working sheet'!$B$2:$B$3548)-C804</f>
        <v>151.07673148148024</v>
      </c>
      <c r="J804" s="4" t="str">
        <f t="array" ref="J804">IF(AND(I804&lt;=30, D804&gt;=10, E804&gt;=200), "VIP",  IF(AND(I804&lt;=60, D804&gt;=5, E804&gt;=100), "Loyal", IF(AND(I804&lt;=90, D804&gt;=3), "Regular", IF(I804&lt;=30, "Recent", IF(D804&gt;=3, "Occasional", "At Risk")))))</f>
        <v>At Risk</v>
      </c>
      <c r="K804" t="str">
        <f t="array" ref="K804">IF(OR(J804="VIP", J804="Loyal"), "HIGH",IF(OR(J804="Regular", J804="Recent"), "MEDIUM","LOW"))</f>
        <v>LOW</v>
      </c>
    </row>
    <row r="805" spans="1:11">
      <c r="A805" t="s">
        <v>818</v>
      </c>
      <c r="B805" s="14">
        <f>_xlfn.MINIFS('working sheet'!$B$2:$B$3548, 'working sheet'!$D$2:$D$3548, A805)</f>
        <v>45588.696183101849</v>
      </c>
      <c r="C805" s="17">
        <f>_xlfn.MAXIFS('working sheet'!$B$1:$B$3548,'working sheet'!$D$1:$D$3548,'Customer Portfolio'!A805)</f>
        <v>45594.361717071763</v>
      </c>
      <c r="D805">
        <f>COUNTIFS('working sheet'!$D$1:$D$3548,'Customer Portfolio'!A805)</f>
        <v>3</v>
      </c>
      <c r="E805" s="5">
        <f>SUMIFS('working sheet'!$E$2:$E$3548,'working sheet'!$D$2:$D$3548,'Customer Portfolio'!A805)</f>
        <v>107.28</v>
      </c>
      <c r="F805" s="6">
        <f t="shared" si="24"/>
        <v>35.76</v>
      </c>
      <c r="G805" t="str">
        <f t="array" ref="G805">IFERROR(INDEX('working sheet'!$F$2:$F$3548, MODE(IF('working sheet'!$D$2:$D$3548=A805, MATCH('working sheet'!$F$2:$F$3548, 'working sheet'!$F$2:$F$3548, 0)))),
         INDEX('working sheet'!$F$2:$F$3548, MATCH(A805, 'working sheet'!$D$2:$D$3548, 0)))</f>
        <v>Cappuccino</v>
      </c>
      <c r="H805" s="7">
        <f t="shared" si="25"/>
        <v>6.6655339699136675</v>
      </c>
      <c r="I805" s="7">
        <f>MAX('working sheet'!$B$2:$B$3548)-C805</f>
        <v>145.39636898147728</v>
      </c>
      <c r="J805" s="4" t="str">
        <f t="array" ref="J805">IF(AND(I805&lt;=30, D805&gt;=10, E805&gt;=200), "VIP",  IF(AND(I805&lt;=60, D805&gt;=5, E805&gt;=100), "Loyal", IF(AND(I805&lt;=90, D805&gt;=3), "Regular", IF(I805&lt;=30, "Recent", IF(D805&gt;=3, "Occasional", "At Risk")))))</f>
        <v>Occasional</v>
      </c>
      <c r="K805" t="str">
        <f t="array" ref="K805">IF(OR(J805="VIP", J805="Loyal"), "HIGH",IF(OR(J805="Regular", J805="Recent"), "MEDIUM","LOW"))</f>
        <v>LOW</v>
      </c>
    </row>
    <row r="806" spans="1:11">
      <c r="A806" t="s">
        <v>819</v>
      </c>
      <c r="B806" s="14">
        <f>_xlfn.MINIFS('working sheet'!$B$2:$B$3548, 'working sheet'!$D$2:$D$3548, A806)</f>
        <v>45588.710258437502</v>
      </c>
      <c r="C806" s="17">
        <f>_xlfn.MAXIFS('working sheet'!$B$1:$B$3548,'working sheet'!$D$1:$D$3548,'Customer Portfolio'!A806)</f>
        <v>45588.710258437502</v>
      </c>
      <c r="D806">
        <f>COUNTIFS('working sheet'!$D$1:$D$3548,'Customer Portfolio'!A806)</f>
        <v>1</v>
      </c>
      <c r="E806" s="5">
        <f>SUMIFS('working sheet'!$E$2:$E$3548,'working sheet'!$D$2:$D$3548,'Customer Portfolio'!A806)</f>
        <v>21.06</v>
      </c>
      <c r="F806" s="6">
        <f t="shared" si="24"/>
        <v>21.06</v>
      </c>
      <c r="G806" t="str">
        <f t="array" ref="G806">IFERROR(INDEX('working sheet'!$F$2:$F$3548, MODE(IF('working sheet'!$D$2:$D$3548=A806, MATCH('working sheet'!$F$2:$F$3548, 'working sheet'!$F$2:$F$3548, 0)))),
         INDEX('working sheet'!$F$2:$F$3548, MATCH(A806, 'working sheet'!$D$2:$D$3548, 0)))</f>
        <v>Espresso</v>
      </c>
      <c r="H806" s="7">
        <f t="shared" si="25"/>
        <v>1</v>
      </c>
      <c r="I806" s="7">
        <f>MAX('working sheet'!$B$2:$B$3548)-C806</f>
        <v>151.04782761573733</v>
      </c>
      <c r="J806" s="4" t="str">
        <f t="array" ref="J806">IF(AND(I806&lt;=30, D806&gt;=10, E806&gt;=200), "VIP",  IF(AND(I806&lt;=60, D806&gt;=5, E806&gt;=100), "Loyal", IF(AND(I806&lt;=90, D806&gt;=3), "Regular", IF(I806&lt;=30, "Recent", IF(D806&gt;=3, "Occasional", "At Risk")))))</f>
        <v>At Risk</v>
      </c>
      <c r="K806" t="str">
        <f t="array" ref="K806">IF(OR(J806="VIP", J806="Loyal"), "HIGH",IF(OR(J806="Regular", J806="Recent"), "MEDIUM","LOW"))</f>
        <v>LOW</v>
      </c>
    </row>
    <row r="807" spans="1:11">
      <c r="A807" t="s">
        <v>820</v>
      </c>
      <c r="B807" s="14">
        <f>_xlfn.MINIFS('working sheet'!$B$2:$B$3548, 'working sheet'!$D$2:$D$3548, A807)</f>
        <v>45588.915552627317</v>
      </c>
      <c r="C807" s="17">
        <f>_xlfn.MAXIFS('working sheet'!$B$1:$B$3548,'working sheet'!$D$1:$D$3548,'Customer Portfolio'!A807)</f>
        <v>45588.915552627317</v>
      </c>
      <c r="D807">
        <f>COUNTIFS('working sheet'!$D$1:$D$3548,'Customer Portfolio'!A807)</f>
        <v>1</v>
      </c>
      <c r="E807" s="5">
        <f>SUMIFS('working sheet'!$E$2:$E$3548,'working sheet'!$D$2:$D$3548,'Customer Portfolio'!A807)</f>
        <v>35.76</v>
      </c>
      <c r="F807" s="6">
        <f t="shared" si="24"/>
        <v>35.76</v>
      </c>
      <c r="G807" t="str">
        <f t="array" ref="G807">IFERROR(INDEX('working sheet'!$F$2:$F$3548, MODE(IF('working sheet'!$D$2:$D$3548=A807, MATCH('working sheet'!$F$2:$F$3548, 'working sheet'!$F$2:$F$3548, 0)))),
         INDEX('working sheet'!$F$2:$F$3548, MATCH(A807, 'working sheet'!$D$2:$D$3548, 0)))</f>
        <v>Hot Chocolate</v>
      </c>
      <c r="H807" s="7">
        <f t="shared" si="25"/>
        <v>1</v>
      </c>
      <c r="I807" s="7">
        <f>MAX('working sheet'!$B$2:$B$3548)-C807</f>
        <v>150.84253342592274</v>
      </c>
      <c r="J807" s="4" t="str">
        <f t="array" ref="J807">IF(AND(I807&lt;=30, D807&gt;=10, E807&gt;=200), "VIP",  IF(AND(I807&lt;=60, D807&gt;=5, E807&gt;=100), "Loyal", IF(AND(I807&lt;=90, D807&gt;=3), "Regular", IF(I807&lt;=30, "Recent", IF(D807&gt;=3, "Occasional", "At Risk")))))</f>
        <v>At Risk</v>
      </c>
      <c r="K807" t="str">
        <f t="array" ref="K807">IF(OR(J807="VIP", J807="Loyal"), "HIGH",IF(OR(J807="Regular", J807="Recent"), "MEDIUM","LOW"))</f>
        <v>LOW</v>
      </c>
    </row>
    <row r="808" spans="1:11">
      <c r="A808" t="s">
        <v>821</v>
      </c>
      <c r="B808" s="14">
        <f>_xlfn.MINIFS('working sheet'!$B$2:$B$3548, 'working sheet'!$D$2:$D$3548, A808)</f>
        <v>45588.933082291667</v>
      </c>
      <c r="C808" s="17">
        <f>_xlfn.MAXIFS('working sheet'!$B$1:$B$3548,'working sheet'!$D$1:$D$3548,'Customer Portfolio'!A808)</f>
        <v>45588.933082291667</v>
      </c>
      <c r="D808">
        <f>COUNTIFS('working sheet'!$D$1:$D$3548,'Customer Portfolio'!A808)</f>
        <v>1</v>
      </c>
      <c r="E808" s="5">
        <f>SUMIFS('working sheet'!$E$2:$E$3548,'working sheet'!$D$2:$D$3548,'Customer Portfolio'!A808)</f>
        <v>35.76</v>
      </c>
      <c r="F808" s="6">
        <f t="shared" si="24"/>
        <v>35.76</v>
      </c>
      <c r="G808" t="str">
        <f t="array" ref="G808">IFERROR(INDEX('working sheet'!$F$2:$F$3548, MODE(IF('working sheet'!$D$2:$D$3548=A808, MATCH('working sheet'!$F$2:$F$3548, 'working sheet'!$F$2:$F$3548, 0)))),
         INDEX('working sheet'!$F$2:$F$3548, MATCH(A808, 'working sheet'!$D$2:$D$3548, 0)))</f>
        <v>Latte</v>
      </c>
      <c r="H808" s="7">
        <f t="shared" si="25"/>
        <v>1</v>
      </c>
      <c r="I808" s="7">
        <f>MAX('working sheet'!$B$2:$B$3548)-C808</f>
        <v>150.82500376157259</v>
      </c>
      <c r="J808" s="4" t="str">
        <f t="array" ref="J808">IF(AND(I808&lt;=30, D808&gt;=10, E808&gt;=200), "VIP",  IF(AND(I808&lt;=60, D808&gt;=5, E808&gt;=100), "Loyal", IF(AND(I808&lt;=90, D808&gt;=3), "Regular", IF(I808&lt;=30, "Recent", IF(D808&gt;=3, "Occasional", "At Risk")))))</f>
        <v>At Risk</v>
      </c>
      <c r="K808" t="str">
        <f t="array" ref="K808">IF(OR(J808="VIP", J808="Loyal"), "HIGH",IF(OR(J808="Regular", J808="Recent"), "MEDIUM","LOW"))</f>
        <v>LOW</v>
      </c>
    </row>
    <row r="809" spans="1:11">
      <c r="A809" t="s">
        <v>822</v>
      </c>
      <c r="B809" s="14">
        <f>_xlfn.MINIFS('working sheet'!$B$2:$B$3548, 'working sheet'!$D$2:$D$3548, A809)</f>
        <v>45589.505400023147</v>
      </c>
      <c r="C809" s="17">
        <f>_xlfn.MAXIFS('working sheet'!$B$1:$B$3548,'working sheet'!$D$1:$D$3548,'Customer Portfolio'!A809)</f>
        <v>45589.505400023147</v>
      </c>
      <c r="D809">
        <f>COUNTIFS('working sheet'!$D$1:$D$3548,'Customer Portfolio'!A809)</f>
        <v>1</v>
      </c>
      <c r="E809" s="5">
        <f>SUMIFS('working sheet'!$E$2:$E$3548,'working sheet'!$D$2:$D$3548,'Customer Portfolio'!A809)</f>
        <v>25.96</v>
      </c>
      <c r="F809" s="6">
        <f t="shared" si="24"/>
        <v>25.96</v>
      </c>
      <c r="G809" t="str">
        <f t="array" ref="G809">IFERROR(INDEX('working sheet'!$F$2:$F$3548, MODE(IF('working sheet'!$D$2:$D$3548=A809, MATCH('working sheet'!$F$2:$F$3548, 'working sheet'!$F$2:$F$3548, 0)))),
         INDEX('working sheet'!$F$2:$F$3548, MATCH(A809, 'working sheet'!$D$2:$D$3548, 0)))</f>
        <v>Americano</v>
      </c>
      <c r="H809" s="7">
        <f t="shared" si="25"/>
        <v>1</v>
      </c>
      <c r="I809" s="7">
        <f>MAX('working sheet'!$B$2:$B$3548)-C809</f>
        <v>150.25268603009317</v>
      </c>
      <c r="J809" s="4" t="str">
        <f t="array" ref="J809">IF(AND(I809&lt;=30, D809&gt;=10, E809&gt;=200), "VIP",  IF(AND(I809&lt;=60, D809&gt;=5, E809&gt;=100), "Loyal", IF(AND(I809&lt;=90, D809&gt;=3), "Regular", IF(I809&lt;=30, "Recent", IF(D809&gt;=3, "Occasional", "At Risk")))))</f>
        <v>At Risk</v>
      </c>
      <c r="K809" t="str">
        <f t="array" ref="K809">IF(OR(J809="VIP", J809="Loyal"), "HIGH",IF(OR(J809="Regular", J809="Recent"), "MEDIUM","LOW"))</f>
        <v>LOW</v>
      </c>
    </row>
    <row r="810" spans="1:11">
      <c r="A810" t="s">
        <v>823</v>
      </c>
      <c r="B810" s="14">
        <f>_xlfn.MINIFS('working sheet'!$B$2:$B$3548, 'working sheet'!$D$2:$D$3548, A810)</f>
        <v>45589.558328483799</v>
      </c>
      <c r="C810" s="17">
        <f>_xlfn.MAXIFS('working sheet'!$B$1:$B$3548,'working sheet'!$D$1:$D$3548,'Customer Portfolio'!A810)</f>
        <v>45589.558328483799</v>
      </c>
      <c r="D810">
        <f>COUNTIFS('working sheet'!$D$1:$D$3548,'Customer Portfolio'!A810)</f>
        <v>1</v>
      </c>
      <c r="E810" s="5">
        <f>SUMIFS('working sheet'!$E$2:$E$3548,'working sheet'!$D$2:$D$3548,'Customer Portfolio'!A810)</f>
        <v>35.76</v>
      </c>
      <c r="F810" s="6">
        <f t="shared" si="24"/>
        <v>35.76</v>
      </c>
      <c r="G810" t="str">
        <f t="array" ref="G810">IFERROR(INDEX('working sheet'!$F$2:$F$3548, MODE(IF('working sheet'!$D$2:$D$3548=A810, MATCH('working sheet'!$F$2:$F$3548, 'working sheet'!$F$2:$F$3548, 0)))),
         INDEX('working sheet'!$F$2:$F$3548, MATCH(A810, 'working sheet'!$D$2:$D$3548, 0)))</f>
        <v>Cappuccino</v>
      </c>
      <c r="H810" s="7">
        <f t="shared" si="25"/>
        <v>1</v>
      </c>
      <c r="I810" s="7">
        <f>MAX('working sheet'!$B$2:$B$3548)-C810</f>
        <v>150.19975756944041</v>
      </c>
      <c r="J810" s="4" t="str">
        <f t="array" ref="J810">IF(AND(I810&lt;=30, D810&gt;=10, E810&gt;=200), "VIP",  IF(AND(I810&lt;=60, D810&gt;=5, E810&gt;=100), "Loyal", IF(AND(I810&lt;=90, D810&gt;=3), "Regular", IF(I810&lt;=30, "Recent", IF(D810&gt;=3, "Occasional", "At Risk")))))</f>
        <v>At Risk</v>
      </c>
      <c r="K810" t="str">
        <f t="array" ref="K810">IF(OR(J810="VIP", J810="Loyal"), "HIGH",IF(OR(J810="Regular", J810="Recent"), "MEDIUM","LOW"))</f>
        <v>LOW</v>
      </c>
    </row>
    <row r="811" spans="1:11">
      <c r="A811" t="s">
        <v>824</v>
      </c>
      <c r="B811" s="14">
        <f>_xlfn.MINIFS('working sheet'!$B$2:$B$3548, 'working sheet'!$D$2:$D$3548, A811)</f>
        <v>45589.617382627315</v>
      </c>
      <c r="C811" s="17">
        <f>_xlfn.MAXIFS('working sheet'!$B$1:$B$3548,'working sheet'!$D$1:$D$3548,'Customer Portfolio'!A811)</f>
        <v>45589.617932175926</v>
      </c>
      <c r="D811">
        <f>COUNTIFS('working sheet'!$D$1:$D$3548,'Customer Portfolio'!A811)</f>
        <v>2</v>
      </c>
      <c r="E811" s="5">
        <f>SUMIFS('working sheet'!$E$2:$E$3548,'working sheet'!$D$2:$D$3548,'Customer Portfolio'!A811)</f>
        <v>71.52</v>
      </c>
      <c r="F811" s="6">
        <f t="shared" si="24"/>
        <v>35.76</v>
      </c>
      <c r="G811" t="str">
        <f t="array" ref="G811">IFERROR(INDEX('working sheet'!$F$2:$F$3548, MODE(IF('working sheet'!$D$2:$D$3548=A811, MATCH('working sheet'!$F$2:$F$3548, 'working sheet'!$F$2:$F$3548, 0)))),
         INDEX('working sheet'!$F$2:$F$3548, MATCH(A811, 'working sheet'!$D$2:$D$3548, 0)))</f>
        <v>Hot Chocolate</v>
      </c>
      <c r="H811" s="7">
        <f t="shared" si="25"/>
        <v>1.0005495486111613</v>
      </c>
      <c r="I811" s="7">
        <f>MAX('working sheet'!$B$2:$B$3548)-C811</f>
        <v>150.14015387731342</v>
      </c>
      <c r="J811" s="4" t="str">
        <f t="array" ref="J811">IF(AND(I811&lt;=30, D811&gt;=10, E811&gt;=200), "VIP",  IF(AND(I811&lt;=60, D811&gt;=5, E811&gt;=100), "Loyal", IF(AND(I811&lt;=90, D811&gt;=3), "Regular", IF(I811&lt;=30, "Recent", IF(D811&gt;=3, "Occasional", "At Risk")))))</f>
        <v>At Risk</v>
      </c>
      <c r="K811" t="str">
        <f t="array" ref="K811">IF(OR(J811="VIP", J811="Loyal"), "HIGH",IF(OR(J811="Regular", J811="Recent"), "MEDIUM","LOW"))</f>
        <v>LOW</v>
      </c>
    </row>
    <row r="812" spans="1:11">
      <c r="A812" t="s">
        <v>825</v>
      </c>
      <c r="B812" s="14">
        <f>_xlfn.MINIFS('working sheet'!$B$2:$B$3548, 'working sheet'!$D$2:$D$3548, A812)</f>
        <v>45589.787353217595</v>
      </c>
      <c r="C812" s="17">
        <f>_xlfn.MAXIFS('working sheet'!$B$1:$B$3548,'working sheet'!$D$1:$D$3548,'Customer Portfolio'!A812)</f>
        <v>45589.788282106485</v>
      </c>
      <c r="D812">
        <f>COUNTIFS('working sheet'!$D$1:$D$3548,'Customer Portfolio'!A812)</f>
        <v>2</v>
      </c>
      <c r="E812" s="5">
        <f>SUMIFS('working sheet'!$E$2:$E$3548,'working sheet'!$D$2:$D$3548,'Customer Portfolio'!A812)</f>
        <v>51.92</v>
      </c>
      <c r="F812" s="6">
        <f t="shared" si="24"/>
        <v>25.96</v>
      </c>
      <c r="G812" t="str">
        <f t="array" ref="G812">IFERROR(INDEX('working sheet'!$F$2:$F$3548, MODE(IF('working sheet'!$D$2:$D$3548=A812, MATCH('working sheet'!$F$2:$F$3548, 'working sheet'!$F$2:$F$3548, 0)))),
         INDEX('working sheet'!$F$2:$F$3548, MATCH(A812, 'working sheet'!$D$2:$D$3548, 0)))</f>
        <v>Americano</v>
      </c>
      <c r="H812" s="7">
        <f t="shared" si="25"/>
        <v>1.0009288888904848</v>
      </c>
      <c r="I812" s="7">
        <f>MAX('working sheet'!$B$2:$B$3548)-C812</f>
        <v>149.96980394675484</v>
      </c>
      <c r="J812" s="4" t="str">
        <f t="array" ref="J812">IF(AND(I812&lt;=30, D812&gt;=10, E812&gt;=200), "VIP",  IF(AND(I812&lt;=60, D812&gt;=5, E812&gt;=100), "Loyal", IF(AND(I812&lt;=90, D812&gt;=3), "Regular", IF(I812&lt;=30, "Recent", IF(D812&gt;=3, "Occasional", "At Risk")))))</f>
        <v>At Risk</v>
      </c>
      <c r="K812" t="str">
        <f t="array" ref="K812">IF(OR(J812="VIP", J812="Loyal"), "HIGH",IF(OR(J812="Regular", J812="Recent"), "MEDIUM","LOW"))</f>
        <v>LOW</v>
      </c>
    </row>
    <row r="813" spans="1:11">
      <c r="A813" t="s">
        <v>826</v>
      </c>
      <c r="B813" s="14">
        <f>_xlfn.MINIFS('working sheet'!$B$2:$B$3548, 'working sheet'!$D$2:$D$3548, A813)</f>
        <v>45589.864021712965</v>
      </c>
      <c r="C813" s="17">
        <f>_xlfn.MAXIFS('working sheet'!$B$1:$B$3548,'working sheet'!$D$1:$D$3548,'Customer Portfolio'!A813)</f>
        <v>45589.864021712965</v>
      </c>
      <c r="D813">
        <f>COUNTIFS('working sheet'!$D$1:$D$3548,'Customer Portfolio'!A813)</f>
        <v>1</v>
      </c>
      <c r="E813" s="5">
        <f>SUMIFS('working sheet'!$E$2:$E$3548,'working sheet'!$D$2:$D$3548,'Customer Portfolio'!A813)</f>
        <v>25.96</v>
      </c>
      <c r="F813" s="6">
        <f t="shared" si="24"/>
        <v>25.96</v>
      </c>
      <c r="G813" t="str">
        <f t="array" ref="G813">IFERROR(INDEX('working sheet'!$F$2:$F$3548, MODE(IF('working sheet'!$D$2:$D$3548=A813, MATCH('working sheet'!$F$2:$F$3548, 'working sheet'!$F$2:$F$3548, 0)))),
         INDEX('working sheet'!$F$2:$F$3548, MATCH(A813, 'working sheet'!$D$2:$D$3548, 0)))</f>
        <v>Americano</v>
      </c>
      <c r="H813" s="7">
        <f t="shared" si="25"/>
        <v>1</v>
      </c>
      <c r="I813" s="7">
        <f>MAX('working sheet'!$B$2:$B$3548)-C813</f>
        <v>149.89406434027478</v>
      </c>
      <c r="J813" s="4" t="str">
        <f t="array" ref="J813">IF(AND(I813&lt;=30, D813&gt;=10, E813&gt;=200), "VIP",  IF(AND(I813&lt;=60, D813&gt;=5, E813&gt;=100), "Loyal", IF(AND(I813&lt;=90, D813&gt;=3), "Regular", IF(I813&lt;=30, "Recent", IF(D813&gt;=3, "Occasional", "At Risk")))))</f>
        <v>At Risk</v>
      </c>
      <c r="K813" t="str">
        <f t="array" ref="K813">IF(OR(J813="VIP", J813="Loyal"), "HIGH",IF(OR(J813="Regular", J813="Recent"), "MEDIUM","LOW"))</f>
        <v>LOW</v>
      </c>
    </row>
    <row r="814" spans="1:11">
      <c r="A814" t="s">
        <v>827</v>
      </c>
      <c r="B814" s="14">
        <f>_xlfn.MINIFS('working sheet'!$B$2:$B$3548, 'working sheet'!$D$2:$D$3548, A814)</f>
        <v>45589.885241759257</v>
      </c>
      <c r="C814" s="17">
        <f>_xlfn.MAXIFS('working sheet'!$B$1:$B$3548,'working sheet'!$D$1:$D$3548,'Customer Portfolio'!A814)</f>
        <v>45589.885753773146</v>
      </c>
      <c r="D814">
        <f>COUNTIFS('working sheet'!$D$1:$D$3548,'Customer Portfolio'!A814)</f>
        <v>2</v>
      </c>
      <c r="E814" s="5">
        <f>SUMIFS('working sheet'!$E$2:$E$3548,'working sheet'!$D$2:$D$3548,'Customer Portfolio'!A814)</f>
        <v>71.52</v>
      </c>
      <c r="F814" s="6">
        <f t="shared" si="24"/>
        <v>35.76</v>
      </c>
      <c r="G814" t="str">
        <f t="array" ref="G814">IFERROR(INDEX('working sheet'!$F$2:$F$3548, MODE(IF('working sheet'!$D$2:$D$3548=A814, MATCH('working sheet'!$F$2:$F$3548, 'working sheet'!$F$2:$F$3548, 0)))),
         INDEX('working sheet'!$F$2:$F$3548, MATCH(A814, 'working sheet'!$D$2:$D$3548, 0)))</f>
        <v>Hot Chocolate</v>
      </c>
      <c r="H814" s="7">
        <f t="shared" si="25"/>
        <v>1.0005120138885104</v>
      </c>
      <c r="I814" s="7">
        <f>MAX('working sheet'!$B$2:$B$3548)-C814</f>
        <v>149.87233228009427</v>
      </c>
      <c r="J814" s="4" t="str">
        <f t="array" ref="J814">IF(AND(I814&lt;=30, D814&gt;=10, E814&gt;=200), "VIP",  IF(AND(I814&lt;=60, D814&gt;=5, E814&gt;=100), "Loyal", IF(AND(I814&lt;=90, D814&gt;=3), "Regular", IF(I814&lt;=30, "Recent", IF(D814&gt;=3, "Occasional", "At Risk")))))</f>
        <v>At Risk</v>
      </c>
      <c r="K814" t="str">
        <f t="array" ref="K814">IF(OR(J814="VIP", J814="Loyal"), "HIGH",IF(OR(J814="Regular", J814="Recent"), "MEDIUM","LOW"))</f>
        <v>LOW</v>
      </c>
    </row>
    <row r="815" spans="1:11">
      <c r="A815" t="s">
        <v>828</v>
      </c>
      <c r="B815" s="14">
        <f>_xlfn.MINIFS('working sheet'!$B$2:$B$3548, 'working sheet'!$D$2:$D$3548, A815)</f>
        <v>45590.528211412035</v>
      </c>
      <c r="C815" s="17">
        <f>_xlfn.MAXIFS('working sheet'!$B$1:$B$3548,'working sheet'!$D$1:$D$3548,'Customer Portfolio'!A815)</f>
        <v>45590.528211412035</v>
      </c>
      <c r="D815">
        <f>COUNTIFS('working sheet'!$D$1:$D$3548,'Customer Portfolio'!A815)</f>
        <v>1</v>
      </c>
      <c r="E815" s="5">
        <f>SUMIFS('working sheet'!$E$2:$E$3548,'working sheet'!$D$2:$D$3548,'Customer Portfolio'!A815)</f>
        <v>35.76</v>
      </c>
      <c r="F815" s="6">
        <f t="shared" si="24"/>
        <v>35.76</v>
      </c>
      <c r="G815" t="str">
        <f t="array" ref="G815">IFERROR(INDEX('working sheet'!$F$2:$F$3548, MODE(IF('working sheet'!$D$2:$D$3548=A815, MATCH('working sheet'!$F$2:$F$3548, 'working sheet'!$F$2:$F$3548, 0)))),
         INDEX('working sheet'!$F$2:$F$3548, MATCH(A815, 'working sheet'!$D$2:$D$3548, 0)))</f>
        <v>Latte</v>
      </c>
      <c r="H815" s="7">
        <f t="shared" si="25"/>
        <v>1</v>
      </c>
      <c r="I815" s="7">
        <f>MAX('working sheet'!$B$2:$B$3548)-C815</f>
        <v>149.22987464120524</v>
      </c>
      <c r="J815" s="4" t="str">
        <f t="array" ref="J815">IF(AND(I815&lt;=30, D815&gt;=10, E815&gt;=200), "VIP",  IF(AND(I815&lt;=60, D815&gt;=5, E815&gt;=100), "Loyal", IF(AND(I815&lt;=90, D815&gt;=3), "Regular", IF(I815&lt;=30, "Recent", IF(D815&gt;=3, "Occasional", "At Risk")))))</f>
        <v>At Risk</v>
      </c>
      <c r="K815" t="str">
        <f t="array" ref="K815">IF(OR(J815="VIP", J815="Loyal"), "HIGH",IF(OR(J815="Regular", J815="Recent"), "MEDIUM","LOW"))</f>
        <v>LOW</v>
      </c>
    </row>
    <row r="816" spans="1:11">
      <c r="A816" t="s">
        <v>829</v>
      </c>
      <c r="B816" s="14">
        <f>_xlfn.MINIFS('working sheet'!$B$2:$B$3548, 'working sheet'!$D$2:$D$3548, A816)</f>
        <v>45590.930138414355</v>
      </c>
      <c r="C816" s="17">
        <f>_xlfn.MAXIFS('working sheet'!$B$1:$B$3548,'working sheet'!$D$1:$D$3548,'Customer Portfolio'!A816)</f>
        <v>45590.932311863427</v>
      </c>
      <c r="D816">
        <f>COUNTIFS('working sheet'!$D$1:$D$3548,'Customer Portfolio'!A816)</f>
        <v>2</v>
      </c>
      <c r="E816" s="5">
        <f>SUMIFS('working sheet'!$E$2:$E$3548,'working sheet'!$D$2:$D$3548,'Customer Portfolio'!A816)</f>
        <v>56.819999999999993</v>
      </c>
      <c r="F816" s="6">
        <f t="shared" si="24"/>
        <v>28.409999999999997</v>
      </c>
      <c r="G816" t="str">
        <f t="array" ref="G816">IFERROR(INDEX('working sheet'!$F$2:$F$3548, MODE(IF('working sheet'!$D$2:$D$3548=A816, MATCH('working sheet'!$F$2:$F$3548, 'working sheet'!$F$2:$F$3548, 0)))),
         INDEX('working sheet'!$F$2:$F$3548, MATCH(A816, 'working sheet'!$D$2:$D$3548, 0)))</f>
        <v>Hot Chocolate</v>
      </c>
      <c r="H816" s="7">
        <f t="shared" si="25"/>
        <v>1.0021734490728704</v>
      </c>
      <c r="I816" s="7">
        <f>MAX('working sheet'!$B$2:$B$3548)-C816</f>
        <v>148.82577418981236</v>
      </c>
      <c r="J816" s="4" t="str">
        <f t="array" ref="J816">IF(AND(I816&lt;=30, D816&gt;=10, E816&gt;=200), "VIP",  IF(AND(I816&lt;=60, D816&gt;=5, E816&gt;=100), "Loyal", IF(AND(I816&lt;=90, D816&gt;=3), "Regular", IF(I816&lt;=30, "Recent", IF(D816&gt;=3, "Occasional", "At Risk")))))</f>
        <v>At Risk</v>
      </c>
      <c r="K816" t="str">
        <f t="array" ref="K816">IF(OR(J816="VIP", J816="Loyal"), "HIGH",IF(OR(J816="Regular", J816="Recent"), "MEDIUM","LOW"))</f>
        <v>LOW</v>
      </c>
    </row>
    <row r="817" spans="1:11">
      <c r="A817" t="s">
        <v>830</v>
      </c>
      <c r="B817" s="14">
        <f>_xlfn.MINIFS('working sheet'!$B$2:$B$3548, 'working sheet'!$D$2:$D$3548, A817)</f>
        <v>45591.433776631944</v>
      </c>
      <c r="C817" s="17">
        <f>_xlfn.MAXIFS('working sheet'!$B$1:$B$3548,'working sheet'!$D$1:$D$3548,'Customer Portfolio'!A817)</f>
        <v>45591.433776631944</v>
      </c>
      <c r="D817">
        <f>COUNTIFS('working sheet'!$D$1:$D$3548,'Customer Portfolio'!A817)</f>
        <v>1</v>
      </c>
      <c r="E817" s="5">
        <f>SUMIFS('working sheet'!$E$2:$E$3548,'working sheet'!$D$2:$D$3548,'Customer Portfolio'!A817)</f>
        <v>25.96</v>
      </c>
      <c r="F817" s="6">
        <f t="shared" si="24"/>
        <v>25.96</v>
      </c>
      <c r="G817" t="str">
        <f t="array" ref="G817">IFERROR(INDEX('working sheet'!$F$2:$F$3548, MODE(IF('working sheet'!$D$2:$D$3548=A817, MATCH('working sheet'!$F$2:$F$3548, 'working sheet'!$F$2:$F$3548, 0)))),
         INDEX('working sheet'!$F$2:$F$3548, MATCH(A817, 'working sheet'!$D$2:$D$3548, 0)))</f>
        <v>Americano</v>
      </c>
      <c r="H817" s="7">
        <f t="shared" si="25"/>
        <v>1</v>
      </c>
      <c r="I817" s="7">
        <f>MAX('working sheet'!$B$2:$B$3548)-C817</f>
        <v>148.32430942129577</v>
      </c>
      <c r="J817" s="4" t="str">
        <f t="array" ref="J817">IF(AND(I817&lt;=30, D817&gt;=10, E817&gt;=200), "VIP",  IF(AND(I817&lt;=60, D817&gt;=5, E817&gt;=100), "Loyal", IF(AND(I817&lt;=90, D817&gt;=3), "Regular", IF(I817&lt;=30, "Recent", IF(D817&gt;=3, "Occasional", "At Risk")))))</f>
        <v>At Risk</v>
      </c>
      <c r="K817" t="str">
        <f t="array" ref="K817">IF(OR(J817="VIP", J817="Loyal"), "HIGH",IF(OR(J817="Regular", J817="Recent"), "MEDIUM","LOW"))</f>
        <v>LOW</v>
      </c>
    </row>
    <row r="818" spans="1:11">
      <c r="A818" t="s">
        <v>831</v>
      </c>
      <c r="B818" s="14">
        <f>_xlfn.MINIFS('working sheet'!$B$2:$B$3548, 'working sheet'!$D$2:$D$3548, A818)</f>
        <v>45591.544109247683</v>
      </c>
      <c r="C818" s="17">
        <f>_xlfn.MAXIFS('working sheet'!$B$1:$B$3548,'working sheet'!$D$1:$D$3548,'Customer Portfolio'!A818)</f>
        <v>45591.544109247683</v>
      </c>
      <c r="D818">
        <f>COUNTIFS('working sheet'!$D$1:$D$3548,'Customer Portfolio'!A818)</f>
        <v>1</v>
      </c>
      <c r="E818" s="5">
        <f>SUMIFS('working sheet'!$E$2:$E$3548,'working sheet'!$D$2:$D$3548,'Customer Portfolio'!A818)</f>
        <v>35.76</v>
      </c>
      <c r="F818" s="6">
        <f t="shared" si="24"/>
        <v>35.76</v>
      </c>
      <c r="G818" t="str">
        <f t="array" ref="G818">IFERROR(INDEX('working sheet'!$F$2:$F$3548, MODE(IF('working sheet'!$D$2:$D$3548=A818, MATCH('working sheet'!$F$2:$F$3548, 'working sheet'!$F$2:$F$3548, 0)))),
         INDEX('working sheet'!$F$2:$F$3548, MATCH(A818, 'working sheet'!$D$2:$D$3548, 0)))</f>
        <v>Latte</v>
      </c>
      <c r="H818" s="7">
        <f t="shared" si="25"/>
        <v>1</v>
      </c>
      <c r="I818" s="7">
        <f>MAX('working sheet'!$B$2:$B$3548)-C818</f>
        <v>148.21397680555674</v>
      </c>
      <c r="J818" s="4" t="str">
        <f t="array" ref="J818">IF(AND(I818&lt;=30, D818&gt;=10, E818&gt;=200), "VIP",  IF(AND(I818&lt;=60, D818&gt;=5, E818&gt;=100), "Loyal", IF(AND(I818&lt;=90, D818&gt;=3), "Regular", IF(I818&lt;=30, "Recent", IF(D818&gt;=3, "Occasional", "At Risk")))))</f>
        <v>At Risk</v>
      </c>
      <c r="K818" t="str">
        <f t="array" ref="K818">IF(OR(J818="VIP", J818="Loyal"), "HIGH",IF(OR(J818="Regular", J818="Recent"), "MEDIUM","LOW"))</f>
        <v>LOW</v>
      </c>
    </row>
    <row r="819" spans="1:11">
      <c r="A819" t="s">
        <v>832</v>
      </c>
      <c r="B819" s="14">
        <f>_xlfn.MINIFS('working sheet'!$B$2:$B$3548, 'working sheet'!$D$2:$D$3548, A819)</f>
        <v>45591.651721400463</v>
      </c>
      <c r="C819" s="17">
        <f>_xlfn.MAXIFS('working sheet'!$B$1:$B$3548,'working sheet'!$D$1:$D$3548,'Customer Portfolio'!A819)</f>
        <v>45591.652425613429</v>
      </c>
      <c r="D819">
        <f>COUNTIFS('working sheet'!$D$1:$D$3548,'Customer Portfolio'!A819)</f>
        <v>2</v>
      </c>
      <c r="E819" s="5">
        <f>SUMIFS('working sheet'!$E$2:$E$3548,'working sheet'!$D$2:$D$3548,'Customer Portfolio'!A819)</f>
        <v>71.52</v>
      </c>
      <c r="F819" s="6">
        <f t="shared" si="24"/>
        <v>35.76</v>
      </c>
      <c r="G819" t="str">
        <f t="array" ref="G819">IFERROR(INDEX('working sheet'!$F$2:$F$3548, MODE(IF('working sheet'!$D$2:$D$3548=A819, MATCH('working sheet'!$F$2:$F$3548, 'working sheet'!$F$2:$F$3548, 0)))),
         INDEX('working sheet'!$F$2:$F$3548, MATCH(A819, 'working sheet'!$D$2:$D$3548, 0)))</f>
        <v>Latte</v>
      </c>
      <c r="H819" s="7">
        <f t="shared" si="25"/>
        <v>1.0007042129655019</v>
      </c>
      <c r="I819" s="7">
        <f>MAX('working sheet'!$B$2:$B$3548)-C819</f>
        <v>148.10566043981089</v>
      </c>
      <c r="J819" s="4" t="str">
        <f t="array" ref="J819">IF(AND(I819&lt;=30, D819&gt;=10, E819&gt;=200), "VIP",  IF(AND(I819&lt;=60, D819&gt;=5, E819&gt;=100), "Loyal", IF(AND(I819&lt;=90, D819&gt;=3), "Regular", IF(I819&lt;=30, "Recent", IF(D819&gt;=3, "Occasional", "At Risk")))))</f>
        <v>At Risk</v>
      </c>
      <c r="K819" t="str">
        <f t="array" ref="K819">IF(OR(J819="VIP", J819="Loyal"), "HIGH",IF(OR(J819="Regular", J819="Recent"), "MEDIUM","LOW"))</f>
        <v>LOW</v>
      </c>
    </row>
    <row r="820" spans="1:11">
      <c r="A820" t="s">
        <v>833</v>
      </c>
      <c r="B820" s="14">
        <f>_xlfn.MINIFS('working sheet'!$B$2:$B$3548, 'working sheet'!$D$2:$D$3548, A820)</f>
        <v>45591.661130324072</v>
      </c>
      <c r="C820" s="17">
        <f>_xlfn.MAXIFS('working sheet'!$B$1:$B$3548,'working sheet'!$D$1:$D$3548,'Customer Portfolio'!A820)</f>
        <v>45646.515849212963</v>
      </c>
      <c r="D820">
        <f>COUNTIFS('working sheet'!$D$1:$D$3548,'Customer Portfolio'!A820)</f>
        <v>11</v>
      </c>
      <c r="E820" s="5">
        <f>SUMIFS('working sheet'!$E$2:$E$3548,'working sheet'!$D$2:$D$3548,'Customer Portfolio'!A820)</f>
        <v>334.56000000000006</v>
      </c>
      <c r="F820" s="6">
        <f t="shared" si="24"/>
        <v>30.414545454545461</v>
      </c>
      <c r="G820" t="str">
        <f t="array" ref="G820">IFERROR(INDEX('working sheet'!$F$2:$F$3548, MODE(IF('working sheet'!$D$2:$D$3548=A820, MATCH('working sheet'!$F$2:$F$3548, 'working sheet'!$F$2:$F$3548, 0)))),
         INDEX('working sheet'!$F$2:$F$3548, MATCH(A820, 'working sheet'!$D$2:$D$3548, 0)))</f>
        <v>Americano with Milk</v>
      </c>
      <c r="H820" s="7">
        <f t="shared" si="25"/>
        <v>55.854718888891512</v>
      </c>
      <c r="I820" s="7">
        <f>MAX('working sheet'!$B$2:$B$3548)-C820</f>
        <v>93.242236840276746</v>
      </c>
      <c r="J820" s="4" t="str">
        <f t="array" ref="J820">IF(AND(I820&lt;=30, D820&gt;=10, E820&gt;=200), "VIP",  IF(AND(I820&lt;=60, D820&gt;=5, E820&gt;=100), "Loyal", IF(AND(I820&lt;=90, D820&gt;=3), "Regular", IF(I820&lt;=30, "Recent", IF(D820&gt;=3, "Occasional", "At Risk")))))</f>
        <v>Occasional</v>
      </c>
      <c r="K820" t="str">
        <f t="array" ref="K820">IF(OR(J820="VIP", J820="Loyal"), "HIGH",IF(OR(J820="Regular", J820="Recent"), "MEDIUM","LOW"))</f>
        <v>LOW</v>
      </c>
    </row>
    <row r="821" spans="1:11">
      <c r="A821" t="s">
        <v>834</v>
      </c>
      <c r="B821" s="14">
        <f>_xlfn.MINIFS('working sheet'!$B$2:$B$3548, 'working sheet'!$D$2:$D$3548, A821)</f>
        <v>45591.66205446759</v>
      </c>
      <c r="C821" s="17">
        <f>_xlfn.MAXIFS('working sheet'!$B$1:$B$3548,'working sheet'!$D$1:$D$3548,'Customer Portfolio'!A821)</f>
        <v>45591.66205446759</v>
      </c>
      <c r="D821">
        <f>COUNTIFS('working sheet'!$D$1:$D$3548,'Customer Portfolio'!A821)</f>
        <v>1</v>
      </c>
      <c r="E821" s="5">
        <f>SUMIFS('working sheet'!$E$2:$E$3548,'working sheet'!$D$2:$D$3548,'Customer Portfolio'!A821)</f>
        <v>30.86</v>
      </c>
      <c r="F821" s="6">
        <f t="shared" si="24"/>
        <v>30.86</v>
      </c>
      <c r="G821" t="str">
        <f t="array" ref="G821">IFERROR(INDEX('working sheet'!$F$2:$F$3548, MODE(IF('working sheet'!$D$2:$D$3548=A821, MATCH('working sheet'!$F$2:$F$3548, 'working sheet'!$F$2:$F$3548, 0)))),
         INDEX('working sheet'!$F$2:$F$3548, MATCH(A821, 'working sheet'!$D$2:$D$3548, 0)))</f>
        <v>Americano with Milk</v>
      </c>
      <c r="H821" s="7">
        <f t="shared" si="25"/>
        <v>1</v>
      </c>
      <c r="I821" s="7">
        <f>MAX('working sheet'!$B$2:$B$3548)-C821</f>
        <v>148.09603158565005</v>
      </c>
      <c r="J821" s="4" t="str">
        <f t="array" ref="J821">IF(AND(I821&lt;=30, D821&gt;=10, E821&gt;=200), "VIP",  IF(AND(I821&lt;=60, D821&gt;=5, E821&gt;=100), "Loyal", IF(AND(I821&lt;=90, D821&gt;=3), "Regular", IF(I821&lt;=30, "Recent", IF(D821&gt;=3, "Occasional", "At Risk")))))</f>
        <v>At Risk</v>
      </c>
      <c r="K821" t="str">
        <f t="array" ref="K821">IF(OR(J821="VIP", J821="Loyal"), "HIGH",IF(OR(J821="Regular", J821="Recent"), "MEDIUM","LOW"))</f>
        <v>LOW</v>
      </c>
    </row>
    <row r="822" spans="1:11">
      <c r="A822" t="s">
        <v>835</v>
      </c>
      <c r="B822" s="14">
        <f>_xlfn.MINIFS('working sheet'!$B$2:$B$3548, 'working sheet'!$D$2:$D$3548, A822)</f>
        <v>45591.857485162036</v>
      </c>
      <c r="C822" s="17">
        <f>_xlfn.MAXIFS('working sheet'!$B$1:$B$3548,'working sheet'!$D$1:$D$3548,'Customer Portfolio'!A822)</f>
        <v>45591.857485162036</v>
      </c>
      <c r="D822">
        <f>COUNTIFS('working sheet'!$D$1:$D$3548,'Customer Portfolio'!A822)</f>
        <v>1</v>
      </c>
      <c r="E822" s="5">
        <f>SUMIFS('working sheet'!$E$2:$E$3548,'working sheet'!$D$2:$D$3548,'Customer Portfolio'!A822)</f>
        <v>30.86</v>
      </c>
      <c r="F822" s="6">
        <f t="shared" si="24"/>
        <v>30.86</v>
      </c>
      <c r="G822" t="str">
        <f t="array" ref="G822">IFERROR(INDEX('working sheet'!$F$2:$F$3548, MODE(IF('working sheet'!$D$2:$D$3548=A822, MATCH('working sheet'!$F$2:$F$3548, 'working sheet'!$F$2:$F$3548, 0)))),
         INDEX('working sheet'!$F$2:$F$3548, MATCH(A822, 'working sheet'!$D$2:$D$3548, 0)))</f>
        <v>Americano with Milk</v>
      </c>
      <c r="H822" s="7">
        <f t="shared" si="25"/>
        <v>1</v>
      </c>
      <c r="I822" s="7">
        <f>MAX('working sheet'!$B$2:$B$3548)-C822</f>
        <v>147.90060089120379</v>
      </c>
      <c r="J822" s="4" t="str">
        <f t="array" ref="J822">IF(AND(I822&lt;=30, D822&gt;=10, E822&gt;=200), "VIP",  IF(AND(I822&lt;=60, D822&gt;=5, E822&gt;=100), "Loyal", IF(AND(I822&lt;=90, D822&gt;=3), "Regular", IF(I822&lt;=30, "Recent", IF(D822&gt;=3, "Occasional", "At Risk")))))</f>
        <v>At Risk</v>
      </c>
      <c r="K822" t="str">
        <f t="array" ref="K822">IF(OR(J822="VIP", J822="Loyal"), "HIGH",IF(OR(J822="Regular", J822="Recent"), "MEDIUM","LOW"))</f>
        <v>LOW</v>
      </c>
    </row>
    <row r="823" spans="1:11">
      <c r="A823" t="s">
        <v>836</v>
      </c>
      <c r="B823" s="14">
        <f>_xlfn.MINIFS('working sheet'!$B$2:$B$3548, 'working sheet'!$D$2:$D$3548, A823)</f>
        <v>45592.572067233799</v>
      </c>
      <c r="C823" s="17">
        <f>_xlfn.MAXIFS('working sheet'!$B$1:$B$3548,'working sheet'!$D$1:$D$3548,'Customer Portfolio'!A823)</f>
        <v>45592.572067233799</v>
      </c>
      <c r="D823">
        <f>COUNTIFS('working sheet'!$D$1:$D$3548,'Customer Portfolio'!A823)</f>
        <v>1</v>
      </c>
      <c r="E823" s="5">
        <f>SUMIFS('working sheet'!$E$2:$E$3548,'working sheet'!$D$2:$D$3548,'Customer Portfolio'!A823)</f>
        <v>35.76</v>
      </c>
      <c r="F823" s="6">
        <f t="shared" si="24"/>
        <v>35.76</v>
      </c>
      <c r="G823" t="str">
        <f t="array" ref="G823">IFERROR(INDEX('working sheet'!$F$2:$F$3548, MODE(IF('working sheet'!$D$2:$D$3548=A823, MATCH('working sheet'!$F$2:$F$3548, 'working sheet'!$F$2:$F$3548, 0)))),
         INDEX('working sheet'!$F$2:$F$3548, MATCH(A823, 'working sheet'!$D$2:$D$3548, 0)))</f>
        <v>Cappuccino</v>
      </c>
      <c r="H823" s="7">
        <f t="shared" si="25"/>
        <v>1</v>
      </c>
      <c r="I823" s="7">
        <f>MAX('working sheet'!$B$2:$B$3548)-C823</f>
        <v>147.18601881944051</v>
      </c>
      <c r="J823" s="4" t="str">
        <f t="array" ref="J823">IF(AND(I823&lt;=30, D823&gt;=10, E823&gt;=200), "VIP",  IF(AND(I823&lt;=60, D823&gt;=5, E823&gt;=100), "Loyal", IF(AND(I823&lt;=90, D823&gt;=3), "Regular", IF(I823&lt;=30, "Recent", IF(D823&gt;=3, "Occasional", "At Risk")))))</f>
        <v>At Risk</v>
      </c>
      <c r="K823" t="str">
        <f t="array" ref="K823">IF(OR(J823="VIP", J823="Loyal"), "HIGH",IF(OR(J823="Regular", J823="Recent"), "MEDIUM","LOW"))</f>
        <v>LOW</v>
      </c>
    </row>
    <row r="824" spans="1:11">
      <c r="A824" t="s">
        <v>837</v>
      </c>
      <c r="B824" s="14">
        <f>_xlfn.MINIFS('working sheet'!$B$2:$B$3548, 'working sheet'!$D$2:$D$3548, A824)</f>
        <v>45593.334170127317</v>
      </c>
      <c r="C824" s="17">
        <f>_xlfn.MAXIFS('working sheet'!$B$1:$B$3548,'working sheet'!$D$1:$D$3548,'Customer Portfolio'!A824)</f>
        <v>45593.334170127317</v>
      </c>
      <c r="D824">
        <f>COUNTIFS('working sheet'!$D$1:$D$3548,'Customer Portfolio'!A824)</f>
        <v>1</v>
      </c>
      <c r="E824" s="5">
        <f>SUMIFS('working sheet'!$E$2:$E$3548,'working sheet'!$D$2:$D$3548,'Customer Portfolio'!A824)</f>
        <v>25.96</v>
      </c>
      <c r="F824" s="6">
        <f t="shared" si="24"/>
        <v>25.96</v>
      </c>
      <c r="G824" t="str">
        <f t="array" ref="G824">IFERROR(INDEX('working sheet'!$F$2:$F$3548, MODE(IF('working sheet'!$D$2:$D$3548=A824, MATCH('working sheet'!$F$2:$F$3548, 'working sheet'!$F$2:$F$3548, 0)))),
         INDEX('working sheet'!$F$2:$F$3548, MATCH(A824, 'working sheet'!$D$2:$D$3548, 0)))</f>
        <v>Americano</v>
      </c>
      <c r="H824" s="7">
        <f t="shared" si="25"/>
        <v>1</v>
      </c>
      <c r="I824" s="7">
        <f>MAX('working sheet'!$B$2:$B$3548)-C824</f>
        <v>146.42391592592321</v>
      </c>
      <c r="J824" s="4" t="str">
        <f t="array" ref="J824">IF(AND(I824&lt;=30, D824&gt;=10, E824&gt;=200), "VIP",  IF(AND(I824&lt;=60, D824&gt;=5, E824&gt;=100), "Loyal", IF(AND(I824&lt;=90, D824&gt;=3), "Regular", IF(I824&lt;=30, "Recent", IF(D824&gt;=3, "Occasional", "At Risk")))))</f>
        <v>At Risk</v>
      </c>
      <c r="K824" t="str">
        <f t="array" ref="K824">IF(OR(J824="VIP", J824="Loyal"), "HIGH",IF(OR(J824="Regular", J824="Recent"), "MEDIUM","LOW"))</f>
        <v>LOW</v>
      </c>
    </row>
    <row r="825" spans="1:11">
      <c r="A825" t="s">
        <v>838</v>
      </c>
      <c r="B825" s="14">
        <f>_xlfn.MINIFS('working sheet'!$B$2:$B$3548, 'working sheet'!$D$2:$D$3548, A825)</f>
        <v>45593.487922395834</v>
      </c>
      <c r="C825" s="17">
        <f>_xlfn.MAXIFS('working sheet'!$B$1:$B$3548,'working sheet'!$D$1:$D$3548,'Customer Portfolio'!A825)</f>
        <v>45593.488695856482</v>
      </c>
      <c r="D825">
        <f>COUNTIFS('working sheet'!$D$1:$D$3548,'Customer Portfolio'!A825)</f>
        <v>2</v>
      </c>
      <c r="E825" s="5">
        <f>SUMIFS('working sheet'!$E$2:$E$3548,'working sheet'!$D$2:$D$3548,'Customer Portfolio'!A825)</f>
        <v>71.52</v>
      </c>
      <c r="F825" s="6">
        <f t="shared" si="24"/>
        <v>35.76</v>
      </c>
      <c r="G825" t="str">
        <f t="array" ref="G825">IFERROR(INDEX('working sheet'!$F$2:$F$3548, MODE(IF('working sheet'!$D$2:$D$3548=A825, MATCH('working sheet'!$F$2:$F$3548, 'working sheet'!$F$2:$F$3548, 0)))),
         INDEX('working sheet'!$F$2:$F$3548, MATCH(A825, 'working sheet'!$D$2:$D$3548, 0)))</f>
        <v>Latte</v>
      </c>
      <c r="H825" s="7">
        <f t="shared" si="25"/>
        <v>1.0007734606479062</v>
      </c>
      <c r="I825" s="7">
        <f>MAX('working sheet'!$B$2:$B$3548)-C825</f>
        <v>146.26939019675774</v>
      </c>
      <c r="J825" s="4" t="str">
        <f t="array" ref="J825">IF(AND(I825&lt;=30, D825&gt;=10, E825&gt;=200), "VIP",  IF(AND(I825&lt;=60, D825&gt;=5, E825&gt;=100), "Loyal", IF(AND(I825&lt;=90, D825&gt;=3), "Regular", IF(I825&lt;=30, "Recent", IF(D825&gt;=3, "Occasional", "At Risk")))))</f>
        <v>At Risk</v>
      </c>
      <c r="K825" t="str">
        <f t="array" ref="K825">IF(OR(J825="VIP", J825="Loyal"), "HIGH",IF(OR(J825="Regular", J825="Recent"), "MEDIUM","LOW"))</f>
        <v>LOW</v>
      </c>
    </row>
    <row r="826" spans="1:11">
      <c r="A826" t="s">
        <v>839</v>
      </c>
      <c r="B826" s="14">
        <f>_xlfn.MINIFS('working sheet'!$B$2:$B$3548, 'working sheet'!$D$2:$D$3548, A826)</f>
        <v>45593.501791747687</v>
      </c>
      <c r="C826" s="17">
        <f>_xlfn.MAXIFS('working sheet'!$B$1:$B$3548,'working sheet'!$D$1:$D$3548,'Customer Portfolio'!A826)</f>
        <v>45593.501791747687</v>
      </c>
      <c r="D826">
        <f>COUNTIFS('working sheet'!$D$1:$D$3548,'Customer Portfolio'!A826)</f>
        <v>1</v>
      </c>
      <c r="E826" s="5">
        <f>SUMIFS('working sheet'!$E$2:$E$3548,'working sheet'!$D$2:$D$3548,'Customer Portfolio'!A826)</f>
        <v>30.86</v>
      </c>
      <c r="F826" s="6">
        <f t="shared" si="24"/>
        <v>30.86</v>
      </c>
      <c r="G826" t="str">
        <f t="array" ref="G826">IFERROR(INDEX('working sheet'!$F$2:$F$3548, MODE(IF('working sheet'!$D$2:$D$3548=A826, MATCH('working sheet'!$F$2:$F$3548, 'working sheet'!$F$2:$F$3548, 0)))),
         INDEX('working sheet'!$F$2:$F$3548, MATCH(A826, 'working sheet'!$D$2:$D$3548, 0)))</f>
        <v>Americano with Milk</v>
      </c>
      <c r="H826" s="7">
        <f t="shared" si="25"/>
        <v>1</v>
      </c>
      <c r="I826" s="7">
        <f>MAX('working sheet'!$B$2:$B$3548)-C826</f>
        <v>146.25629430555273</v>
      </c>
      <c r="J826" s="4" t="str">
        <f t="array" ref="J826">IF(AND(I826&lt;=30, D826&gt;=10, E826&gt;=200), "VIP",  IF(AND(I826&lt;=60, D826&gt;=5, E826&gt;=100), "Loyal", IF(AND(I826&lt;=90, D826&gt;=3), "Regular", IF(I826&lt;=30, "Recent", IF(D826&gt;=3, "Occasional", "At Risk")))))</f>
        <v>At Risk</v>
      </c>
      <c r="K826" t="str">
        <f t="array" ref="K826">IF(OR(J826="VIP", J826="Loyal"), "HIGH",IF(OR(J826="Regular", J826="Recent"), "MEDIUM","LOW"))</f>
        <v>LOW</v>
      </c>
    </row>
    <row r="827" spans="1:11">
      <c r="A827" t="s">
        <v>840</v>
      </c>
      <c r="B827" s="14">
        <f>_xlfn.MINIFS('working sheet'!$B$2:$B$3548, 'working sheet'!$D$2:$D$3548, A827)</f>
        <v>45593.514935393519</v>
      </c>
      <c r="C827" s="17">
        <f>_xlfn.MAXIFS('working sheet'!$B$1:$B$3548,'working sheet'!$D$1:$D$3548,'Customer Portfolio'!A827)</f>
        <v>45593.514935393519</v>
      </c>
      <c r="D827">
        <f>COUNTIFS('working sheet'!$D$1:$D$3548,'Customer Portfolio'!A827)</f>
        <v>1</v>
      </c>
      <c r="E827" s="5">
        <f>SUMIFS('working sheet'!$E$2:$E$3548,'working sheet'!$D$2:$D$3548,'Customer Portfolio'!A827)</f>
        <v>35.76</v>
      </c>
      <c r="F827" s="6">
        <f t="shared" si="24"/>
        <v>35.76</v>
      </c>
      <c r="G827" t="str">
        <f t="array" ref="G827">IFERROR(INDEX('working sheet'!$F$2:$F$3548, MODE(IF('working sheet'!$D$2:$D$3548=A827, MATCH('working sheet'!$F$2:$F$3548, 'working sheet'!$F$2:$F$3548, 0)))),
         INDEX('working sheet'!$F$2:$F$3548, MATCH(A827, 'working sheet'!$D$2:$D$3548, 0)))</f>
        <v>Cappuccino</v>
      </c>
      <c r="H827" s="7">
        <f t="shared" si="25"/>
        <v>1</v>
      </c>
      <c r="I827" s="7">
        <f>MAX('working sheet'!$B$2:$B$3548)-C827</f>
        <v>146.24315065972041</v>
      </c>
      <c r="J827" s="4" t="str">
        <f t="array" ref="J827">IF(AND(I827&lt;=30, D827&gt;=10, E827&gt;=200), "VIP",  IF(AND(I827&lt;=60, D827&gt;=5, E827&gt;=100), "Loyal", IF(AND(I827&lt;=90, D827&gt;=3), "Regular", IF(I827&lt;=30, "Recent", IF(D827&gt;=3, "Occasional", "At Risk")))))</f>
        <v>At Risk</v>
      </c>
      <c r="K827" t="str">
        <f t="array" ref="K827">IF(OR(J827="VIP", J827="Loyal"), "HIGH",IF(OR(J827="Regular", J827="Recent"), "MEDIUM","LOW"))</f>
        <v>LOW</v>
      </c>
    </row>
    <row r="828" spans="1:11">
      <c r="A828" t="s">
        <v>841</v>
      </c>
      <c r="B828" s="14">
        <f>_xlfn.MINIFS('working sheet'!$B$2:$B$3548, 'working sheet'!$D$2:$D$3548, A828)</f>
        <v>45593.604856030091</v>
      </c>
      <c r="C828" s="17">
        <f>_xlfn.MAXIFS('working sheet'!$B$1:$B$3548,'working sheet'!$D$1:$D$3548,'Customer Portfolio'!A828)</f>
        <v>45593.604856030091</v>
      </c>
      <c r="D828">
        <f>COUNTIFS('working sheet'!$D$1:$D$3548,'Customer Portfolio'!A828)</f>
        <v>1</v>
      </c>
      <c r="E828" s="5">
        <f>SUMIFS('working sheet'!$E$2:$E$3548,'working sheet'!$D$2:$D$3548,'Customer Portfolio'!A828)</f>
        <v>30.86</v>
      </c>
      <c r="F828" s="6">
        <f t="shared" si="24"/>
        <v>30.86</v>
      </c>
      <c r="G828" t="str">
        <f t="array" ref="G828">IFERROR(INDEX('working sheet'!$F$2:$F$3548, MODE(IF('working sheet'!$D$2:$D$3548=A828, MATCH('working sheet'!$F$2:$F$3548, 'working sheet'!$F$2:$F$3548, 0)))),
         INDEX('working sheet'!$F$2:$F$3548, MATCH(A828, 'working sheet'!$D$2:$D$3548, 0)))</f>
        <v>Americano with Milk</v>
      </c>
      <c r="H828" s="7">
        <f t="shared" si="25"/>
        <v>1</v>
      </c>
      <c r="I828" s="7">
        <f>MAX('working sheet'!$B$2:$B$3548)-C828</f>
        <v>146.15323002314835</v>
      </c>
      <c r="J828" s="4" t="str">
        <f t="array" ref="J828">IF(AND(I828&lt;=30, D828&gt;=10, E828&gt;=200), "VIP",  IF(AND(I828&lt;=60, D828&gt;=5, E828&gt;=100), "Loyal", IF(AND(I828&lt;=90, D828&gt;=3), "Regular", IF(I828&lt;=30, "Recent", IF(D828&gt;=3, "Occasional", "At Risk")))))</f>
        <v>At Risk</v>
      </c>
      <c r="K828" t="str">
        <f t="array" ref="K828">IF(OR(J828="VIP", J828="Loyal"), "HIGH",IF(OR(J828="Regular", J828="Recent"), "MEDIUM","LOW"))</f>
        <v>LOW</v>
      </c>
    </row>
    <row r="829" spans="1:11">
      <c r="A829" t="s">
        <v>842</v>
      </c>
      <c r="B829" s="14">
        <f>_xlfn.MINIFS('working sheet'!$B$2:$B$3548, 'working sheet'!$D$2:$D$3548, A829)</f>
        <v>45593.746737488429</v>
      </c>
      <c r="C829" s="17">
        <f>_xlfn.MAXIFS('working sheet'!$B$1:$B$3548,'working sheet'!$D$1:$D$3548,'Customer Portfolio'!A829)</f>
        <v>45603.762195995369</v>
      </c>
      <c r="D829">
        <f>COUNTIFS('working sheet'!$D$1:$D$3548,'Customer Portfolio'!A829)</f>
        <v>4</v>
      </c>
      <c r="E829" s="5">
        <f>SUMIFS('working sheet'!$E$2:$E$3548,'working sheet'!$D$2:$D$3548,'Customer Portfolio'!A829)</f>
        <v>143.04</v>
      </c>
      <c r="F829" s="6">
        <f t="shared" si="24"/>
        <v>35.76</v>
      </c>
      <c r="G829" t="str">
        <f t="array" ref="G829">IFERROR(INDEX('working sheet'!$F$2:$F$3548, MODE(IF('working sheet'!$D$2:$D$3548=A829, MATCH('working sheet'!$F$2:$F$3548, 'working sheet'!$F$2:$F$3548, 0)))),
         INDEX('working sheet'!$F$2:$F$3548, MATCH(A829, 'working sheet'!$D$2:$D$3548, 0)))</f>
        <v>Cocoa</v>
      </c>
      <c r="H829" s="7">
        <f t="shared" si="25"/>
        <v>11.015458506939467</v>
      </c>
      <c r="I829" s="7">
        <f>MAX('working sheet'!$B$2:$B$3548)-C829</f>
        <v>135.99589005787129</v>
      </c>
      <c r="J829" s="4" t="str">
        <f t="array" ref="J829">IF(AND(I829&lt;=30, D829&gt;=10, E829&gt;=200), "VIP",  IF(AND(I829&lt;=60, D829&gt;=5, E829&gt;=100), "Loyal", IF(AND(I829&lt;=90, D829&gt;=3), "Regular", IF(I829&lt;=30, "Recent", IF(D829&gt;=3, "Occasional", "At Risk")))))</f>
        <v>Occasional</v>
      </c>
      <c r="K829" t="str">
        <f t="array" ref="K829">IF(OR(J829="VIP", J829="Loyal"), "HIGH",IF(OR(J829="Regular", J829="Recent"), "MEDIUM","LOW"))</f>
        <v>LOW</v>
      </c>
    </row>
    <row r="830" spans="1:11">
      <c r="A830" t="s">
        <v>843</v>
      </c>
      <c r="B830" s="14">
        <f>_xlfn.MINIFS('working sheet'!$B$2:$B$3548, 'working sheet'!$D$2:$D$3548, A830)</f>
        <v>45594.499845833336</v>
      </c>
      <c r="C830" s="17">
        <f>_xlfn.MAXIFS('working sheet'!$B$1:$B$3548,'working sheet'!$D$1:$D$3548,'Customer Portfolio'!A830)</f>
        <v>45594.499845833336</v>
      </c>
      <c r="D830">
        <f>COUNTIFS('working sheet'!$D$1:$D$3548,'Customer Portfolio'!A830)</f>
        <v>1</v>
      </c>
      <c r="E830" s="5">
        <f>SUMIFS('working sheet'!$E$2:$E$3548,'working sheet'!$D$2:$D$3548,'Customer Portfolio'!A830)</f>
        <v>30.86</v>
      </c>
      <c r="F830" s="6">
        <f t="shared" si="24"/>
        <v>30.86</v>
      </c>
      <c r="G830" t="str">
        <f t="array" ref="G830">IFERROR(INDEX('working sheet'!$F$2:$F$3548, MODE(IF('working sheet'!$D$2:$D$3548=A830, MATCH('working sheet'!$F$2:$F$3548, 'working sheet'!$F$2:$F$3548, 0)))),
         INDEX('working sheet'!$F$2:$F$3548, MATCH(A830, 'working sheet'!$D$2:$D$3548, 0)))</f>
        <v>Americano with Milk</v>
      </c>
      <c r="H830" s="7">
        <f t="shared" si="25"/>
        <v>1</v>
      </c>
      <c r="I830" s="7">
        <f>MAX('working sheet'!$B$2:$B$3548)-C830</f>
        <v>145.25824021990411</v>
      </c>
      <c r="J830" s="4" t="str">
        <f t="array" ref="J830">IF(AND(I830&lt;=30, D830&gt;=10, E830&gt;=200), "VIP",  IF(AND(I830&lt;=60, D830&gt;=5, E830&gt;=100), "Loyal", IF(AND(I830&lt;=90, D830&gt;=3), "Regular", IF(I830&lt;=30, "Recent", IF(D830&gt;=3, "Occasional", "At Risk")))))</f>
        <v>At Risk</v>
      </c>
      <c r="K830" t="str">
        <f t="array" ref="K830">IF(OR(J830="VIP", J830="Loyal"), "HIGH",IF(OR(J830="Regular", J830="Recent"), "MEDIUM","LOW"))</f>
        <v>LOW</v>
      </c>
    </row>
    <row r="831" spans="1:11">
      <c r="A831" t="s">
        <v>844</v>
      </c>
      <c r="B831" s="14">
        <f>_xlfn.MINIFS('working sheet'!$B$2:$B$3548, 'working sheet'!$D$2:$D$3548, A831)</f>
        <v>45594.515009328701</v>
      </c>
      <c r="C831" s="17">
        <f>_xlfn.MAXIFS('working sheet'!$B$1:$B$3548,'working sheet'!$D$1:$D$3548,'Customer Portfolio'!A831)</f>
        <v>45594.515009328701</v>
      </c>
      <c r="D831">
        <f>COUNTIFS('working sheet'!$D$1:$D$3548,'Customer Portfolio'!A831)</f>
        <v>1</v>
      </c>
      <c r="E831" s="5">
        <f>SUMIFS('working sheet'!$E$2:$E$3548,'working sheet'!$D$2:$D$3548,'Customer Portfolio'!A831)</f>
        <v>21.06</v>
      </c>
      <c r="F831" s="6">
        <f t="shared" si="24"/>
        <v>21.06</v>
      </c>
      <c r="G831" t="str">
        <f t="array" ref="G831">IFERROR(INDEX('working sheet'!$F$2:$F$3548, MODE(IF('working sheet'!$D$2:$D$3548=A831, MATCH('working sheet'!$F$2:$F$3548, 'working sheet'!$F$2:$F$3548, 0)))),
         INDEX('working sheet'!$F$2:$F$3548, MATCH(A831, 'working sheet'!$D$2:$D$3548, 0)))</f>
        <v>Espresso</v>
      </c>
      <c r="H831" s="7">
        <f t="shared" si="25"/>
        <v>1</v>
      </c>
      <c r="I831" s="7">
        <f>MAX('working sheet'!$B$2:$B$3548)-C831</f>
        <v>145.2430767245387</v>
      </c>
      <c r="J831" s="4" t="str">
        <f t="array" ref="J831">IF(AND(I831&lt;=30, D831&gt;=10, E831&gt;=200), "VIP",  IF(AND(I831&lt;=60, D831&gt;=5, E831&gt;=100), "Loyal", IF(AND(I831&lt;=90, D831&gt;=3), "Regular", IF(I831&lt;=30, "Recent", IF(D831&gt;=3, "Occasional", "At Risk")))))</f>
        <v>At Risk</v>
      </c>
      <c r="K831" t="str">
        <f t="array" ref="K831">IF(OR(J831="VIP", J831="Loyal"), "HIGH",IF(OR(J831="Regular", J831="Recent"), "MEDIUM","LOW"))</f>
        <v>LOW</v>
      </c>
    </row>
    <row r="832" spans="1:11">
      <c r="A832" t="s">
        <v>845</v>
      </c>
      <c r="B832" s="14">
        <f>_xlfn.MINIFS('working sheet'!$B$2:$B$3548, 'working sheet'!$D$2:$D$3548, A832)</f>
        <v>45594.594257384262</v>
      </c>
      <c r="C832" s="17">
        <f>_xlfn.MAXIFS('working sheet'!$B$1:$B$3548,'working sheet'!$D$1:$D$3548,'Customer Portfolio'!A832)</f>
        <v>45594.595146956017</v>
      </c>
      <c r="D832">
        <f>COUNTIFS('working sheet'!$D$1:$D$3548,'Customer Portfolio'!A832)</f>
        <v>2</v>
      </c>
      <c r="E832" s="5">
        <f>SUMIFS('working sheet'!$E$2:$E$3548,'working sheet'!$D$2:$D$3548,'Customer Portfolio'!A832)</f>
        <v>51.92</v>
      </c>
      <c r="F832" s="6">
        <f t="shared" si="24"/>
        <v>25.96</v>
      </c>
      <c r="G832" t="str">
        <f t="array" ref="G832">IFERROR(INDEX('working sheet'!$F$2:$F$3548, MODE(IF('working sheet'!$D$2:$D$3548=A832, MATCH('working sheet'!$F$2:$F$3548, 'working sheet'!$F$2:$F$3548, 0)))),
         INDEX('working sheet'!$F$2:$F$3548, MATCH(A832, 'working sheet'!$D$2:$D$3548, 0)))</f>
        <v>Cortado</v>
      </c>
      <c r="H832" s="7">
        <f t="shared" si="25"/>
        <v>1.0008895717546693</v>
      </c>
      <c r="I832" s="7">
        <f>MAX('working sheet'!$B$2:$B$3548)-C832</f>
        <v>145.16293909722299</v>
      </c>
      <c r="J832" s="4" t="str">
        <f t="array" ref="J832">IF(AND(I832&lt;=30, D832&gt;=10, E832&gt;=200), "VIP",  IF(AND(I832&lt;=60, D832&gt;=5, E832&gt;=100), "Loyal", IF(AND(I832&lt;=90, D832&gt;=3), "Regular", IF(I832&lt;=30, "Recent", IF(D832&gt;=3, "Occasional", "At Risk")))))</f>
        <v>At Risk</v>
      </c>
      <c r="K832" t="str">
        <f t="array" ref="K832">IF(OR(J832="VIP", J832="Loyal"), "HIGH",IF(OR(J832="Regular", J832="Recent"), "MEDIUM","LOW"))</f>
        <v>LOW</v>
      </c>
    </row>
    <row r="833" spans="1:11">
      <c r="A833" t="s">
        <v>846</v>
      </c>
      <c r="B833" s="14">
        <f>_xlfn.MINIFS('working sheet'!$B$2:$B$3548, 'working sheet'!$D$2:$D$3548, A833)</f>
        <v>45594.609443993053</v>
      </c>
      <c r="C833" s="17">
        <f>_xlfn.MAXIFS('working sheet'!$B$1:$B$3548,'working sheet'!$D$1:$D$3548,'Customer Portfolio'!A833)</f>
        <v>45594.609443993053</v>
      </c>
      <c r="D833">
        <f>COUNTIFS('working sheet'!$D$1:$D$3548,'Customer Portfolio'!A833)</f>
        <v>1</v>
      </c>
      <c r="E833" s="5">
        <f>SUMIFS('working sheet'!$E$2:$E$3548,'working sheet'!$D$2:$D$3548,'Customer Portfolio'!A833)</f>
        <v>35.76</v>
      </c>
      <c r="F833" s="6">
        <f t="shared" si="24"/>
        <v>35.76</v>
      </c>
      <c r="G833" t="str">
        <f t="array" ref="G833">IFERROR(INDEX('working sheet'!$F$2:$F$3548, MODE(IF('working sheet'!$D$2:$D$3548=A833, MATCH('working sheet'!$F$2:$F$3548, 'working sheet'!$F$2:$F$3548, 0)))),
         INDEX('working sheet'!$F$2:$F$3548, MATCH(A833, 'working sheet'!$D$2:$D$3548, 0)))</f>
        <v>Cappuccino</v>
      </c>
      <c r="H833" s="7">
        <f t="shared" si="25"/>
        <v>1</v>
      </c>
      <c r="I833" s="7">
        <f>MAX('working sheet'!$B$2:$B$3548)-C833</f>
        <v>145.14864206018683</v>
      </c>
      <c r="J833" s="4" t="str">
        <f t="array" ref="J833">IF(AND(I833&lt;=30, D833&gt;=10, E833&gt;=200), "VIP",  IF(AND(I833&lt;=60, D833&gt;=5, E833&gt;=100), "Loyal", IF(AND(I833&lt;=90, D833&gt;=3), "Regular", IF(I833&lt;=30, "Recent", IF(D833&gt;=3, "Occasional", "At Risk")))))</f>
        <v>At Risk</v>
      </c>
      <c r="K833" t="str">
        <f t="array" ref="K833">IF(OR(J833="VIP", J833="Loyal"), "HIGH",IF(OR(J833="Regular", J833="Recent"), "MEDIUM","LOW"))</f>
        <v>LOW</v>
      </c>
    </row>
    <row r="834" spans="1:11">
      <c r="A834" t="s">
        <v>847</v>
      </c>
      <c r="B834" s="14">
        <f>_xlfn.MINIFS('working sheet'!$B$2:$B$3548, 'working sheet'!$D$2:$D$3548, A834)</f>
        <v>45594.673307199075</v>
      </c>
      <c r="C834" s="17">
        <f>_xlfn.MAXIFS('working sheet'!$B$1:$B$3548,'working sheet'!$D$1:$D$3548,'Customer Portfolio'!A834)</f>
        <v>45594.673307199075</v>
      </c>
      <c r="D834">
        <f>COUNTIFS('working sheet'!$D$1:$D$3548,'Customer Portfolio'!A834)</f>
        <v>1</v>
      </c>
      <c r="E834" s="5">
        <f>SUMIFS('working sheet'!$E$2:$E$3548,'working sheet'!$D$2:$D$3548,'Customer Portfolio'!A834)</f>
        <v>35.76</v>
      </c>
      <c r="F834" s="6">
        <f t="shared" si="24"/>
        <v>35.76</v>
      </c>
      <c r="G834" t="str">
        <f t="array" ref="G834">IFERROR(INDEX('working sheet'!$F$2:$F$3548, MODE(IF('working sheet'!$D$2:$D$3548=A834, MATCH('working sheet'!$F$2:$F$3548, 'working sheet'!$F$2:$F$3548, 0)))),
         INDEX('working sheet'!$F$2:$F$3548, MATCH(A834, 'working sheet'!$D$2:$D$3548, 0)))</f>
        <v>Hot Chocolate</v>
      </c>
      <c r="H834" s="7">
        <f t="shared" si="25"/>
        <v>1</v>
      </c>
      <c r="I834" s="7">
        <f>MAX('working sheet'!$B$2:$B$3548)-C834</f>
        <v>145.08477885416505</v>
      </c>
      <c r="J834" s="4" t="str">
        <f t="array" ref="J834">IF(AND(I834&lt;=30, D834&gt;=10, E834&gt;=200), "VIP",  IF(AND(I834&lt;=60, D834&gt;=5, E834&gt;=100), "Loyal", IF(AND(I834&lt;=90, D834&gt;=3), "Regular", IF(I834&lt;=30, "Recent", IF(D834&gt;=3, "Occasional", "At Risk")))))</f>
        <v>At Risk</v>
      </c>
      <c r="K834" t="str">
        <f t="array" ref="K834">IF(OR(J834="VIP", J834="Loyal"), "HIGH",IF(OR(J834="Regular", J834="Recent"), "MEDIUM","LOW"))</f>
        <v>LOW</v>
      </c>
    </row>
    <row r="835" spans="1:11">
      <c r="A835" t="s">
        <v>848</v>
      </c>
      <c r="B835" s="14">
        <f>_xlfn.MINIFS('working sheet'!$B$2:$B$3548, 'working sheet'!$D$2:$D$3548, A835)</f>
        <v>45594.674268692128</v>
      </c>
      <c r="C835" s="17">
        <f>_xlfn.MAXIFS('working sheet'!$B$1:$B$3548,'working sheet'!$D$1:$D$3548,'Customer Portfolio'!A835)</f>
        <v>45594.674268692128</v>
      </c>
      <c r="D835">
        <f>COUNTIFS('working sheet'!$D$1:$D$3548,'Customer Portfolio'!A835)</f>
        <v>1</v>
      </c>
      <c r="E835" s="5">
        <f>SUMIFS('working sheet'!$E$2:$E$3548,'working sheet'!$D$2:$D$3548,'Customer Portfolio'!A835)</f>
        <v>35.76</v>
      </c>
      <c r="F835" s="6">
        <f t="shared" ref="F835:F898" si="26">E835/D835</f>
        <v>35.76</v>
      </c>
      <c r="G835" t="str">
        <f t="array" ref="G835">IFERROR(INDEX('working sheet'!$F$2:$F$3548, MODE(IF('working sheet'!$D$2:$D$3548=A835, MATCH('working sheet'!$F$2:$F$3548, 'working sheet'!$F$2:$F$3548, 0)))),
         INDEX('working sheet'!$F$2:$F$3548, MATCH(A835, 'working sheet'!$D$2:$D$3548, 0)))</f>
        <v>Cocoa</v>
      </c>
      <c r="H835" s="7">
        <f t="shared" ref="H835:H898" si="27">C835-B835+1</f>
        <v>1</v>
      </c>
      <c r="I835" s="7">
        <f>MAX('working sheet'!$B$2:$B$3548)-C835</f>
        <v>145.08381736111187</v>
      </c>
      <c r="J835" s="4" t="str">
        <f t="array" ref="J835">IF(AND(I835&lt;=30, D835&gt;=10, E835&gt;=200), "VIP",  IF(AND(I835&lt;=60, D835&gt;=5, E835&gt;=100), "Loyal", IF(AND(I835&lt;=90, D835&gt;=3), "Regular", IF(I835&lt;=30, "Recent", IF(D835&gt;=3, "Occasional", "At Risk")))))</f>
        <v>At Risk</v>
      </c>
      <c r="K835" t="str">
        <f t="array" ref="K835">IF(OR(J835="VIP", J835="Loyal"), "HIGH",IF(OR(J835="Regular", J835="Recent"), "MEDIUM","LOW"))</f>
        <v>LOW</v>
      </c>
    </row>
    <row r="836" spans="1:11">
      <c r="A836" t="s">
        <v>849</v>
      </c>
      <c r="B836" s="14">
        <f>_xlfn.MINIFS('working sheet'!$B$2:$B$3548, 'working sheet'!$D$2:$D$3548, A836)</f>
        <v>45594.751439444444</v>
      </c>
      <c r="C836" s="17">
        <f>_xlfn.MAXIFS('working sheet'!$B$1:$B$3548,'working sheet'!$D$1:$D$3548,'Customer Portfolio'!A836)</f>
        <v>45594.752053611111</v>
      </c>
      <c r="D836">
        <f>COUNTIFS('working sheet'!$D$1:$D$3548,'Customer Portfolio'!A836)</f>
        <v>2</v>
      </c>
      <c r="E836" s="5">
        <f>SUMIFS('working sheet'!$E$2:$E$3548,'working sheet'!$D$2:$D$3548,'Customer Portfolio'!A836)</f>
        <v>61.72</v>
      </c>
      <c r="F836" s="6">
        <f t="shared" si="26"/>
        <v>30.86</v>
      </c>
      <c r="G836" t="str">
        <f t="array" ref="G836">IFERROR(INDEX('working sheet'!$F$2:$F$3548, MODE(IF('working sheet'!$D$2:$D$3548=A836, MATCH('working sheet'!$F$2:$F$3548, 'working sheet'!$F$2:$F$3548, 0)))),
         INDEX('working sheet'!$F$2:$F$3548, MATCH(A836, 'working sheet'!$D$2:$D$3548, 0)))</f>
        <v>Americano with Milk</v>
      </c>
      <c r="H836" s="7">
        <f t="shared" si="27"/>
        <v>1.0006141666672193</v>
      </c>
      <c r="I836" s="7">
        <f>MAX('working sheet'!$B$2:$B$3548)-C836</f>
        <v>145.00603244212834</v>
      </c>
      <c r="J836" s="4" t="str">
        <f t="array" ref="J836">IF(AND(I836&lt;=30, D836&gt;=10, E836&gt;=200), "VIP",  IF(AND(I836&lt;=60, D836&gt;=5, E836&gt;=100), "Loyal", IF(AND(I836&lt;=90, D836&gt;=3), "Regular", IF(I836&lt;=30, "Recent", IF(D836&gt;=3, "Occasional", "At Risk")))))</f>
        <v>At Risk</v>
      </c>
      <c r="K836" t="str">
        <f t="array" ref="K836">IF(OR(J836="VIP", J836="Loyal"), "HIGH",IF(OR(J836="Regular", J836="Recent"), "MEDIUM","LOW"))</f>
        <v>LOW</v>
      </c>
    </row>
    <row r="837" spans="1:11">
      <c r="A837" t="s">
        <v>850</v>
      </c>
      <c r="B837" s="14">
        <f>_xlfn.MINIFS('working sheet'!$B$2:$B$3548, 'working sheet'!$D$2:$D$3548, A837)</f>
        <v>45594.793117615744</v>
      </c>
      <c r="C837" s="17">
        <f>_xlfn.MAXIFS('working sheet'!$B$1:$B$3548,'working sheet'!$D$1:$D$3548,'Customer Portfolio'!A837)</f>
        <v>45594.793117615744</v>
      </c>
      <c r="D837">
        <f>COUNTIFS('working sheet'!$D$1:$D$3548,'Customer Portfolio'!A837)</f>
        <v>1</v>
      </c>
      <c r="E837" s="5">
        <f>SUMIFS('working sheet'!$E$2:$E$3548,'working sheet'!$D$2:$D$3548,'Customer Portfolio'!A837)</f>
        <v>30.86</v>
      </c>
      <c r="F837" s="6">
        <f t="shared" si="26"/>
        <v>30.86</v>
      </c>
      <c r="G837" t="str">
        <f t="array" ref="G837">IFERROR(INDEX('working sheet'!$F$2:$F$3548, MODE(IF('working sheet'!$D$2:$D$3548=A837, MATCH('working sheet'!$F$2:$F$3548, 'working sheet'!$F$2:$F$3548, 0)))),
         INDEX('working sheet'!$F$2:$F$3548, MATCH(A837, 'working sheet'!$D$2:$D$3548, 0)))</f>
        <v>Americano with Milk</v>
      </c>
      <c r="H837" s="7">
        <f t="shared" si="27"/>
        <v>1</v>
      </c>
      <c r="I837" s="7">
        <f>MAX('working sheet'!$B$2:$B$3548)-C837</f>
        <v>144.96496843749628</v>
      </c>
      <c r="J837" s="4" t="str">
        <f t="array" ref="J837">IF(AND(I837&lt;=30, D837&gt;=10, E837&gt;=200), "VIP",  IF(AND(I837&lt;=60, D837&gt;=5, E837&gt;=100), "Loyal", IF(AND(I837&lt;=90, D837&gt;=3), "Regular", IF(I837&lt;=30, "Recent", IF(D837&gt;=3, "Occasional", "At Risk")))))</f>
        <v>At Risk</v>
      </c>
      <c r="K837" t="str">
        <f t="array" ref="K837">IF(OR(J837="VIP", J837="Loyal"), "HIGH",IF(OR(J837="Regular", J837="Recent"), "MEDIUM","LOW"))</f>
        <v>LOW</v>
      </c>
    </row>
    <row r="838" spans="1:11">
      <c r="A838" t="s">
        <v>851</v>
      </c>
      <c r="B838" s="14">
        <f>_xlfn.MINIFS('working sheet'!$B$2:$B$3548, 'working sheet'!$D$2:$D$3548, A838)</f>
        <v>45595.382978692127</v>
      </c>
      <c r="C838" s="17">
        <f>_xlfn.MAXIFS('working sheet'!$B$1:$B$3548,'working sheet'!$D$1:$D$3548,'Customer Portfolio'!A838)</f>
        <v>45595.382978692127</v>
      </c>
      <c r="D838">
        <f>COUNTIFS('working sheet'!$D$1:$D$3548,'Customer Portfolio'!A838)</f>
        <v>1</v>
      </c>
      <c r="E838" s="5">
        <f>SUMIFS('working sheet'!$E$2:$E$3548,'working sheet'!$D$2:$D$3548,'Customer Portfolio'!A838)</f>
        <v>35.76</v>
      </c>
      <c r="F838" s="6">
        <f t="shared" si="26"/>
        <v>35.76</v>
      </c>
      <c r="G838" t="str">
        <f t="array" ref="G838">IFERROR(INDEX('working sheet'!$F$2:$F$3548, MODE(IF('working sheet'!$D$2:$D$3548=A838, MATCH('working sheet'!$F$2:$F$3548, 'working sheet'!$F$2:$F$3548, 0)))),
         INDEX('working sheet'!$F$2:$F$3548, MATCH(A838, 'working sheet'!$D$2:$D$3548, 0)))</f>
        <v>Latte</v>
      </c>
      <c r="H838" s="7">
        <f t="shared" si="27"/>
        <v>1</v>
      </c>
      <c r="I838" s="7">
        <f>MAX('working sheet'!$B$2:$B$3548)-C838</f>
        <v>144.3751073611129</v>
      </c>
      <c r="J838" s="4" t="str">
        <f t="array" ref="J838">IF(AND(I838&lt;=30, D838&gt;=10, E838&gt;=200), "VIP",  IF(AND(I838&lt;=60, D838&gt;=5, E838&gt;=100), "Loyal", IF(AND(I838&lt;=90, D838&gt;=3), "Regular", IF(I838&lt;=30, "Recent", IF(D838&gt;=3, "Occasional", "At Risk")))))</f>
        <v>At Risk</v>
      </c>
      <c r="K838" t="str">
        <f t="array" ref="K838">IF(OR(J838="VIP", J838="Loyal"), "HIGH",IF(OR(J838="Regular", J838="Recent"), "MEDIUM","LOW"))</f>
        <v>LOW</v>
      </c>
    </row>
    <row r="839" spans="1:11">
      <c r="A839" t="s">
        <v>852</v>
      </c>
      <c r="B839" s="14">
        <f>_xlfn.MINIFS('working sheet'!$B$2:$B$3548, 'working sheet'!$D$2:$D$3548, A839)</f>
        <v>45595.438809618056</v>
      </c>
      <c r="C839" s="17">
        <f>_xlfn.MAXIFS('working sheet'!$B$1:$B$3548,'working sheet'!$D$1:$D$3548,'Customer Portfolio'!A839)</f>
        <v>45595.439672442131</v>
      </c>
      <c r="D839">
        <f>COUNTIFS('working sheet'!$D$1:$D$3548,'Customer Portfolio'!A839)</f>
        <v>2</v>
      </c>
      <c r="E839" s="5">
        <f>SUMIFS('working sheet'!$E$2:$E$3548,'working sheet'!$D$2:$D$3548,'Customer Portfolio'!A839)</f>
        <v>71.52</v>
      </c>
      <c r="F839" s="6">
        <f t="shared" si="26"/>
        <v>35.76</v>
      </c>
      <c r="G839" t="str">
        <f t="array" ref="G839">IFERROR(INDEX('working sheet'!$F$2:$F$3548, MODE(IF('working sheet'!$D$2:$D$3548=A839, MATCH('working sheet'!$F$2:$F$3548, 'working sheet'!$F$2:$F$3548, 0)))),
         INDEX('working sheet'!$F$2:$F$3548, MATCH(A839, 'working sheet'!$D$2:$D$3548, 0)))</f>
        <v>Latte</v>
      </c>
      <c r="H839" s="7">
        <f t="shared" si="27"/>
        <v>1.0008628240757389</v>
      </c>
      <c r="I839" s="7">
        <f>MAX('working sheet'!$B$2:$B$3548)-C839</f>
        <v>144.31841361110855</v>
      </c>
      <c r="J839" s="4" t="str">
        <f t="array" ref="J839">IF(AND(I839&lt;=30, D839&gt;=10, E839&gt;=200), "VIP",  IF(AND(I839&lt;=60, D839&gt;=5, E839&gt;=100), "Loyal", IF(AND(I839&lt;=90, D839&gt;=3), "Regular", IF(I839&lt;=30, "Recent", IF(D839&gt;=3, "Occasional", "At Risk")))))</f>
        <v>At Risk</v>
      </c>
      <c r="K839" t="str">
        <f t="array" ref="K839">IF(OR(J839="VIP", J839="Loyal"), "HIGH",IF(OR(J839="Regular", J839="Recent"), "MEDIUM","LOW"))</f>
        <v>LOW</v>
      </c>
    </row>
    <row r="840" spans="1:11">
      <c r="A840" t="s">
        <v>853</v>
      </c>
      <c r="B840" s="14">
        <f>_xlfn.MINIFS('working sheet'!$B$2:$B$3548, 'working sheet'!$D$2:$D$3548, A840)</f>
        <v>45595.525703298612</v>
      </c>
      <c r="C840" s="17">
        <f>_xlfn.MAXIFS('working sheet'!$B$1:$B$3548,'working sheet'!$D$1:$D$3548,'Customer Portfolio'!A840)</f>
        <v>45595.525703298612</v>
      </c>
      <c r="D840">
        <f>COUNTIFS('working sheet'!$D$1:$D$3548,'Customer Portfolio'!A840)</f>
        <v>1</v>
      </c>
      <c r="E840" s="5">
        <f>SUMIFS('working sheet'!$E$2:$E$3548,'working sheet'!$D$2:$D$3548,'Customer Portfolio'!A840)</f>
        <v>25.96</v>
      </c>
      <c r="F840" s="6">
        <f t="shared" si="26"/>
        <v>25.96</v>
      </c>
      <c r="G840" t="str">
        <f t="array" ref="G840">IFERROR(INDEX('working sheet'!$F$2:$F$3548, MODE(IF('working sheet'!$D$2:$D$3548=A840, MATCH('working sheet'!$F$2:$F$3548, 'working sheet'!$F$2:$F$3548, 0)))),
         INDEX('working sheet'!$F$2:$F$3548, MATCH(A840, 'working sheet'!$D$2:$D$3548, 0)))</f>
        <v>Americano</v>
      </c>
      <c r="H840" s="7">
        <f t="shared" si="27"/>
        <v>1</v>
      </c>
      <c r="I840" s="7">
        <f>MAX('working sheet'!$B$2:$B$3548)-C840</f>
        <v>144.23238275462791</v>
      </c>
      <c r="J840" s="4" t="str">
        <f t="array" ref="J840">IF(AND(I840&lt;=30, D840&gt;=10, E840&gt;=200), "VIP",  IF(AND(I840&lt;=60, D840&gt;=5, E840&gt;=100), "Loyal", IF(AND(I840&lt;=90, D840&gt;=3), "Regular", IF(I840&lt;=30, "Recent", IF(D840&gt;=3, "Occasional", "At Risk")))))</f>
        <v>At Risk</v>
      </c>
      <c r="K840" t="str">
        <f t="array" ref="K840">IF(OR(J840="VIP", J840="Loyal"), "HIGH",IF(OR(J840="Regular", J840="Recent"), "MEDIUM","LOW"))</f>
        <v>LOW</v>
      </c>
    </row>
    <row r="841" spans="1:11">
      <c r="A841" t="s">
        <v>854</v>
      </c>
      <c r="B841" s="14">
        <f>_xlfn.MINIFS('working sheet'!$B$2:$B$3548, 'working sheet'!$D$2:$D$3548, A841)</f>
        <v>45595.670004340274</v>
      </c>
      <c r="C841" s="17">
        <f>_xlfn.MAXIFS('working sheet'!$B$1:$B$3548,'working sheet'!$D$1:$D$3548,'Customer Portfolio'!A841)</f>
        <v>45595.670004340274</v>
      </c>
      <c r="D841">
        <f>COUNTIFS('working sheet'!$D$1:$D$3548,'Customer Portfolio'!A841)</f>
        <v>1</v>
      </c>
      <c r="E841" s="5">
        <f>SUMIFS('working sheet'!$E$2:$E$3548,'working sheet'!$D$2:$D$3548,'Customer Portfolio'!A841)</f>
        <v>30.86</v>
      </c>
      <c r="F841" s="6">
        <f t="shared" si="26"/>
        <v>30.86</v>
      </c>
      <c r="G841" t="str">
        <f t="array" ref="G841">IFERROR(INDEX('working sheet'!$F$2:$F$3548, MODE(IF('working sheet'!$D$2:$D$3548=A841, MATCH('working sheet'!$F$2:$F$3548, 'working sheet'!$F$2:$F$3548, 0)))),
         INDEX('working sheet'!$F$2:$F$3548, MATCH(A841, 'working sheet'!$D$2:$D$3548, 0)))</f>
        <v>Americano with Milk</v>
      </c>
      <c r="H841" s="7">
        <f t="shared" si="27"/>
        <v>1</v>
      </c>
      <c r="I841" s="7">
        <f>MAX('working sheet'!$B$2:$B$3548)-C841</f>
        <v>144.0880817129655</v>
      </c>
      <c r="J841" s="4" t="str">
        <f t="array" ref="J841">IF(AND(I841&lt;=30, D841&gt;=10, E841&gt;=200), "VIP",  IF(AND(I841&lt;=60, D841&gt;=5, E841&gt;=100), "Loyal", IF(AND(I841&lt;=90, D841&gt;=3), "Regular", IF(I841&lt;=30, "Recent", IF(D841&gt;=3, "Occasional", "At Risk")))))</f>
        <v>At Risk</v>
      </c>
      <c r="K841" t="str">
        <f t="array" ref="K841">IF(OR(J841="VIP", J841="Loyal"), "HIGH",IF(OR(J841="Regular", J841="Recent"), "MEDIUM","LOW"))</f>
        <v>LOW</v>
      </c>
    </row>
    <row r="842" spans="1:11">
      <c r="A842" t="s">
        <v>855</v>
      </c>
      <c r="B842" s="14">
        <f>_xlfn.MINIFS('working sheet'!$B$2:$B$3548, 'working sheet'!$D$2:$D$3548, A842)</f>
        <v>45595.755700150461</v>
      </c>
      <c r="C842" s="17">
        <f>_xlfn.MAXIFS('working sheet'!$B$1:$B$3548,'working sheet'!$D$1:$D$3548,'Customer Portfolio'!A842)</f>
        <v>45595.755700150461</v>
      </c>
      <c r="D842">
        <f>COUNTIFS('working sheet'!$D$1:$D$3548,'Customer Portfolio'!A842)</f>
        <v>1</v>
      </c>
      <c r="E842" s="5">
        <f>SUMIFS('working sheet'!$E$2:$E$3548,'working sheet'!$D$2:$D$3548,'Customer Portfolio'!A842)</f>
        <v>35.76</v>
      </c>
      <c r="F842" s="6">
        <f t="shared" si="26"/>
        <v>35.76</v>
      </c>
      <c r="G842" t="str">
        <f t="array" ref="G842">IFERROR(INDEX('working sheet'!$F$2:$F$3548, MODE(IF('working sheet'!$D$2:$D$3548=A842, MATCH('working sheet'!$F$2:$F$3548, 'working sheet'!$F$2:$F$3548, 0)))),
         INDEX('working sheet'!$F$2:$F$3548, MATCH(A842, 'working sheet'!$D$2:$D$3548, 0)))</f>
        <v>Hot Chocolate</v>
      </c>
      <c r="H842" s="7">
        <f t="shared" si="27"/>
        <v>1</v>
      </c>
      <c r="I842" s="7">
        <f>MAX('working sheet'!$B$2:$B$3548)-C842</f>
        <v>144.00238590277877</v>
      </c>
      <c r="J842" s="4" t="str">
        <f t="array" ref="J842">IF(AND(I842&lt;=30, D842&gt;=10, E842&gt;=200), "VIP",  IF(AND(I842&lt;=60, D842&gt;=5, E842&gt;=100), "Loyal", IF(AND(I842&lt;=90, D842&gt;=3), "Regular", IF(I842&lt;=30, "Recent", IF(D842&gt;=3, "Occasional", "At Risk")))))</f>
        <v>At Risk</v>
      </c>
      <c r="K842" t="str">
        <f t="array" ref="K842">IF(OR(J842="VIP", J842="Loyal"), "HIGH",IF(OR(J842="Regular", J842="Recent"), "MEDIUM","LOW"))</f>
        <v>LOW</v>
      </c>
    </row>
    <row r="843" spans="1:11">
      <c r="A843" t="s">
        <v>856</v>
      </c>
      <c r="B843" s="14">
        <f>_xlfn.MINIFS('working sheet'!$B$2:$B$3548, 'working sheet'!$D$2:$D$3548, A843)</f>
        <v>45595.82177303241</v>
      </c>
      <c r="C843" s="17">
        <f>_xlfn.MAXIFS('working sheet'!$B$1:$B$3548,'working sheet'!$D$1:$D$3548,'Customer Portfolio'!A843)</f>
        <v>45669.491883437498</v>
      </c>
      <c r="D843">
        <f>COUNTIFS('working sheet'!$D$1:$D$3548,'Customer Portfolio'!A843)</f>
        <v>6</v>
      </c>
      <c r="E843" s="5">
        <f>SUMIFS('working sheet'!$E$2:$E$3548,'working sheet'!$D$2:$D$3548,'Customer Portfolio'!A843)</f>
        <v>185.16</v>
      </c>
      <c r="F843" s="6">
        <f t="shared" si="26"/>
        <v>30.86</v>
      </c>
      <c r="G843" t="str">
        <f t="array" ref="G843">IFERROR(INDEX('working sheet'!$F$2:$F$3548, MODE(IF('working sheet'!$D$2:$D$3548=A843, MATCH('working sheet'!$F$2:$F$3548, 'working sheet'!$F$2:$F$3548, 0)))),
         INDEX('working sheet'!$F$2:$F$3548, MATCH(A843, 'working sheet'!$D$2:$D$3548, 0)))</f>
        <v>Americano with Milk</v>
      </c>
      <c r="H843" s="7">
        <f t="shared" si="27"/>
        <v>74.670110405088053</v>
      </c>
      <c r="I843" s="7">
        <f>MAX('working sheet'!$B$2:$B$3548)-C843</f>
        <v>70.266202615741349</v>
      </c>
      <c r="J843" s="4" t="str">
        <f t="array" ref="J843">IF(AND(I843&lt;=30, D843&gt;=10, E843&gt;=200), "VIP",  IF(AND(I843&lt;=60, D843&gt;=5, E843&gt;=100), "Loyal", IF(AND(I843&lt;=90, D843&gt;=3), "Regular", IF(I843&lt;=30, "Recent", IF(D843&gt;=3, "Occasional", "At Risk")))))</f>
        <v>Regular</v>
      </c>
      <c r="K843" t="str">
        <f t="array" ref="K843">IF(OR(J843="VIP", J843="Loyal"), "HIGH",IF(OR(J843="Regular", J843="Recent"), "MEDIUM","LOW"))</f>
        <v>MEDIUM</v>
      </c>
    </row>
    <row r="844" spans="1:11">
      <c r="A844" t="s">
        <v>857</v>
      </c>
      <c r="B844" s="14">
        <f>_xlfn.MINIFS('working sheet'!$B$2:$B$3548, 'working sheet'!$D$2:$D$3548, A844)</f>
        <v>45596.666281111109</v>
      </c>
      <c r="C844" s="17">
        <f>_xlfn.MAXIFS('working sheet'!$B$1:$B$3548,'working sheet'!$D$1:$D$3548,'Customer Portfolio'!A844)</f>
        <v>45596.666281111109</v>
      </c>
      <c r="D844">
        <f>COUNTIFS('working sheet'!$D$1:$D$3548,'Customer Portfolio'!A844)</f>
        <v>1</v>
      </c>
      <c r="E844" s="5">
        <f>SUMIFS('working sheet'!$E$2:$E$3548,'working sheet'!$D$2:$D$3548,'Customer Portfolio'!A844)</f>
        <v>35.76</v>
      </c>
      <c r="F844" s="6">
        <f t="shared" si="26"/>
        <v>35.76</v>
      </c>
      <c r="G844" t="str">
        <f t="array" ref="G844">IFERROR(INDEX('working sheet'!$F$2:$F$3548, MODE(IF('working sheet'!$D$2:$D$3548=A844, MATCH('working sheet'!$F$2:$F$3548, 'working sheet'!$F$2:$F$3548, 0)))),
         INDEX('working sheet'!$F$2:$F$3548, MATCH(A844, 'working sheet'!$D$2:$D$3548, 0)))</f>
        <v>Latte</v>
      </c>
      <c r="H844" s="7">
        <f t="shared" si="27"/>
        <v>1</v>
      </c>
      <c r="I844" s="7">
        <f>MAX('working sheet'!$B$2:$B$3548)-C844</f>
        <v>143.09180494213069</v>
      </c>
      <c r="J844" s="4" t="str">
        <f t="array" ref="J844">IF(AND(I844&lt;=30, D844&gt;=10, E844&gt;=200), "VIP",  IF(AND(I844&lt;=60, D844&gt;=5, E844&gt;=100), "Loyal", IF(AND(I844&lt;=90, D844&gt;=3), "Regular", IF(I844&lt;=30, "Recent", IF(D844&gt;=3, "Occasional", "At Risk")))))</f>
        <v>At Risk</v>
      </c>
      <c r="K844" t="str">
        <f t="array" ref="K844">IF(OR(J844="VIP", J844="Loyal"), "HIGH",IF(OR(J844="Regular", J844="Recent"), "MEDIUM","LOW"))</f>
        <v>LOW</v>
      </c>
    </row>
    <row r="845" spans="1:11">
      <c r="A845" t="s">
        <v>858</v>
      </c>
      <c r="B845" s="14">
        <f>_xlfn.MINIFS('working sheet'!$B$2:$B$3548, 'working sheet'!$D$2:$D$3548, A845)</f>
        <v>45596.667025266201</v>
      </c>
      <c r="C845" s="17">
        <f>_xlfn.MAXIFS('working sheet'!$B$1:$B$3548,'working sheet'!$D$1:$D$3548,'Customer Portfolio'!A845)</f>
        <v>45596.667025266201</v>
      </c>
      <c r="D845">
        <f>COUNTIFS('working sheet'!$D$1:$D$3548,'Customer Portfolio'!A845)</f>
        <v>1</v>
      </c>
      <c r="E845" s="5">
        <f>SUMIFS('working sheet'!$E$2:$E$3548,'working sheet'!$D$2:$D$3548,'Customer Portfolio'!A845)</f>
        <v>30.86</v>
      </c>
      <c r="F845" s="6">
        <f t="shared" si="26"/>
        <v>30.86</v>
      </c>
      <c r="G845" t="str">
        <f t="array" ref="G845">IFERROR(INDEX('working sheet'!$F$2:$F$3548, MODE(IF('working sheet'!$D$2:$D$3548=A845, MATCH('working sheet'!$F$2:$F$3548, 'working sheet'!$F$2:$F$3548, 0)))),
         INDEX('working sheet'!$F$2:$F$3548, MATCH(A845, 'working sheet'!$D$2:$D$3548, 0)))</f>
        <v>Americano with Milk</v>
      </c>
      <c r="H845" s="7">
        <f t="shared" si="27"/>
        <v>1</v>
      </c>
      <c r="I845" s="7">
        <f>MAX('working sheet'!$B$2:$B$3548)-C845</f>
        <v>143.09106078703917</v>
      </c>
      <c r="J845" s="4" t="str">
        <f t="array" ref="J845">IF(AND(I845&lt;=30, D845&gt;=10, E845&gt;=200), "VIP",  IF(AND(I845&lt;=60, D845&gt;=5, E845&gt;=100), "Loyal", IF(AND(I845&lt;=90, D845&gt;=3), "Regular", IF(I845&lt;=30, "Recent", IF(D845&gt;=3, "Occasional", "At Risk")))))</f>
        <v>At Risk</v>
      </c>
      <c r="K845" t="str">
        <f t="array" ref="K845">IF(OR(J845="VIP", J845="Loyal"), "HIGH",IF(OR(J845="Regular", J845="Recent"), "MEDIUM","LOW"))</f>
        <v>LOW</v>
      </c>
    </row>
    <row r="846" spans="1:11">
      <c r="A846" t="s">
        <v>859</v>
      </c>
      <c r="B846" s="14">
        <f>_xlfn.MINIFS('working sheet'!$B$2:$B$3548, 'working sheet'!$D$2:$D$3548, A846)</f>
        <v>45597.663685462961</v>
      </c>
      <c r="C846" s="17">
        <f>_xlfn.MAXIFS('working sheet'!$B$1:$B$3548,'working sheet'!$D$1:$D$3548,'Customer Portfolio'!A846)</f>
        <v>45597.663685462961</v>
      </c>
      <c r="D846">
        <f>COUNTIFS('working sheet'!$D$1:$D$3548,'Customer Portfolio'!A846)</f>
        <v>1</v>
      </c>
      <c r="E846" s="5">
        <f>SUMIFS('working sheet'!$E$2:$E$3548,'working sheet'!$D$2:$D$3548,'Customer Portfolio'!A846)</f>
        <v>25.96</v>
      </c>
      <c r="F846" s="6">
        <f t="shared" si="26"/>
        <v>25.96</v>
      </c>
      <c r="G846" t="str">
        <f t="array" ref="G846">IFERROR(INDEX('working sheet'!$F$2:$F$3548, MODE(IF('working sheet'!$D$2:$D$3548=A846, MATCH('working sheet'!$F$2:$F$3548, 'working sheet'!$F$2:$F$3548, 0)))),
         INDEX('working sheet'!$F$2:$F$3548, MATCH(A846, 'working sheet'!$D$2:$D$3548, 0)))</f>
        <v>Cortado</v>
      </c>
      <c r="H846" s="7">
        <f t="shared" si="27"/>
        <v>1</v>
      </c>
      <c r="I846" s="7">
        <f>MAX('working sheet'!$B$2:$B$3548)-C846</f>
        <v>142.09440059027838</v>
      </c>
      <c r="J846" s="4" t="str">
        <f t="array" ref="J846">IF(AND(I846&lt;=30, D846&gt;=10, E846&gt;=200), "VIP",  IF(AND(I846&lt;=60, D846&gt;=5, E846&gt;=100), "Loyal", IF(AND(I846&lt;=90, D846&gt;=3), "Regular", IF(I846&lt;=30, "Recent", IF(D846&gt;=3, "Occasional", "At Risk")))))</f>
        <v>At Risk</v>
      </c>
      <c r="K846" t="str">
        <f t="array" ref="K846">IF(OR(J846="VIP", J846="Loyal"), "HIGH",IF(OR(J846="Regular", J846="Recent"), "MEDIUM","LOW"))</f>
        <v>LOW</v>
      </c>
    </row>
    <row r="847" spans="1:11">
      <c r="A847" t="s">
        <v>860</v>
      </c>
      <c r="B847" s="14">
        <f>_xlfn.MINIFS('working sheet'!$B$2:$B$3548, 'working sheet'!$D$2:$D$3548, A847)</f>
        <v>45598.621002870372</v>
      </c>
      <c r="C847" s="17">
        <f>_xlfn.MAXIFS('working sheet'!$B$1:$B$3548,'working sheet'!$D$1:$D$3548,'Customer Portfolio'!A847)</f>
        <v>45598.621002870372</v>
      </c>
      <c r="D847">
        <f>COUNTIFS('working sheet'!$D$1:$D$3548,'Customer Portfolio'!A847)</f>
        <v>1</v>
      </c>
      <c r="E847" s="5">
        <f>SUMIFS('working sheet'!$E$2:$E$3548,'working sheet'!$D$2:$D$3548,'Customer Portfolio'!A847)</f>
        <v>30.86</v>
      </c>
      <c r="F847" s="6">
        <f t="shared" si="26"/>
        <v>30.86</v>
      </c>
      <c r="G847" t="str">
        <f t="array" ref="G847">IFERROR(INDEX('working sheet'!$F$2:$F$3548, MODE(IF('working sheet'!$D$2:$D$3548=A847, MATCH('working sheet'!$F$2:$F$3548, 'working sheet'!$F$2:$F$3548, 0)))),
         INDEX('working sheet'!$F$2:$F$3548, MATCH(A847, 'working sheet'!$D$2:$D$3548, 0)))</f>
        <v>Americano with Milk</v>
      </c>
      <c r="H847" s="7">
        <f t="shared" si="27"/>
        <v>1</v>
      </c>
      <c r="I847" s="7">
        <f>MAX('working sheet'!$B$2:$B$3548)-C847</f>
        <v>141.13708318286808</v>
      </c>
      <c r="J847" s="4" t="str">
        <f t="array" ref="J847">IF(AND(I847&lt;=30, D847&gt;=10, E847&gt;=200), "VIP",  IF(AND(I847&lt;=60, D847&gt;=5, E847&gt;=100), "Loyal", IF(AND(I847&lt;=90, D847&gt;=3), "Regular", IF(I847&lt;=30, "Recent", IF(D847&gt;=3, "Occasional", "At Risk")))))</f>
        <v>At Risk</v>
      </c>
      <c r="K847" t="str">
        <f t="array" ref="K847">IF(OR(J847="VIP", J847="Loyal"), "HIGH",IF(OR(J847="Regular", J847="Recent"), "MEDIUM","LOW"))</f>
        <v>LOW</v>
      </c>
    </row>
    <row r="848" spans="1:11">
      <c r="A848" t="s">
        <v>861</v>
      </c>
      <c r="B848" s="14">
        <f>_xlfn.MINIFS('working sheet'!$B$2:$B$3548, 'working sheet'!$D$2:$D$3548, A848)</f>
        <v>45598.692419039355</v>
      </c>
      <c r="C848" s="17">
        <f>_xlfn.MAXIFS('working sheet'!$B$1:$B$3548,'working sheet'!$D$1:$D$3548,'Customer Portfolio'!A848)</f>
        <v>45598.692419039355</v>
      </c>
      <c r="D848">
        <f>COUNTIFS('working sheet'!$D$1:$D$3548,'Customer Portfolio'!A848)</f>
        <v>1</v>
      </c>
      <c r="E848" s="5">
        <f>SUMIFS('working sheet'!$E$2:$E$3548,'working sheet'!$D$2:$D$3548,'Customer Portfolio'!A848)</f>
        <v>35.76</v>
      </c>
      <c r="F848" s="6">
        <f t="shared" si="26"/>
        <v>35.76</v>
      </c>
      <c r="G848" t="str">
        <f t="array" ref="G848">IFERROR(INDEX('working sheet'!$F$2:$F$3548, MODE(IF('working sheet'!$D$2:$D$3548=A848, MATCH('working sheet'!$F$2:$F$3548, 'working sheet'!$F$2:$F$3548, 0)))),
         INDEX('working sheet'!$F$2:$F$3548, MATCH(A848, 'working sheet'!$D$2:$D$3548, 0)))</f>
        <v>Latte</v>
      </c>
      <c r="H848" s="7">
        <f t="shared" si="27"/>
        <v>1</v>
      </c>
      <c r="I848" s="7">
        <f>MAX('working sheet'!$B$2:$B$3548)-C848</f>
        <v>141.0656670138851</v>
      </c>
      <c r="J848" s="4" t="str">
        <f t="array" ref="J848">IF(AND(I848&lt;=30, D848&gt;=10, E848&gt;=200), "VIP",  IF(AND(I848&lt;=60, D848&gt;=5, E848&gt;=100), "Loyal", IF(AND(I848&lt;=90, D848&gt;=3), "Regular", IF(I848&lt;=30, "Recent", IF(D848&gt;=3, "Occasional", "At Risk")))))</f>
        <v>At Risk</v>
      </c>
      <c r="K848" t="str">
        <f t="array" ref="K848">IF(OR(J848="VIP", J848="Loyal"), "HIGH",IF(OR(J848="Regular", J848="Recent"), "MEDIUM","LOW"))</f>
        <v>LOW</v>
      </c>
    </row>
    <row r="849" spans="1:11">
      <c r="A849" t="s">
        <v>862</v>
      </c>
      <c r="B849" s="14">
        <f>_xlfn.MINIFS('working sheet'!$B$2:$B$3548, 'working sheet'!$D$2:$D$3548, A849)</f>
        <v>45598.79055002315</v>
      </c>
      <c r="C849" s="17">
        <f>_xlfn.MAXIFS('working sheet'!$B$1:$B$3548,'working sheet'!$D$1:$D$3548,'Customer Portfolio'!A849)</f>
        <v>45598.79055002315</v>
      </c>
      <c r="D849">
        <f>COUNTIFS('working sheet'!$D$1:$D$3548,'Customer Portfolio'!A849)</f>
        <v>1</v>
      </c>
      <c r="E849" s="5">
        <f>SUMIFS('working sheet'!$E$2:$E$3548,'working sheet'!$D$2:$D$3548,'Customer Portfolio'!A849)</f>
        <v>25.96</v>
      </c>
      <c r="F849" s="6">
        <f t="shared" si="26"/>
        <v>25.96</v>
      </c>
      <c r="G849" t="str">
        <f t="array" ref="G849">IFERROR(INDEX('working sheet'!$F$2:$F$3548, MODE(IF('working sheet'!$D$2:$D$3548=A849, MATCH('working sheet'!$F$2:$F$3548, 'working sheet'!$F$2:$F$3548, 0)))),
         INDEX('working sheet'!$F$2:$F$3548, MATCH(A849, 'working sheet'!$D$2:$D$3548, 0)))</f>
        <v>Americano</v>
      </c>
      <c r="H849" s="7">
        <f t="shared" si="27"/>
        <v>1</v>
      </c>
      <c r="I849" s="7">
        <f>MAX('working sheet'!$B$2:$B$3548)-C849</f>
        <v>140.96753603008983</v>
      </c>
      <c r="J849" s="4" t="str">
        <f t="array" ref="J849">IF(AND(I849&lt;=30, D849&gt;=10, E849&gt;=200), "VIP",  IF(AND(I849&lt;=60, D849&gt;=5, E849&gt;=100), "Loyal", IF(AND(I849&lt;=90, D849&gt;=3), "Regular", IF(I849&lt;=30, "Recent", IF(D849&gt;=3, "Occasional", "At Risk")))))</f>
        <v>At Risk</v>
      </c>
      <c r="K849" t="str">
        <f t="array" ref="K849">IF(OR(J849="VIP", J849="Loyal"), "HIGH",IF(OR(J849="Regular", J849="Recent"), "MEDIUM","LOW"))</f>
        <v>LOW</v>
      </c>
    </row>
    <row r="850" spans="1:11">
      <c r="A850" t="s">
        <v>863</v>
      </c>
      <c r="B850" s="14">
        <f>_xlfn.MINIFS('working sheet'!$B$2:$B$3548, 'working sheet'!$D$2:$D$3548, A850)</f>
        <v>45599.55128939815</v>
      </c>
      <c r="C850" s="17">
        <f>_xlfn.MAXIFS('working sheet'!$B$1:$B$3548,'working sheet'!$D$1:$D$3548,'Customer Portfolio'!A850)</f>
        <v>45599.552044826392</v>
      </c>
      <c r="D850">
        <f>COUNTIFS('working sheet'!$D$1:$D$3548,'Customer Portfolio'!A850)</f>
        <v>2</v>
      </c>
      <c r="E850" s="5">
        <f>SUMIFS('working sheet'!$E$2:$E$3548,'working sheet'!$D$2:$D$3548,'Customer Portfolio'!A850)</f>
        <v>66.62</v>
      </c>
      <c r="F850" s="6">
        <f t="shared" si="26"/>
        <v>33.31</v>
      </c>
      <c r="G850" t="str">
        <f t="array" ref="G850">IFERROR(INDEX('working sheet'!$F$2:$F$3548, MODE(IF('working sheet'!$D$2:$D$3548=A850, MATCH('working sheet'!$F$2:$F$3548, 'working sheet'!$F$2:$F$3548, 0)))),
         INDEX('working sheet'!$F$2:$F$3548, MATCH(A850, 'working sheet'!$D$2:$D$3548, 0)))</f>
        <v>Latte</v>
      </c>
      <c r="H850" s="7">
        <f t="shared" si="27"/>
        <v>1.0007554282419733</v>
      </c>
      <c r="I850" s="7">
        <f>MAX('working sheet'!$B$2:$B$3548)-C850</f>
        <v>140.20604122684745</v>
      </c>
      <c r="J850" s="4" t="str">
        <f t="array" ref="J850">IF(AND(I850&lt;=30, D850&gt;=10, E850&gt;=200), "VIP",  IF(AND(I850&lt;=60, D850&gt;=5, E850&gt;=100), "Loyal", IF(AND(I850&lt;=90, D850&gt;=3), "Regular", IF(I850&lt;=30, "Recent", IF(D850&gt;=3, "Occasional", "At Risk")))))</f>
        <v>At Risk</v>
      </c>
      <c r="K850" t="str">
        <f t="array" ref="K850">IF(OR(J850="VIP", J850="Loyal"), "HIGH",IF(OR(J850="Regular", J850="Recent"), "MEDIUM","LOW"))</f>
        <v>LOW</v>
      </c>
    </row>
    <row r="851" spans="1:11">
      <c r="A851" t="s">
        <v>864</v>
      </c>
      <c r="B851" s="14">
        <f>_xlfn.MINIFS('working sheet'!$B$2:$B$3548, 'working sheet'!$D$2:$D$3548, A851)</f>
        <v>45599.572436527778</v>
      </c>
      <c r="C851" s="17">
        <f>_xlfn.MAXIFS('working sheet'!$B$1:$B$3548,'working sheet'!$D$1:$D$3548,'Customer Portfolio'!A851)</f>
        <v>45599.572436527778</v>
      </c>
      <c r="D851">
        <f>COUNTIFS('working sheet'!$D$1:$D$3548,'Customer Portfolio'!A851)</f>
        <v>1</v>
      </c>
      <c r="E851" s="5">
        <f>SUMIFS('working sheet'!$E$2:$E$3548,'working sheet'!$D$2:$D$3548,'Customer Portfolio'!A851)</f>
        <v>25.96</v>
      </c>
      <c r="F851" s="6">
        <f t="shared" si="26"/>
        <v>25.96</v>
      </c>
      <c r="G851" t="str">
        <f t="array" ref="G851">IFERROR(INDEX('working sheet'!$F$2:$F$3548, MODE(IF('working sheet'!$D$2:$D$3548=A851, MATCH('working sheet'!$F$2:$F$3548, 'working sheet'!$F$2:$F$3548, 0)))),
         INDEX('working sheet'!$F$2:$F$3548, MATCH(A851, 'working sheet'!$D$2:$D$3548, 0)))</f>
        <v>Americano</v>
      </c>
      <c r="H851" s="7">
        <f t="shared" si="27"/>
        <v>1</v>
      </c>
      <c r="I851" s="7">
        <f>MAX('working sheet'!$B$2:$B$3548)-C851</f>
        <v>140.18564952546149</v>
      </c>
      <c r="J851" s="4" t="str">
        <f t="array" ref="J851">IF(AND(I851&lt;=30, D851&gt;=10, E851&gt;=200), "VIP",  IF(AND(I851&lt;=60, D851&gt;=5, E851&gt;=100), "Loyal", IF(AND(I851&lt;=90, D851&gt;=3), "Regular", IF(I851&lt;=30, "Recent", IF(D851&gt;=3, "Occasional", "At Risk")))))</f>
        <v>At Risk</v>
      </c>
      <c r="K851" t="str">
        <f t="array" ref="K851">IF(OR(J851="VIP", J851="Loyal"), "HIGH",IF(OR(J851="Regular", J851="Recent"), "MEDIUM","LOW"))</f>
        <v>LOW</v>
      </c>
    </row>
    <row r="852" spans="1:11">
      <c r="A852" t="s">
        <v>865</v>
      </c>
      <c r="B852" s="14">
        <f>_xlfn.MINIFS('working sheet'!$B$2:$B$3548, 'working sheet'!$D$2:$D$3548, A852)</f>
        <v>45599.582651354169</v>
      </c>
      <c r="C852" s="17">
        <f>_xlfn.MAXIFS('working sheet'!$B$1:$B$3548,'working sheet'!$D$1:$D$3548,'Customer Portfolio'!A852)</f>
        <v>45611.733114039351</v>
      </c>
      <c r="D852">
        <f>COUNTIFS('working sheet'!$D$1:$D$3548,'Customer Portfolio'!A852)</f>
        <v>2</v>
      </c>
      <c r="E852" s="5">
        <f>SUMIFS('working sheet'!$E$2:$E$3548,'working sheet'!$D$2:$D$3548,'Customer Portfolio'!A852)</f>
        <v>61.72</v>
      </c>
      <c r="F852" s="6">
        <f t="shared" si="26"/>
        <v>30.86</v>
      </c>
      <c r="G852" t="str">
        <f t="array" ref="G852">IFERROR(INDEX('working sheet'!$F$2:$F$3548, MODE(IF('working sheet'!$D$2:$D$3548=A852, MATCH('working sheet'!$F$2:$F$3548, 'working sheet'!$F$2:$F$3548, 0)))),
         INDEX('working sheet'!$F$2:$F$3548, MATCH(A852, 'working sheet'!$D$2:$D$3548, 0)))</f>
        <v>Americano with Milk</v>
      </c>
      <c r="H852" s="7">
        <f t="shared" si="27"/>
        <v>13.150462685181992</v>
      </c>
      <c r="I852" s="7">
        <f>MAX('working sheet'!$B$2:$B$3548)-C852</f>
        <v>128.02497201388906</v>
      </c>
      <c r="J852" s="4" t="str">
        <f t="array" ref="J852">IF(AND(I852&lt;=30, D852&gt;=10, E852&gt;=200), "VIP",  IF(AND(I852&lt;=60, D852&gt;=5, E852&gt;=100), "Loyal", IF(AND(I852&lt;=90, D852&gt;=3), "Regular", IF(I852&lt;=30, "Recent", IF(D852&gt;=3, "Occasional", "At Risk")))))</f>
        <v>At Risk</v>
      </c>
      <c r="K852" t="str">
        <f t="array" ref="K852">IF(OR(J852="VIP", J852="Loyal"), "HIGH",IF(OR(J852="Regular", J852="Recent"), "MEDIUM","LOW"))</f>
        <v>LOW</v>
      </c>
    </row>
    <row r="853" spans="1:11">
      <c r="A853" t="s">
        <v>866</v>
      </c>
      <c r="B853" s="14">
        <f>_xlfn.MINIFS('working sheet'!$B$2:$B$3548, 'working sheet'!$D$2:$D$3548, A853)</f>
        <v>45599.68098513889</v>
      </c>
      <c r="C853" s="17">
        <f>_xlfn.MAXIFS('working sheet'!$B$1:$B$3548,'working sheet'!$D$1:$D$3548,'Customer Portfolio'!A853)</f>
        <v>45599.681783043983</v>
      </c>
      <c r="D853">
        <f>COUNTIFS('working sheet'!$D$1:$D$3548,'Customer Portfolio'!A853)</f>
        <v>2</v>
      </c>
      <c r="E853" s="5">
        <f>SUMIFS('working sheet'!$E$2:$E$3548,'working sheet'!$D$2:$D$3548,'Customer Portfolio'!A853)</f>
        <v>51.92</v>
      </c>
      <c r="F853" s="6">
        <f t="shared" si="26"/>
        <v>25.96</v>
      </c>
      <c r="G853" t="str">
        <f t="array" ref="G853">IFERROR(INDEX('working sheet'!$F$2:$F$3548, MODE(IF('working sheet'!$D$2:$D$3548=A853, MATCH('working sheet'!$F$2:$F$3548, 'working sheet'!$F$2:$F$3548, 0)))),
         INDEX('working sheet'!$F$2:$F$3548, MATCH(A853, 'working sheet'!$D$2:$D$3548, 0)))</f>
        <v>Americano</v>
      </c>
      <c r="H853" s="7">
        <f t="shared" si="27"/>
        <v>1.00079790509335</v>
      </c>
      <c r="I853" s="7">
        <f>MAX('working sheet'!$B$2:$B$3548)-C853</f>
        <v>140.07630300925666</v>
      </c>
      <c r="J853" s="4" t="str">
        <f t="array" ref="J853">IF(AND(I853&lt;=30, D853&gt;=10, E853&gt;=200), "VIP",  IF(AND(I853&lt;=60, D853&gt;=5, E853&gt;=100), "Loyal", IF(AND(I853&lt;=90, D853&gt;=3), "Regular", IF(I853&lt;=30, "Recent", IF(D853&gt;=3, "Occasional", "At Risk")))))</f>
        <v>At Risk</v>
      </c>
      <c r="K853" t="str">
        <f t="array" ref="K853">IF(OR(J853="VIP", J853="Loyal"), "HIGH",IF(OR(J853="Regular", J853="Recent"), "MEDIUM","LOW"))</f>
        <v>LOW</v>
      </c>
    </row>
    <row r="854" spans="1:11">
      <c r="A854" t="s">
        <v>867</v>
      </c>
      <c r="B854" s="14">
        <f>_xlfn.MINIFS('working sheet'!$B$2:$B$3548, 'working sheet'!$D$2:$D$3548, A854)</f>
        <v>45600.523330856478</v>
      </c>
      <c r="C854" s="17">
        <f>_xlfn.MAXIFS('working sheet'!$B$1:$B$3548,'working sheet'!$D$1:$D$3548,'Customer Portfolio'!A854)</f>
        <v>45600.523330856478</v>
      </c>
      <c r="D854">
        <f>COUNTIFS('working sheet'!$D$1:$D$3548,'Customer Portfolio'!A854)</f>
        <v>1</v>
      </c>
      <c r="E854" s="5">
        <f>SUMIFS('working sheet'!$E$2:$E$3548,'working sheet'!$D$2:$D$3548,'Customer Portfolio'!A854)</f>
        <v>25.96</v>
      </c>
      <c r="F854" s="6">
        <f t="shared" si="26"/>
        <v>25.96</v>
      </c>
      <c r="G854" t="str">
        <f t="array" ref="G854">IFERROR(INDEX('working sheet'!$F$2:$F$3548, MODE(IF('working sheet'!$D$2:$D$3548=A854, MATCH('working sheet'!$F$2:$F$3548, 'working sheet'!$F$2:$F$3548, 0)))),
         INDEX('working sheet'!$F$2:$F$3548, MATCH(A854, 'working sheet'!$D$2:$D$3548, 0)))</f>
        <v>Americano</v>
      </c>
      <c r="H854" s="7">
        <f t="shared" si="27"/>
        <v>1</v>
      </c>
      <c r="I854" s="7">
        <f>MAX('working sheet'!$B$2:$B$3548)-C854</f>
        <v>139.2347551967614</v>
      </c>
      <c r="J854" s="4" t="str">
        <f t="array" ref="J854">IF(AND(I854&lt;=30, D854&gt;=10, E854&gt;=200), "VIP",  IF(AND(I854&lt;=60, D854&gt;=5, E854&gt;=100), "Loyal", IF(AND(I854&lt;=90, D854&gt;=3), "Regular", IF(I854&lt;=30, "Recent", IF(D854&gt;=3, "Occasional", "At Risk")))))</f>
        <v>At Risk</v>
      </c>
      <c r="K854" t="str">
        <f t="array" ref="K854">IF(OR(J854="VIP", J854="Loyal"), "HIGH",IF(OR(J854="Regular", J854="Recent"), "MEDIUM","LOW"))</f>
        <v>LOW</v>
      </c>
    </row>
    <row r="855" spans="1:11">
      <c r="A855" t="s">
        <v>868</v>
      </c>
      <c r="B855" s="14">
        <f>_xlfn.MINIFS('working sheet'!$B$2:$B$3548, 'working sheet'!$D$2:$D$3548, A855)</f>
        <v>45600.524375706016</v>
      </c>
      <c r="C855" s="17">
        <f>_xlfn.MAXIFS('working sheet'!$B$1:$B$3548,'working sheet'!$D$1:$D$3548,'Customer Portfolio'!A855)</f>
        <v>45600.524375706016</v>
      </c>
      <c r="D855">
        <f>COUNTIFS('working sheet'!$D$1:$D$3548,'Customer Portfolio'!A855)</f>
        <v>1</v>
      </c>
      <c r="E855" s="5">
        <f>SUMIFS('working sheet'!$E$2:$E$3548,'working sheet'!$D$2:$D$3548,'Customer Portfolio'!A855)</f>
        <v>30.86</v>
      </c>
      <c r="F855" s="6">
        <f t="shared" si="26"/>
        <v>30.86</v>
      </c>
      <c r="G855" t="str">
        <f t="array" ref="G855">IFERROR(INDEX('working sheet'!$F$2:$F$3548, MODE(IF('working sheet'!$D$2:$D$3548=A855, MATCH('working sheet'!$F$2:$F$3548, 'working sheet'!$F$2:$F$3548, 0)))),
         INDEX('working sheet'!$F$2:$F$3548, MATCH(A855, 'working sheet'!$D$2:$D$3548, 0)))</f>
        <v>Americano with Milk</v>
      </c>
      <c r="H855" s="7">
        <f t="shared" si="27"/>
        <v>1</v>
      </c>
      <c r="I855" s="7">
        <f>MAX('working sheet'!$B$2:$B$3548)-C855</f>
        <v>139.23371034722368</v>
      </c>
      <c r="J855" s="4" t="str">
        <f t="array" ref="J855">IF(AND(I855&lt;=30, D855&gt;=10, E855&gt;=200), "VIP",  IF(AND(I855&lt;=60, D855&gt;=5, E855&gt;=100), "Loyal", IF(AND(I855&lt;=90, D855&gt;=3), "Regular", IF(I855&lt;=30, "Recent", IF(D855&gt;=3, "Occasional", "At Risk")))))</f>
        <v>At Risk</v>
      </c>
      <c r="K855" t="str">
        <f t="array" ref="K855">IF(OR(J855="VIP", J855="Loyal"), "HIGH",IF(OR(J855="Regular", J855="Recent"), "MEDIUM","LOW"))</f>
        <v>LOW</v>
      </c>
    </row>
    <row r="856" spans="1:11">
      <c r="A856" t="s">
        <v>869</v>
      </c>
      <c r="B856" s="14">
        <f>_xlfn.MINIFS('working sheet'!$B$2:$B$3548, 'working sheet'!$D$2:$D$3548, A856)</f>
        <v>45601.491317812499</v>
      </c>
      <c r="C856" s="17">
        <f>_xlfn.MAXIFS('working sheet'!$B$1:$B$3548,'working sheet'!$D$1:$D$3548,'Customer Portfolio'!A856)</f>
        <v>45601.491317812499</v>
      </c>
      <c r="D856">
        <f>COUNTIFS('working sheet'!$D$1:$D$3548,'Customer Portfolio'!A856)</f>
        <v>1</v>
      </c>
      <c r="E856" s="5">
        <f>SUMIFS('working sheet'!$E$2:$E$3548,'working sheet'!$D$2:$D$3548,'Customer Portfolio'!A856)</f>
        <v>35.76</v>
      </c>
      <c r="F856" s="6">
        <f t="shared" si="26"/>
        <v>35.76</v>
      </c>
      <c r="G856" t="str">
        <f t="array" ref="G856">IFERROR(INDEX('working sheet'!$F$2:$F$3548, MODE(IF('working sheet'!$D$2:$D$3548=A856, MATCH('working sheet'!$F$2:$F$3548, 'working sheet'!$F$2:$F$3548, 0)))),
         INDEX('working sheet'!$F$2:$F$3548, MATCH(A856, 'working sheet'!$D$2:$D$3548, 0)))</f>
        <v>Cocoa</v>
      </c>
      <c r="H856" s="7">
        <f t="shared" si="27"/>
        <v>1</v>
      </c>
      <c r="I856" s="7">
        <f>MAX('working sheet'!$B$2:$B$3548)-C856</f>
        <v>138.26676824074093</v>
      </c>
      <c r="J856" s="4" t="str">
        <f t="array" ref="J856">IF(AND(I856&lt;=30, D856&gt;=10, E856&gt;=200), "VIP",  IF(AND(I856&lt;=60, D856&gt;=5, E856&gt;=100), "Loyal", IF(AND(I856&lt;=90, D856&gt;=3), "Regular", IF(I856&lt;=30, "Recent", IF(D856&gt;=3, "Occasional", "At Risk")))))</f>
        <v>At Risk</v>
      </c>
      <c r="K856" t="str">
        <f t="array" ref="K856">IF(OR(J856="VIP", J856="Loyal"), "HIGH",IF(OR(J856="Regular", J856="Recent"), "MEDIUM","LOW"))</f>
        <v>LOW</v>
      </c>
    </row>
    <row r="857" spans="1:11">
      <c r="A857" t="s">
        <v>870</v>
      </c>
      <c r="B857" s="14">
        <f>_xlfn.MINIFS('working sheet'!$B$2:$B$3548, 'working sheet'!$D$2:$D$3548, A857)</f>
        <v>45601.491926898147</v>
      </c>
      <c r="C857" s="17">
        <f>_xlfn.MAXIFS('working sheet'!$B$1:$B$3548,'working sheet'!$D$1:$D$3548,'Customer Portfolio'!A857)</f>
        <v>45601.491926898147</v>
      </c>
      <c r="D857">
        <f>COUNTIFS('working sheet'!$D$1:$D$3548,'Customer Portfolio'!A857)</f>
        <v>1</v>
      </c>
      <c r="E857" s="5">
        <f>SUMIFS('working sheet'!$E$2:$E$3548,'working sheet'!$D$2:$D$3548,'Customer Portfolio'!A857)</f>
        <v>35.76</v>
      </c>
      <c r="F857" s="6">
        <f t="shared" si="26"/>
        <v>35.76</v>
      </c>
      <c r="G857" t="str">
        <f t="array" ref="G857">IFERROR(INDEX('working sheet'!$F$2:$F$3548, MODE(IF('working sheet'!$D$2:$D$3548=A857, MATCH('working sheet'!$F$2:$F$3548, 'working sheet'!$F$2:$F$3548, 0)))),
         INDEX('working sheet'!$F$2:$F$3548, MATCH(A857, 'working sheet'!$D$2:$D$3548, 0)))</f>
        <v>Latte</v>
      </c>
      <c r="H857" s="7">
        <f t="shared" si="27"/>
        <v>1</v>
      </c>
      <c r="I857" s="7">
        <f>MAX('working sheet'!$B$2:$B$3548)-C857</f>
        <v>138.26615915509319</v>
      </c>
      <c r="J857" s="4" t="str">
        <f t="array" ref="J857">IF(AND(I857&lt;=30, D857&gt;=10, E857&gt;=200), "VIP",  IF(AND(I857&lt;=60, D857&gt;=5, E857&gt;=100), "Loyal", IF(AND(I857&lt;=90, D857&gt;=3), "Regular", IF(I857&lt;=30, "Recent", IF(D857&gt;=3, "Occasional", "At Risk")))))</f>
        <v>At Risk</v>
      </c>
      <c r="K857" t="str">
        <f t="array" ref="K857">IF(OR(J857="VIP", J857="Loyal"), "HIGH",IF(OR(J857="Regular", J857="Recent"), "MEDIUM","LOW"))</f>
        <v>LOW</v>
      </c>
    </row>
    <row r="858" spans="1:11">
      <c r="A858" t="s">
        <v>871</v>
      </c>
      <c r="B858" s="14">
        <f>_xlfn.MINIFS('working sheet'!$B$2:$B$3548, 'working sheet'!$D$2:$D$3548, A858)</f>
        <v>45601.608771481478</v>
      </c>
      <c r="C858" s="17">
        <f>_xlfn.MAXIFS('working sheet'!$B$1:$B$3548,'working sheet'!$D$1:$D$3548,'Customer Portfolio'!A858)</f>
        <v>45601.608771481478</v>
      </c>
      <c r="D858">
        <f>COUNTIFS('working sheet'!$D$1:$D$3548,'Customer Portfolio'!A858)</f>
        <v>1</v>
      </c>
      <c r="E858" s="5">
        <f>SUMIFS('working sheet'!$E$2:$E$3548,'working sheet'!$D$2:$D$3548,'Customer Portfolio'!A858)</f>
        <v>35.76</v>
      </c>
      <c r="F858" s="6">
        <f t="shared" si="26"/>
        <v>35.76</v>
      </c>
      <c r="G858" t="str">
        <f t="array" ref="G858">IFERROR(INDEX('working sheet'!$F$2:$F$3548, MODE(IF('working sheet'!$D$2:$D$3548=A858, MATCH('working sheet'!$F$2:$F$3548, 'working sheet'!$F$2:$F$3548, 0)))),
         INDEX('working sheet'!$F$2:$F$3548, MATCH(A858, 'working sheet'!$D$2:$D$3548, 0)))</f>
        <v>Latte</v>
      </c>
      <c r="H858" s="7">
        <f t="shared" si="27"/>
        <v>1</v>
      </c>
      <c r="I858" s="7">
        <f>MAX('working sheet'!$B$2:$B$3548)-C858</f>
        <v>138.14931457176135</v>
      </c>
      <c r="J858" s="4" t="str">
        <f t="array" ref="J858">IF(AND(I858&lt;=30, D858&gt;=10, E858&gt;=200), "VIP",  IF(AND(I858&lt;=60, D858&gt;=5, E858&gt;=100), "Loyal", IF(AND(I858&lt;=90, D858&gt;=3), "Regular", IF(I858&lt;=30, "Recent", IF(D858&gt;=3, "Occasional", "At Risk")))))</f>
        <v>At Risk</v>
      </c>
      <c r="K858" t="str">
        <f t="array" ref="K858">IF(OR(J858="VIP", J858="Loyal"), "HIGH",IF(OR(J858="Regular", J858="Recent"), "MEDIUM","LOW"))</f>
        <v>LOW</v>
      </c>
    </row>
    <row r="859" spans="1:11">
      <c r="A859" t="s">
        <v>872</v>
      </c>
      <c r="B859" s="14">
        <f>_xlfn.MINIFS('working sheet'!$B$2:$B$3548, 'working sheet'!$D$2:$D$3548, A859)</f>
        <v>45601.612361666666</v>
      </c>
      <c r="C859" s="17">
        <f>_xlfn.MAXIFS('working sheet'!$B$1:$B$3548,'working sheet'!$D$1:$D$3548,'Customer Portfolio'!A859)</f>
        <v>45601.612361666666</v>
      </c>
      <c r="D859">
        <f>COUNTIFS('working sheet'!$D$1:$D$3548,'Customer Portfolio'!A859)</f>
        <v>1</v>
      </c>
      <c r="E859" s="5">
        <f>SUMIFS('working sheet'!$E$2:$E$3548,'working sheet'!$D$2:$D$3548,'Customer Portfolio'!A859)</f>
        <v>35.76</v>
      </c>
      <c r="F859" s="6">
        <f t="shared" si="26"/>
        <v>35.76</v>
      </c>
      <c r="G859" t="str">
        <f t="array" ref="G859">IFERROR(INDEX('working sheet'!$F$2:$F$3548, MODE(IF('working sheet'!$D$2:$D$3548=A859, MATCH('working sheet'!$F$2:$F$3548, 'working sheet'!$F$2:$F$3548, 0)))),
         INDEX('working sheet'!$F$2:$F$3548, MATCH(A859, 'working sheet'!$D$2:$D$3548, 0)))</f>
        <v>Latte</v>
      </c>
      <c r="H859" s="7">
        <f t="shared" si="27"/>
        <v>1</v>
      </c>
      <c r="I859" s="7">
        <f>MAX('working sheet'!$B$2:$B$3548)-C859</f>
        <v>138.14572438657342</v>
      </c>
      <c r="J859" s="4" t="str">
        <f t="array" ref="J859">IF(AND(I859&lt;=30, D859&gt;=10, E859&gt;=200), "VIP",  IF(AND(I859&lt;=60, D859&gt;=5, E859&gt;=100), "Loyal", IF(AND(I859&lt;=90, D859&gt;=3), "Regular", IF(I859&lt;=30, "Recent", IF(D859&gt;=3, "Occasional", "At Risk")))))</f>
        <v>At Risk</v>
      </c>
      <c r="K859" t="str">
        <f t="array" ref="K859">IF(OR(J859="VIP", J859="Loyal"), "HIGH",IF(OR(J859="Regular", J859="Recent"), "MEDIUM","LOW"))</f>
        <v>LOW</v>
      </c>
    </row>
    <row r="860" spans="1:11">
      <c r="A860" t="s">
        <v>873</v>
      </c>
      <c r="B860" s="14">
        <f>_xlfn.MINIFS('working sheet'!$B$2:$B$3548, 'working sheet'!$D$2:$D$3548, A860)</f>
        <v>45601.903295671298</v>
      </c>
      <c r="C860" s="17">
        <f>_xlfn.MAXIFS('working sheet'!$B$1:$B$3548,'working sheet'!$D$1:$D$3548,'Customer Portfolio'!A860)</f>
        <v>45601.904198506942</v>
      </c>
      <c r="D860">
        <f>COUNTIFS('working sheet'!$D$1:$D$3548,'Customer Portfolio'!A860)</f>
        <v>2</v>
      </c>
      <c r="E860" s="5">
        <f>SUMIFS('working sheet'!$E$2:$E$3548,'working sheet'!$D$2:$D$3548,'Customer Portfolio'!A860)</f>
        <v>71.52</v>
      </c>
      <c r="F860" s="6">
        <f t="shared" si="26"/>
        <v>35.76</v>
      </c>
      <c r="G860" t="str">
        <f t="array" ref="G860">IFERROR(INDEX('working sheet'!$F$2:$F$3548, MODE(IF('working sheet'!$D$2:$D$3548=A860, MATCH('working sheet'!$F$2:$F$3548, 'working sheet'!$F$2:$F$3548, 0)))),
         INDEX('working sheet'!$F$2:$F$3548, MATCH(A860, 'working sheet'!$D$2:$D$3548, 0)))</f>
        <v>Cocoa</v>
      </c>
      <c r="H860" s="7">
        <f t="shared" si="27"/>
        <v>1.000902835643501</v>
      </c>
      <c r="I860" s="7">
        <f>MAX('working sheet'!$B$2:$B$3548)-C860</f>
        <v>137.85388754629821</v>
      </c>
      <c r="J860" s="4" t="str">
        <f t="array" ref="J860">IF(AND(I860&lt;=30, D860&gt;=10, E860&gt;=200), "VIP",  IF(AND(I860&lt;=60, D860&gt;=5, E860&gt;=100), "Loyal", IF(AND(I860&lt;=90, D860&gt;=3), "Regular", IF(I860&lt;=30, "Recent", IF(D860&gt;=3, "Occasional", "At Risk")))))</f>
        <v>At Risk</v>
      </c>
      <c r="K860" t="str">
        <f t="array" ref="K860">IF(OR(J860="VIP", J860="Loyal"), "HIGH",IF(OR(J860="Regular", J860="Recent"), "MEDIUM","LOW"))</f>
        <v>LOW</v>
      </c>
    </row>
    <row r="861" spans="1:11">
      <c r="A861" t="s">
        <v>874</v>
      </c>
      <c r="B861" s="14">
        <f>_xlfn.MINIFS('working sheet'!$B$2:$B$3548, 'working sheet'!$D$2:$D$3548, A861)</f>
        <v>45602.489944131943</v>
      </c>
      <c r="C861" s="17">
        <f>_xlfn.MAXIFS('working sheet'!$B$1:$B$3548,'working sheet'!$D$1:$D$3548,'Customer Portfolio'!A861)</f>
        <v>45602.489944131943</v>
      </c>
      <c r="D861">
        <f>COUNTIFS('working sheet'!$D$1:$D$3548,'Customer Portfolio'!A861)</f>
        <v>1</v>
      </c>
      <c r="E861" s="5">
        <f>SUMIFS('working sheet'!$E$2:$E$3548,'working sheet'!$D$2:$D$3548,'Customer Portfolio'!A861)</f>
        <v>21.06</v>
      </c>
      <c r="F861" s="6">
        <f t="shared" si="26"/>
        <v>21.06</v>
      </c>
      <c r="G861" t="str">
        <f t="array" ref="G861">IFERROR(INDEX('working sheet'!$F$2:$F$3548, MODE(IF('working sheet'!$D$2:$D$3548=A861, MATCH('working sheet'!$F$2:$F$3548, 'working sheet'!$F$2:$F$3548, 0)))),
         INDEX('working sheet'!$F$2:$F$3548, MATCH(A861, 'working sheet'!$D$2:$D$3548, 0)))</f>
        <v>Espresso</v>
      </c>
      <c r="H861" s="7">
        <f t="shared" si="27"/>
        <v>1</v>
      </c>
      <c r="I861" s="7">
        <f>MAX('working sheet'!$B$2:$B$3548)-C861</f>
        <v>137.26814192129677</v>
      </c>
      <c r="J861" s="4" t="str">
        <f t="array" ref="J861">IF(AND(I861&lt;=30, D861&gt;=10, E861&gt;=200), "VIP",  IF(AND(I861&lt;=60, D861&gt;=5, E861&gt;=100), "Loyal", IF(AND(I861&lt;=90, D861&gt;=3), "Regular", IF(I861&lt;=30, "Recent", IF(D861&gt;=3, "Occasional", "At Risk")))))</f>
        <v>At Risk</v>
      </c>
      <c r="K861" t="str">
        <f t="array" ref="K861">IF(OR(J861="VIP", J861="Loyal"), "HIGH",IF(OR(J861="Regular", J861="Recent"), "MEDIUM","LOW"))</f>
        <v>LOW</v>
      </c>
    </row>
    <row r="862" spans="1:11">
      <c r="A862" t="s">
        <v>875</v>
      </c>
      <c r="B862" s="14">
        <f>_xlfn.MINIFS('working sheet'!$B$2:$B$3548, 'working sheet'!$D$2:$D$3548, A862)</f>
        <v>45602.667173761576</v>
      </c>
      <c r="C862" s="17">
        <f>_xlfn.MAXIFS('working sheet'!$B$1:$B$3548,'working sheet'!$D$1:$D$3548,'Customer Portfolio'!A862)</f>
        <v>45602.667173761576</v>
      </c>
      <c r="D862">
        <f>COUNTIFS('working sheet'!$D$1:$D$3548,'Customer Portfolio'!A862)</f>
        <v>1</v>
      </c>
      <c r="E862" s="5">
        <f>SUMIFS('working sheet'!$E$2:$E$3548,'working sheet'!$D$2:$D$3548,'Customer Portfolio'!A862)</f>
        <v>35.76</v>
      </c>
      <c r="F862" s="6">
        <f t="shared" si="26"/>
        <v>35.76</v>
      </c>
      <c r="G862" t="str">
        <f t="array" ref="G862">IFERROR(INDEX('working sheet'!$F$2:$F$3548, MODE(IF('working sheet'!$D$2:$D$3548=A862, MATCH('working sheet'!$F$2:$F$3548, 'working sheet'!$F$2:$F$3548, 0)))),
         INDEX('working sheet'!$F$2:$F$3548, MATCH(A862, 'working sheet'!$D$2:$D$3548, 0)))</f>
        <v>Latte</v>
      </c>
      <c r="H862" s="7">
        <f t="shared" si="27"/>
        <v>1</v>
      </c>
      <c r="I862" s="7">
        <f>MAX('working sheet'!$B$2:$B$3548)-C862</f>
        <v>137.0909122916637</v>
      </c>
      <c r="J862" s="4" t="str">
        <f t="array" ref="J862">IF(AND(I862&lt;=30, D862&gt;=10, E862&gt;=200), "VIP",  IF(AND(I862&lt;=60, D862&gt;=5, E862&gt;=100), "Loyal", IF(AND(I862&lt;=90, D862&gt;=3), "Regular", IF(I862&lt;=30, "Recent", IF(D862&gt;=3, "Occasional", "At Risk")))))</f>
        <v>At Risk</v>
      </c>
      <c r="K862" t="str">
        <f t="array" ref="K862">IF(OR(J862="VIP", J862="Loyal"), "HIGH",IF(OR(J862="Regular", J862="Recent"), "MEDIUM","LOW"))</f>
        <v>LOW</v>
      </c>
    </row>
    <row r="863" spans="1:11">
      <c r="A863" t="s">
        <v>876</v>
      </c>
      <c r="B863" s="14">
        <f>_xlfn.MINIFS('working sheet'!$B$2:$B$3548, 'working sheet'!$D$2:$D$3548, A863)</f>
        <v>45602.668114733795</v>
      </c>
      <c r="C863" s="17">
        <f>_xlfn.MAXIFS('working sheet'!$B$1:$B$3548,'working sheet'!$D$1:$D$3548,'Customer Portfolio'!A863)</f>
        <v>45687.476726562498</v>
      </c>
      <c r="D863">
        <f>COUNTIFS('working sheet'!$D$1:$D$3548,'Customer Portfolio'!A863)</f>
        <v>2</v>
      </c>
      <c r="E863" s="5">
        <f>SUMIFS('working sheet'!$E$2:$E$3548,'working sheet'!$D$2:$D$3548,'Customer Portfolio'!A863)</f>
        <v>61.72</v>
      </c>
      <c r="F863" s="6">
        <f t="shared" si="26"/>
        <v>30.86</v>
      </c>
      <c r="G863" t="str">
        <f t="array" ref="G863">IFERROR(INDEX('working sheet'!$F$2:$F$3548, MODE(IF('working sheet'!$D$2:$D$3548=A863, MATCH('working sheet'!$F$2:$F$3548, 'working sheet'!$F$2:$F$3548, 0)))),
         INDEX('working sheet'!$F$2:$F$3548, MATCH(A863, 'working sheet'!$D$2:$D$3548, 0)))</f>
        <v>Cappuccino</v>
      </c>
      <c r="H863" s="7">
        <f t="shared" si="27"/>
        <v>85.808611828702851</v>
      </c>
      <c r="I863" s="7">
        <f>MAX('working sheet'!$B$2:$B$3548)-C863</f>
        <v>52.281359490742034</v>
      </c>
      <c r="J863" s="4" t="str">
        <f t="array" ref="J863">IF(AND(I863&lt;=30, D863&gt;=10, E863&gt;=200), "VIP",  IF(AND(I863&lt;=60, D863&gt;=5, E863&gt;=100), "Loyal", IF(AND(I863&lt;=90, D863&gt;=3), "Regular", IF(I863&lt;=30, "Recent", IF(D863&gt;=3, "Occasional", "At Risk")))))</f>
        <v>At Risk</v>
      </c>
      <c r="K863" t="str">
        <f t="array" ref="K863">IF(OR(J863="VIP", J863="Loyal"), "HIGH",IF(OR(J863="Regular", J863="Recent"), "MEDIUM","LOW"))</f>
        <v>LOW</v>
      </c>
    </row>
    <row r="864" spans="1:11">
      <c r="A864" t="s">
        <v>877</v>
      </c>
      <c r="B864" s="14">
        <f>_xlfn.MINIFS('working sheet'!$B$2:$B$3548, 'working sheet'!$D$2:$D$3548, A864)</f>
        <v>45602.778273784723</v>
      </c>
      <c r="C864" s="17">
        <f>_xlfn.MAXIFS('working sheet'!$B$1:$B$3548,'working sheet'!$D$1:$D$3548,'Customer Portfolio'!A864)</f>
        <v>45602.778827002316</v>
      </c>
      <c r="D864">
        <f>COUNTIFS('working sheet'!$D$1:$D$3548,'Customer Portfolio'!A864)</f>
        <v>2</v>
      </c>
      <c r="E864" s="5">
        <f>SUMIFS('working sheet'!$E$2:$E$3548,'working sheet'!$D$2:$D$3548,'Customer Portfolio'!A864)</f>
        <v>71.52</v>
      </c>
      <c r="F864" s="6">
        <f t="shared" si="26"/>
        <v>35.76</v>
      </c>
      <c r="G864" t="str">
        <f t="array" ref="G864">IFERROR(INDEX('working sheet'!$F$2:$F$3548, MODE(IF('working sheet'!$D$2:$D$3548=A864, MATCH('working sheet'!$F$2:$F$3548, 'working sheet'!$F$2:$F$3548, 0)))),
         INDEX('working sheet'!$F$2:$F$3548, MATCH(A864, 'working sheet'!$D$2:$D$3548, 0)))</f>
        <v>Hot Chocolate</v>
      </c>
      <c r="H864" s="7">
        <f t="shared" si="27"/>
        <v>1.0005532175928238</v>
      </c>
      <c r="I864" s="7">
        <f>MAX('working sheet'!$B$2:$B$3548)-C864</f>
        <v>136.97925905092416</v>
      </c>
      <c r="J864" s="4" t="str">
        <f t="array" ref="J864">IF(AND(I864&lt;=30, D864&gt;=10, E864&gt;=200), "VIP",  IF(AND(I864&lt;=60, D864&gt;=5, E864&gt;=100), "Loyal", IF(AND(I864&lt;=90, D864&gt;=3), "Regular", IF(I864&lt;=30, "Recent", IF(D864&gt;=3, "Occasional", "At Risk")))))</f>
        <v>At Risk</v>
      </c>
      <c r="K864" t="str">
        <f t="array" ref="K864">IF(OR(J864="VIP", J864="Loyal"), "HIGH",IF(OR(J864="Regular", J864="Recent"), "MEDIUM","LOW"))</f>
        <v>LOW</v>
      </c>
    </row>
    <row r="865" spans="1:11">
      <c r="A865" t="s">
        <v>878</v>
      </c>
      <c r="B865" s="14">
        <f>_xlfn.MINIFS('working sheet'!$B$2:$B$3548, 'working sheet'!$D$2:$D$3548, A865)</f>
        <v>45603.511990659725</v>
      </c>
      <c r="C865" s="17">
        <f>_xlfn.MAXIFS('working sheet'!$B$1:$B$3548,'working sheet'!$D$1:$D$3548,'Customer Portfolio'!A865)</f>
        <v>45603.511990659725</v>
      </c>
      <c r="D865">
        <f>COUNTIFS('working sheet'!$D$1:$D$3548,'Customer Portfolio'!A865)</f>
        <v>1</v>
      </c>
      <c r="E865" s="5">
        <f>SUMIFS('working sheet'!$E$2:$E$3548,'working sheet'!$D$2:$D$3548,'Customer Portfolio'!A865)</f>
        <v>35.76</v>
      </c>
      <c r="F865" s="6">
        <f t="shared" si="26"/>
        <v>35.76</v>
      </c>
      <c r="G865" t="str">
        <f t="array" ref="G865">IFERROR(INDEX('working sheet'!$F$2:$F$3548, MODE(IF('working sheet'!$D$2:$D$3548=A865, MATCH('working sheet'!$F$2:$F$3548, 'working sheet'!$F$2:$F$3548, 0)))),
         INDEX('working sheet'!$F$2:$F$3548, MATCH(A865, 'working sheet'!$D$2:$D$3548, 0)))</f>
        <v>Latte</v>
      </c>
      <c r="H865" s="7">
        <f t="shared" si="27"/>
        <v>1</v>
      </c>
      <c r="I865" s="7">
        <f>MAX('working sheet'!$B$2:$B$3548)-C865</f>
        <v>136.24609539351513</v>
      </c>
      <c r="J865" s="4" t="str">
        <f t="array" ref="J865">IF(AND(I865&lt;=30, D865&gt;=10, E865&gt;=200), "VIP",  IF(AND(I865&lt;=60, D865&gt;=5, E865&gt;=100), "Loyal", IF(AND(I865&lt;=90, D865&gt;=3), "Regular", IF(I865&lt;=30, "Recent", IF(D865&gt;=3, "Occasional", "At Risk")))))</f>
        <v>At Risk</v>
      </c>
      <c r="K865" t="str">
        <f t="array" ref="K865">IF(OR(J865="VIP", J865="Loyal"), "HIGH",IF(OR(J865="Regular", J865="Recent"), "MEDIUM","LOW"))</f>
        <v>LOW</v>
      </c>
    </row>
    <row r="866" spans="1:11">
      <c r="A866" t="s">
        <v>879</v>
      </c>
      <c r="B866" s="14">
        <f>_xlfn.MINIFS('working sheet'!$B$2:$B$3548, 'working sheet'!$D$2:$D$3548, A866)</f>
        <v>45603.659844421294</v>
      </c>
      <c r="C866" s="17">
        <f>_xlfn.MAXIFS('working sheet'!$B$1:$B$3548,'working sheet'!$D$1:$D$3548,'Customer Portfolio'!A866)</f>
        <v>45603.659844421294</v>
      </c>
      <c r="D866">
        <f>COUNTIFS('working sheet'!$D$1:$D$3548,'Customer Portfolio'!A866)</f>
        <v>1</v>
      </c>
      <c r="E866" s="5">
        <f>SUMIFS('working sheet'!$E$2:$E$3548,'working sheet'!$D$2:$D$3548,'Customer Portfolio'!A866)</f>
        <v>25.96</v>
      </c>
      <c r="F866" s="6">
        <f t="shared" si="26"/>
        <v>25.96</v>
      </c>
      <c r="G866" t="str">
        <f t="array" ref="G866">IFERROR(INDEX('working sheet'!$F$2:$F$3548, MODE(IF('working sheet'!$D$2:$D$3548=A866, MATCH('working sheet'!$F$2:$F$3548, 'working sheet'!$F$2:$F$3548, 0)))),
         INDEX('working sheet'!$F$2:$F$3548, MATCH(A866, 'working sheet'!$D$2:$D$3548, 0)))</f>
        <v>Americano</v>
      </c>
      <c r="H866" s="7">
        <f t="shared" si="27"/>
        <v>1</v>
      </c>
      <c r="I866" s="7">
        <f>MAX('working sheet'!$B$2:$B$3548)-C866</f>
        <v>136.09824163194571</v>
      </c>
      <c r="J866" s="4" t="str">
        <f t="array" ref="J866">IF(AND(I866&lt;=30, D866&gt;=10, E866&gt;=200), "VIP",  IF(AND(I866&lt;=60, D866&gt;=5, E866&gt;=100), "Loyal", IF(AND(I866&lt;=90, D866&gt;=3), "Regular", IF(I866&lt;=30, "Recent", IF(D866&gt;=3, "Occasional", "At Risk")))))</f>
        <v>At Risk</v>
      </c>
      <c r="K866" t="str">
        <f t="array" ref="K866">IF(OR(J866="VIP", J866="Loyal"), "HIGH",IF(OR(J866="Regular", J866="Recent"), "MEDIUM","LOW"))</f>
        <v>LOW</v>
      </c>
    </row>
    <row r="867" spans="1:11">
      <c r="A867" t="s">
        <v>880</v>
      </c>
      <c r="B867" s="14">
        <f>_xlfn.MINIFS('working sheet'!$B$2:$B$3548, 'working sheet'!$D$2:$D$3548, A867)</f>
        <v>45603.694206099535</v>
      </c>
      <c r="C867" s="17">
        <f>_xlfn.MAXIFS('working sheet'!$B$1:$B$3548,'working sheet'!$D$1:$D$3548,'Customer Portfolio'!A867)</f>
        <v>45603.694206099535</v>
      </c>
      <c r="D867">
        <f>COUNTIFS('working sheet'!$D$1:$D$3548,'Customer Portfolio'!A867)</f>
        <v>1</v>
      </c>
      <c r="E867" s="5">
        <f>SUMIFS('working sheet'!$E$2:$E$3548,'working sheet'!$D$2:$D$3548,'Customer Portfolio'!A867)</f>
        <v>25.96</v>
      </c>
      <c r="F867" s="6">
        <f t="shared" si="26"/>
        <v>25.96</v>
      </c>
      <c r="G867" t="str">
        <f t="array" ref="G867">IFERROR(INDEX('working sheet'!$F$2:$F$3548, MODE(IF('working sheet'!$D$2:$D$3548=A867, MATCH('working sheet'!$F$2:$F$3548, 'working sheet'!$F$2:$F$3548, 0)))),
         INDEX('working sheet'!$F$2:$F$3548, MATCH(A867, 'working sheet'!$D$2:$D$3548, 0)))</f>
        <v>Americano</v>
      </c>
      <c r="H867" s="7">
        <f t="shared" si="27"/>
        <v>1</v>
      </c>
      <c r="I867" s="7">
        <f>MAX('working sheet'!$B$2:$B$3548)-C867</f>
        <v>136.0638799537046</v>
      </c>
      <c r="J867" s="4" t="str">
        <f t="array" ref="J867">IF(AND(I867&lt;=30, D867&gt;=10, E867&gt;=200), "VIP",  IF(AND(I867&lt;=60, D867&gt;=5, E867&gt;=100), "Loyal", IF(AND(I867&lt;=90, D867&gt;=3), "Regular", IF(I867&lt;=30, "Recent", IF(D867&gt;=3, "Occasional", "At Risk")))))</f>
        <v>At Risk</v>
      </c>
      <c r="K867" t="str">
        <f t="array" ref="K867">IF(OR(J867="VIP", J867="Loyal"), "HIGH",IF(OR(J867="Regular", J867="Recent"), "MEDIUM","LOW"))</f>
        <v>LOW</v>
      </c>
    </row>
    <row r="868" spans="1:11">
      <c r="A868" t="s">
        <v>881</v>
      </c>
      <c r="B868" s="14">
        <f>_xlfn.MINIFS('working sheet'!$B$2:$B$3548, 'working sheet'!$D$2:$D$3548, A868)</f>
        <v>45603.805726296298</v>
      </c>
      <c r="C868" s="17">
        <f>_xlfn.MAXIFS('working sheet'!$B$1:$B$3548,'working sheet'!$D$1:$D$3548,'Customer Portfolio'!A868)</f>
        <v>45603.806690081015</v>
      </c>
      <c r="D868">
        <f>COUNTIFS('working sheet'!$D$1:$D$3548,'Customer Portfolio'!A868)</f>
        <v>2</v>
      </c>
      <c r="E868" s="5">
        <f>SUMIFS('working sheet'!$E$2:$E$3548,'working sheet'!$D$2:$D$3548,'Customer Portfolio'!A868)</f>
        <v>71.52</v>
      </c>
      <c r="F868" s="6">
        <f t="shared" si="26"/>
        <v>35.76</v>
      </c>
      <c r="G868" t="str">
        <f t="array" ref="G868">IFERROR(INDEX('working sheet'!$F$2:$F$3548, MODE(IF('working sheet'!$D$2:$D$3548=A868, MATCH('working sheet'!$F$2:$F$3548, 'working sheet'!$F$2:$F$3548, 0)))),
         INDEX('working sheet'!$F$2:$F$3548, MATCH(A868, 'working sheet'!$D$2:$D$3548, 0)))</f>
        <v>Hot Chocolate</v>
      </c>
      <c r="H868" s="7">
        <f t="shared" si="27"/>
        <v>1.0009637847178965</v>
      </c>
      <c r="I868" s="7">
        <f>MAX('working sheet'!$B$2:$B$3548)-C868</f>
        <v>135.95139597222442</v>
      </c>
      <c r="J868" s="4" t="str">
        <f t="array" ref="J868">IF(AND(I868&lt;=30, D868&gt;=10, E868&gt;=200), "VIP",  IF(AND(I868&lt;=60, D868&gt;=5, E868&gt;=100), "Loyal", IF(AND(I868&lt;=90, D868&gt;=3), "Regular", IF(I868&lt;=30, "Recent", IF(D868&gt;=3, "Occasional", "At Risk")))))</f>
        <v>At Risk</v>
      </c>
      <c r="K868" t="str">
        <f t="array" ref="K868">IF(OR(J868="VIP", J868="Loyal"), "HIGH",IF(OR(J868="Regular", J868="Recent"), "MEDIUM","LOW"))</f>
        <v>LOW</v>
      </c>
    </row>
    <row r="869" spans="1:11">
      <c r="A869" t="s">
        <v>882</v>
      </c>
      <c r="B869" s="14">
        <f>_xlfn.MINIFS('working sheet'!$B$2:$B$3548, 'working sheet'!$D$2:$D$3548, A869)</f>
        <v>45604.559183414349</v>
      </c>
      <c r="C869" s="17">
        <f>_xlfn.MAXIFS('working sheet'!$B$1:$B$3548,'working sheet'!$D$1:$D$3548,'Customer Portfolio'!A869)</f>
        <v>45604.559926064816</v>
      </c>
      <c r="D869">
        <f>COUNTIFS('working sheet'!$D$1:$D$3548,'Customer Portfolio'!A869)</f>
        <v>2</v>
      </c>
      <c r="E869" s="5">
        <f>SUMIFS('working sheet'!$E$2:$E$3548,'working sheet'!$D$2:$D$3548,'Customer Portfolio'!A869)</f>
        <v>71.52</v>
      </c>
      <c r="F869" s="6">
        <f t="shared" si="26"/>
        <v>35.76</v>
      </c>
      <c r="G869" t="str">
        <f t="array" ref="G869">IFERROR(INDEX('working sheet'!$F$2:$F$3548, MODE(IF('working sheet'!$D$2:$D$3548=A869, MATCH('working sheet'!$F$2:$F$3548, 'working sheet'!$F$2:$F$3548, 0)))),
         INDEX('working sheet'!$F$2:$F$3548, MATCH(A869, 'working sheet'!$D$2:$D$3548, 0)))</f>
        <v>Latte</v>
      </c>
      <c r="H869" s="7">
        <f t="shared" si="27"/>
        <v>1.0007426504671457</v>
      </c>
      <c r="I869" s="7">
        <f>MAX('working sheet'!$B$2:$B$3548)-C869</f>
        <v>135.19815998842387</v>
      </c>
      <c r="J869" s="4" t="str">
        <f t="array" ref="J869">IF(AND(I869&lt;=30, D869&gt;=10, E869&gt;=200), "VIP",  IF(AND(I869&lt;=60, D869&gt;=5, E869&gt;=100), "Loyal", IF(AND(I869&lt;=90, D869&gt;=3), "Regular", IF(I869&lt;=30, "Recent", IF(D869&gt;=3, "Occasional", "At Risk")))))</f>
        <v>At Risk</v>
      </c>
      <c r="K869" t="str">
        <f t="array" ref="K869">IF(OR(J869="VIP", J869="Loyal"), "HIGH",IF(OR(J869="Regular", J869="Recent"), "MEDIUM","LOW"))</f>
        <v>LOW</v>
      </c>
    </row>
    <row r="870" spans="1:11">
      <c r="A870" t="s">
        <v>883</v>
      </c>
      <c r="B870" s="14">
        <f>_xlfn.MINIFS('working sheet'!$B$2:$B$3548, 'working sheet'!$D$2:$D$3548, A870)</f>
        <v>45604.68961671296</v>
      </c>
      <c r="C870" s="17">
        <f>_xlfn.MAXIFS('working sheet'!$B$1:$B$3548,'working sheet'!$D$1:$D$3548,'Customer Portfolio'!A870)</f>
        <v>45604.68961671296</v>
      </c>
      <c r="D870">
        <f>COUNTIFS('working sheet'!$D$1:$D$3548,'Customer Portfolio'!A870)</f>
        <v>1</v>
      </c>
      <c r="E870" s="5">
        <f>SUMIFS('working sheet'!$E$2:$E$3548,'working sheet'!$D$2:$D$3548,'Customer Portfolio'!A870)</f>
        <v>30.86</v>
      </c>
      <c r="F870" s="6">
        <f t="shared" si="26"/>
        <v>30.86</v>
      </c>
      <c r="G870" t="str">
        <f t="array" ref="G870">IFERROR(INDEX('working sheet'!$F$2:$F$3548, MODE(IF('working sheet'!$D$2:$D$3548=A870, MATCH('working sheet'!$F$2:$F$3548, 'working sheet'!$F$2:$F$3548, 0)))),
         INDEX('working sheet'!$F$2:$F$3548, MATCH(A870, 'working sheet'!$D$2:$D$3548, 0)))</f>
        <v>Americano with Milk</v>
      </c>
      <c r="H870" s="7">
        <f t="shared" si="27"/>
        <v>1</v>
      </c>
      <c r="I870" s="7">
        <f>MAX('working sheet'!$B$2:$B$3548)-C870</f>
        <v>135.06846934027999</v>
      </c>
      <c r="J870" s="4" t="str">
        <f t="array" ref="J870">IF(AND(I870&lt;=30, D870&gt;=10, E870&gt;=200), "VIP",  IF(AND(I870&lt;=60, D870&gt;=5, E870&gt;=100), "Loyal", IF(AND(I870&lt;=90, D870&gt;=3), "Regular", IF(I870&lt;=30, "Recent", IF(D870&gt;=3, "Occasional", "At Risk")))))</f>
        <v>At Risk</v>
      </c>
      <c r="K870" t="str">
        <f t="array" ref="K870">IF(OR(J870="VIP", J870="Loyal"), "HIGH",IF(OR(J870="Regular", J870="Recent"), "MEDIUM","LOW"))</f>
        <v>LOW</v>
      </c>
    </row>
    <row r="871" spans="1:11">
      <c r="A871" t="s">
        <v>884</v>
      </c>
      <c r="B871" s="14">
        <f>_xlfn.MINIFS('working sheet'!$B$2:$B$3548, 'working sheet'!$D$2:$D$3548, A871)</f>
        <v>45604.705185682869</v>
      </c>
      <c r="C871" s="17">
        <f>_xlfn.MAXIFS('working sheet'!$B$1:$B$3548,'working sheet'!$D$1:$D$3548,'Customer Portfolio'!A871)</f>
        <v>45604.705185682869</v>
      </c>
      <c r="D871">
        <f>COUNTIFS('working sheet'!$D$1:$D$3548,'Customer Portfolio'!A871)</f>
        <v>1</v>
      </c>
      <c r="E871" s="5">
        <f>SUMIFS('working sheet'!$E$2:$E$3548,'working sheet'!$D$2:$D$3548,'Customer Portfolio'!A871)</f>
        <v>30.86</v>
      </c>
      <c r="F871" s="6">
        <f t="shared" si="26"/>
        <v>30.86</v>
      </c>
      <c r="G871" t="str">
        <f t="array" ref="G871">IFERROR(INDEX('working sheet'!$F$2:$F$3548, MODE(IF('working sheet'!$D$2:$D$3548=A871, MATCH('working sheet'!$F$2:$F$3548, 'working sheet'!$F$2:$F$3548, 0)))),
         INDEX('working sheet'!$F$2:$F$3548, MATCH(A871, 'working sheet'!$D$2:$D$3548, 0)))</f>
        <v>Americano with Milk</v>
      </c>
      <c r="H871" s="7">
        <f t="shared" si="27"/>
        <v>1</v>
      </c>
      <c r="I871" s="7">
        <f>MAX('working sheet'!$B$2:$B$3548)-C871</f>
        <v>135.05290037037048</v>
      </c>
      <c r="J871" s="4" t="str">
        <f t="array" ref="J871">IF(AND(I871&lt;=30, D871&gt;=10, E871&gt;=200), "VIP",  IF(AND(I871&lt;=60, D871&gt;=5, E871&gt;=100), "Loyal", IF(AND(I871&lt;=90, D871&gt;=3), "Regular", IF(I871&lt;=30, "Recent", IF(D871&gt;=3, "Occasional", "At Risk")))))</f>
        <v>At Risk</v>
      </c>
      <c r="K871" t="str">
        <f t="array" ref="K871">IF(OR(J871="VIP", J871="Loyal"), "HIGH",IF(OR(J871="Regular", J871="Recent"), "MEDIUM","LOW"))</f>
        <v>LOW</v>
      </c>
    </row>
    <row r="872" spans="1:11">
      <c r="A872" t="s">
        <v>885</v>
      </c>
      <c r="B872" s="14">
        <f>_xlfn.MINIFS('working sheet'!$B$2:$B$3548, 'working sheet'!$D$2:$D$3548, A872)</f>
        <v>45604.842733414349</v>
      </c>
      <c r="C872" s="17">
        <f>_xlfn.MAXIFS('working sheet'!$B$1:$B$3548,'working sheet'!$D$1:$D$3548,'Customer Portfolio'!A872)</f>
        <v>45621.688153587966</v>
      </c>
      <c r="D872">
        <f>COUNTIFS('working sheet'!$D$1:$D$3548,'Customer Portfolio'!A872)</f>
        <v>4</v>
      </c>
      <c r="E872" s="5">
        <f>SUMIFS('working sheet'!$E$2:$E$3548,'working sheet'!$D$2:$D$3548,'Customer Portfolio'!A872)</f>
        <v>143.04</v>
      </c>
      <c r="F872" s="6">
        <f t="shared" si="26"/>
        <v>35.76</v>
      </c>
      <c r="G872" t="str">
        <f t="array" ref="G872">IFERROR(INDEX('working sheet'!$F$2:$F$3548, MODE(IF('working sheet'!$D$2:$D$3548=A872, MATCH('working sheet'!$F$2:$F$3548, 'working sheet'!$F$2:$F$3548, 0)))),
         INDEX('working sheet'!$F$2:$F$3548, MATCH(A872, 'working sheet'!$D$2:$D$3548, 0)))</f>
        <v>Hot Chocolate</v>
      </c>
      <c r="H872" s="7">
        <f t="shared" si="27"/>
        <v>17.845420173616731</v>
      </c>
      <c r="I872" s="7">
        <f>MAX('working sheet'!$B$2:$B$3548)-C872</f>
        <v>118.06993246527418</v>
      </c>
      <c r="J872" s="4" t="str">
        <f t="array" ref="J872">IF(AND(I872&lt;=30, D872&gt;=10, E872&gt;=200), "VIP",  IF(AND(I872&lt;=60, D872&gt;=5, E872&gt;=100), "Loyal", IF(AND(I872&lt;=90, D872&gt;=3), "Regular", IF(I872&lt;=30, "Recent", IF(D872&gt;=3, "Occasional", "At Risk")))))</f>
        <v>Occasional</v>
      </c>
      <c r="K872" t="str">
        <f t="array" ref="K872">IF(OR(J872="VIP", J872="Loyal"), "HIGH",IF(OR(J872="Regular", J872="Recent"), "MEDIUM","LOW"))</f>
        <v>LOW</v>
      </c>
    </row>
    <row r="873" spans="1:11">
      <c r="A873" t="s">
        <v>886</v>
      </c>
      <c r="B873" s="14">
        <f>_xlfn.MINIFS('working sheet'!$B$2:$B$3548, 'working sheet'!$D$2:$D$3548, A873)</f>
        <v>45604.843336689817</v>
      </c>
      <c r="C873" s="17">
        <f>_xlfn.MAXIFS('working sheet'!$B$1:$B$3548,'working sheet'!$D$1:$D$3548,'Customer Portfolio'!A873)</f>
        <v>45604.843981481485</v>
      </c>
      <c r="D873">
        <f>COUNTIFS('working sheet'!$D$1:$D$3548,'Customer Portfolio'!A873)</f>
        <v>2</v>
      </c>
      <c r="E873" s="5">
        <f>SUMIFS('working sheet'!$E$2:$E$3548,'working sheet'!$D$2:$D$3548,'Customer Portfolio'!A873)</f>
        <v>71.52</v>
      </c>
      <c r="F873" s="6">
        <f t="shared" si="26"/>
        <v>35.76</v>
      </c>
      <c r="G873" t="str">
        <f t="array" ref="G873">IFERROR(INDEX('working sheet'!$F$2:$F$3548, MODE(IF('working sheet'!$D$2:$D$3548=A873, MATCH('working sheet'!$F$2:$F$3548, 'working sheet'!$F$2:$F$3548, 0)))),
         INDEX('working sheet'!$F$2:$F$3548, MATCH(A873, 'working sheet'!$D$2:$D$3548, 0)))</f>
        <v>Hot Chocolate</v>
      </c>
      <c r="H873" s="7">
        <f t="shared" si="27"/>
        <v>1.0006447916675825</v>
      </c>
      <c r="I873" s="7">
        <f>MAX('working sheet'!$B$2:$B$3548)-C873</f>
        <v>134.91410457175516</v>
      </c>
      <c r="J873" s="4" t="str">
        <f t="array" ref="J873">IF(AND(I873&lt;=30, D873&gt;=10, E873&gt;=200), "VIP",  IF(AND(I873&lt;=60, D873&gt;=5, E873&gt;=100), "Loyal", IF(AND(I873&lt;=90, D873&gt;=3), "Regular", IF(I873&lt;=30, "Recent", IF(D873&gt;=3, "Occasional", "At Risk")))))</f>
        <v>At Risk</v>
      </c>
      <c r="K873" t="str">
        <f t="array" ref="K873">IF(OR(J873="VIP", J873="Loyal"), "HIGH",IF(OR(J873="Regular", J873="Recent"), "MEDIUM","LOW"))</f>
        <v>LOW</v>
      </c>
    </row>
    <row r="874" spans="1:11">
      <c r="A874" t="s">
        <v>887</v>
      </c>
      <c r="B874" s="14">
        <f>_xlfn.MINIFS('working sheet'!$B$2:$B$3548, 'working sheet'!$D$2:$D$3548, A874)</f>
        <v>45605.464400682868</v>
      </c>
      <c r="C874" s="17">
        <f>_xlfn.MAXIFS('working sheet'!$B$1:$B$3548,'working sheet'!$D$1:$D$3548,'Customer Portfolio'!A874)</f>
        <v>45605.464400682868</v>
      </c>
      <c r="D874">
        <f>COUNTIFS('working sheet'!$D$1:$D$3548,'Customer Portfolio'!A874)</f>
        <v>1</v>
      </c>
      <c r="E874" s="5">
        <f>SUMIFS('working sheet'!$E$2:$E$3548,'working sheet'!$D$2:$D$3548,'Customer Portfolio'!A874)</f>
        <v>35.76</v>
      </c>
      <c r="F874" s="6">
        <f t="shared" si="26"/>
        <v>35.76</v>
      </c>
      <c r="G874" t="str">
        <f t="array" ref="G874">IFERROR(INDEX('working sheet'!$F$2:$F$3548, MODE(IF('working sheet'!$D$2:$D$3548=A874, MATCH('working sheet'!$F$2:$F$3548, 'working sheet'!$F$2:$F$3548, 0)))),
         INDEX('working sheet'!$F$2:$F$3548, MATCH(A874, 'working sheet'!$D$2:$D$3548, 0)))</f>
        <v>Latte</v>
      </c>
      <c r="H874" s="7">
        <f t="shared" si="27"/>
        <v>1</v>
      </c>
      <c r="I874" s="7">
        <f>MAX('working sheet'!$B$2:$B$3548)-C874</f>
        <v>134.29368537037226</v>
      </c>
      <c r="J874" s="4" t="str">
        <f t="array" ref="J874">IF(AND(I874&lt;=30, D874&gt;=10, E874&gt;=200), "VIP",  IF(AND(I874&lt;=60, D874&gt;=5, E874&gt;=100), "Loyal", IF(AND(I874&lt;=90, D874&gt;=3), "Regular", IF(I874&lt;=30, "Recent", IF(D874&gt;=3, "Occasional", "At Risk")))))</f>
        <v>At Risk</v>
      </c>
      <c r="K874" t="str">
        <f t="array" ref="K874">IF(OR(J874="VIP", J874="Loyal"), "HIGH",IF(OR(J874="Regular", J874="Recent"), "MEDIUM","LOW"))</f>
        <v>LOW</v>
      </c>
    </row>
    <row r="875" spans="1:11">
      <c r="A875" t="s">
        <v>888</v>
      </c>
      <c r="B875" s="14">
        <f>_xlfn.MINIFS('working sheet'!$B$2:$B$3548, 'working sheet'!$D$2:$D$3548, A875)</f>
        <v>45605.598513935183</v>
      </c>
      <c r="C875" s="17">
        <f>_xlfn.MAXIFS('working sheet'!$B$1:$B$3548,'working sheet'!$D$1:$D$3548,'Customer Portfolio'!A875)</f>
        <v>45605.599194907409</v>
      </c>
      <c r="D875">
        <f>COUNTIFS('working sheet'!$D$1:$D$3548,'Customer Portfolio'!A875)</f>
        <v>2</v>
      </c>
      <c r="E875" s="5">
        <f>SUMIFS('working sheet'!$E$2:$E$3548,'working sheet'!$D$2:$D$3548,'Customer Portfolio'!A875)</f>
        <v>71.52</v>
      </c>
      <c r="F875" s="6">
        <f t="shared" si="26"/>
        <v>35.76</v>
      </c>
      <c r="G875" t="str">
        <f t="array" ref="G875">IFERROR(INDEX('working sheet'!$F$2:$F$3548, MODE(IF('working sheet'!$D$2:$D$3548=A875, MATCH('working sheet'!$F$2:$F$3548, 'working sheet'!$F$2:$F$3548, 0)))),
         INDEX('working sheet'!$F$2:$F$3548, MATCH(A875, 'working sheet'!$D$2:$D$3548, 0)))</f>
        <v>Hot Chocolate</v>
      </c>
      <c r="H875" s="7">
        <f t="shared" si="27"/>
        <v>1.000680972225382</v>
      </c>
      <c r="I875" s="7">
        <f>MAX('working sheet'!$B$2:$B$3548)-C875</f>
        <v>134.15889114583115</v>
      </c>
      <c r="J875" s="4" t="str">
        <f t="array" ref="J875">IF(AND(I875&lt;=30, D875&gt;=10, E875&gt;=200), "VIP",  IF(AND(I875&lt;=60, D875&gt;=5, E875&gt;=100), "Loyal", IF(AND(I875&lt;=90, D875&gt;=3), "Regular", IF(I875&lt;=30, "Recent", IF(D875&gt;=3, "Occasional", "At Risk")))))</f>
        <v>At Risk</v>
      </c>
      <c r="K875" t="str">
        <f t="array" ref="K875">IF(OR(J875="VIP", J875="Loyal"), "HIGH",IF(OR(J875="Regular", J875="Recent"), "MEDIUM","LOW"))</f>
        <v>LOW</v>
      </c>
    </row>
    <row r="876" spans="1:11">
      <c r="A876" t="s">
        <v>889</v>
      </c>
      <c r="B876" s="14">
        <f>_xlfn.MINIFS('working sheet'!$B$2:$B$3548, 'working sheet'!$D$2:$D$3548, A876)</f>
        <v>45605.609411469908</v>
      </c>
      <c r="C876" s="17">
        <f>_xlfn.MAXIFS('working sheet'!$B$1:$B$3548,'working sheet'!$D$1:$D$3548,'Customer Portfolio'!A876)</f>
        <v>45605.609411469908</v>
      </c>
      <c r="D876">
        <f>COUNTIFS('working sheet'!$D$1:$D$3548,'Customer Portfolio'!A876)</f>
        <v>1</v>
      </c>
      <c r="E876" s="5">
        <f>SUMIFS('working sheet'!$E$2:$E$3548,'working sheet'!$D$2:$D$3548,'Customer Portfolio'!A876)</f>
        <v>25.96</v>
      </c>
      <c r="F876" s="6">
        <f t="shared" si="26"/>
        <v>25.96</v>
      </c>
      <c r="G876" t="str">
        <f t="array" ref="G876">IFERROR(INDEX('working sheet'!$F$2:$F$3548, MODE(IF('working sheet'!$D$2:$D$3548=A876, MATCH('working sheet'!$F$2:$F$3548, 'working sheet'!$F$2:$F$3548, 0)))),
         INDEX('working sheet'!$F$2:$F$3548, MATCH(A876, 'working sheet'!$D$2:$D$3548, 0)))</f>
        <v>Americano</v>
      </c>
      <c r="H876" s="7">
        <f t="shared" si="27"/>
        <v>1</v>
      </c>
      <c r="I876" s="7">
        <f>MAX('working sheet'!$B$2:$B$3548)-C876</f>
        <v>134.14867458333174</v>
      </c>
      <c r="J876" s="4" t="str">
        <f t="array" ref="J876">IF(AND(I876&lt;=30, D876&gt;=10, E876&gt;=200), "VIP",  IF(AND(I876&lt;=60, D876&gt;=5, E876&gt;=100), "Loyal", IF(AND(I876&lt;=90, D876&gt;=3), "Regular", IF(I876&lt;=30, "Recent", IF(D876&gt;=3, "Occasional", "At Risk")))))</f>
        <v>At Risk</v>
      </c>
      <c r="K876" t="str">
        <f t="array" ref="K876">IF(OR(J876="VIP", J876="Loyal"), "HIGH",IF(OR(J876="Regular", J876="Recent"), "MEDIUM","LOW"))</f>
        <v>LOW</v>
      </c>
    </row>
    <row r="877" spans="1:11">
      <c r="A877" t="s">
        <v>890</v>
      </c>
      <c r="B877" s="14">
        <f>_xlfn.MINIFS('working sheet'!$B$2:$B$3548, 'working sheet'!$D$2:$D$3548, A877)</f>
        <v>45605.862552349536</v>
      </c>
      <c r="C877" s="17">
        <f>_xlfn.MAXIFS('working sheet'!$B$1:$B$3548,'working sheet'!$D$1:$D$3548,'Customer Portfolio'!A877)</f>
        <v>45639.80567267361</v>
      </c>
      <c r="D877">
        <f>COUNTIFS('working sheet'!$D$1:$D$3548,'Customer Portfolio'!A877)</f>
        <v>4</v>
      </c>
      <c r="E877" s="5">
        <f>SUMIFS('working sheet'!$E$2:$E$3548,'working sheet'!$D$2:$D$3548,'Customer Portfolio'!A877)</f>
        <v>133.23999999999998</v>
      </c>
      <c r="F877" s="6">
        <f t="shared" si="26"/>
        <v>33.309999999999995</v>
      </c>
      <c r="G877" t="str">
        <f t="array" ref="G877">IFERROR(INDEX('working sheet'!$F$2:$F$3548, MODE(IF('working sheet'!$D$2:$D$3548=A877, MATCH('working sheet'!$F$2:$F$3548, 'working sheet'!$F$2:$F$3548, 0)))),
         INDEX('working sheet'!$F$2:$F$3548, MATCH(A877, 'working sheet'!$D$2:$D$3548, 0)))</f>
        <v>Cappuccino</v>
      </c>
      <c r="H877" s="7">
        <f t="shared" si="27"/>
        <v>34.943120324074698</v>
      </c>
      <c r="I877" s="7">
        <f>MAX('working sheet'!$B$2:$B$3548)-C877</f>
        <v>99.952413379629434</v>
      </c>
      <c r="J877" s="4" t="str">
        <f t="array" ref="J877">IF(AND(I877&lt;=30, D877&gt;=10, E877&gt;=200), "VIP",  IF(AND(I877&lt;=60, D877&gt;=5, E877&gt;=100), "Loyal", IF(AND(I877&lt;=90, D877&gt;=3), "Regular", IF(I877&lt;=30, "Recent", IF(D877&gt;=3, "Occasional", "At Risk")))))</f>
        <v>Occasional</v>
      </c>
      <c r="K877" t="str">
        <f t="array" ref="K877">IF(OR(J877="VIP", J877="Loyal"), "HIGH",IF(OR(J877="Regular", J877="Recent"), "MEDIUM","LOW"))</f>
        <v>LOW</v>
      </c>
    </row>
    <row r="878" spans="1:11">
      <c r="A878" t="s">
        <v>891</v>
      </c>
      <c r="B878" s="14">
        <f>_xlfn.MINIFS('working sheet'!$B$2:$B$3548, 'working sheet'!$D$2:$D$3548, A878)</f>
        <v>45605.926014502315</v>
      </c>
      <c r="C878" s="17">
        <f>_xlfn.MAXIFS('working sheet'!$B$1:$B$3548,'working sheet'!$D$1:$D$3548,'Customer Portfolio'!A878)</f>
        <v>45674.890497210647</v>
      </c>
      <c r="D878">
        <f>COUNTIFS('working sheet'!$D$1:$D$3548,'Customer Portfolio'!A878)</f>
        <v>7</v>
      </c>
      <c r="E878" s="5">
        <f>SUMIFS('working sheet'!$E$2:$E$3548,'working sheet'!$D$2:$D$3548,'Customer Portfolio'!A878)</f>
        <v>245.41999999999996</v>
      </c>
      <c r="F878" s="6">
        <f t="shared" si="26"/>
        <v>35.059999999999995</v>
      </c>
      <c r="G878" t="str">
        <f t="array" ref="G878">IFERROR(INDEX('working sheet'!$F$2:$F$3548, MODE(IF('working sheet'!$D$2:$D$3548=A878, MATCH('working sheet'!$F$2:$F$3548, 'working sheet'!$F$2:$F$3548, 0)))),
         INDEX('working sheet'!$F$2:$F$3548, MATCH(A878, 'working sheet'!$D$2:$D$3548, 0)))</f>
        <v>Cocoa</v>
      </c>
      <c r="H878" s="7">
        <f t="shared" si="27"/>
        <v>69.964482708332071</v>
      </c>
      <c r="I878" s="7">
        <f>MAX('working sheet'!$B$2:$B$3548)-C878</f>
        <v>64.86758884259325</v>
      </c>
      <c r="J878" s="4" t="str">
        <f t="array" ref="J878">IF(AND(I878&lt;=30, D878&gt;=10, E878&gt;=200), "VIP",  IF(AND(I878&lt;=60, D878&gt;=5, E878&gt;=100), "Loyal", IF(AND(I878&lt;=90, D878&gt;=3), "Regular", IF(I878&lt;=30, "Recent", IF(D878&gt;=3, "Occasional", "At Risk")))))</f>
        <v>Regular</v>
      </c>
      <c r="K878" t="str">
        <f t="array" ref="K878">IF(OR(J878="VIP", J878="Loyal"), "HIGH",IF(OR(J878="Regular", J878="Recent"), "MEDIUM","LOW"))</f>
        <v>MEDIUM</v>
      </c>
    </row>
    <row r="879" spans="1:11">
      <c r="A879" t="s">
        <v>892</v>
      </c>
      <c r="B879" s="14">
        <f>_xlfn.MINIFS('working sheet'!$B$2:$B$3548, 'working sheet'!$D$2:$D$3548, A879)</f>
        <v>45605.953450104163</v>
      </c>
      <c r="C879" s="17">
        <f>_xlfn.MAXIFS('working sheet'!$B$1:$B$3548,'working sheet'!$D$1:$D$3548,'Customer Portfolio'!A879)</f>
        <v>45712.794843020834</v>
      </c>
      <c r="D879">
        <f>COUNTIFS('working sheet'!$D$1:$D$3548,'Customer Portfolio'!A879)</f>
        <v>4</v>
      </c>
      <c r="E879" s="5">
        <f>SUMIFS('working sheet'!$E$2:$E$3548,'working sheet'!$D$2:$D$3548,'Customer Portfolio'!A879)</f>
        <v>113.64</v>
      </c>
      <c r="F879" s="6">
        <f t="shared" si="26"/>
        <v>28.41</v>
      </c>
      <c r="G879" t="str">
        <f t="array" ref="G879">IFERROR(INDEX('working sheet'!$F$2:$F$3548, MODE(IF('working sheet'!$D$2:$D$3548=A879, MATCH('working sheet'!$F$2:$F$3548, 'working sheet'!$F$2:$F$3548, 0)))),
         INDEX('working sheet'!$F$2:$F$3548, MATCH(A879, 'working sheet'!$D$2:$D$3548, 0)))</f>
        <v>Americano</v>
      </c>
      <c r="H879" s="7">
        <f t="shared" si="27"/>
        <v>107.84139291667088</v>
      </c>
      <c r="I879" s="7">
        <f>MAX('working sheet'!$B$2:$B$3548)-C879</f>
        <v>26.963243032405444</v>
      </c>
      <c r="J879" s="4" t="str">
        <f t="array" ref="J879">IF(AND(I879&lt;=30, D879&gt;=10, E879&gt;=200), "VIP",  IF(AND(I879&lt;=60, D879&gt;=5, E879&gt;=100), "Loyal", IF(AND(I879&lt;=90, D879&gt;=3), "Regular", IF(I879&lt;=30, "Recent", IF(D879&gt;=3, "Occasional", "At Risk")))))</f>
        <v>Regular</v>
      </c>
      <c r="K879" t="str">
        <f t="array" ref="K879">IF(OR(J879="VIP", J879="Loyal"), "HIGH",IF(OR(J879="Regular", J879="Recent"), "MEDIUM","LOW"))</f>
        <v>MEDIUM</v>
      </c>
    </row>
    <row r="880" spans="1:11">
      <c r="A880" t="s">
        <v>893</v>
      </c>
      <c r="B880" s="14">
        <f>_xlfn.MINIFS('working sheet'!$B$2:$B$3548, 'working sheet'!$D$2:$D$3548, A880)</f>
        <v>45605.954387812497</v>
      </c>
      <c r="C880" s="17">
        <f>_xlfn.MAXIFS('working sheet'!$B$1:$B$3548,'working sheet'!$D$1:$D$3548,'Customer Portfolio'!A880)</f>
        <v>45605.954387812497</v>
      </c>
      <c r="D880">
        <f>COUNTIFS('working sheet'!$D$1:$D$3548,'Customer Portfolio'!A880)</f>
        <v>1</v>
      </c>
      <c r="E880" s="5">
        <f>SUMIFS('working sheet'!$E$2:$E$3548,'working sheet'!$D$2:$D$3548,'Customer Portfolio'!A880)</f>
        <v>25.96</v>
      </c>
      <c r="F880" s="6">
        <f t="shared" si="26"/>
        <v>25.96</v>
      </c>
      <c r="G880" t="str">
        <f t="array" ref="G880">IFERROR(INDEX('working sheet'!$F$2:$F$3548, MODE(IF('working sheet'!$D$2:$D$3548=A880, MATCH('working sheet'!$F$2:$F$3548, 'working sheet'!$F$2:$F$3548, 0)))),
         INDEX('working sheet'!$F$2:$F$3548, MATCH(A880, 'working sheet'!$D$2:$D$3548, 0)))</f>
        <v>Americano</v>
      </c>
      <c r="H880" s="7">
        <f t="shared" si="27"/>
        <v>1</v>
      </c>
      <c r="I880" s="7">
        <f>MAX('working sheet'!$B$2:$B$3548)-C880</f>
        <v>133.80369824074296</v>
      </c>
      <c r="J880" s="4" t="str">
        <f t="array" ref="J880">IF(AND(I880&lt;=30, D880&gt;=10, E880&gt;=200), "VIP",  IF(AND(I880&lt;=60, D880&gt;=5, E880&gt;=100), "Loyal", IF(AND(I880&lt;=90, D880&gt;=3), "Regular", IF(I880&lt;=30, "Recent", IF(D880&gt;=3, "Occasional", "At Risk")))))</f>
        <v>At Risk</v>
      </c>
      <c r="K880" t="str">
        <f t="array" ref="K880">IF(OR(J880="VIP", J880="Loyal"), "HIGH",IF(OR(J880="Regular", J880="Recent"), "MEDIUM","LOW"))</f>
        <v>LOW</v>
      </c>
    </row>
    <row r="881" spans="1:11">
      <c r="A881" t="s">
        <v>894</v>
      </c>
      <c r="B881" s="14">
        <f>_xlfn.MINIFS('working sheet'!$B$2:$B$3548, 'working sheet'!$D$2:$D$3548, A881)</f>
        <v>45606.407196759261</v>
      </c>
      <c r="C881" s="17">
        <f>_xlfn.MAXIFS('working sheet'!$B$1:$B$3548,'working sheet'!$D$1:$D$3548,'Customer Portfolio'!A881)</f>
        <v>45606.407196759261</v>
      </c>
      <c r="D881">
        <f>COUNTIFS('working sheet'!$D$1:$D$3548,'Customer Portfolio'!A881)</f>
        <v>1</v>
      </c>
      <c r="E881" s="5">
        <f>SUMIFS('working sheet'!$E$2:$E$3548,'working sheet'!$D$2:$D$3548,'Customer Portfolio'!A881)</f>
        <v>25.96</v>
      </c>
      <c r="F881" s="6">
        <f t="shared" si="26"/>
        <v>25.96</v>
      </c>
      <c r="G881" t="str">
        <f t="array" ref="G881">IFERROR(INDEX('working sheet'!$F$2:$F$3548, MODE(IF('working sheet'!$D$2:$D$3548=A881, MATCH('working sheet'!$F$2:$F$3548, 'working sheet'!$F$2:$F$3548, 0)))),
         INDEX('working sheet'!$F$2:$F$3548, MATCH(A881, 'working sheet'!$D$2:$D$3548, 0)))</f>
        <v>Americano</v>
      </c>
      <c r="H881" s="7">
        <f t="shared" si="27"/>
        <v>1</v>
      </c>
      <c r="I881" s="7">
        <f>MAX('working sheet'!$B$2:$B$3548)-C881</f>
        <v>133.35088929397898</v>
      </c>
      <c r="J881" s="4" t="str">
        <f t="array" ref="J881">IF(AND(I881&lt;=30, D881&gt;=10, E881&gt;=200), "VIP",  IF(AND(I881&lt;=60, D881&gt;=5, E881&gt;=100), "Loyal", IF(AND(I881&lt;=90, D881&gt;=3), "Regular", IF(I881&lt;=30, "Recent", IF(D881&gt;=3, "Occasional", "At Risk")))))</f>
        <v>At Risk</v>
      </c>
      <c r="K881" t="str">
        <f t="array" ref="K881">IF(OR(J881="VIP", J881="Loyal"), "HIGH",IF(OR(J881="Regular", J881="Recent"), "MEDIUM","LOW"))</f>
        <v>LOW</v>
      </c>
    </row>
    <row r="882" spans="1:11">
      <c r="A882" t="s">
        <v>895</v>
      </c>
      <c r="B882" s="14">
        <f>_xlfn.MINIFS('working sheet'!$B$2:$B$3548, 'working sheet'!$D$2:$D$3548, A882)</f>
        <v>45606.744998692127</v>
      </c>
      <c r="C882" s="17">
        <f>_xlfn.MAXIFS('working sheet'!$B$1:$B$3548,'working sheet'!$D$1:$D$3548,'Customer Portfolio'!A882)</f>
        <v>45606.744998692127</v>
      </c>
      <c r="D882">
        <f>COUNTIFS('working sheet'!$D$1:$D$3548,'Customer Portfolio'!A882)</f>
        <v>1</v>
      </c>
      <c r="E882" s="5">
        <f>SUMIFS('working sheet'!$E$2:$E$3548,'working sheet'!$D$2:$D$3548,'Customer Portfolio'!A882)</f>
        <v>35.76</v>
      </c>
      <c r="F882" s="6">
        <f t="shared" si="26"/>
        <v>35.76</v>
      </c>
      <c r="G882" t="str">
        <f t="array" ref="G882">IFERROR(INDEX('working sheet'!$F$2:$F$3548, MODE(IF('working sheet'!$D$2:$D$3548=A882, MATCH('working sheet'!$F$2:$F$3548, 'working sheet'!$F$2:$F$3548, 0)))),
         INDEX('working sheet'!$F$2:$F$3548, MATCH(A882, 'working sheet'!$D$2:$D$3548, 0)))</f>
        <v>Cocoa</v>
      </c>
      <c r="H882" s="7">
        <f t="shared" si="27"/>
        <v>1</v>
      </c>
      <c r="I882" s="7">
        <f>MAX('working sheet'!$B$2:$B$3548)-C882</f>
        <v>133.01308736111241</v>
      </c>
      <c r="J882" s="4" t="str">
        <f t="array" ref="J882">IF(AND(I882&lt;=30, D882&gt;=10, E882&gt;=200), "VIP",  IF(AND(I882&lt;=60, D882&gt;=5, E882&gt;=100), "Loyal", IF(AND(I882&lt;=90, D882&gt;=3), "Regular", IF(I882&lt;=30, "Recent", IF(D882&gt;=3, "Occasional", "At Risk")))))</f>
        <v>At Risk</v>
      </c>
      <c r="K882" t="str">
        <f t="array" ref="K882">IF(OR(J882="VIP", J882="Loyal"), "HIGH",IF(OR(J882="Regular", J882="Recent"), "MEDIUM","LOW"))</f>
        <v>LOW</v>
      </c>
    </row>
    <row r="883" spans="1:11">
      <c r="A883" t="s">
        <v>896</v>
      </c>
      <c r="B883" s="14">
        <f>_xlfn.MINIFS('working sheet'!$B$2:$B$3548, 'working sheet'!$D$2:$D$3548, A883)</f>
        <v>45606.758950914351</v>
      </c>
      <c r="C883" s="17">
        <f>_xlfn.MAXIFS('working sheet'!$B$1:$B$3548,'working sheet'!$D$1:$D$3548,'Customer Portfolio'!A883)</f>
        <v>45606.758950914351</v>
      </c>
      <c r="D883">
        <f>COUNTIFS('working sheet'!$D$1:$D$3548,'Customer Portfolio'!A883)</f>
        <v>1</v>
      </c>
      <c r="E883" s="5">
        <f>SUMIFS('working sheet'!$E$2:$E$3548,'working sheet'!$D$2:$D$3548,'Customer Portfolio'!A883)</f>
        <v>35.76</v>
      </c>
      <c r="F883" s="6">
        <f t="shared" si="26"/>
        <v>35.76</v>
      </c>
      <c r="G883" t="str">
        <f t="array" ref="G883">IFERROR(INDEX('working sheet'!$F$2:$F$3548, MODE(IF('working sheet'!$D$2:$D$3548=A883, MATCH('working sheet'!$F$2:$F$3548, 'working sheet'!$F$2:$F$3548, 0)))),
         INDEX('working sheet'!$F$2:$F$3548, MATCH(A883, 'working sheet'!$D$2:$D$3548, 0)))</f>
        <v>Hot Chocolate</v>
      </c>
      <c r="H883" s="7">
        <f t="shared" si="27"/>
        <v>1</v>
      </c>
      <c r="I883" s="7">
        <f>MAX('working sheet'!$B$2:$B$3548)-C883</f>
        <v>132.99913513888896</v>
      </c>
      <c r="J883" s="4" t="str">
        <f t="array" ref="J883">IF(AND(I883&lt;=30, D883&gt;=10, E883&gt;=200), "VIP",  IF(AND(I883&lt;=60, D883&gt;=5, E883&gt;=100), "Loyal", IF(AND(I883&lt;=90, D883&gt;=3), "Regular", IF(I883&lt;=30, "Recent", IF(D883&gt;=3, "Occasional", "At Risk")))))</f>
        <v>At Risk</v>
      </c>
      <c r="K883" t="str">
        <f t="array" ref="K883">IF(OR(J883="VIP", J883="Loyal"), "HIGH",IF(OR(J883="Regular", J883="Recent"), "MEDIUM","LOW"))</f>
        <v>LOW</v>
      </c>
    </row>
    <row r="884" spans="1:11">
      <c r="A884" t="s">
        <v>897</v>
      </c>
      <c r="B884" s="14">
        <f>_xlfn.MINIFS('working sheet'!$B$2:$B$3548, 'working sheet'!$D$2:$D$3548, A884)</f>
        <v>45606.75976439815</v>
      </c>
      <c r="C884" s="17">
        <f>_xlfn.MAXIFS('working sheet'!$B$1:$B$3548,'working sheet'!$D$1:$D$3548,'Customer Portfolio'!A884)</f>
        <v>45606.75976439815</v>
      </c>
      <c r="D884">
        <f>COUNTIFS('working sheet'!$D$1:$D$3548,'Customer Portfolio'!A884)</f>
        <v>1</v>
      </c>
      <c r="E884" s="5">
        <f>SUMIFS('working sheet'!$E$2:$E$3548,'working sheet'!$D$2:$D$3548,'Customer Portfolio'!A884)</f>
        <v>35.76</v>
      </c>
      <c r="F884" s="6">
        <f t="shared" si="26"/>
        <v>35.76</v>
      </c>
      <c r="G884" t="str">
        <f t="array" ref="G884">IFERROR(INDEX('working sheet'!$F$2:$F$3548, MODE(IF('working sheet'!$D$2:$D$3548=A884, MATCH('working sheet'!$F$2:$F$3548, 'working sheet'!$F$2:$F$3548, 0)))),
         INDEX('working sheet'!$F$2:$F$3548, MATCH(A884, 'working sheet'!$D$2:$D$3548, 0)))</f>
        <v>Hot Chocolate</v>
      </c>
      <c r="H884" s="7">
        <f t="shared" si="27"/>
        <v>1</v>
      </c>
      <c r="I884" s="7">
        <f>MAX('working sheet'!$B$2:$B$3548)-C884</f>
        <v>132.99832165508997</v>
      </c>
      <c r="J884" s="4" t="str">
        <f t="array" ref="J884">IF(AND(I884&lt;=30, D884&gt;=10, E884&gt;=200), "VIP",  IF(AND(I884&lt;=60, D884&gt;=5, E884&gt;=100), "Loyal", IF(AND(I884&lt;=90, D884&gt;=3), "Regular", IF(I884&lt;=30, "Recent", IF(D884&gt;=3, "Occasional", "At Risk")))))</f>
        <v>At Risk</v>
      </c>
      <c r="K884" t="str">
        <f t="array" ref="K884">IF(OR(J884="VIP", J884="Loyal"), "HIGH",IF(OR(J884="Regular", J884="Recent"), "MEDIUM","LOW"))</f>
        <v>LOW</v>
      </c>
    </row>
    <row r="885" spans="1:11">
      <c r="A885" t="s">
        <v>898</v>
      </c>
      <c r="B885" s="14">
        <f>_xlfn.MINIFS('working sheet'!$B$2:$B$3548, 'working sheet'!$D$2:$D$3548, A885)</f>
        <v>45606.859816284719</v>
      </c>
      <c r="C885" s="17">
        <f>_xlfn.MAXIFS('working sheet'!$B$1:$B$3548,'working sheet'!$D$1:$D$3548,'Customer Portfolio'!A885)</f>
        <v>45606.86049590278</v>
      </c>
      <c r="D885">
        <f>COUNTIFS('working sheet'!$D$1:$D$3548,'Customer Portfolio'!A885)</f>
        <v>2</v>
      </c>
      <c r="E885" s="5">
        <f>SUMIFS('working sheet'!$E$2:$E$3548,'working sheet'!$D$2:$D$3548,'Customer Portfolio'!A885)</f>
        <v>71.52</v>
      </c>
      <c r="F885" s="6">
        <f t="shared" si="26"/>
        <v>35.76</v>
      </c>
      <c r="G885" t="str">
        <f t="array" ref="G885">IFERROR(INDEX('working sheet'!$F$2:$F$3548, MODE(IF('working sheet'!$D$2:$D$3548=A885, MATCH('working sheet'!$F$2:$F$3548, 'working sheet'!$F$2:$F$3548, 0)))),
         INDEX('working sheet'!$F$2:$F$3548, MATCH(A885, 'working sheet'!$D$2:$D$3548, 0)))</f>
        <v>Cappuccino</v>
      </c>
      <c r="H885" s="7">
        <f t="shared" si="27"/>
        <v>1.0006796180605306</v>
      </c>
      <c r="I885" s="7">
        <f>MAX('working sheet'!$B$2:$B$3548)-C885</f>
        <v>132.89759015046002</v>
      </c>
      <c r="J885" s="4" t="str">
        <f t="array" ref="J885">IF(AND(I885&lt;=30, D885&gt;=10, E885&gt;=200), "VIP",  IF(AND(I885&lt;=60, D885&gt;=5, E885&gt;=100), "Loyal", IF(AND(I885&lt;=90, D885&gt;=3), "Regular", IF(I885&lt;=30, "Recent", IF(D885&gt;=3, "Occasional", "At Risk")))))</f>
        <v>At Risk</v>
      </c>
      <c r="K885" t="str">
        <f t="array" ref="K885">IF(OR(J885="VIP", J885="Loyal"), "HIGH",IF(OR(J885="Regular", J885="Recent"), "MEDIUM","LOW"))</f>
        <v>LOW</v>
      </c>
    </row>
    <row r="886" spans="1:11">
      <c r="A886" t="s">
        <v>899</v>
      </c>
      <c r="B886" s="14">
        <f>_xlfn.MINIFS('working sheet'!$B$2:$B$3548, 'working sheet'!$D$2:$D$3548, A886)</f>
        <v>45607.731620983795</v>
      </c>
      <c r="C886" s="17">
        <f>_xlfn.MAXIFS('working sheet'!$B$1:$B$3548,'working sheet'!$D$1:$D$3548,'Customer Portfolio'!A886)</f>
        <v>45607.731620983795</v>
      </c>
      <c r="D886">
        <f>COUNTIFS('working sheet'!$D$1:$D$3548,'Customer Portfolio'!A886)</f>
        <v>1</v>
      </c>
      <c r="E886" s="5">
        <f>SUMIFS('working sheet'!$E$2:$E$3548,'working sheet'!$D$2:$D$3548,'Customer Portfolio'!A886)</f>
        <v>35.76</v>
      </c>
      <c r="F886" s="6">
        <f t="shared" si="26"/>
        <v>35.76</v>
      </c>
      <c r="G886" t="str">
        <f t="array" ref="G886">IFERROR(INDEX('working sheet'!$F$2:$F$3548, MODE(IF('working sheet'!$D$2:$D$3548=A886, MATCH('working sheet'!$F$2:$F$3548, 'working sheet'!$F$2:$F$3548, 0)))),
         INDEX('working sheet'!$F$2:$F$3548, MATCH(A886, 'working sheet'!$D$2:$D$3548, 0)))</f>
        <v>Cappuccino</v>
      </c>
      <c r="H886" s="7">
        <f t="shared" si="27"/>
        <v>1</v>
      </c>
      <c r="I886" s="7">
        <f>MAX('working sheet'!$B$2:$B$3548)-C886</f>
        <v>132.02646506944438</v>
      </c>
      <c r="J886" s="4" t="str">
        <f t="array" ref="J886">IF(AND(I886&lt;=30, D886&gt;=10, E886&gt;=200), "VIP",  IF(AND(I886&lt;=60, D886&gt;=5, E886&gt;=100), "Loyal", IF(AND(I886&lt;=90, D886&gt;=3), "Regular", IF(I886&lt;=30, "Recent", IF(D886&gt;=3, "Occasional", "At Risk")))))</f>
        <v>At Risk</v>
      </c>
      <c r="K886" t="str">
        <f t="array" ref="K886">IF(OR(J886="VIP", J886="Loyal"), "HIGH",IF(OR(J886="Regular", J886="Recent"), "MEDIUM","LOW"))</f>
        <v>LOW</v>
      </c>
    </row>
    <row r="887" spans="1:11">
      <c r="A887" t="s">
        <v>900</v>
      </c>
      <c r="B887" s="14">
        <f>_xlfn.MINIFS('working sheet'!$B$2:$B$3548, 'working sheet'!$D$2:$D$3548, A887)</f>
        <v>45607.792209606479</v>
      </c>
      <c r="C887" s="17">
        <f>_xlfn.MAXIFS('working sheet'!$B$1:$B$3548,'working sheet'!$D$1:$D$3548,'Customer Portfolio'!A887)</f>
        <v>45673.397889861109</v>
      </c>
      <c r="D887">
        <f>COUNTIFS('working sheet'!$D$1:$D$3548,'Customer Portfolio'!A887)</f>
        <v>5</v>
      </c>
      <c r="E887" s="5">
        <f>SUMIFS('working sheet'!$E$2:$E$3548,'working sheet'!$D$2:$D$3548,'Customer Portfolio'!A887)</f>
        <v>178.79999999999998</v>
      </c>
      <c r="F887" s="6">
        <f t="shared" si="26"/>
        <v>35.76</v>
      </c>
      <c r="G887" t="str">
        <f t="array" ref="G887">IFERROR(INDEX('working sheet'!$F$2:$F$3548, MODE(IF('working sheet'!$D$2:$D$3548=A887, MATCH('working sheet'!$F$2:$F$3548, 'working sheet'!$F$2:$F$3548, 0)))),
         INDEX('working sheet'!$F$2:$F$3548, MATCH(A887, 'working sheet'!$D$2:$D$3548, 0)))</f>
        <v>Latte</v>
      </c>
      <c r="H887" s="7">
        <f t="shared" si="27"/>
        <v>66.605680254629988</v>
      </c>
      <c r="I887" s="7">
        <f>MAX('working sheet'!$B$2:$B$3548)-C887</f>
        <v>66.360196192130388</v>
      </c>
      <c r="J887" s="4" t="str">
        <f t="array" ref="J887">IF(AND(I887&lt;=30, D887&gt;=10, E887&gt;=200), "VIP",  IF(AND(I887&lt;=60, D887&gt;=5, E887&gt;=100), "Loyal", IF(AND(I887&lt;=90, D887&gt;=3), "Regular", IF(I887&lt;=30, "Recent", IF(D887&gt;=3, "Occasional", "At Risk")))))</f>
        <v>Regular</v>
      </c>
      <c r="K887" t="str">
        <f t="array" ref="K887">IF(OR(J887="VIP", J887="Loyal"), "HIGH",IF(OR(J887="Regular", J887="Recent"), "MEDIUM","LOW"))</f>
        <v>MEDIUM</v>
      </c>
    </row>
    <row r="888" spans="1:11">
      <c r="A888" t="s">
        <v>901</v>
      </c>
      <c r="B888" s="14">
        <f>_xlfn.MINIFS('working sheet'!$B$2:$B$3548, 'working sheet'!$D$2:$D$3548, A888)</f>
        <v>45607.794624166665</v>
      </c>
      <c r="C888" s="17">
        <f>_xlfn.MAXIFS('working sheet'!$B$1:$B$3548,'working sheet'!$D$1:$D$3548,'Customer Portfolio'!A888)</f>
        <v>45607.794624166665</v>
      </c>
      <c r="D888">
        <f>COUNTIFS('working sheet'!$D$1:$D$3548,'Customer Portfolio'!A888)</f>
        <v>1</v>
      </c>
      <c r="E888" s="5">
        <f>SUMIFS('working sheet'!$E$2:$E$3548,'working sheet'!$D$2:$D$3548,'Customer Portfolio'!A888)</f>
        <v>35.76</v>
      </c>
      <c r="F888" s="6">
        <f t="shared" si="26"/>
        <v>35.76</v>
      </c>
      <c r="G888" t="str">
        <f t="array" ref="G888">IFERROR(INDEX('working sheet'!$F$2:$F$3548, MODE(IF('working sheet'!$D$2:$D$3548=A888, MATCH('working sheet'!$F$2:$F$3548, 'working sheet'!$F$2:$F$3548, 0)))),
         INDEX('working sheet'!$F$2:$F$3548, MATCH(A888, 'working sheet'!$D$2:$D$3548, 0)))</f>
        <v>Hot Chocolate</v>
      </c>
      <c r="H888" s="7">
        <f t="shared" si="27"/>
        <v>1</v>
      </c>
      <c r="I888" s="7">
        <f>MAX('working sheet'!$B$2:$B$3548)-C888</f>
        <v>131.96346188657481</v>
      </c>
      <c r="J888" s="4" t="str">
        <f t="array" ref="J888">IF(AND(I888&lt;=30, D888&gt;=10, E888&gt;=200), "VIP",  IF(AND(I888&lt;=60, D888&gt;=5, E888&gt;=100), "Loyal", IF(AND(I888&lt;=90, D888&gt;=3), "Regular", IF(I888&lt;=30, "Recent", IF(D888&gt;=3, "Occasional", "At Risk")))))</f>
        <v>At Risk</v>
      </c>
      <c r="K888" t="str">
        <f t="array" ref="K888">IF(OR(J888="VIP", J888="Loyal"), "HIGH",IF(OR(J888="Regular", J888="Recent"), "MEDIUM","LOW"))</f>
        <v>LOW</v>
      </c>
    </row>
    <row r="889" spans="1:11">
      <c r="A889" t="s">
        <v>902</v>
      </c>
      <c r="B889" s="14">
        <f>_xlfn.MINIFS('working sheet'!$B$2:$B$3548, 'working sheet'!$D$2:$D$3548, A889)</f>
        <v>45607.880922233795</v>
      </c>
      <c r="C889" s="17">
        <f>_xlfn.MAXIFS('working sheet'!$B$1:$B$3548,'working sheet'!$D$1:$D$3548,'Customer Portfolio'!A889)</f>
        <v>45607.881793437497</v>
      </c>
      <c r="D889">
        <f>COUNTIFS('working sheet'!$D$1:$D$3548,'Customer Portfolio'!A889)</f>
        <v>2</v>
      </c>
      <c r="E889" s="5">
        <f>SUMIFS('working sheet'!$E$2:$E$3548,'working sheet'!$D$2:$D$3548,'Customer Portfolio'!A889)</f>
        <v>71.52</v>
      </c>
      <c r="F889" s="6">
        <f t="shared" si="26"/>
        <v>35.76</v>
      </c>
      <c r="G889" t="str">
        <f t="array" ref="G889">IFERROR(INDEX('working sheet'!$F$2:$F$3548, MODE(IF('working sheet'!$D$2:$D$3548=A889, MATCH('working sheet'!$F$2:$F$3548, 'working sheet'!$F$2:$F$3548, 0)))),
         INDEX('working sheet'!$F$2:$F$3548, MATCH(A889, 'working sheet'!$D$2:$D$3548, 0)))</f>
        <v>Latte</v>
      </c>
      <c r="H889" s="7">
        <f t="shared" si="27"/>
        <v>1.0008712037015357</v>
      </c>
      <c r="I889" s="7">
        <f>MAX('working sheet'!$B$2:$B$3548)-C889</f>
        <v>131.8762926157433</v>
      </c>
      <c r="J889" s="4" t="str">
        <f t="array" ref="J889">IF(AND(I889&lt;=30, D889&gt;=10, E889&gt;=200), "VIP",  IF(AND(I889&lt;=60, D889&gt;=5, E889&gt;=100), "Loyal", IF(AND(I889&lt;=90, D889&gt;=3), "Regular", IF(I889&lt;=30, "Recent", IF(D889&gt;=3, "Occasional", "At Risk")))))</f>
        <v>At Risk</v>
      </c>
      <c r="K889" t="str">
        <f t="array" ref="K889">IF(OR(J889="VIP", J889="Loyal"), "HIGH",IF(OR(J889="Regular", J889="Recent"), "MEDIUM","LOW"))</f>
        <v>LOW</v>
      </c>
    </row>
    <row r="890" spans="1:11">
      <c r="A890" t="s">
        <v>903</v>
      </c>
      <c r="B890" s="14">
        <f>_xlfn.MINIFS('working sheet'!$B$2:$B$3548, 'working sheet'!$D$2:$D$3548, A890)</f>
        <v>45608.418849212962</v>
      </c>
      <c r="C890" s="17">
        <f>_xlfn.MAXIFS('working sheet'!$B$1:$B$3548,'working sheet'!$D$1:$D$3548,'Customer Portfolio'!A890)</f>
        <v>45608.418849212962</v>
      </c>
      <c r="D890">
        <f>COUNTIFS('working sheet'!$D$1:$D$3548,'Customer Portfolio'!A890)</f>
        <v>1</v>
      </c>
      <c r="E890" s="5">
        <f>SUMIFS('working sheet'!$E$2:$E$3548,'working sheet'!$D$2:$D$3548,'Customer Portfolio'!A890)</f>
        <v>35.76</v>
      </c>
      <c r="F890" s="6">
        <f t="shared" si="26"/>
        <v>35.76</v>
      </c>
      <c r="G890" t="str">
        <f t="array" ref="G890">IFERROR(INDEX('working sheet'!$F$2:$F$3548, MODE(IF('working sheet'!$D$2:$D$3548=A890, MATCH('working sheet'!$F$2:$F$3548, 'working sheet'!$F$2:$F$3548, 0)))),
         INDEX('working sheet'!$F$2:$F$3548, MATCH(A890, 'working sheet'!$D$2:$D$3548, 0)))</f>
        <v>Latte</v>
      </c>
      <c r="H890" s="7">
        <f t="shared" si="27"/>
        <v>1</v>
      </c>
      <c r="I890" s="7">
        <f>MAX('working sheet'!$B$2:$B$3548)-C890</f>
        <v>131.33923684027832</v>
      </c>
      <c r="J890" s="4" t="str">
        <f t="array" ref="J890">IF(AND(I890&lt;=30, D890&gt;=10, E890&gt;=200), "VIP",  IF(AND(I890&lt;=60, D890&gt;=5, E890&gt;=100), "Loyal", IF(AND(I890&lt;=90, D890&gt;=3), "Regular", IF(I890&lt;=30, "Recent", IF(D890&gt;=3, "Occasional", "At Risk")))))</f>
        <v>At Risk</v>
      </c>
      <c r="K890" t="str">
        <f t="array" ref="K890">IF(OR(J890="VIP", J890="Loyal"), "HIGH",IF(OR(J890="Regular", J890="Recent"), "MEDIUM","LOW"))</f>
        <v>LOW</v>
      </c>
    </row>
    <row r="891" spans="1:11">
      <c r="A891" t="s">
        <v>904</v>
      </c>
      <c r="B891" s="14">
        <f>_xlfn.MINIFS('working sheet'!$B$2:$B$3548, 'working sheet'!$D$2:$D$3548, A891)</f>
        <v>45608.552608726852</v>
      </c>
      <c r="C891" s="17">
        <f>_xlfn.MAXIFS('working sheet'!$B$1:$B$3548,'working sheet'!$D$1:$D$3548,'Customer Portfolio'!A891)</f>
        <v>45608.552608726852</v>
      </c>
      <c r="D891">
        <f>COUNTIFS('working sheet'!$D$1:$D$3548,'Customer Portfolio'!A891)</f>
        <v>1</v>
      </c>
      <c r="E891" s="5">
        <f>SUMIFS('working sheet'!$E$2:$E$3548,'working sheet'!$D$2:$D$3548,'Customer Portfolio'!A891)</f>
        <v>35.76</v>
      </c>
      <c r="F891" s="6">
        <f t="shared" si="26"/>
        <v>35.76</v>
      </c>
      <c r="G891" t="str">
        <f t="array" ref="G891">IFERROR(INDEX('working sheet'!$F$2:$F$3548, MODE(IF('working sheet'!$D$2:$D$3548=A891, MATCH('working sheet'!$F$2:$F$3548, 'working sheet'!$F$2:$F$3548, 0)))),
         INDEX('working sheet'!$F$2:$F$3548, MATCH(A891, 'working sheet'!$D$2:$D$3548, 0)))</f>
        <v>Latte</v>
      </c>
      <c r="H891" s="7">
        <f t="shared" si="27"/>
        <v>1</v>
      </c>
      <c r="I891" s="7">
        <f>MAX('working sheet'!$B$2:$B$3548)-C891</f>
        <v>131.20547732638806</v>
      </c>
      <c r="J891" s="4" t="str">
        <f t="array" ref="J891">IF(AND(I891&lt;=30, D891&gt;=10, E891&gt;=200), "VIP",  IF(AND(I891&lt;=60, D891&gt;=5, E891&gt;=100), "Loyal", IF(AND(I891&lt;=90, D891&gt;=3), "Regular", IF(I891&lt;=30, "Recent", IF(D891&gt;=3, "Occasional", "At Risk")))))</f>
        <v>At Risk</v>
      </c>
      <c r="K891" t="str">
        <f t="array" ref="K891">IF(OR(J891="VIP", J891="Loyal"), "HIGH",IF(OR(J891="Regular", J891="Recent"), "MEDIUM","LOW"))</f>
        <v>LOW</v>
      </c>
    </row>
    <row r="892" spans="1:11">
      <c r="A892" t="s">
        <v>905</v>
      </c>
      <c r="B892" s="14">
        <f>_xlfn.MINIFS('working sheet'!$B$2:$B$3548, 'working sheet'!$D$2:$D$3548, A892)</f>
        <v>45608.699471805558</v>
      </c>
      <c r="C892" s="17">
        <f>_xlfn.MAXIFS('working sheet'!$B$1:$B$3548,'working sheet'!$D$1:$D$3548,'Customer Portfolio'!A892)</f>
        <v>45608.700739861109</v>
      </c>
      <c r="D892">
        <f>COUNTIFS('working sheet'!$D$1:$D$3548,'Customer Portfolio'!A892)</f>
        <v>3</v>
      </c>
      <c r="E892" s="5">
        <f>SUMIFS('working sheet'!$E$2:$E$3548,'working sheet'!$D$2:$D$3548,'Customer Portfolio'!A892)</f>
        <v>107.28</v>
      </c>
      <c r="F892" s="6">
        <f t="shared" si="26"/>
        <v>35.76</v>
      </c>
      <c r="G892" t="str">
        <f t="array" ref="G892">IFERROR(INDEX('working sheet'!$F$2:$F$3548, MODE(IF('working sheet'!$D$2:$D$3548=A892, MATCH('working sheet'!$F$2:$F$3548, 'working sheet'!$F$2:$F$3548, 0)))),
         INDEX('working sheet'!$F$2:$F$3548, MATCH(A892, 'working sheet'!$D$2:$D$3548, 0)))</f>
        <v>Hot Chocolate</v>
      </c>
      <c r="H892" s="7">
        <f t="shared" si="27"/>
        <v>1.0012680555519182</v>
      </c>
      <c r="I892" s="7">
        <f>MAX('working sheet'!$B$2:$B$3548)-C892</f>
        <v>131.05734619213035</v>
      </c>
      <c r="J892" s="4" t="str">
        <f t="array" ref="J892">IF(AND(I892&lt;=30, D892&gt;=10, E892&gt;=200), "VIP",  IF(AND(I892&lt;=60, D892&gt;=5, E892&gt;=100), "Loyal", IF(AND(I892&lt;=90, D892&gt;=3), "Regular", IF(I892&lt;=30, "Recent", IF(D892&gt;=3, "Occasional", "At Risk")))))</f>
        <v>Occasional</v>
      </c>
      <c r="K892" t="str">
        <f t="array" ref="K892">IF(OR(J892="VIP", J892="Loyal"), "HIGH",IF(OR(J892="Regular", J892="Recent"), "MEDIUM","LOW"))</f>
        <v>LOW</v>
      </c>
    </row>
    <row r="893" spans="1:11">
      <c r="A893" t="s">
        <v>906</v>
      </c>
      <c r="B893" s="14">
        <f>_xlfn.MINIFS('working sheet'!$B$2:$B$3548, 'working sheet'!$D$2:$D$3548, A893)</f>
        <v>45608.838863611112</v>
      </c>
      <c r="C893" s="17">
        <f>_xlfn.MAXIFS('working sheet'!$B$1:$B$3548,'working sheet'!$D$1:$D$3548,'Customer Portfolio'!A893)</f>
        <v>45610.400321504632</v>
      </c>
      <c r="D893">
        <f>COUNTIFS('working sheet'!$D$1:$D$3548,'Customer Portfolio'!A893)</f>
        <v>4</v>
      </c>
      <c r="E893" s="5">
        <f>SUMIFS('working sheet'!$E$2:$E$3548,'working sheet'!$D$2:$D$3548,'Customer Portfolio'!A893)</f>
        <v>143.04</v>
      </c>
      <c r="F893" s="6">
        <f t="shared" si="26"/>
        <v>35.76</v>
      </c>
      <c r="G893" t="str">
        <f t="array" ref="G893">IFERROR(INDEX('working sheet'!$F$2:$F$3548, MODE(IF('working sheet'!$D$2:$D$3548=A893, MATCH('working sheet'!$F$2:$F$3548, 'working sheet'!$F$2:$F$3548, 0)))),
         INDEX('working sheet'!$F$2:$F$3548, MATCH(A893, 'working sheet'!$D$2:$D$3548, 0)))</f>
        <v>Latte</v>
      </c>
      <c r="H893" s="7">
        <f t="shared" si="27"/>
        <v>2.561457893520128</v>
      </c>
      <c r="I893" s="7">
        <f>MAX('working sheet'!$B$2:$B$3548)-C893</f>
        <v>129.35776454860752</v>
      </c>
      <c r="J893" s="4" t="str">
        <f t="array" ref="J893">IF(AND(I893&lt;=30, D893&gt;=10, E893&gt;=200), "VIP",  IF(AND(I893&lt;=60, D893&gt;=5, E893&gt;=100), "Loyal", IF(AND(I893&lt;=90, D893&gt;=3), "Regular", IF(I893&lt;=30, "Recent", IF(D893&gt;=3, "Occasional", "At Risk")))))</f>
        <v>Occasional</v>
      </c>
      <c r="K893" t="str">
        <f t="array" ref="K893">IF(OR(J893="VIP", J893="Loyal"), "HIGH",IF(OR(J893="Regular", J893="Recent"), "MEDIUM","LOW"))</f>
        <v>LOW</v>
      </c>
    </row>
    <row r="894" spans="1:11">
      <c r="A894" t="s">
        <v>907</v>
      </c>
      <c r="B894" s="14">
        <f>_xlfn.MINIFS('working sheet'!$B$2:$B$3548, 'working sheet'!$D$2:$D$3548, A894)</f>
        <v>45608.839835682869</v>
      </c>
      <c r="C894" s="17">
        <f>_xlfn.MAXIFS('working sheet'!$B$1:$B$3548,'working sheet'!$D$1:$D$3548,'Customer Portfolio'!A894)</f>
        <v>45608.839835682869</v>
      </c>
      <c r="D894">
        <f>COUNTIFS('working sheet'!$D$1:$D$3548,'Customer Portfolio'!A894)</f>
        <v>1</v>
      </c>
      <c r="E894" s="5">
        <f>SUMIFS('working sheet'!$E$2:$E$3548,'working sheet'!$D$2:$D$3548,'Customer Portfolio'!A894)</f>
        <v>35.76</v>
      </c>
      <c r="F894" s="6">
        <f t="shared" si="26"/>
        <v>35.76</v>
      </c>
      <c r="G894" t="str">
        <f t="array" ref="G894">IFERROR(INDEX('working sheet'!$F$2:$F$3548, MODE(IF('working sheet'!$D$2:$D$3548=A894, MATCH('working sheet'!$F$2:$F$3548, 'working sheet'!$F$2:$F$3548, 0)))),
         INDEX('working sheet'!$F$2:$F$3548, MATCH(A894, 'working sheet'!$D$2:$D$3548, 0)))</f>
        <v>Cocoa</v>
      </c>
      <c r="H894" s="7">
        <f t="shared" si="27"/>
        <v>1</v>
      </c>
      <c r="I894" s="7">
        <f>MAX('working sheet'!$B$2:$B$3548)-C894</f>
        <v>130.91825037037052</v>
      </c>
      <c r="J894" s="4" t="str">
        <f t="array" ref="J894">IF(AND(I894&lt;=30, D894&gt;=10, E894&gt;=200), "VIP",  IF(AND(I894&lt;=60, D894&gt;=5, E894&gt;=100), "Loyal", IF(AND(I894&lt;=90, D894&gt;=3), "Regular", IF(I894&lt;=30, "Recent", IF(D894&gt;=3, "Occasional", "At Risk")))))</f>
        <v>At Risk</v>
      </c>
      <c r="K894" t="str">
        <f t="array" ref="K894">IF(OR(J894="VIP", J894="Loyal"), "HIGH",IF(OR(J894="Regular", J894="Recent"), "MEDIUM","LOW"))</f>
        <v>LOW</v>
      </c>
    </row>
    <row r="895" spans="1:11">
      <c r="A895" t="s">
        <v>908</v>
      </c>
      <c r="B895" s="14">
        <f>_xlfn.MINIFS('working sheet'!$B$2:$B$3548, 'working sheet'!$D$2:$D$3548, A895)</f>
        <v>45609.339708935186</v>
      </c>
      <c r="C895" s="17">
        <f>_xlfn.MAXIFS('working sheet'!$B$1:$B$3548,'working sheet'!$D$1:$D$3548,'Customer Portfolio'!A895)</f>
        <v>45609.339708935186</v>
      </c>
      <c r="D895">
        <f>COUNTIFS('working sheet'!$D$1:$D$3548,'Customer Portfolio'!A895)</f>
        <v>1</v>
      </c>
      <c r="E895" s="5">
        <f>SUMIFS('working sheet'!$E$2:$E$3548,'working sheet'!$D$2:$D$3548,'Customer Portfolio'!A895)</f>
        <v>30.86</v>
      </c>
      <c r="F895" s="6">
        <f t="shared" si="26"/>
        <v>30.86</v>
      </c>
      <c r="G895" t="str">
        <f t="array" ref="G895">IFERROR(INDEX('working sheet'!$F$2:$F$3548, MODE(IF('working sheet'!$D$2:$D$3548=A895, MATCH('working sheet'!$F$2:$F$3548, 'working sheet'!$F$2:$F$3548, 0)))),
         INDEX('working sheet'!$F$2:$F$3548, MATCH(A895, 'working sheet'!$D$2:$D$3548, 0)))</f>
        <v>Americano with Milk</v>
      </c>
      <c r="H895" s="7">
        <f t="shared" si="27"/>
        <v>1</v>
      </c>
      <c r="I895" s="7">
        <f>MAX('working sheet'!$B$2:$B$3548)-C895</f>
        <v>130.4183771180542</v>
      </c>
      <c r="J895" s="4" t="str">
        <f t="array" ref="J895">IF(AND(I895&lt;=30, D895&gt;=10, E895&gt;=200), "VIP",  IF(AND(I895&lt;=60, D895&gt;=5, E895&gt;=100), "Loyal", IF(AND(I895&lt;=90, D895&gt;=3), "Regular", IF(I895&lt;=30, "Recent", IF(D895&gt;=3, "Occasional", "At Risk")))))</f>
        <v>At Risk</v>
      </c>
      <c r="K895" t="str">
        <f t="array" ref="K895">IF(OR(J895="VIP", J895="Loyal"), "HIGH",IF(OR(J895="Regular", J895="Recent"), "MEDIUM","LOW"))</f>
        <v>LOW</v>
      </c>
    </row>
    <row r="896" spans="1:11">
      <c r="A896" t="s">
        <v>909</v>
      </c>
      <c r="B896" s="14">
        <f>_xlfn.MINIFS('working sheet'!$B$2:$B$3548, 'working sheet'!$D$2:$D$3548, A896)</f>
        <v>45609.555492708336</v>
      </c>
      <c r="C896" s="17">
        <f>_xlfn.MAXIFS('working sheet'!$B$1:$B$3548,'working sheet'!$D$1:$D$3548,'Customer Portfolio'!A896)</f>
        <v>45609.556232372684</v>
      </c>
      <c r="D896">
        <f>COUNTIFS('working sheet'!$D$1:$D$3548,'Customer Portfolio'!A896)</f>
        <v>2</v>
      </c>
      <c r="E896" s="5">
        <f>SUMIFS('working sheet'!$E$2:$E$3548,'working sheet'!$D$2:$D$3548,'Customer Portfolio'!A896)</f>
        <v>61.72</v>
      </c>
      <c r="F896" s="6">
        <f t="shared" si="26"/>
        <v>30.86</v>
      </c>
      <c r="G896" t="str">
        <f t="array" ref="G896">IFERROR(INDEX('working sheet'!$F$2:$F$3548, MODE(IF('working sheet'!$D$2:$D$3548=A896, MATCH('working sheet'!$F$2:$F$3548, 'working sheet'!$F$2:$F$3548, 0)))),
         INDEX('working sheet'!$F$2:$F$3548, MATCH(A896, 'working sheet'!$D$2:$D$3548, 0)))</f>
        <v>Americano with Milk</v>
      </c>
      <c r="H896" s="7">
        <f t="shared" si="27"/>
        <v>1.0007396643486572</v>
      </c>
      <c r="I896" s="7">
        <f>MAX('working sheet'!$B$2:$B$3548)-C896</f>
        <v>130.20185368055536</v>
      </c>
      <c r="J896" s="4" t="str">
        <f t="array" ref="J896">IF(AND(I896&lt;=30, D896&gt;=10, E896&gt;=200), "VIP",  IF(AND(I896&lt;=60, D896&gt;=5, E896&gt;=100), "Loyal", IF(AND(I896&lt;=90, D896&gt;=3), "Regular", IF(I896&lt;=30, "Recent", IF(D896&gt;=3, "Occasional", "At Risk")))))</f>
        <v>At Risk</v>
      </c>
      <c r="K896" t="str">
        <f t="array" ref="K896">IF(OR(J896="VIP", J896="Loyal"), "HIGH",IF(OR(J896="Regular", J896="Recent"), "MEDIUM","LOW"))</f>
        <v>LOW</v>
      </c>
    </row>
    <row r="897" spans="1:11">
      <c r="A897" t="s">
        <v>910</v>
      </c>
      <c r="B897" s="14">
        <f>_xlfn.MINIFS('working sheet'!$B$2:$B$3548, 'working sheet'!$D$2:$D$3548, A897)</f>
        <v>45609.595488888888</v>
      </c>
      <c r="C897" s="17">
        <f>_xlfn.MAXIFS('working sheet'!$B$1:$B$3548,'working sheet'!$D$1:$D$3548,'Customer Portfolio'!A897)</f>
        <v>45642.592571168978</v>
      </c>
      <c r="D897">
        <f>COUNTIFS('working sheet'!$D$1:$D$3548,'Customer Portfolio'!A897)</f>
        <v>2</v>
      </c>
      <c r="E897" s="5">
        <f>SUMIFS('working sheet'!$E$2:$E$3548,'working sheet'!$D$2:$D$3548,'Customer Portfolio'!A897)</f>
        <v>66.62</v>
      </c>
      <c r="F897" s="6">
        <f t="shared" si="26"/>
        <v>33.31</v>
      </c>
      <c r="G897" t="str">
        <f t="array" ref="G897">IFERROR(INDEX('working sheet'!$F$2:$F$3548, MODE(IF('working sheet'!$D$2:$D$3548=A897, MATCH('working sheet'!$F$2:$F$3548, 'working sheet'!$F$2:$F$3548, 0)))),
         INDEX('working sheet'!$F$2:$F$3548, MATCH(A897, 'working sheet'!$D$2:$D$3548, 0)))</f>
        <v>Americano with Milk</v>
      </c>
      <c r="H897" s="7">
        <f t="shared" si="27"/>
        <v>33.997082280089671</v>
      </c>
      <c r="I897" s="7">
        <f>MAX('working sheet'!$B$2:$B$3548)-C897</f>
        <v>97.165514884261938</v>
      </c>
      <c r="J897" s="4" t="str">
        <f t="array" ref="J897">IF(AND(I897&lt;=30, D897&gt;=10, E897&gt;=200), "VIP",  IF(AND(I897&lt;=60, D897&gt;=5, E897&gt;=100), "Loyal", IF(AND(I897&lt;=90, D897&gt;=3), "Regular", IF(I897&lt;=30, "Recent", IF(D897&gt;=3, "Occasional", "At Risk")))))</f>
        <v>At Risk</v>
      </c>
      <c r="K897" t="str">
        <f t="array" ref="K897">IF(OR(J897="VIP", J897="Loyal"), "HIGH",IF(OR(J897="Regular", J897="Recent"), "MEDIUM","LOW"))</f>
        <v>LOW</v>
      </c>
    </row>
    <row r="898" spans="1:11">
      <c r="A898" t="s">
        <v>911</v>
      </c>
      <c r="B898" s="14">
        <f>_xlfn.MINIFS('working sheet'!$B$2:$B$3548, 'working sheet'!$D$2:$D$3548, A898)</f>
        <v>45610.421327314813</v>
      </c>
      <c r="C898" s="17">
        <f>_xlfn.MAXIFS('working sheet'!$B$1:$B$3548,'working sheet'!$D$1:$D$3548,'Customer Portfolio'!A898)</f>
        <v>45610.421327314813</v>
      </c>
      <c r="D898">
        <f>COUNTIFS('working sheet'!$D$1:$D$3548,'Customer Portfolio'!A898)</f>
        <v>1</v>
      </c>
      <c r="E898" s="5">
        <f>SUMIFS('working sheet'!$E$2:$E$3548,'working sheet'!$D$2:$D$3548,'Customer Portfolio'!A898)</f>
        <v>25.96</v>
      </c>
      <c r="F898" s="6">
        <f t="shared" si="26"/>
        <v>25.96</v>
      </c>
      <c r="G898" t="str">
        <f t="array" ref="G898">IFERROR(INDEX('working sheet'!$F$2:$F$3548, MODE(IF('working sheet'!$D$2:$D$3548=A898, MATCH('working sheet'!$F$2:$F$3548, 'working sheet'!$F$2:$F$3548, 0)))),
         INDEX('working sheet'!$F$2:$F$3548, MATCH(A898, 'working sheet'!$D$2:$D$3548, 0)))</f>
        <v>Americano</v>
      </c>
      <c r="H898" s="7">
        <f t="shared" si="27"/>
        <v>1</v>
      </c>
      <c r="I898" s="7">
        <f>MAX('working sheet'!$B$2:$B$3548)-C898</f>
        <v>129.33675873842731</v>
      </c>
      <c r="J898" s="4" t="str">
        <f t="array" ref="J898">IF(AND(I898&lt;=30, D898&gt;=10, E898&gt;=200), "VIP",  IF(AND(I898&lt;=60, D898&gt;=5, E898&gt;=100), "Loyal", IF(AND(I898&lt;=90, D898&gt;=3), "Regular", IF(I898&lt;=30, "Recent", IF(D898&gt;=3, "Occasional", "At Risk")))))</f>
        <v>At Risk</v>
      </c>
      <c r="K898" t="str">
        <f t="array" ref="K898">IF(OR(J898="VIP", J898="Loyal"), "HIGH",IF(OR(J898="Regular", J898="Recent"), "MEDIUM","LOW"))</f>
        <v>LOW</v>
      </c>
    </row>
    <row r="899" spans="1:11">
      <c r="A899" t="s">
        <v>912</v>
      </c>
      <c r="B899" s="14">
        <f>_xlfn.MINIFS('working sheet'!$B$2:$B$3548, 'working sheet'!$D$2:$D$3548, A899)</f>
        <v>45610.533917581015</v>
      </c>
      <c r="C899" s="17">
        <f>_xlfn.MAXIFS('working sheet'!$B$1:$B$3548,'working sheet'!$D$1:$D$3548,'Customer Portfolio'!A899)</f>
        <v>45610.533917581015</v>
      </c>
      <c r="D899">
        <f>COUNTIFS('working sheet'!$D$1:$D$3548,'Customer Portfolio'!A899)</f>
        <v>1</v>
      </c>
      <c r="E899" s="5">
        <f>SUMIFS('working sheet'!$E$2:$E$3548,'working sheet'!$D$2:$D$3548,'Customer Portfolio'!A899)</f>
        <v>21.06</v>
      </c>
      <c r="F899" s="6">
        <f t="shared" ref="F899:F962" si="28">E899/D899</f>
        <v>21.06</v>
      </c>
      <c r="G899" t="str">
        <f t="array" ref="G899">IFERROR(INDEX('working sheet'!$F$2:$F$3548, MODE(IF('working sheet'!$D$2:$D$3548=A899, MATCH('working sheet'!$F$2:$F$3548, 'working sheet'!$F$2:$F$3548, 0)))),
         INDEX('working sheet'!$F$2:$F$3548, MATCH(A899, 'working sheet'!$D$2:$D$3548, 0)))</f>
        <v>Espresso</v>
      </c>
      <c r="H899" s="7">
        <f t="shared" ref="H899:H962" si="29">C899-B899+1</f>
        <v>1</v>
      </c>
      <c r="I899" s="7">
        <f>MAX('working sheet'!$B$2:$B$3548)-C899</f>
        <v>129.22416847222485</v>
      </c>
      <c r="J899" s="4" t="str">
        <f t="array" ref="J899">IF(AND(I899&lt;=30, D899&gt;=10, E899&gt;=200), "VIP",  IF(AND(I899&lt;=60, D899&gt;=5, E899&gt;=100), "Loyal", IF(AND(I899&lt;=90, D899&gt;=3), "Regular", IF(I899&lt;=30, "Recent", IF(D899&gt;=3, "Occasional", "At Risk")))))</f>
        <v>At Risk</v>
      </c>
      <c r="K899" t="str">
        <f t="array" ref="K899">IF(OR(J899="VIP", J899="Loyal"), "HIGH",IF(OR(J899="Regular", J899="Recent"), "MEDIUM","LOW"))</f>
        <v>LOW</v>
      </c>
    </row>
    <row r="900" spans="1:11">
      <c r="A900" t="s">
        <v>913</v>
      </c>
      <c r="B900" s="14">
        <f>_xlfn.MINIFS('working sheet'!$B$2:$B$3548, 'working sheet'!$D$2:$D$3548, A900)</f>
        <v>45610.627608946757</v>
      </c>
      <c r="C900" s="17">
        <f>_xlfn.MAXIFS('working sheet'!$B$1:$B$3548,'working sheet'!$D$1:$D$3548,'Customer Portfolio'!A900)</f>
        <v>45610.627608946757</v>
      </c>
      <c r="D900">
        <f>COUNTIFS('working sheet'!$D$1:$D$3548,'Customer Portfolio'!A900)</f>
        <v>1</v>
      </c>
      <c r="E900" s="5">
        <f>SUMIFS('working sheet'!$E$2:$E$3548,'working sheet'!$D$2:$D$3548,'Customer Portfolio'!A900)</f>
        <v>35.76</v>
      </c>
      <c r="F900" s="6">
        <f t="shared" si="28"/>
        <v>35.76</v>
      </c>
      <c r="G900" t="str">
        <f t="array" ref="G900">IFERROR(INDEX('working sheet'!$F$2:$F$3548, MODE(IF('working sheet'!$D$2:$D$3548=A900, MATCH('working sheet'!$F$2:$F$3548, 'working sheet'!$F$2:$F$3548, 0)))),
         INDEX('working sheet'!$F$2:$F$3548, MATCH(A900, 'working sheet'!$D$2:$D$3548, 0)))</f>
        <v>Cappuccino</v>
      </c>
      <c r="H900" s="7">
        <f t="shared" si="29"/>
        <v>1</v>
      </c>
      <c r="I900" s="7">
        <f>MAX('working sheet'!$B$2:$B$3548)-C900</f>
        <v>129.13047710648243</v>
      </c>
      <c r="J900" s="4" t="str">
        <f t="array" ref="J900">IF(AND(I900&lt;=30, D900&gt;=10, E900&gt;=200), "VIP",  IF(AND(I900&lt;=60, D900&gt;=5, E900&gt;=100), "Loyal", IF(AND(I900&lt;=90, D900&gt;=3), "Regular", IF(I900&lt;=30, "Recent", IF(D900&gt;=3, "Occasional", "At Risk")))))</f>
        <v>At Risk</v>
      </c>
      <c r="K900" t="str">
        <f t="array" ref="K900">IF(OR(J900="VIP", J900="Loyal"), "HIGH",IF(OR(J900="Regular", J900="Recent"), "MEDIUM","LOW"))</f>
        <v>LOW</v>
      </c>
    </row>
    <row r="901" spans="1:11">
      <c r="A901" t="s">
        <v>914</v>
      </c>
      <c r="B901" s="14">
        <f>_xlfn.MINIFS('working sheet'!$B$2:$B$3548, 'working sheet'!$D$2:$D$3548, A901)</f>
        <v>45610.62843459491</v>
      </c>
      <c r="C901" s="17">
        <f>_xlfn.MAXIFS('working sheet'!$B$1:$B$3548,'working sheet'!$D$1:$D$3548,'Customer Portfolio'!A901)</f>
        <v>45610.629048530092</v>
      </c>
      <c r="D901">
        <f>COUNTIFS('working sheet'!$D$1:$D$3548,'Customer Portfolio'!A901)</f>
        <v>2</v>
      </c>
      <c r="E901" s="5">
        <f>SUMIFS('working sheet'!$E$2:$E$3548,'working sheet'!$D$2:$D$3548,'Customer Portfolio'!A901)</f>
        <v>71.52</v>
      </c>
      <c r="F901" s="6">
        <f t="shared" si="28"/>
        <v>35.76</v>
      </c>
      <c r="G901" t="str">
        <f t="array" ref="G901">IFERROR(INDEX('working sheet'!$F$2:$F$3548, MODE(IF('working sheet'!$D$2:$D$3548=A901, MATCH('working sheet'!$F$2:$F$3548, 'working sheet'!$F$2:$F$3548, 0)))),
         INDEX('working sheet'!$F$2:$F$3548, MATCH(A901, 'working sheet'!$D$2:$D$3548, 0)))</f>
        <v>Latte</v>
      </c>
      <c r="H901" s="7">
        <f t="shared" si="29"/>
        <v>1.0006139351826278</v>
      </c>
      <c r="I901" s="7">
        <f>MAX('working sheet'!$B$2:$B$3548)-C901</f>
        <v>129.12903752314742</v>
      </c>
      <c r="J901" s="4" t="str">
        <f t="array" ref="J901">IF(AND(I901&lt;=30, D901&gt;=10, E901&gt;=200), "VIP",  IF(AND(I901&lt;=60, D901&gt;=5, E901&gt;=100), "Loyal", IF(AND(I901&lt;=90, D901&gt;=3), "Regular", IF(I901&lt;=30, "Recent", IF(D901&gt;=3, "Occasional", "At Risk")))))</f>
        <v>At Risk</v>
      </c>
      <c r="K901" t="str">
        <f t="array" ref="K901">IF(OR(J901="VIP", J901="Loyal"), "HIGH",IF(OR(J901="Regular", J901="Recent"), "MEDIUM","LOW"))</f>
        <v>LOW</v>
      </c>
    </row>
    <row r="902" spans="1:11">
      <c r="A902" t="s">
        <v>915</v>
      </c>
      <c r="B902" s="14">
        <f>_xlfn.MINIFS('working sheet'!$B$2:$B$3548, 'working sheet'!$D$2:$D$3548, A902)</f>
        <v>45610.944934571758</v>
      </c>
      <c r="C902" s="17">
        <f>_xlfn.MAXIFS('working sheet'!$B$1:$B$3548,'working sheet'!$D$1:$D$3548,'Customer Portfolio'!A902)</f>
        <v>45610.944934571758</v>
      </c>
      <c r="D902">
        <f>COUNTIFS('working sheet'!$D$1:$D$3548,'Customer Portfolio'!A902)</f>
        <v>1</v>
      </c>
      <c r="E902" s="5">
        <f>SUMIFS('working sheet'!$E$2:$E$3548,'working sheet'!$D$2:$D$3548,'Customer Portfolio'!A902)</f>
        <v>35.76</v>
      </c>
      <c r="F902" s="6">
        <f t="shared" si="28"/>
        <v>35.76</v>
      </c>
      <c r="G902" t="str">
        <f t="array" ref="G902">IFERROR(INDEX('working sheet'!$F$2:$F$3548, MODE(IF('working sheet'!$D$2:$D$3548=A902, MATCH('working sheet'!$F$2:$F$3548, 'working sheet'!$F$2:$F$3548, 0)))),
         INDEX('working sheet'!$F$2:$F$3548, MATCH(A902, 'working sheet'!$D$2:$D$3548, 0)))</f>
        <v>Latte</v>
      </c>
      <c r="H902" s="7">
        <f t="shared" si="29"/>
        <v>1</v>
      </c>
      <c r="I902" s="7">
        <f>MAX('working sheet'!$B$2:$B$3548)-C902</f>
        <v>128.81315148148133</v>
      </c>
      <c r="J902" s="4" t="str">
        <f t="array" ref="J902">IF(AND(I902&lt;=30, D902&gt;=10, E902&gt;=200), "VIP",  IF(AND(I902&lt;=60, D902&gt;=5, E902&gt;=100), "Loyal", IF(AND(I902&lt;=90, D902&gt;=3), "Regular", IF(I902&lt;=30, "Recent", IF(D902&gt;=3, "Occasional", "At Risk")))))</f>
        <v>At Risk</v>
      </c>
      <c r="K902" t="str">
        <f t="array" ref="K902">IF(OR(J902="VIP", J902="Loyal"), "HIGH",IF(OR(J902="Regular", J902="Recent"), "MEDIUM","LOW"))</f>
        <v>LOW</v>
      </c>
    </row>
    <row r="903" spans="1:11">
      <c r="A903" t="s">
        <v>916</v>
      </c>
      <c r="B903" s="14">
        <f>_xlfn.MINIFS('working sheet'!$B$2:$B$3548, 'working sheet'!$D$2:$D$3548, A903)</f>
        <v>45611.365175219908</v>
      </c>
      <c r="C903" s="17">
        <f>_xlfn.MAXIFS('working sheet'!$B$1:$B$3548,'working sheet'!$D$1:$D$3548,'Customer Portfolio'!A903)</f>
        <v>45611.365175219908</v>
      </c>
      <c r="D903">
        <f>COUNTIFS('working sheet'!$D$1:$D$3548,'Customer Portfolio'!A903)</f>
        <v>1</v>
      </c>
      <c r="E903" s="5">
        <f>SUMIFS('working sheet'!$E$2:$E$3548,'working sheet'!$D$2:$D$3548,'Customer Portfolio'!A903)</f>
        <v>30.86</v>
      </c>
      <c r="F903" s="6">
        <f t="shared" si="28"/>
        <v>30.86</v>
      </c>
      <c r="G903" t="str">
        <f t="array" ref="G903">IFERROR(INDEX('working sheet'!$F$2:$F$3548, MODE(IF('working sheet'!$D$2:$D$3548=A903, MATCH('working sheet'!$F$2:$F$3548, 'working sheet'!$F$2:$F$3548, 0)))),
         INDEX('working sheet'!$F$2:$F$3548, MATCH(A903, 'working sheet'!$D$2:$D$3548, 0)))</f>
        <v>Americano with Milk</v>
      </c>
      <c r="H903" s="7">
        <f t="shared" si="29"/>
        <v>1</v>
      </c>
      <c r="I903" s="7">
        <f>MAX('working sheet'!$B$2:$B$3548)-C903</f>
        <v>128.39291083333228</v>
      </c>
      <c r="J903" s="4" t="str">
        <f t="array" ref="J903">IF(AND(I903&lt;=30, D903&gt;=10, E903&gt;=200), "VIP",  IF(AND(I903&lt;=60, D903&gt;=5, E903&gt;=100), "Loyal", IF(AND(I903&lt;=90, D903&gt;=3), "Regular", IF(I903&lt;=30, "Recent", IF(D903&gt;=3, "Occasional", "At Risk")))))</f>
        <v>At Risk</v>
      </c>
      <c r="K903" t="str">
        <f t="array" ref="K903">IF(OR(J903="VIP", J903="Loyal"), "HIGH",IF(OR(J903="Regular", J903="Recent"), "MEDIUM","LOW"))</f>
        <v>LOW</v>
      </c>
    </row>
    <row r="904" spans="1:11">
      <c r="A904" t="s">
        <v>917</v>
      </c>
      <c r="B904" s="14">
        <f>_xlfn.MINIFS('working sheet'!$B$2:$B$3548, 'working sheet'!$D$2:$D$3548, A904)</f>
        <v>45611.506255324071</v>
      </c>
      <c r="C904" s="17">
        <f>_xlfn.MAXIFS('working sheet'!$B$1:$B$3548,'working sheet'!$D$1:$D$3548,'Customer Portfolio'!A904)</f>
        <v>45622.460373483795</v>
      </c>
      <c r="D904">
        <f>COUNTIFS('working sheet'!$D$1:$D$3548,'Customer Portfolio'!A904)</f>
        <v>3</v>
      </c>
      <c r="E904" s="5">
        <f>SUMIFS('working sheet'!$E$2:$E$3548,'working sheet'!$D$2:$D$3548,'Customer Portfolio'!A904)</f>
        <v>107.28</v>
      </c>
      <c r="F904" s="6">
        <f t="shared" si="28"/>
        <v>35.76</v>
      </c>
      <c r="G904" t="str">
        <f t="array" ref="G904">IFERROR(INDEX('working sheet'!$F$2:$F$3548, MODE(IF('working sheet'!$D$2:$D$3548=A904, MATCH('working sheet'!$F$2:$F$3548, 'working sheet'!$F$2:$F$3548, 0)))),
         INDEX('working sheet'!$F$2:$F$3548, MATCH(A904, 'working sheet'!$D$2:$D$3548, 0)))</f>
        <v>Cocoa</v>
      </c>
      <c r="H904" s="7">
        <f t="shared" si="29"/>
        <v>11.954118159723294</v>
      </c>
      <c r="I904" s="7">
        <f>MAX('working sheet'!$B$2:$B$3548)-C904</f>
        <v>117.29771256944514</v>
      </c>
      <c r="J904" s="4" t="str">
        <f t="array" ref="J904">IF(AND(I904&lt;=30, D904&gt;=10, E904&gt;=200), "VIP",  IF(AND(I904&lt;=60, D904&gt;=5, E904&gt;=100), "Loyal", IF(AND(I904&lt;=90, D904&gt;=3), "Regular", IF(I904&lt;=30, "Recent", IF(D904&gt;=3, "Occasional", "At Risk")))))</f>
        <v>Occasional</v>
      </c>
      <c r="K904" t="str">
        <f t="array" ref="K904">IF(OR(J904="VIP", J904="Loyal"), "HIGH",IF(OR(J904="Regular", J904="Recent"), "MEDIUM","LOW"))</f>
        <v>LOW</v>
      </c>
    </row>
    <row r="905" spans="1:11">
      <c r="A905" t="s">
        <v>918</v>
      </c>
      <c r="B905" s="14">
        <f>_xlfn.MINIFS('working sheet'!$B$2:$B$3548, 'working sheet'!$D$2:$D$3548, A905)</f>
        <v>45611.509936932867</v>
      </c>
      <c r="C905" s="17">
        <f>_xlfn.MAXIFS('working sheet'!$B$1:$B$3548,'working sheet'!$D$1:$D$3548,'Customer Portfolio'!A905)</f>
        <v>45611.509936932867</v>
      </c>
      <c r="D905">
        <f>COUNTIFS('working sheet'!$D$1:$D$3548,'Customer Portfolio'!A905)</f>
        <v>1</v>
      </c>
      <c r="E905" s="5">
        <f>SUMIFS('working sheet'!$E$2:$E$3548,'working sheet'!$D$2:$D$3548,'Customer Portfolio'!A905)</f>
        <v>35.76</v>
      </c>
      <c r="F905" s="6">
        <f t="shared" si="28"/>
        <v>35.76</v>
      </c>
      <c r="G905" t="str">
        <f t="array" ref="G905">IFERROR(INDEX('working sheet'!$F$2:$F$3548, MODE(IF('working sheet'!$D$2:$D$3548=A905, MATCH('working sheet'!$F$2:$F$3548, 'working sheet'!$F$2:$F$3548, 0)))),
         INDEX('working sheet'!$F$2:$F$3548, MATCH(A905, 'working sheet'!$D$2:$D$3548, 0)))</f>
        <v>Cocoa</v>
      </c>
      <c r="H905" s="7">
        <f t="shared" si="29"/>
        <v>1</v>
      </c>
      <c r="I905" s="7">
        <f>MAX('working sheet'!$B$2:$B$3548)-C905</f>
        <v>128.24814912037255</v>
      </c>
      <c r="J905" s="4" t="str">
        <f t="array" ref="J905">IF(AND(I905&lt;=30, D905&gt;=10, E905&gt;=200), "VIP",  IF(AND(I905&lt;=60, D905&gt;=5, E905&gt;=100), "Loyal", IF(AND(I905&lt;=90, D905&gt;=3), "Regular", IF(I905&lt;=30, "Recent", IF(D905&gt;=3, "Occasional", "At Risk")))))</f>
        <v>At Risk</v>
      </c>
      <c r="K905" t="str">
        <f t="array" ref="K905">IF(OR(J905="VIP", J905="Loyal"), "HIGH",IF(OR(J905="Regular", J905="Recent"), "MEDIUM","LOW"))</f>
        <v>LOW</v>
      </c>
    </row>
    <row r="906" spans="1:11">
      <c r="A906" t="s">
        <v>919</v>
      </c>
      <c r="B906" s="14">
        <f>_xlfn.MINIFS('working sheet'!$B$2:$B$3548, 'working sheet'!$D$2:$D$3548, A906)</f>
        <v>45611.638780462963</v>
      </c>
      <c r="C906" s="17">
        <f>_xlfn.MAXIFS('working sheet'!$B$1:$B$3548,'working sheet'!$D$1:$D$3548,'Customer Portfolio'!A906)</f>
        <v>45611.638780462963</v>
      </c>
      <c r="D906">
        <f>COUNTIFS('working sheet'!$D$1:$D$3548,'Customer Portfolio'!A906)</f>
        <v>1</v>
      </c>
      <c r="E906" s="5">
        <f>SUMIFS('working sheet'!$E$2:$E$3548,'working sheet'!$D$2:$D$3548,'Customer Portfolio'!A906)</f>
        <v>25.96</v>
      </c>
      <c r="F906" s="6">
        <f t="shared" si="28"/>
        <v>25.96</v>
      </c>
      <c r="G906" t="str">
        <f t="array" ref="G906">IFERROR(INDEX('working sheet'!$F$2:$F$3548, MODE(IF('working sheet'!$D$2:$D$3548=A906, MATCH('working sheet'!$F$2:$F$3548, 'working sheet'!$F$2:$F$3548, 0)))),
         INDEX('working sheet'!$F$2:$F$3548, MATCH(A906, 'working sheet'!$D$2:$D$3548, 0)))</f>
        <v>Americano</v>
      </c>
      <c r="H906" s="7">
        <f t="shared" si="29"/>
        <v>1</v>
      </c>
      <c r="I906" s="7">
        <f>MAX('working sheet'!$B$2:$B$3548)-C906</f>
        <v>128.11930559027678</v>
      </c>
      <c r="J906" s="4" t="str">
        <f t="array" ref="J906">IF(AND(I906&lt;=30, D906&gt;=10, E906&gt;=200), "VIP",  IF(AND(I906&lt;=60, D906&gt;=5, E906&gt;=100), "Loyal", IF(AND(I906&lt;=90, D906&gt;=3), "Regular", IF(I906&lt;=30, "Recent", IF(D906&gt;=3, "Occasional", "At Risk")))))</f>
        <v>At Risk</v>
      </c>
      <c r="K906" t="str">
        <f t="array" ref="K906">IF(OR(J906="VIP", J906="Loyal"), "HIGH",IF(OR(J906="Regular", J906="Recent"), "MEDIUM","LOW"))</f>
        <v>LOW</v>
      </c>
    </row>
    <row r="907" spans="1:11">
      <c r="A907" t="s">
        <v>920</v>
      </c>
      <c r="B907" s="14">
        <f>_xlfn.MINIFS('working sheet'!$B$2:$B$3548, 'working sheet'!$D$2:$D$3548, A907)</f>
        <v>45611.746544988426</v>
      </c>
      <c r="C907" s="17">
        <f>_xlfn.MAXIFS('working sheet'!$B$1:$B$3548,'working sheet'!$D$1:$D$3548,'Customer Portfolio'!A907)</f>
        <v>45674.735539467591</v>
      </c>
      <c r="D907">
        <f>COUNTIFS('working sheet'!$D$1:$D$3548,'Customer Portfolio'!A907)</f>
        <v>11</v>
      </c>
      <c r="E907" s="5">
        <f>SUMIFS('working sheet'!$E$2:$E$3548,'working sheet'!$D$2:$D$3548,'Customer Portfolio'!A907)</f>
        <v>393.35999999999996</v>
      </c>
      <c r="F907" s="6">
        <f t="shared" si="28"/>
        <v>35.76</v>
      </c>
      <c r="G907" t="str">
        <f t="array" ref="G907">IFERROR(INDEX('working sheet'!$F$2:$F$3548, MODE(IF('working sheet'!$D$2:$D$3548=A907, MATCH('working sheet'!$F$2:$F$3548, 'working sheet'!$F$2:$F$3548, 0)))),
         INDEX('working sheet'!$F$2:$F$3548, MATCH(A907, 'working sheet'!$D$2:$D$3548, 0)))</f>
        <v>Latte</v>
      </c>
      <c r="H907" s="7">
        <f t="shared" si="29"/>
        <v>63.98899447916483</v>
      </c>
      <c r="I907" s="7">
        <f>MAX('working sheet'!$B$2:$B$3548)-C907</f>
        <v>65.022546585649252</v>
      </c>
      <c r="J907" s="4" t="str">
        <f t="array" ref="J907">IF(AND(I907&lt;=30, D907&gt;=10, E907&gt;=200), "VIP",  IF(AND(I907&lt;=60, D907&gt;=5, E907&gt;=100), "Loyal", IF(AND(I907&lt;=90, D907&gt;=3), "Regular", IF(I907&lt;=30, "Recent", IF(D907&gt;=3, "Occasional", "At Risk")))))</f>
        <v>Regular</v>
      </c>
      <c r="K907" t="str">
        <f t="array" ref="K907">IF(OR(J907="VIP", J907="Loyal"), "HIGH",IF(OR(J907="Regular", J907="Recent"), "MEDIUM","LOW"))</f>
        <v>MEDIUM</v>
      </c>
    </row>
    <row r="908" spans="1:11">
      <c r="A908" t="s">
        <v>921</v>
      </c>
      <c r="B908" s="14">
        <f>_xlfn.MINIFS('working sheet'!$B$2:$B$3548, 'working sheet'!$D$2:$D$3548, A908)</f>
        <v>45611.758853368054</v>
      </c>
      <c r="C908" s="17">
        <f>_xlfn.MAXIFS('working sheet'!$B$1:$B$3548,'working sheet'!$D$1:$D$3548,'Customer Portfolio'!A908)</f>
        <v>45643.788163217592</v>
      </c>
      <c r="D908">
        <f>COUNTIFS('working sheet'!$D$1:$D$3548,'Customer Portfolio'!A908)</f>
        <v>2</v>
      </c>
      <c r="E908" s="5">
        <f>SUMIFS('working sheet'!$E$2:$E$3548,'working sheet'!$D$2:$D$3548,'Customer Portfolio'!A908)</f>
        <v>71.52</v>
      </c>
      <c r="F908" s="6">
        <f t="shared" si="28"/>
        <v>35.76</v>
      </c>
      <c r="G908" t="str">
        <f t="array" ref="G908">IFERROR(INDEX('working sheet'!$F$2:$F$3548, MODE(IF('working sheet'!$D$2:$D$3548=A908, MATCH('working sheet'!$F$2:$F$3548, 'working sheet'!$F$2:$F$3548, 0)))),
         INDEX('working sheet'!$F$2:$F$3548, MATCH(A908, 'working sheet'!$D$2:$D$3548, 0)))</f>
        <v>Hot Chocolate</v>
      </c>
      <c r="H908" s="7">
        <f t="shared" si="29"/>
        <v>33.029309849538549</v>
      </c>
      <c r="I908" s="7">
        <f>MAX('working sheet'!$B$2:$B$3548)-C908</f>
        <v>95.969922835647594</v>
      </c>
      <c r="J908" s="4" t="str">
        <f t="array" ref="J908">IF(AND(I908&lt;=30, D908&gt;=10, E908&gt;=200), "VIP",  IF(AND(I908&lt;=60, D908&gt;=5, E908&gt;=100), "Loyal", IF(AND(I908&lt;=90, D908&gt;=3), "Regular", IF(I908&lt;=30, "Recent", IF(D908&gt;=3, "Occasional", "At Risk")))))</f>
        <v>At Risk</v>
      </c>
      <c r="K908" t="str">
        <f t="array" ref="K908">IF(OR(J908="VIP", J908="Loyal"), "HIGH",IF(OR(J908="Regular", J908="Recent"), "MEDIUM","LOW"))</f>
        <v>LOW</v>
      </c>
    </row>
    <row r="909" spans="1:11">
      <c r="A909" t="s">
        <v>922</v>
      </c>
      <c r="B909" s="14">
        <f>_xlfn.MINIFS('working sheet'!$B$2:$B$3548, 'working sheet'!$D$2:$D$3548, A909)</f>
        <v>45612.448511342591</v>
      </c>
      <c r="C909" s="17">
        <f>_xlfn.MAXIFS('working sheet'!$B$1:$B$3548,'working sheet'!$D$1:$D$3548,'Customer Portfolio'!A909)</f>
        <v>45612.448511342591</v>
      </c>
      <c r="D909">
        <f>COUNTIFS('working sheet'!$D$1:$D$3548,'Customer Portfolio'!A909)</f>
        <v>1</v>
      </c>
      <c r="E909" s="5">
        <f>SUMIFS('working sheet'!$E$2:$E$3548,'working sheet'!$D$2:$D$3548,'Customer Portfolio'!A909)</f>
        <v>25.96</v>
      </c>
      <c r="F909" s="6">
        <f t="shared" si="28"/>
        <v>25.96</v>
      </c>
      <c r="G909" t="str">
        <f t="array" ref="G909">IFERROR(INDEX('working sheet'!$F$2:$F$3548, MODE(IF('working sheet'!$D$2:$D$3548=A909, MATCH('working sheet'!$F$2:$F$3548, 'working sheet'!$F$2:$F$3548, 0)))),
         INDEX('working sheet'!$F$2:$F$3548, MATCH(A909, 'working sheet'!$D$2:$D$3548, 0)))</f>
        <v>Cortado</v>
      </c>
      <c r="H909" s="7">
        <f t="shared" si="29"/>
        <v>1</v>
      </c>
      <c r="I909" s="7">
        <f>MAX('working sheet'!$B$2:$B$3548)-C909</f>
        <v>127.30957471064903</v>
      </c>
      <c r="J909" s="4" t="str">
        <f t="array" ref="J909">IF(AND(I909&lt;=30, D909&gt;=10, E909&gt;=200), "VIP",  IF(AND(I909&lt;=60, D909&gt;=5, E909&gt;=100), "Loyal", IF(AND(I909&lt;=90, D909&gt;=3), "Regular", IF(I909&lt;=30, "Recent", IF(D909&gt;=3, "Occasional", "At Risk")))))</f>
        <v>At Risk</v>
      </c>
      <c r="K909" t="str">
        <f t="array" ref="K909">IF(OR(J909="VIP", J909="Loyal"), "HIGH",IF(OR(J909="Regular", J909="Recent"), "MEDIUM","LOW"))</f>
        <v>LOW</v>
      </c>
    </row>
    <row r="910" spans="1:11">
      <c r="A910" t="s">
        <v>923</v>
      </c>
      <c r="B910" s="14">
        <f>_xlfn.MINIFS('working sheet'!$B$2:$B$3548, 'working sheet'!$D$2:$D$3548, A910)</f>
        <v>45612.459730856484</v>
      </c>
      <c r="C910" s="17">
        <f>_xlfn.MAXIFS('working sheet'!$B$1:$B$3548,'working sheet'!$D$1:$D$3548,'Customer Portfolio'!A910)</f>
        <v>45612.459730856484</v>
      </c>
      <c r="D910">
        <f>COUNTIFS('working sheet'!$D$1:$D$3548,'Customer Portfolio'!A910)</f>
        <v>1</v>
      </c>
      <c r="E910" s="5">
        <f>SUMIFS('working sheet'!$E$2:$E$3548,'working sheet'!$D$2:$D$3548,'Customer Portfolio'!A910)</f>
        <v>35.76</v>
      </c>
      <c r="F910" s="6">
        <f t="shared" si="28"/>
        <v>35.76</v>
      </c>
      <c r="G910" t="str">
        <f t="array" ref="G910">IFERROR(INDEX('working sheet'!$F$2:$F$3548, MODE(IF('working sheet'!$D$2:$D$3548=A910, MATCH('working sheet'!$F$2:$F$3548, 'working sheet'!$F$2:$F$3548, 0)))),
         INDEX('working sheet'!$F$2:$F$3548, MATCH(A910, 'working sheet'!$D$2:$D$3548, 0)))</f>
        <v>Hot Chocolate</v>
      </c>
      <c r="H910" s="7">
        <f t="shared" si="29"/>
        <v>1</v>
      </c>
      <c r="I910" s="7">
        <f>MAX('working sheet'!$B$2:$B$3548)-C910</f>
        <v>127.29835519675544</v>
      </c>
      <c r="J910" s="4" t="str">
        <f t="array" ref="J910">IF(AND(I910&lt;=30, D910&gt;=10, E910&gt;=200), "VIP",  IF(AND(I910&lt;=60, D910&gt;=5, E910&gt;=100), "Loyal", IF(AND(I910&lt;=90, D910&gt;=3), "Regular", IF(I910&lt;=30, "Recent", IF(D910&gt;=3, "Occasional", "At Risk")))))</f>
        <v>At Risk</v>
      </c>
      <c r="K910" t="str">
        <f t="array" ref="K910">IF(OR(J910="VIP", J910="Loyal"), "HIGH",IF(OR(J910="Regular", J910="Recent"), "MEDIUM","LOW"))</f>
        <v>LOW</v>
      </c>
    </row>
    <row r="911" spans="1:11">
      <c r="A911" t="s">
        <v>924</v>
      </c>
      <c r="B911" s="14">
        <f>_xlfn.MINIFS('working sheet'!$B$2:$B$3548, 'working sheet'!$D$2:$D$3548, A911)</f>
        <v>45612.4604927662</v>
      </c>
      <c r="C911" s="17">
        <f>_xlfn.MAXIFS('working sheet'!$B$1:$B$3548,'working sheet'!$D$1:$D$3548,'Customer Portfolio'!A911)</f>
        <v>45612.4604927662</v>
      </c>
      <c r="D911">
        <f>COUNTIFS('working sheet'!$D$1:$D$3548,'Customer Portfolio'!A911)</f>
        <v>1</v>
      </c>
      <c r="E911" s="5">
        <f>SUMIFS('working sheet'!$E$2:$E$3548,'working sheet'!$D$2:$D$3548,'Customer Portfolio'!A911)</f>
        <v>35.76</v>
      </c>
      <c r="F911" s="6">
        <f t="shared" si="28"/>
        <v>35.76</v>
      </c>
      <c r="G911" t="str">
        <f t="array" ref="G911">IFERROR(INDEX('working sheet'!$F$2:$F$3548, MODE(IF('working sheet'!$D$2:$D$3548=A911, MATCH('working sheet'!$F$2:$F$3548, 'working sheet'!$F$2:$F$3548, 0)))),
         INDEX('working sheet'!$F$2:$F$3548, MATCH(A911, 'working sheet'!$D$2:$D$3548, 0)))</f>
        <v>Latte</v>
      </c>
      <c r="H911" s="7">
        <f t="shared" si="29"/>
        <v>1</v>
      </c>
      <c r="I911" s="7">
        <f>MAX('working sheet'!$B$2:$B$3548)-C911</f>
        <v>127.29759328703949</v>
      </c>
      <c r="J911" s="4" t="str">
        <f t="array" ref="J911">IF(AND(I911&lt;=30, D911&gt;=10, E911&gt;=200), "VIP",  IF(AND(I911&lt;=60, D911&gt;=5, E911&gt;=100), "Loyal", IF(AND(I911&lt;=90, D911&gt;=3), "Regular", IF(I911&lt;=30, "Recent", IF(D911&gt;=3, "Occasional", "At Risk")))))</f>
        <v>At Risk</v>
      </c>
      <c r="K911" t="str">
        <f t="array" ref="K911">IF(OR(J911="VIP", J911="Loyal"), "HIGH",IF(OR(J911="Regular", J911="Recent"), "MEDIUM","LOW"))</f>
        <v>LOW</v>
      </c>
    </row>
    <row r="912" spans="1:11">
      <c r="A912" t="s">
        <v>925</v>
      </c>
      <c r="B912" s="14">
        <f>_xlfn.MINIFS('working sheet'!$B$2:$B$3548, 'working sheet'!$D$2:$D$3548, A912)</f>
        <v>45612.521006759256</v>
      </c>
      <c r="C912" s="17">
        <f>_xlfn.MAXIFS('working sheet'!$B$1:$B$3548,'working sheet'!$D$1:$D$3548,'Customer Portfolio'!A912)</f>
        <v>45612.521006759256</v>
      </c>
      <c r="D912">
        <f>COUNTIFS('working sheet'!$D$1:$D$3548,'Customer Portfolio'!A912)</f>
        <v>1</v>
      </c>
      <c r="E912" s="5">
        <f>SUMIFS('working sheet'!$E$2:$E$3548,'working sheet'!$D$2:$D$3548,'Customer Portfolio'!A912)</f>
        <v>35.76</v>
      </c>
      <c r="F912" s="6">
        <f t="shared" si="28"/>
        <v>35.76</v>
      </c>
      <c r="G912" t="str">
        <f t="array" ref="G912">IFERROR(INDEX('working sheet'!$F$2:$F$3548, MODE(IF('working sheet'!$D$2:$D$3548=A912, MATCH('working sheet'!$F$2:$F$3548, 'working sheet'!$F$2:$F$3548, 0)))),
         INDEX('working sheet'!$F$2:$F$3548, MATCH(A912, 'working sheet'!$D$2:$D$3548, 0)))</f>
        <v>Cappuccino</v>
      </c>
      <c r="H912" s="7">
        <f t="shared" si="29"/>
        <v>1</v>
      </c>
      <c r="I912" s="7">
        <f>MAX('working sheet'!$B$2:$B$3548)-C912</f>
        <v>127.2370792939837</v>
      </c>
      <c r="J912" s="4" t="str">
        <f t="array" ref="J912">IF(AND(I912&lt;=30, D912&gt;=10, E912&gt;=200), "VIP",  IF(AND(I912&lt;=60, D912&gt;=5, E912&gt;=100), "Loyal", IF(AND(I912&lt;=90, D912&gt;=3), "Regular", IF(I912&lt;=30, "Recent", IF(D912&gt;=3, "Occasional", "At Risk")))))</f>
        <v>At Risk</v>
      </c>
      <c r="K912" t="str">
        <f t="array" ref="K912">IF(OR(J912="VIP", J912="Loyal"), "HIGH",IF(OR(J912="Regular", J912="Recent"), "MEDIUM","LOW"))</f>
        <v>LOW</v>
      </c>
    </row>
    <row r="913" spans="1:11">
      <c r="A913" t="s">
        <v>926</v>
      </c>
      <c r="B913" s="14">
        <f>_xlfn.MINIFS('working sheet'!$B$2:$B$3548, 'working sheet'!$D$2:$D$3548, A913)</f>
        <v>45612.522112916668</v>
      </c>
      <c r="C913" s="17">
        <f>_xlfn.MAXIFS('working sheet'!$B$1:$B$3548,'working sheet'!$D$1:$D$3548,'Customer Portfolio'!A913)</f>
        <v>45612.522112916668</v>
      </c>
      <c r="D913">
        <f>COUNTIFS('working sheet'!$D$1:$D$3548,'Customer Portfolio'!A913)</f>
        <v>1</v>
      </c>
      <c r="E913" s="5">
        <f>SUMIFS('working sheet'!$E$2:$E$3548,'working sheet'!$D$2:$D$3548,'Customer Portfolio'!A913)</f>
        <v>30.86</v>
      </c>
      <c r="F913" s="6">
        <f t="shared" si="28"/>
        <v>30.86</v>
      </c>
      <c r="G913" t="str">
        <f t="array" ref="G913">IFERROR(INDEX('working sheet'!$F$2:$F$3548, MODE(IF('working sheet'!$D$2:$D$3548=A913, MATCH('working sheet'!$F$2:$F$3548, 'working sheet'!$F$2:$F$3548, 0)))),
         INDEX('working sheet'!$F$2:$F$3548, MATCH(A913, 'working sheet'!$D$2:$D$3548, 0)))</f>
        <v>Americano with Milk</v>
      </c>
      <c r="H913" s="7">
        <f t="shared" si="29"/>
        <v>1</v>
      </c>
      <c r="I913" s="7">
        <f>MAX('working sheet'!$B$2:$B$3548)-C913</f>
        <v>127.23597313657228</v>
      </c>
      <c r="J913" s="4" t="str">
        <f t="array" ref="J913">IF(AND(I913&lt;=30, D913&gt;=10, E913&gt;=200), "VIP",  IF(AND(I913&lt;=60, D913&gt;=5, E913&gt;=100), "Loyal", IF(AND(I913&lt;=90, D913&gt;=3), "Regular", IF(I913&lt;=30, "Recent", IF(D913&gt;=3, "Occasional", "At Risk")))))</f>
        <v>At Risk</v>
      </c>
      <c r="K913" t="str">
        <f t="array" ref="K913">IF(OR(J913="VIP", J913="Loyal"), "HIGH",IF(OR(J913="Regular", J913="Recent"), "MEDIUM","LOW"))</f>
        <v>LOW</v>
      </c>
    </row>
    <row r="914" spans="1:11">
      <c r="A914" t="s">
        <v>927</v>
      </c>
      <c r="B914" s="14">
        <f>_xlfn.MINIFS('working sheet'!$B$2:$B$3548, 'working sheet'!$D$2:$D$3548, A914)</f>
        <v>45612.533748217589</v>
      </c>
      <c r="C914" s="17">
        <f>_xlfn.MAXIFS('working sheet'!$B$1:$B$3548,'working sheet'!$D$1:$D$3548,'Customer Portfolio'!A914)</f>
        <v>45612.534434340276</v>
      </c>
      <c r="D914">
        <f>COUNTIFS('working sheet'!$D$1:$D$3548,'Customer Portfolio'!A914)</f>
        <v>2</v>
      </c>
      <c r="E914" s="5">
        <f>SUMIFS('working sheet'!$E$2:$E$3548,'working sheet'!$D$2:$D$3548,'Customer Portfolio'!A914)</f>
        <v>71.52</v>
      </c>
      <c r="F914" s="6">
        <f t="shared" si="28"/>
        <v>35.76</v>
      </c>
      <c r="G914" t="str">
        <f t="array" ref="G914">IFERROR(INDEX('working sheet'!$F$2:$F$3548, MODE(IF('working sheet'!$D$2:$D$3548=A914, MATCH('working sheet'!$F$2:$F$3548, 'working sheet'!$F$2:$F$3548, 0)))),
         INDEX('working sheet'!$F$2:$F$3548, MATCH(A914, 'working sheet'!$D$2:$D$3548, 0)))</f>
        <v>Latte</v>
      </c>
      <c r="H914" s="7">
        <f t="shared" si="29"/>
        <v>1.0006861226866022</v>
      </c>
      <c r="I914" s="7">
        <f>MAX('working sheet'!$B$2:$B$3548)-C914</f>
        <v>127.22365171296406</v>
      </c>
      <c r="J914" s="4" t="str">
        <f t="array" ref="J914">IF(AND(I914&lt;=30, D914&gt;=10, E914&gt;=200), "VIP",  IF(AND(I914&lt;=60, D914&gt;=5, E914&gt;=100), "Loyal", IF(AND(I914&lt;=90, D914&gt;=3), "Regular", IF(I914&lt;=30, "Recent", IF(D914&gt;=3, "Occasional", "At Risk")))))</f>
        <v>At Risk</v>
      </c>
      <c r="K914" t="str">
        <f t="array" ref="K914">IF(OR(J914="VIP", J914="Loyal"), "HIGH",IF(OR(J914="Regular", J914="Recent"), "MEDIUM","LOW"))</f>
        <v>LOW</v>
      </c>
    </row>
    <row r="915" spans="1:11">
      <c r="A915" t="s">
        <v>928</v>
      </c>
      <c r="B915" s="14">
        <f>_xlfn.MINIFS('working sheet'!$B$2:$B$3548, 'working sheet'!$D$2:$D$3548, A915)</f>
        <v>45612.554172175929</v>
      </c>
      <c r="C915" s="17">
        <f>_xlfn.MAXIFS('working sheet'!$B$1:$B$3548,'working sheet'!$D$1:$D$3548,'Customer Portfolio'!A915)</f>
        <v>45612.554965601848</v>
      </c>
      <c r="D915">
        <f>COUNTIFS('working sheet'!$D$1:$D$3548,'Customer Portfolio'!A915)</f>
        <v>2</v>
      </c>
      <c r="E915" s="5">
        <f>SUMIFS('working sheet'!$E$2:$E$3548,'working sheet'!$D$2:$D$3548,'Customer Portfolio'!A915)</f>
        <v>71.52</v>
      </c>
      <c r="F915" s="6">
        <f t="shared" si="28"/>
        <v>35.76</v>
      </c>
      <c r="G915" t="str">
        <f t="array" ref="G915">IFERROR(INDEX('working sheet'!$F$2:$F$3548, MODE(IF('working sheet'!$D$2:$D$3548=A915, MATCH('working sheet'!$F$2:$F$3548, 'working sheet'!$F$2:$F$3548, 0)))),
         INDEX('working sheet'!$F$2:$F$3548, MATCH(A915, 'working sheet'!$D$2:$D$3548, 0)))</f>
        <v>Latte</v>
      </c>
      <c r="H915" s="7">
        <f t="shared" si="29"/>
        <v>1.0007934259192552</v>
      </c>
      <c r="I915" s="7">
        <f>MAX('working sheet'!$B$2:$B$3548)-C915</f>
        <v>127.20312045139144</v>
      </c>
      <c r="J915" s="4" t="str">
        <f t="array" ref="J915">IF(AND(I915&lt;=30, D915&gt;=10, E915&gt;=200), "VIP",  IF(AND(I915&lt;=60, D915&gt;=5, E915&gt;=100), "Loyal", IF(AND(I915&lt;=90, D915&gt;=3), "Regular", IF(I915&lt;=30, "Recent", IF(D915&gt;=3, "Occasional", "At Risk")))))</f>
        <v>At Risk</v>
      </c>
      <c r="K915" t="str">
        <f t="array" ref="K915">IF(OR(J915="VIP", J915="Loyal"), "HIGH",IF(OR(J915="Regular", J915="Recent"), "MEDIUM","LOW"))</f>
        <v>LOW</v>
      </c>
    </row>
    <row r="916" spans="1:11">
      <c r="A916" t="s">
        <v>929</v>
      </c>
      <c r="B916" s="14">
        <f>_xlfn.MINIFS('working sheet'!$B$2:$B$3548, 'working sheet'!$D$2:$D$3548, A916)</f>
        <v>45612.601242916666</v>
      </c>
      <c r="C916" s="17">
        <f>_xlfn.MAXIFS('working sheet'!$B$1:$B$3548,'working sheet'!$D$1:$D$3548,'Customer Portfolio'!A916)</f>
        <v>45612.601242916666</v>
      </c>
      <c r="D916">
        <f>COUNTIFS('working sheet'!$D$1:$D$3548,'Customer Portfolio'!A916)</f>
        <v>1</v>
      </c>
      <c r="E916" s="5">
        <f>SUMIFS('working sheet'!$E$2:$E$3548,'working sheet'!$D$2:$D$3548,'Customer Portfolio'!A916)</f>
        <v>30.86</v>
      </c>
      <c r="F916" s="6">
        <f t="shared" si="28"/>
        <v>30.86</v>
      </c>
      <c r="G916" t="str">
        <f t="array" ref="G916">IFERROR(INDEX('working sheet'!$F$2:$F$3548, MODE(IF('working sheet'!$D$2:$D$3548=A916, MATCH('working sheet'!$F$2:$F$3548, 'working sheet'!$F$2:$F$3548, 0)))),
         INDEX('working sheet'!$F$2:$F$3548, MATCH(A916, 'working sheet'!$D$2:$D$3548, 0)))</f>
        <v>Americano with Milk</v>
      </c>
      <c r="H916" s="7">
        <f t="shared" si="29"/>
        <v>1</v>
      </c>
      <c r="I916" s="7">
        <f>MAX('working sheet'!$B$2:$B$3548)-C916</f>
        <v>127.15684313657403</v>
      </c>
      <c r="J916" s="4" t="str">
        <f t="array" ref="J916">IF(AND(I916&lt;=30, D916&gt;=10, E916&gt;=200), "VIP",  IF(AND(I916&lt;=60, D916&gt;=5, E916&gt;=100), "Loyal", IF(AND(I916&lt;=90, D916&gt;=3), "Regular", IF(I916&lt;=30, "Recent", IF(D916&gt;=3, "Occasional", "At Risk")))))</f>
        <v>At Risk</v>
      </c>
      <c r="K916" t="str">
        <f t="array" ref="K916">IF(OR(J916="VIP", J916="Loyal"), "HIGH",IF(OR(J916="Regular", J916="Recent"), "MEDIUM","LOW"))</f>
        <v>LOW</v>
      </c>
    </row>
    <row r="917" spans="1:11">
      <c r="A917" t="s">
        <v>930</v>
      </c>
      <c r="B917" s="14">
        <f>_xlfn.MINIFS('working sheet'!$B$2:$B$3548, 'working sheet'!$D$2:$D$3548, A917)</f>
        <v>45613.437233599536</v>
      </c>
      <c r="C917" s="17">
        <f>_xlfn.MAXIFS('working sheet'!$B$1:$B$3548,'working sheet'!$D$1:$D$3548,'Customer Portfolio'!A917)</f>
        <v>45613.437233599536</v>
      </c>
      <c r="D917">
        <f>COUNTIFS('working sheet'!$D$1:$D$3548,'Customer Portfolio'!A917)</f>
        <v>1</v>
      </c>
      <c r="E917" s="5">
        <f>SUMIFS('working sheet'!$E$2:$E$3548,'working sheet'!$D$2:$D$3548,'Customer Portfolio'!A917)</f>
        <v>30.86</v>
      </c>
      <c r="F917" s="6">
        <f t="shared" si="28"/>
        <v>30.86</v>
      </c>
      <c r="G917" t="str">
        <f t="array" ref="G917">IFERROR(INDEX('working sheet'!$F$2:$F$3548, MODE(IF('working sheet'!$D$2:$D$3548=A917, MATCH('working sheet'!$F$2:$F$3548, 'working sheet'!$F$2:$F$3548, 0)))),
         INDEX('working sheet'!$F$2:$F$3548, MATCH(A917, 'working sheet'!$D$2:$D$3548, 0)))</f>
        <v>Americano with Milk</v>
      </c>
      <c r="H917" s="7">
        <f t="shared" si="29"/>
        <v>1</v>
      </c>
      <c r="I917" s="7">
        <f>MAX('working sheet'!$B$2:$B$3548)-C917</f>
        <v>126.32085245370399</v>
      </c>
      <c r="J917" s="4" t="str">
        <f t="array" ref="J917">IF(AND(I917&lt;=30, D917&gt;=10, E917&gt;=200), "VIP",  IF(AND(I917&lt;=60, D917&gt;=5, E917&gt;=100), "Loyal", IF(AND(I917&lt;=90, D917&gt;=3), "Regular", IF(I917&lt;=30, "Recent", IF(D917&gt;=3, "Occasional", "At Risk")))))</f>
        <v>At Risk</v>
      </c>
      <c r="K917" t="str">
        <f t="array" ref="K917">IF(OR(J917="VIP", J917="Loyal"), "HIGH",IF(OR(J917="Regular", J917="Recent"), "MEDIUM","LOW"))</f>
        <v>LOW</v>
      </c>
    </row>
    <row r="918" spans="1:11">
      <c r="A918" t="s">
        <v>931</v>
      </c>
      <c r="B918" s="14">
        <f>_xlfn.MINIFS('working sheet'!$B$2:$B$3548, 'working sheet'!$D$2:$D$3548, A918)</f>
        <v>45613.566200173613</v>
      </c>
      <c r="C918" s="17">
        <f>_xlfn.MAXIFS('working sheet'!$B$1:$B$3548,'working sheet'!$D$1:$D$3548,'Customer Portfolio'!A918)</f>
        <v>45613.566200173613</v>
      </c>
      <c r="D918">
        <f>COUNTIFS('working sheet'!$D$1:$D$3548,'Customer Portfolio'!A918)</f>
        <v>1</v>
      </c>
      <c r="E918" s="5">
        <f>SUMIFS('working sheet'!$E$2:$E$3548,'working sheet'!$D$2:$D$3548,'Customer Portfolio'!A918)</f>
        <v>30.86</v>
      </c>
      <c r="F918" s="6">
        <f t="shared" si="28"/>
        <v>30.86</v>
      </c>
      <c r="G918" t="str">
        <f t="array" ref="G918">IFERROR(INDEX('working sheet'!$F$2:$F$3548, MODE(IF('working sheet'!$D$2:$D$3548=A918, MATCH('working sheet'!$F$2:$F$3548, 'working sheet'!$F$2:$F$3548, 0)))),
         INDEX('working sheet'!$F$2:$F$3548, MATCH(A918, 'working sheet'!$D$2:$D$3548, 0)))</f>
        <v>Americano with Milk</v>
      </c>
      <c r="H918" s="7">
        <f t="shared" si="29"/>
        <v>1</v>
      </c>
      <c r="I918" s="7">
        <f>MAX('working sheet'!$B$2:$B$3548)-C918</f>
        <v>126.19188587962708</v>
      </c>
      <c r="J918" s="4" t="str">
        <f t="array" ref="J918">IF(AND(I918&lt;=30, D918&gt;=10, E918&gt;=200), "VIP",  IF(AND(I918&lt;=60, D918&gt;=5, E918&gt;=100), "Loyal", IF(AND(I918&lt;=90, D918&gt;=3), "Regular", IF(I918&lt;=30, "Recent", IF(D918&gt;=3, "Occasional", "At Risk")))))</f>
        <v>At Risk</v>
      </c>
      <c r="K918" t="str">
        <f t="array" ref="K918">IF(OR(J918="VIP", J918="Loyal"), "HIGH",IF(OR(J918="Regular", J918="Recent"), "MEDIUM","LOW"))</f>
        <v>LOW</v>
      </c>
    </row>
    <row r="919" spans="1:11">
      <c r="A919" t="s">
        <v>932</v>
      </c>
      <c r="B919" s="14">
        <f>_xlfn.MINIFS('working sheet'!$B$2:$B$3548, 'working sheet'!$D$2:$D$3548, A919)</f>
        <v>45613.596317094911</v>
      </c>
      <c r="C919" s="17">
        <f>_xlfn.MAXIFS('working sheet'!$B$1:$B$3548,'working sheet'!$D$1:$D$3548,'Customer Portfolio'!A919)</f>
        <v>45613.596317094911</v>
      </c>
      <c r="D919">
        <f>COUNTIFS('working sheet'!$D$1:$D$3548,'Customer Portfolio'!A919)</f>
        <v>1</v>
      </c>
      <c r="E919" s="5">
        <f>SUMIFS('working sheet'!$E$2:$E$3548,'working sheet'!$D$2:$D$3548,'Customer Portfolio'!A919)</f>
        <v>25.96</v>
      </c>
      <c r="F919" s="6">
        <f t="shared" si="28"/>
        <v>25.96</v>
      </c>
      <c r="G919" t="str">
        <f t="array" ref="G919">IFERROR(INDEX('working sheet'!$F$2:$F$3548, MODE(IF('working sheet'!$D$2:$D$3548=A919, MATCH('working sheet'!$F$2:$F$3548, 'working sheet'!$F$2:$F$3548, 0)))),
         INDEX('working sheet'!$F$2:$F$3548, MATCH(A919, 'working sheet'!$D$2:$D$3548, 0)))</f>
        <v>Americano</v>
      </c>
      <c r="H919" s="7">
        <f t="shared" si="29"/>
        <v>1</v>
      </c>
      <c r="I919" s="7">
        <f>MAX('working sheet'!$B$2:$B$3548)-C919</f>
        <v>126.16176895832905</v>
      </c>
      <c r="J919" s="4" t="str">
        <f t="array" ref="J919">IF(AND(I919&lt;=30, D919&gt;=10, E919&gt;=200), "VIP",  IF(AND(I919&lt;=60, D919&gt;=5, E919&gt;=100), "Loyal", IF(AND(I919&lt;=90, D919&gt;=3), "Regular", IF(I919&lt;=30, "Recent", IF(D919&gt;=3, "Occasional", "At Risk")))))</f>
        <v>At Risk</v>
      </c>
      <c r="K919" t="str">
        <f t="array" ref="K919">IF(OR(J919="VIP", J919="Loyal"), "HIGH",IF(OR(J919="Regular", J919="Recent"), "MEDIUM","LOW"))</f>
        <v>LOW</v>
      </c>
    </row>
    <row r="920" spans="1:11">
      <c r="A920" t="s">
        <v>933</v>
      </c>
      <c r="B920" s="14">
        <f>_xlfn.MINIFS('working sheet'!$B$2:$B$3548, 'working sheet'!$D$2:$D$3548, A920)</f>
        <v>45613.606715821756</v>
      </c>
      <c r="C920" s="17">
        <f>_xlfn.MAXIFS('working sheet'!$B$1:$B$3548,'working sheet'!$D$1:$D$3548,'Customer Portfolio'!A920)</f>
        <v>45613.606715821756</v>
      </c>
      <c r="D920">
        <f>COUNTIFS('working sheet'!$D$1:$D$3548,'Customer Portfolio'!A920)</f>
        <v>1</v>
      </c>
      <c r="E920" s="5">
        <f>SUMIFS('working sheet'!$E$2:$E$3548,'working sheet'!$D$2:$D$3548,'Customer Portfolio'!A920)</f>
        <v>30.86</v>
      </c>
      <c r="F920" s="6">
        <f t="shared" si="28"/>
        <v>30.86</v>
      </c>
      <c r="G920" t="str">
        <f t="array" ref="G920">IFERROR(INDEX('working sheet'!$F$2:$F$3548, MODE(IF('working sheet'!$D$2:$D$3548=A920, MATCH('working sheet'!$F$2:$F$3548, 'working sheet'!$F$2:$F$3548, 0)))),
         INDEX('working sheet'!$F$2:$F$3548, MATCH(A920, 'working sheet'!$D$2:$D$3548, 0)))</f>
        <v>Americano with Milk</v>
      </c>
      <c r="H920" s="7">
        <f t="shared" si="29"/>
        <v>1</v>
      </c>
      <c r="I920" s="7">
        <f>MAX('working sheet'!$B$2:$B$3548)-C920</f>
        <v>126.15137023148418</v>
      </c>
      <c r="J920" s="4" t="str">
        <f t="array" ref="J920">IF(AND(I920&lt;=30, D920&gt;=10, E920&gt;=200), "VIP",  IF(AND(I920&lt;=60, D920&gt;=5, E920&gt;=100), "Loyal", IF(AND(I920&lt;=90, D920&gt;=3), "Regular", IF(I920&lt;=30, "Recent", IF(D920&gt;=3, "Occasional", "At Risk")))))</f>
        <v>At Risk</v>
      </c>
      <c r="K920" t="str">
        <f t="array" ref="K920">IF(OR(J920="VIP", J920="Loyal"), "HIGH",IF(OR(J920="Regular", J920="Recent"), "MEDIUM","LOW"))</f>
        <v>LOW</v>
      </c>
    </row>
    <row r="921" spans="1:11">
      <c r="A921" t="s">
        <v>934</v>
      </c>
      <c r="B921" s="14">
        <f>_xlfn.MINIFS('working sheet'!$B$2:$B$3548, 'working sheet'!$D$2:$D$3548, A921)</f>
        <v>45613.68571972222</v>
      </c>
      <c r="C921" s="17">
        <f>_xlfn.MAXIFS('working sheet'!$B$1:$B$3548,'working sheet'!$D$1:$D$3548,'Customer Portfolio'!A921)</f>
        <v>45656.634475590276</v>
      </c>
      <c r="D921">
        <f>COUNTIFS('working sheet'!$D$1:$D$3548,'Customer Portfolio'!A921)</f>
        <v>4</v>
      </c>
      <c r="E921" s="5">
        <f>SUMIFS('working sheet'!$E$2:$E$3548,'working sheet'!$D$2:$D$3548,'Customer Portfolio'!A921)</f>
        <v>138.13999999999999</v>
      </c>
      <c r="F921" s="6">
        <f t="shared" si="28"/>
        <v>34.534999999999997</v>
      </c>
      <c r="G921" t="str">
        <f t="array" ref="G921">IFERROR(INDEX('working sheet'!$F$2:$F$3548, MODE(IF('working sheet'!$D$2:$D$3548=A921, MATCH('working sheet'!$F$2:$F$3548, 'working sheet'!$F$2:$F$3548, 0)))),
         INDEX('working sheet'!$F$2:$F$3548, MATCH(A921, 'working sheet'!$D$2:$D$3548, 0)))</f>
        <v>Latte</v>
      </c>
      <c r="H921" s="7">
        <f t="shared" si="29"/>
        <v>43.948755868055741</v>
      </c>
      <c r="I921" s="7">
        <f>MAX('working sheet'!$B$2:$B$3548)-C921</f>
        <v>83.12361046296428</v>
      </c>
      <c r="J921" s="4" t="str">
        <f t="array" ref="J921">IF(AND(I921&lt;=30, D921&gt;=10, E921&gt;=200), "VIP",  IF(AND(I921&lt;=60, D921&gt;=5, E921&gt;=100), "Loyal", IF(AND(I921&lt;=90, D921&gt;=3), "Regular", IF(I921&lt;=30, "Recent", IF(D921&gt;=3, "Occasional", "At Risk")))))</f>
        <v>Regular</v>
      </c>
      <c r="K921" t="str">
        <f t="array" ref="K921">IF(OR(J921="VIP", J921="Loyal"), "HIGH",IF(OR(J921="Regular", J921="Recent"), "MEDIUM","LOW"))</f>
        <v>MEDIUM</v>
      </c>
    </row>
    <row r="922" spans="1:11">
      <c r="A922" t="s">
        <v>935</v>
      </c>
      <c r="B922" s="14">
        <f>_xlfn.MINIFS('working sheet'!$B$2:$B$3548, 'working sheet'!$D$2:$D$3548, A922)</f>
        <v>45613.757021307872</v>
      </c>
      <c r="C922" s="17">
        <f>_xlfn.MAXIFS('working sheet'!$B$1:$B$3548,'working sheet'!$D$1:$D$3548,'Customer Portfolio'!A922)</f>
        <v>45613.757021307872</v>
      </c>
      <c r="D922">
        <f>COUNTIFS('working sheet'!$D$1:$D$3548,'Customer Portfolio'!A922)</f>
        <v>1</v>
      </c>
      <c r="E922" s="5">
        <f>SUMIFS('working sheet'!$E$2:$E$3548,'working sheet'!$D$2:$D$3548,'Customer Portfolio'!A922)</f>
        <v>35.76</v>
      </c>
      <c r="F922" s="6">
        <f t="shared" si="28"/>
        <v>35.76</v>
      </c>
      <c r="G922" t="str">
        <f t="array" ref="G922">IFERROR(INDEX('working sheet'!$F$2:$F$3548, MODE(IF('working sheet'!$D$2:$D$3548=A922, MATCH('working sheet'!$F$2:$F$3548, 'working sheet'!$F$2:$F$3548, 0)))),
         INDEX('working sheet'!$F$2:$F$3548, MATCH(A922, 'working sheet'!$D$2:$D$3548, 0)))</f>
        <v>Hot Chocolate</v>
      </c>
      <c r="H922" s="7">
        <f t="shared" si="29"/>
        <v>1</v>
      </c>
      <c r="I922" s="7">
        <f>MAX('working sheet'!$B$2:$B$3548)-C922</f>
        <v>126.00106474536733</v>
      </c>
      <c r="J922" s="4" t="str">
        <f t="array" ref="J922">IF(AND(I922&lt;=30, D922&gt;=10, E922&gt;=200), "VIP",  IF(AND(I922&lt;=60, D922&gt;=5, E922&gt;=100), "Loyal", IF(AND(I922&lt;=90, D922&gt;=3), "Regular", IF(I922&lt;=30, "Recent", IF(D922&gt;=3, "Occasional", "At Risk")))))</f>
        <v>At Risk</v>
      </c>
      <c r="K922" t="str">
        <f t="array" ref="K922">IF(OR(J922="VIP", J922="Loyal"), "HIGH",IF(OR(J922="Regular", J922="Recent"), "MEDIUM","LOW"))</f>
        <v>LOW</v>
      </c>
    </row>
    <row r="923" spans="1:11">
      <c r="A923" t="s">
        <v>936</v>
      </c>
      <c r="B923" s="14">
        <f>_xlfn.MINIFS('working sheet'!$B$2:$B$3548, 'working sheet'!$D$2:$D$3548, A923)</f>
        <v>45613.803869085648</v>
      </c>
      <c r="C923" s="17">
        <f>_xlfn.MAXIFS('working sheet'!$B$1:$B$3548,'working sheet'!$D$1:$D$3548,'Customer Portfolio'!A923)</f>
        <v>45638.827057106479</v>
      </c>
      <c r="D923">
        <f>COUNTIFS('working sheet'!$D$1:$D$3548,'Customer Portfolio'!A923)</f>
        <v>4</v>
      </c>
      <c r="E923" s="5">
        <f>SUMIFS('working sheet'!$E$2:$E$3548,'working sheet'!$D$2:$D$3548,'Customer Portfolio'!A923)</f>
        <v>143.04</v>
      </c>
      <c r="F923" s="6">
        <f t="shared" si="28"/>
        <v>35.76</v>
      </c>
      <c r="G923" t="str">
        <f t="array" ref="G923">IFERROR(INDEX('working sheet'!$F$2:$F$3548, MODE(IF('working sheet'!$D$2:$D$3548=A923, MATCH('working sheet'!$F$2:$F$3548, 'working sheet'!$F$2:$F$3548, 0)))),
         INDEX('working sheet'!$F$2:$F$3548, MATCH(A923, 'working sheet'!$D$2:$D$3548, 0)))</f>
        <v>Hot Chocolate</v>
      </c>
      <c r="H923" s="7">
        <f t="shared" si="29"/>
        <v>26.023188020830275</v>
      </c>
      <c r="I923" s="7">
        <f>MAX('working sheet'!$B$2:$B$3548)-C923</f>
        <v>100.93102894676122</v>
      </c>
      <c r="J923" s="4" t="str">
        <f t="array" ref="J923">IF(AND(I923&lt;=30, D923&gt;=10, E923&gt;=200), "VIP",  IF(AND(I923&lt;=60, D923&gt;=5, E923&gt;=100), "Loyal", IF(AND(I923&lt;=90, D923&gt;=3), "Regular", IF(I923&lt;=30, "Recent", IF(D923&gt;=3, "Occasional", "At Risk")))))</f>
        <v>Occasional</v>
      </c>
      <c r="K923" t="str">
        <f t="array" ref="K923">IF(OR(J923="VIP", J923="Loyal"), "HIGH",IF(OR(J923="Regular", J923="Recent"), "MEDIUM","LOW"))</f>
        <v>LOW</v>
      </c>
    </row>
    <row r="924" spans="1:11">
      <c r="A924" t="s">
        <v>937</v>
      </c>
      <c r="B924" s="14">
        <f>_xlfn.MINIFS('working sheet'!$B$2:$B$3548, 'working sheet'!$D$2:$D$3548, A924)</f>
        <v>45614.32866146991</v>
      </c>
      <c r="C924" s="17">
        <f>_xlfn.MAXIFS('working sheet'!$B$1:$B$3548,'working sheet'!$D$1:$D$3548,'Customer Portfolio'!A924)</f>
        <v>45615.327933032408</v>
      </c>
      <c r="D924">
        <f>COUNTIFS('working sheet'!$D$1:$D$3548,'Customer Portfolio'!A924)</f>
        <v>3</v>
      </c>
      <c r="E924" s="5">
        <f>SUMIFS('working sheet'!$E$2:$E$3548,'working sheet'!$D$2:$D$3548,'Customer Portfolio'!A924)</f>
        <v>97.47999999999999</v>
      </c>
      <c r="F924" s="6">
        <f t="shared" si="28"/>
        <v>32.493333333333332</v>
      </c>
      <c r="G924" t="str">
        <f t="array" ref="G924">IFERROR(INDEX('working sheet'!$F$2:$F$3548, MODE(IF('working sheet'!$D$2:$D$3548=A924, MATCH('working sheet'!$F$2:$F$3548, 'working sheet'!$F$2:$F$3548, 0)))),
         INDEX('working sheet'!$F$2:$F$3548, MATCH(A924, 'working sheet'!$D$2:$D$3548, 0)))</f>
        <v>Americano with Milk</v>
      </c>
      <c r="H924" s="7">
        <f t="shared" si="29"/>
        <v>1.9992715624975972</v>
      </c>
      <c r="I924" s="7">
        <f>MAX('working sheet'!$B$2:$B$3548)-C924</f>
        <v>124.43015302083222</v>
      </c>
      <c r="J924" s="4" t="str">
        <f t="array" ref="J924">IF(AND(I924&lt;=30, D924&gt;=10, E924&gt;=200), "VIP",  IF(AND(I924&lt;=60, D924&gt;=5, E924&gt;=100), "Loyal", IF(AND(I924&lt;=90, D924&gt;=3), "Regular", IF(I924&lt;=30, "Recent", IF(D924&gt;=3, "Occasional", "At Risk")))))</f>
        <v>Occasional</v>
      </c>
      <c r="K924" t="str">
        <f t="array" ref="K924">IF(OR(J924="VIP", J924="Loyal"), "HIGH",IF(OR(J924="Regular", J924="Recent"), "MEDIUM","LOW"))</f>
        <v>LOW</v>
      </c>
    </row>
    <row r="925" spans="1:11">
      <c r="A925" t="s">
        <v>938</v>
      </c>
      <c r="B925" s="14">
        <f>_xlfn.MINIFS('working sheet'!$B$2:$B$3548, 'working sheet'!$D$2:$D$3548, A925)</f>
        <v>45614.697790208331</v>
      </c>
      <c r="C925" s="17">
        <f>_xlfn.MAXIFS('working sheet'!$B$1:$B$3548,'working sheet'!$D$1:$D$3548,'Customer Portfolio'!A925)</f>
        <v>45614.697790208331</v>
      </c>
      <c r="D925">
        <f>COUNTIFS('working sheet'!$D$1:$D$3548,'Customer Portfolio'!A925)</f>
        <v>1</v>
      </c>
      <c r="E925" s="5">
        <f>SUMIFS('working sheet'!$E$2:$E$3548,'working sheet'!$D$2:$D$3548,'Customer Portfolio'!A925)</f>
        <v>35.76</v>
      </c>
      <c r="F925" s="6">
        <f t="shared" si="28"/>
        <v>35.76</v>
      </c>
      <c r="G925" t="str">
        <f t="array" ref="G925">IFERROR(INDEX('working sheet'!$F$2:$F$3548, MODE(IF('working sheet'!$D$2:$D$3548=A925, MATCH('working sheet'!$F$2:$F$3548, 'working sheet'!$F$2:$F$3548, 0)))),
         INDEX('working sheet'!$F$2:$F$3548, MATCH(A925, 'working sheet'!$D$2:$D$3548, 0)))</f>
        <v>Latte</v>
      </c>
      <c r="H925" s="7">
        <f t="shared" si="29"/>
        <v>1</v>
      </c>
      <c r="I925" s="7">
        <f>MAX('working sheet'!$B$2:$B$3548)-C925</f>
        <v>125.06029584490898</v>
      </c>
      <c r="J925" s="4" t="str">
        <f t="array" ref="J925">IF(AND(I925&lt;=30, D925&gt;=10, E925&gt;=200), "VIP",  IF(AND(I925&lt;=60, D925&gt;=5, E925&gt;=100), "Loyal", IF(AND(I925&lt;=90, D925&gt;=3), "Regular", IF(I925&lt;=30, "Recent", IF(D925&gt;=3, "Occasional", "At Risk")))))</f>
        <v>At Risk</v>
      </c>
      <c r="K925" t="str">
        <f t="array" ref="K925">IF(OR(J925="VIP", J925="Loyal"), "HIGH",IF(OR(J925="Regular", J925="Recent"), "MEDIUM","LOW"))</f>
        <v>LOW</v>
      </c>
    </row>
    <row r="926" spans="1:11">
      <c r="A926" t="s">
        <v>939</v>
      </c>
      <c r="B926" s="14">
        <f>_xlfn.MINIFS('working sheet'!$B$2:$B$3548, 'working sheet'!$D$2:$D$3548, A926)</f>
        <v>45614.785348807869</v>
      </c>
      <c r="C926" s="17">
        <f>_xlfn.MAXIFS('working sheet'!$B$1:$B$3548,'working sheet'!$D$1:$D$3548,'Customer Portfolio'!A926)</f>
        <v>45614.785348807869</v>
      </c>
      <c r="D926">
        <f>COUNTIFS('working sheet'!$D$1:$D$3548,'Customer Portfolio'!A926)</f>
        <v>1</v>
      </c>
      <c r="E926" s="5">
        <f>SUMIFS('working sheet'!$E$2:$E$3548,'working sheet'!$D$2:$D$3548,'Customer Portfolio'!A926)</f>
        <v>35.76</v>
      </c>
      <c r="F926" s="6">
        <f t="shared" si="28"/>
        <v>35.76</v>
      </c>
      <c r="G926" t="str">
        <f t="array" ref="G926">IFERROR(INDEX('working sheet'!$F$2:$F$3548, MODE(IF('working sheet'!$D$2:$D$3548=A926, MATCH('working sheet'!$F$2:$F$3548, 'working sheet'!$F$2:$F$3548, 0)))),
         INDEX('working sheet'!$F$2:$F$3548, MATCH(A926, 'working sheet'!$D$2:$D$3548, 0)))</f>
        <v>Latte</v>
      </c>
      <c r="H926" s="7">
        <f t="shared" si="29"/>
        <v>1</v>
      </c>
      <c r="I926" s="7">
        <f>MAX('working sheet'!$B$2:$B$3548)-C926</f>
        <v>124.97273724537081</v>
      </c>
      <c r="J926" s="4" t="str">
        <f t="array" ref="J926">IF(AND(I926&lt;=30, D926&gt;=10, E926&gt;=200), "VIP",  IF(AND(I926&lt;=60, D926&gt;=5, E926&gt;=100), "Loyal", IF(AND(I926&lt;=90, D926&gt;=3), "Regular", IF(I926&lt;=30, "Recent", IF(D926&gt;=3, "Occasional", "At Risk")))))</f>
        <v>At Risk</v>
      </c>
      <c r="K926" t="str">
        <f t="array" ref="K926">IF(OR(J926="VIP", J926="Loyal"), "HIGH",IF(OR(J926="Regular", J926="Recent"), "MEDIUM","LOW"))</f>
        <v>LOW</v>
      </c>
    </row>
    <row r="927" spans="1:11">
      <c r="A927" t="s">
        <v>940</v>
      </c>
      <c r="B927" s="14">
        <f>_xlfn.MINIFS('working sheet'!$B$2:$B$3548, 'working sheet'!$D$2:$D$3548, A927)</f>
        <v>45615.328916585648</v>
      </c>
      <c r="C927" s="17">
        <f>_xlfn.MAXIFS('working sheet'!$B$1:$B$3548,'working sheet'!$D$1:$D$3548,'Customer Portfolio'!A927)</f>
        <v>45615.328916585648</v>
      </c>
      <c r="D927">
        <f>COUNTIFS('working sheet'!$D$1:$D$3548,'Customer Portfolio'!A927)</f>
        <v>1</v>
      </c>
      <c r="E927" s="5">
        <f>SUMIFS('working sheet'!$E$2:$E$3548,'working sheet'!$D$2:$D$3548,'Customer Portfolio'!A927)</f>
        <v>21.06</v>
      </c>
      <c r="F927" s="6">
        <f t="shared" si="28"/>
        <v>21.06</v>
      </c>
      <c r="G927" t="str">
        <f t="array" ref="G927">IFERROR(INDEX('working sheet'!$F$2:$F$3548, MODE(IF('working sheet'!$D$2:$D$3548=A927, MATCH('working sheet'!$F$2:$F$3548, 'working sheet'!$F$2:$F$3548, 0)))),
         INDEX('working sheet'!$F$2:$F$3548, MATCH(A927, 'working sheet'!$D$2:$D$3548, 0)))</f>
        <v>Espresso</v>
      </c>
      <c r="H927" s="7">
        <f t="shared" si="29"/>
        <v>1</v>
      </c>
      <c r="I927" s="7">
        <f>MAX('working sheet'!$B$2:$B$3548)-C927</f>
        <v>124.42916946759215</v>
      </c>
      <c r="J927" s="4" t="str">
        <f t="array" ref="J927">IF(AND(I927&lt;=30, D927&gt;=10, E927&gt;=200), "VIP",  IF(AND(I927&lt;=60, D927&gt;=5, E927&gt;=100), "Loyal", IF(AND(I927&lt;=90, D927&gt;=3), "Regular", IF(I927&lt;=30, "Recent", IF(D927&gt;=3, "Occasional", "At Risk")))))</f>
        <v>At Risk</v>
      </c>
      <c r="K927" t="str">
        <f t="array" ref="K927">IF(OR(J927="VIP", J927="Loyal"), "HIGH",IF(OR(J927="Regular", J927="Recent"), "MEDIUM","LOW"))</f>
        <v>LOW</v>
      </c>
    </row>
    <row r="928" spans="1:11">
      <c r="A928" t="s">
        <v>941</v>
      </c>
      <c r="B928" s="14">
        <f>_xlfn.MINIFS('working sheet'!$B$2:$B$3548, 'working sheet'!$D$2:$D$3548, A928)</f>
        <v>45615.329709409722</v>
      </c>
      <c r="C928" s="17">
        <f>_xlfn.MAXIFS('working sheet'!$B$1:$B$3548,'working sheet'!$D$1:$D$3548,'Customer Portfolio'!A928)</f>
        <v>45615.329709409722</v>
      </c>
      <c r="D928">
        <f>COUNTIFS('working sheet'!$D$1:$D$3548,'Customer Portfolio'!A928)</f>
        <v>1</v>
      </c>
      <c r="E928" s="5">
        <f>SUMIFS('working sheet'!$E$2:$E$3548,'working sheet'!$D$2:$D$3548,'Customer Portfolio'!A928)</f>
        <v>35.76</v>
      </c>
      <c r="F928" s="6">
        <f t="shared" si="28"/>
        <v>35.76</v>
      </c>
      <c r="G928" t="str">
        <f t="array" ref="G928">IFERROR(INDEX('working sheet'!$F$2:$F$3548, MODE(IF('working sheet'!$D$2:$D$3548=A928, MATCH('working sheet'!$F$2:$F$3548, 'working sheet'!$F$2:$F$3548, 0)))),
         INDEX('working sheet'!$F$2:$F$3548, MATCH(A928, 'working sheet'!$D$2:$D$3548, 0)))</f>
        <v>Latte</v>
      </c>
      <c r="H928" s="7">
        <f t="shared" si="29"/>
        <v>1</v>
      </c>
      <c r="I928" s="7">
        <f>MAX('working sheet'!$B$2:$B$3548)-C928</f>
        <v>124.42837664351828</v>
      </c>
      <c r="J928" s="4" t="str">
        <f t="array" ref="J928">IF(AND(I928&lt;=30, D928&gt;=10, E928&gt;=200), "VIP",  IF(AND(I928&lt;=60, D928&gt;=5, E928&gt;=100), "Loyal", IF(AND(I928&lt;=90, D928&gt;=3), "Regular", IF(I928&lt;=30, "Recent", IF(D928&gt;=3, "Occasional", "At Risk")))))</f>
        <v>At Risk</v>
      </c>
      <c r="K928" t="str">
        <f t="array" ref="K928">IF(OR(J928="VIP", J928="Loyal"), "HIGH",IF(OR(J928="Regular", J928="Recent"), "MEDIUM","LOW"))</f>
        <v>LOW</v>
      </c>
    </row>
    <row r="929" spans="1:11">
      <c r="A929" t="s">
        <v>942</v>
      </c>
      <c r="B929" s="14">
        <f>_xlfn.MINIFS('working sheet'!$B$2:$B$3548, 'working sheet'!$D$2:$D$3548, A929)</f>
        <v>45615.463298807874</v>
      </c>
      <c r="C929" s="17">
        <f>_xlfn.MAXIFS('working sheet'!$B$1:$B$3548,'working sheet'!$D$1:$D$3548,'Customer Portfolio'!A929)</f>
        <v>45615.463298807874</v>
      </c>
      <c r="D929">
        <f>COUNTIFS('working sheet'!$D$1:$D$3548,'Customer Portfolio'!A929)</f>
        <v>1</v>
      </c>
      <c r="E929" s="5">
        <f>SUMIFS('working sheet'!$E$2:$E$3548,'working sheet'!$D$2:$D$3548,'Customer Portfolio'!A929)</f>
        <v>35.76</v>
      </c>
      <c r="F929" s="6">
        <f t="shared" si="28"/>
        <v>35.76</v>
      </c>
      <c r="G929" t="str">
        <f t="array" ref="G929">IFERROR(INDEX('working sheet'!$F$2:$F$3548, MODE(IF('working sheet'!$D$2:$D$3548=A929, MATCH('working sheet'!$F$2:$F$3548, 'working sheet'!$F$2:$F$3548, 0)))),
         INDEX('working sheet'!$F$2:$F$3548, MATCH(A929, 'working sheet'!$D$2:$D$3548, 0)))</f>
        <v>Latte</v>
      </c>
      <c r="H929" s="7">
        <f t="shared" si="29"/>
        <v>1</v>
      </c>
      <c r="I929" s="7">
        <f>MAX('working sheet'!$B$2:$B$3548)-C929</f>
        <v>124.29478724536602</v>
      </c>
      <c r="J929" s="4" t="str">
        <f t="array" ref="J929">IF(AND(I929&lt;=30, D929&gt;=10, E929&gt;=200), "VIP",  IF(AND(I929&lt;=60, D929&gt;=5, E929&gt;=100), "Loyal", IF(AND(I929&lt;=90, D929&gt;=3), "Regular", IF(I929&lt;=30, "Recent", IF(D929&gt;=3, "Occasional", "At Risk")))))</f>
        <v>At Risk</v>
      </c>
      <c r="K929" t="str">
        <f t="array" ref="K929">IF(OR(J929="VIP", J929="Loyal"), "HIGH",IF(OR(J929="Regular", J929="Recent"), "MEDIUM","LOW"))</f>
        <v>LOW</v>
      </c>
    </row>
    <row r="930" spans="1:11">
      <c r="A930" t="s">
        <v>943</v>
      </c>
      <c r="B930" s="14">
        <f>_xlfn.MINIFS('working sheet'!$B$2:$B$3548, 'working sheet'!$D$2:$D$3548, A930)</f>
        <v>45615.699782800926</v>
      </c>
      <c r="C930" s="17">
        <f>_xlfn.MAXIFS('working sheet'!$B$1:$B$3548,'working sheet'!$D$1:$D$3548,'Customer Portfolio'!A930)</f>
        <v>45615.699782800926</v>
      </c>
      <c r="D930">
        <f>COUNTIFS('working sheet'!$D$1:$D$3548,'Customer Portfolio'!A930)</f>
        <v>1</v>
      </c>
      <c r="E930" s="5">
        <f>SUMIFS('working sheet'!$E$2:$E$3548,'working sheet'!$D$2:$D$3548,'Customer Portfolio'!A930)</f>
        <v>35.76</v>
      </c>
      <c r="F930" s="6">
        <f t="shared" si="28"/>
        <v>35.76</v>
      </c>
      <c r="G930" t="str">
        <f t="array" ref="G930">IFERROR(INDEX('working sheet'!$F$2:$F$3548, MODE(IF('working sheet'!$D$2:$D$3548=A930, MATCH('working sheet'!$F$2:$F$3548, 'working sheet'!$F$2:$F$3548, 0)))),
         INDEX('working sheet'!$F$2:$F$3548, MATCH(A930, 'working sheet'!$D$2:$D$3548, 0)))</f>
        <v>Cappuccino</v>
      </c>
      <c r="H930" s="7">
        <f t="shared" si="29"/>
        <v>1</v>
      </c>
      <c r="I930" s="7">
        <f>MAX('working sheet'!$B$2:$B$3548)-C930</f>
        <v>124.05830325231364</v>
      </c>
      <c r="J930" s="4" t="str">
        <f t="array" ref="J930">IF(AND(I930&lt;=30, D930&gt;=10, E930&gt;=200), "VIP",  IF(AND(I930&lt;=60, D930&gt;=5, E930&gt;=100), "Loyal", IF(AND(I930&lt;=90, D930&gt;=3), "Regular", IF(I930&lt;=30, "Recent", IF(D930&gt;=3, "Occasional", "At Risk")))))</f>
        <v>At Risk</v>
      </c>
      <c r="K930" t="str">
        <f t="array" ref="K930">IF(OR(J930="VIP", J930="Loyal"), "HIGH",IF(OR(J930="Regular", J930="Recent"), "MEDIUM","LOW"))</f>
        <v>LOW</v>
      </c>
    </row>
    <row r="931" spans="1:11">
      <c r="A931" t="s">
        <v>944</v>
      </c>
      <c r="B931" s="14">
        <f>_xlfn.MINIFS('working sheet'!$B$2:$B$3548, 'working sheet'!$D$2:$D$3548, A931)</f>
        <v>45616.562253900462</v>
      </c>
      <c r="C931" s="17">
        <f>_xlfn.MAXIFS('working sheet'!$B$1:$B$3548,'working sheet'!$D$1:$D$3548,'Customer Portfolio'!A931)</f>
        <v>45616.562253900462</v>
      </c>
      <c r="D931">
        <f>COUNTIFS('working sheet'!$D$1:$D$3548,'Customer Portfolio'!A931)</f>
        <v>1</v>
      </c>
      <c r="E931" s="5">
        <f>SUMIFS('working sheet'!$E$2:$E$3548,'working sheet'!$D$2:$D$3548,'Customer Portfolio'!A931)</f>
        <v>30.86</v>
      </c>
      <c r="F931" s="6">
        <f t="shared" si="28"/>
        <v>30.86</v>
      </c>
      <c r="G931" t="str">
        <f t="array" ref="G931">IFERROR(INDEX('working sheet'!$F$2:$F$3548, MODE(IF('working sheet'!$D$2:$D$3548=A931, MATCH('working sheet'!$F$2:$F$3548, 'working sheet'!$F$2:$F$3548, 0)))),
         INDEX('working sheet'!$F$2:$F$3548, MATCH(A931, 'working sheet'!$D$2:$D$3548, 0)))</f>
        <v>Americano with Milk</v>
      </c>
      <c r="H931" s="7">
        <f t="shared" si="29"/>
        <v>1</v>
      </c>
      <c r="I931" s="7">
        <f>MAX('working sheet'!$B$2:$B$3548)-C931</f>
        <v>123.19583215277817</v>
      </c>
      <c r="J931" s="4" t="str">
        <f t="array" ref="J931">IF(AND(I931&lt;=30, D931&gt;=10, E931&gt;=200), "VIP",  IF(AND(I931&lt;=60, D931&gt;=5, E931&gt;=100), "Loyal", IF(AND(I931&lt;=90, D931&gt;=3), "Regular", IF(I931&lt;=30, "Recent", IF(D931&gt;=3, "Occasional", "At Risk")))))</f>
        <v>At Risk</v>
      </c>
      <c r="K931" t="str">
        <f t="array" ref="K931">IF(OR(J931="VIP", J931="Loyal"), "HIGH",IF(OR(J931="Regular", J931="Recent"), "MEDIUM","LOW"))</f>
        <v>LOW</v>
      </c>
    </row>
    <row r="932" spans="1:11">
      <c r="A932" t="s">
        <v>945</v>
      </c>
      <c r="B932" s="14">
        <f>_xlfn.MINIFS('working sheet'!$B$2:$B$3548, 'working sheet'!$D$2:$D$3548, A932)</f>
        <v>45616.742959733798</v>
      </c>
      <c r="C932" s="17">
        <f>_xlfn.MAXIFS('working sheet'!$B$1:$B$3548,'working sheet'!$D$1:$D$3548,'Customer Portfolio'!A932)</f>
        <v>45616.743631481484</v>
      </c>
      <c r="D932">
        <f>COUNTIFS('working sheet'!$D$1:$D$3548,'Customer Portfolio'!A932)</f>
        <v>2</v>
      </c>
      <c r="E932" s="5">
        <f>SUMIFS('working sheet'!$E$2:$E$3548,'working sheet'!$D$2:$D$3548,'Customer Portfolio'!A932)</f>
        <v>71.52</v>
      </c>
      <c r="F932" s="6">
        <f t="shared" si="28"/>
        <v>35.76</v>
      </c>
      <c r="G932" t="str">
        <f t="array" ref="G932">IFERROR(INDEX('working sheet'!$F$2:$F$3548, MODE(IF('working sheet'!$D$2:$D$3548=A932, MATCH('working sheet'!$F$2:$F$3548, 'working sheet'!$F$2:$F$3548, 0)))),
         INDEX('working sheet'!$F$2:$F$3548, MATCH(A932, 'working sheet'!$D$2:$D$3548, 0)))</f>
        <v>Cappuccino</v>
      </c>
      <c r="H932" s="7">
        <f t="shared" si="29"/>
        <v>1.0006717476862832</v>
      </c>
      <c r="I932" s="7">
        <f>MAX('working sheet'!$B$2:$B$3548)-C932</f>
        <v>123.01445457175578</v>
      </c>
      <c r="J932" s="4" t="str">
        <f t="array" ref="J932">IF(AND(I932&lt;=30, D932&gt;=10, E932&gt;=200), "VIP",  IF(AND(I932&lt;=60, D932&gt;=5, E932&gt;=100), "Loyal", IF(AND(I932&lt;=90, D932&gt;=3), "Regular", IF(I932&lt;=30, "Recent", IF(D932&gt;=3, "Occasional", "At Risk")))))</f>
        <v>At Risk</v>
      </c>
      <c r="K932" t="str">
        <f t="array" ref="K932">IF(OR(J932="VIP", J932="Loyal"), "HIGH",IF(OR(J932="Regular", J932="Recent"), "MEDIUM","LOW"))</f>
        <v>LOW</v>
      </c>
    </row>
    <row r="933" spans="1:11">
      <c r="A933" t="s">
        <v>946</v>
      </c>
      <c r="B933" s="14">
        <f>_xlfn.MINIFS('working sheet'!$B$2:$B$3548, 'working sheet'!$D$2:$D$3548, A933)</f>
        <v>45617.542215162037</v>
      </c>
      <c r="C933" s="17">
        <f>_xlfn.MAXIFS('working sheet'!$B$1:$B$3548,'working sheet'!$D$1:$D$3548,'Customer Portfolio'!A933)</f>
        <v>45617.542215162037</v>
      </c>
      <c r="D933">
        <f>COUNTIFS('working sheet'!$D$1:$D$3548,'Customer Portfolio'!A933)</f>
        <v>1</v>
      </c>
      <c r="E933" s="5">
        <f>SUMIFS('working sheet'!$E$2:$E$3548,'working sheet'!$D$2:$D$3548,'Customer Portfolio'!A933)</f>
        <v>35.76</v>
      </c>
      <c r="F933" s="6">
        <f t="shared" si="28"/>
        <v>35.76</v>
      </c>
      <c r="G933" t="str">
        <f t="array" ref="G933">IFERROR(INDEX('working sheet'!$F$2:$F$3548, MODE(IF('working sheet'!$D$2:$D$3548=A933, MATCH('working sheet'!$F$2:$F$3548, 'working sheet'!$F$2:$F$3548, 0)))),
         INDEX('working sheet'!$F$2:$F$3548, MATCH(A933, 'working sheet'!$D$2:$D$3548, 0)))</f>
        <v>Cocoa</v>
      </c>
      <c r="H933" s="7">
        <f t="shared" si="29"/>
        <v>1</v>
      </c>
      <c r="I933" s="7">
        <f>MAX('working sheet'!$B$2:$B$3548)-C933</f>
        <v>122.21587089120294</v>
      </c>
      <c r="J933" s="4" t="str">
        <f t="array" ref="J933">IF(AND(I933&lt;=30, D933&gt;=10, E933&gt;=200), "VIP",  IF(AND(I933&lt;=60, D933&gt;=5, E933&gt;=100), "Loyal", IF(AND(I933&lt;=90, D933&gt;=3), "Regular", IF(I933&lt;=30, "Recent", IF(D933&gt;=3, "Occasional", "At Risk")))))</f>
        <v>At Risk</v>
      </c>
      <c r="K933" t="str">
        <f t="array" ref="K933">IF(OR(J933="VIP", J933="Loyal"), "HIGH",IF(OR(J933="Regular", J933="Recent"), "MEDIUM","LOW"))</f>
        <v>LOW</v>
      </c>
    </row>
    <row r="934" spans="1:11">
      <c r="A934" t="s">
        <v>947</v>
      </c>
      <c r="B934" s="14">
        <f>_xlfn.MINIFS('working sheet'!$B$2:$B$3548, 'working sheet'!$D$2:$D$3548, A934)</f>
        <v>45617.732955451385</v>
      </c>
      <c r="C934" s="17">
        <f>_xlfn.MAXIFS('working sheet'!$B$1:$B$3548,'working sheet'!$D$1:$D$3548,'Customer Portfolio'!A934)</f>
        <v>45617.732955451385</v>
      </c>
      <c r="D934">
        <f>COUNTIFS('working sheet'!$D$1:$D$3548,'Customer Portfolio'!A934)</f>
        <v>1</v>
      </c>
      <c r="E934" s="5">
        <f>SUMIFS('working sheet'!$E$2:$E$3548,'working sheet'!$D$2:$D$3548,'Customer Portfolio'!A934)</f>
        <v>30.86</v>
      </c>
      <c r="F934" s="6">
        <f t="shared" si="28"/>
        <v>30.86</v>
      </c>
      <c r="G934" t="str">
        <f t="array" ref="G934">IFERROR(INDEX('working sheet'!$F$2:$F$3548, MODE(IF('working sheet'!$D$2:$D$3548=A934, MATCH('working sheet'!$F$2:$F$3548, 'working sheet'!$F$2:$F$3548, 0)))),
         INDEX('working sheet'!$F$2:$F$3548, MATCH(A934, 'working sheet'!$D$2:$D$3548, 0)))</f>
        <v>Americano with Milk</v>
      </c>
      <c r="H934" s="7">
        <f t="shared" si="29"/>
        <v>1</v>
      </c>
      <c r="I934" s="7">
        <f>MAX('working sheet'!$B$2:$B$3548)-C934</f>
        <v>122.02513060185447</v>
      </c>
      <c r="J934" s="4" t="str">
        <f t="array" ref="J934">IF(AND(I934&lt;=30, D934&gt;=10, E934&gt;=200), "VIP",  IF(AND(I934&lt;=60, D934&gt;=5, E934&gt;=100), "Loyal", IF(AND(I934&lt;=90, D934&gt;=3), "Regular", IF(I934&lt;=30, "Recent", IF(D934&gt;=3, "Occasional", "At Risk")))))</f>
        <v>At Risk</v>
      </c>
      <c r="K934" t="str">
        <f t="array" ref="K934">IF(OR(J934="VIP", J934="Loyal"), "HIGH",IF(OR(J934="Regular", J934="Recent"), "MEDIUM","LOW"))</f>
        <v>LOW</v>
      </c>
    </row>
    <row r="935" spans="1:11">
      <c r="A935" t="s">
        <v>948</v>
      </c>
      <c r="B935" s="14">
        <f>_xlfn.MINIFS('working sheet'!$B$2:$B$3548, 'working sheet'!$D$2:$D$3548, A935)</f>
        <v>45617.735682546299</v>
      </c>
      <c r="C935" s="17">
        <f>_xlfn.MAXIFS('working sheet'!$B$1:$B$3548,'working sheet'!$D$1:$D$3548,'Customer Portfolio'!A935)</f>
        <v>45617.735682546299</v>
      </c>
      <c r="D935">
        <f>COUNTIFS('working sheet'!$D$1:$D$3548,'Customer Portfolio'!A935)</f>
        <v>1</v>
      </c>
      <c r="E935" s="5">
        <f>SUMIFS('working sheet'!$E$2:$E$3548,'working sheet'!$D$2:$D$3548,'Customer Portfolio'!A935)</f>
        <v>25.96</v>
      </c>
      <c r="F935" s="6">
        <f t="shared" si="28"/>
        <v>25.96</v>
      </c>
      <c r="G935" t="str">
        <f t="array" ref="G935">IFERROR(INDEX('working sheet'!$F$2:$F$3548, MODE(IF('working sheet'!$D$2:$D$3548=A935, MATCH('working sheet'!$F$2:$F$3548, 'working sheet'!$F$2:$F$3548, 0)))),
         INDEX('working sheet'!$F$2:$F$3548, MATCH(A935, 'working sheet'!$D$2:$D$3548, 0)))</f>
        <v>Cortado</v>
      </c>
      <c r="H935" s="7">
        <f t="shared" si="29"/>
        <v>1</v>
      </c>
      <c r="I935" s="7">
        <f>MAX('working sheet'!$B$2:$B$3548)-C935</f>
        <v>122.02240350694046</v>
      </c>
      <c r="J935" s="4" t="str">
        <f t="array" ref="J935">IF(AND(I935&lt;=30, D935&gt;=10, E935&gt;=200), "VIP",  IF(AND(I935&lt;=60, D935&gt;=5, E935&gt;=100), "Loyal", IF(AND(I935&lt;=90, D935&gt;=3), "Regular", IF(I935&lt;=30, "Recent", IF(D935&gt;=3, "Occasional", "At Risk")))))</f>
        <v>At Risk</v>
      </c>
      <c r="K935" t="str">
        <f t="array" ref="K935">IF(OR(J935="VIP", J935="Loyal"), "HIGH",IF(OR(J935="Regular", J935="Recent"), "MEDIUM","LOW"))</f>
        <v>LOW</v>
      </c>
    </row>
    <row r="936" spans="1:11">
      <c r="A936" t="s">
        <v>949</v>
      </c>
      <c r="B936" s="14">
        <f>_xlfn.MINIFS('working sheet'!$B$2:$B$3548, 'working sheet'!$D$2:$D$3548, A936)</f>
        <v>45617.792395219905</v>
      </c>
      <c r="C936" s="17">
        <f>_xlfn.MAXIFS('working sheet'!$B$1:$B$3548,'working sheet'!$D$1:$D$3548,'Customer Portfolio'!A936)</f>
        <v>45617.792395219905</v>
      </c>
      <c r="D936">
        <f>COUNTIFS('working sheet'!$D$1:$D$3548,'Customer Portfolio'!A936)</f>
        <v>1</v>
      </c>
      <c r="E936" s="5">
        <f>SUMIFS('working sheet'!$E$2:$E$3548,'working sheet'!$D$2:$D$3548,'Customer Portfolio'!A936)</f>
        <v>35.76</v>
      </c>
      <c r="F936" s="6">
        <f t="shared" si="28"/>
        <v>35.76</v>
      </c>
      <c r="G936" t="str">
        <f t="array" ref="G936">IFERROR(INDEX('working sheet'!$F$2:$F$3548, MODE(IF('working sheet'!$D$2:$D$3548=A936, MATCH('working sheet'!$F$2:$F$3548, 'working sheet'!$F$2:$F$3548, 0)))),
         INDEX('working sheet'!$F$2:$F$3548, MATCH(A936, 'working sheet'!$D$2:$D$3548, 0)))</f>
        <v>Hot Chocolate</v>
      </c>
      <c r="H936" s="7">
        <f t="shared" si="29"/>
        <v>1</v>
      </c>
      <c r="I936" s="7">
        <f>MAX('working sheet'!$B$2:$B$3548)-C936</f>
        <v>121.96569083333452</v>
      </c>
      <c r="J936" s="4" t="str">
        <f t="array" ref="J936">IF(AND(I936&lt;=30, D936&gt;=10, E936&gt;=200), "VIP",  IF(AND(I936&lt;=60, D936&gt;=5, E936&gt;=100), "Loyal", IF(AND(I936&lt;=90, D936&gt;=3), "Regular", IF(I936&lt;=30, "Recent", IF(D936&gt;=3, "Occasional", "At Risk")))))</f>
        <v>At Risk</v>
      </c>
      <c r="K936" t="str">
        <f t="array" ref="K936">IF(OR(J936="VIP", J936="Loyal"), "HIGH",IF(OR(J936="Regular", J936="Recent"), "MEDIUM","LOW"))</f>
        <v>LOW</v>
      </c>
    </row>
    <row r="937" spans="1:11">
      <c r="A937" t="s">
        <v>950</v>
      </c>
      <c r="B937" s="14">
        <f>_xlfn.MINIFS('working sheet'!$B$2:$B$3548, 'working sheet'!$D$2:$D$3548, A937)</f>
        <v>45618.460097233794</v>
      </c>
      <c r="C937" s="17">
        <f>_xlfn.MAXIFS('working sheet'!$B$1:$B$3548,'working sheet'!$D$1:$D$3548,'Customer Portfolio'!A937)</f>
        <v>45618.460097233794</v>
      </c>
      <c r="D937">
        <f>COUNTIFS('working sheet'!$D$1:$D$3548,'Customer Portfolio'!A937)</f>
        <v>1</v>
      </c>
      <c r="E937" s="5">
        <f>SUMIFS('working sheet'!$E$2:$E$3548,'working sheet'!$D$2:$D$3548,'Customer Portfolio'!A937)</f>
        <v>35.76</v>
      </c>
      <c r="F937" s="6">
        <f t="shared" si="28"/>
        <v>35.76</v>
      </c>
      <c r="G937" t="str">
        <f t="array" ref="G937">IFERROR(INDEX('working sheet'!$F$2:$F$3548, MODE(IF('working sheet'!$D$2:$D$3548=A937, MATCH('working sheet'!$F$2:$F$3548, 'working sheet'!$F$2:$F$3548, 0)))),
         INDEX('working sheet'!$F$2:$F$3548, MATCH(A937, 'working sheet'!$D$2:$D$3548, 0)))</f>
        <v>Latte</v>
      </c>
      <c r="H937" s="7">
        <f t="shared" si="29"/>
        <v>1</v>
      </c>
      <c r="I937" s="7">
        <f>MAX('working sheet'!$B$2:$B$3548)-C937</f>
        <v>121.29798881944589</v>
      </c>
      <c r="J937" s="4" t="str">
        <f t="array" ref="J937">IF(AND(I937&lt;=30, D937&gt;=10, E937&gt;=200), "VIP",  IF(AND(I937&lt;=60, D937&gt;=5, E937&gt;=100), "Loyal", IF(AND(I937&lt;=90, D937&gt;=3), "Regular", IF(I937&lt;=30, "Recent", IF(D937&gt;=3, "Occasional", "At Risk")))))</f>
        <v>At Risk</v>
      </c>
      <c r="K937" t="str">
        <f t="array" ref="K937">IF(OR(J937="VIP", J937="Loyal"), "HIGH",IF(OR(J937="Regular", J937="Recent"), "MEDIUM","LOW"))</f>
        <v>LOW</v>
      </c>
    </row>
    <row r="938" spans="1:11">
      <c r="A938" t="s">
        <v>951</v>
      </c>
      <c r="B938" s="14">
        <f>_xlfn.MINIFS('working sheet'!$B$2:$B$3548, 'working sheet'!$D$2:$D$3548, A938)</f>
        <v>45618.475305914355</v>
      </c>
      <c r="C938" s="17">
        <f>_xlfn.MAXIFS('working sheet'!$B$1:$B$3548,'working sheet'!$D$1:$D$3548,'Customer Portfolio'!A938)</f>
        <v>45618.475305914355</v>
      </c>
      <c r="D938">
        <f>COUNTIFS('working sheet'!$D$1:$D$3548,'Customer Portfolio'!A938)</f>
        <v>1</v>
      </c>
      <c r="E938" s="5">
        <f>SUMIFS('working sheet'!$E$2:$E$3548,'working sheet'!$D$2:$D$3548,'Customer Portfolio'!A938)</f>
        <v>35.76</v>
      </c>
      <c r="F938" s="6">
        <f t="shared" si="28"/>
        <v>35.76</v>
      </c>
      <c r="G938" t="str">
        <f t="array" ref="G938">IFERROR(INDEX('working sheet'!$F$2:$F$3548, MODE(IF('working sheet'!$D$2:$D$3548=A938, MATCH('working sheet'!$F$2:$F$3548, 'working sheet'!$F$2:$F$3548, 0)))),
         INDEX('working sheet'!$F$2:$F$3548, MATCH(A938, 'working sheet'!$D$2:$D$3548, 0)))</f>
        <v>Cocoa</v>
      </c>
      <c r="H938" s="7">
        <f t="shared" si="29"/>
        <v>1</v>
      </c>
      <c r="I938" s="7">
        <f>MAX('working sheet'!$B$2:$B$3548)-C938</f>
        <v>121.28278013888485</v>
      </c>
      <c r="J938" s="4" t="str">
        <f t="array" ref="J938">IF(AND(I938&lt;=30, D938&gt;=10, E938&gt;=200), "VIP",  IF(AND(I938&lt;=60, D938&gt;=5, E938&gt;=100), "Loyal", IF(AND(I938&lt;=90, D938&gt;=3), "Regular", IF(I938&lt;=30, "Recent", IF(D938&gt;=3, "Occasional", "At Risk")))))</f>
        <v>At Risk</v>
      </c>
      <c r="K938" t="str">
        <f t="array" ref="K938">IF(OR(J938="VIP", J938="Loyal"), "HIGH",IF(OR(J938="Regular", J938="Recent"), "MEDIUM","LOW"))</f>
        <v>LOW</v>
      </c>
    </row>
    <row r="939" spans="1:11">
      <c r="A939" t="s">
        <v>952</v>
      </c>
      <c r="B939" s="14">
        <f>_xlfn.MINIFS('working sheet'!$B$2:$B$3548, 'working sheet'!$D$2:$D$3548, A939)</f>
        <v>45618.689644953702</v>
      </c>
      <c r="C939" s="17">
        <f>_xlfn.MAXIFS('working sheet'!$B$1:$B$3548,'working sheet'!$D$1:$D$3548,'Customer Portfolio'!A939)</f>
        <v>45636.765252789352</v>
      </c>
      <c r="D939">
        <f>COUNTIFS('working sheet'!$D$1:$D$3548,'Customer Portfolio'!A939)</f>
        <v>4</v>
      </c>
      <c r="E939" s="5">
        <f>SUMIFS('working sheet'!$E$2:$E$3548,'working sheet'!$D$2:$D$3548,'Customer Portfolio'!A939)</f>
        <v>143.04</v>
      </c>
      <c r="F939" s="6">
        <f t="shared" si="28"/>
        <v>35.76</v>
      </c>
      <c r="G939" t="str">
        <f t="array" ref="G939">IFERROR(INDEX('working sheet'!$F$2:$F$3548, MODE(IF('working sheet'!$D$2:$D$3548=A939, MATCH('working sheet'!$F$2:$F$3548, 'working sheet'!$F$2:$F$3548, 0)))),
         INDEX('working sheet'!$F$2:$F$3548, MATCH(A939, 'working sheet'!$D$2:$D$3548, 0)))</f>
        <v>Hot Chocolate</v>
      </c>
      <c r="H939" s="7">
        <f t="shared" si="29"/>
        <v>19.075607835649862</v>
      </c>
      <c r="I939" s="7">
        <f>MAX('working sheet'!$B$2:$B$3548)-C939</f>
        <v>102.99283326388831</v>
      </c>
      <c r="J939" s="4" t="str">
        <f t="array" ref="J939">IF(AND(I939&lt;=30, D939&gt;=10, E939&gt;=200), "VIP",  IF(AND(I939&lt;=60, D939&gt;=5, E939&gt;=100), "Loyal", IF(AND(I939&lt;=90, D939&gt;=3), "Regular", IF(I939&lt;=30, "Recent", IF(D939&gt;=3, "Occasional", "At Risk")))))</f>
        <v>Occasional</v>
      </c>
      <c r="K939" t="str">
        <f t="array" ref="K939">IF(OR(J939="VIP", J939="Loyal"), "HIGH",IF(OR(J939="Regular", J939="Recent"), "MEDIUM","LOW"))</f>
        <v>LOW</v>
      </c>
    </row>
    <row r="940" spans="1:11">
      <c r="A940" t="s">
        <v>953</v>
      </c>
      <c r="B940" s="14">
        <f>_xlfn.MINIFS('working sheet'!$B$2:$B$3548, 'working sheet'!$D$2:$D$3548, A940)</f>
        <v>45619.464907685186</v>
      </c>
      <c r="C940" s="17">
        <f>_xlfn.MAXIFS('working sheet'!$B$1:$B$3548,'working sheet'!$D$1:$D$3548,'Customer Portfolio'!A940)</f>
        <v>45619.465576921299</v>
      </c>
      <c r="D940">
        <f>COUNTIFS('working sheet'!$D$1:$D$3548,'Customer Portfolio'!A940)</f>
        <v>2</v>
      </c>
      <c r="E940" s="5">
        <f>SUMIFS('working sheet'!$E$2:$E$3548,'working sheet'!$D$2:$D$3548,'Customer Portfolio'!A940)</f>
        <v>51.92</v>
      </c>
      <c r="F940" s="6">
        <f t="shared" si="28"/>
        <v>25.96</v>
      </c>
      <c r="G940" t="str">
        <f t="array" ref="G940">IFERROR(INDEX('working sheet'!$F$2:$F$3548, MODE(IF('working sheet'!$D$2:$D$3548=A940, MATCH('working sheet'!$F$2:$F$3548, 'working sheet'!$F$2:$F$3548, 0)))),
         INDEX('working sheet'!$F$2:$F$3548, MATCH(A940, 'working sheet'!$D$2:$D$3548, 0)))</f>
        <v>Americano</v>
      </c>
      <c r="H940" s="7">
        <f t="shared" si="29"/>
        <v>1.0006692361130263</v>
      </c>
      <c r="I940" s="7">
        <f>MAX('working sheet'!$B$2:$B$3548)-C940</f>
        <v>120.29250913194119</v>
      </c>
      <c r="J940" s="4" t="str">
        <f t="array" ref="J940">IF(AND(I940&lt;=30, D940&gt;=10, E940&gt;=200), "VIP",  IF(AND(I940&lt;=60, D940&gt;=5, E940&gt;=100), "Loyal", IF(AND(I940&lt;=90, D940&gt;=3), "Regular", IF(I940&lt;=30, "Recent", IF(D940&gt;=3, "Occasional", "At Risk")))))</f>
        <v>At Risk</v>
      </c>
      <c r="K940" t="str">
        <f t="array" ref="K940">IF(OR(J940="VIP", J940="Loyal"), "HIGH",IF(OR(J940="Regular", J940="Recent"), "MEDIUM","LOW"))</f>
        <v>LOW</v>
      </c>
    </row>
    <row r="941" spans="1:11">
      <c r="A941" t="s">
        <v>954</v>
      </c>
      <c r="B941" s="14">
        <f>_xlfn.MINIFS('working sheet'!$B$2:$B$3548, 'working sheet'!$D$2:$D$3548, A941)</f>
        <v>45619.942409513889</v>
      </c>
      <c r="C941" s="17">
        <f>_xlfn.MAXIFS('working sheet'!$B$1:$B$3548,'working sheet'!$D$1:$D$3548,'Customer Portfolio'!A941)</f>
        <v>45619.942409513889</v>
      </c>
      <c r="D941">
        <f>COUNTIFS('working sheet'!$D$1:$D$3548,'Customer Portfolio'!A941)</f>
        <v>1</v>
      </c>
      <c r="E941" s="5">
        <f>SUMIFS('working sheet'!$E$2:$E$3548,'working sheet'!$D$2:$D$3548,'Customer Portfolio'!A941)</f>
        <v>35.76</v>
      </c>
      <c r="F941" s="6">
        <f t="shared" si="28"/>
        <v>35.76</v>
      </c>
      <c r="G941" t="str">
        <f t="array" ref="G941">IFERROR(INDEX('working sheet'!$F$2:$F$3548, MODE(IF('working sheet'!$D$2:$D$3548=A941, MATCH('working sheet'!$F$2:$F$3548, 'working sheet'!$F$2:$F$3548, 0)))),
         INDEX('working sheet'!$F$2:$F$3548, MATCH(A941, 'working sheet'!$D$2:$D$3548, 0)))</f>
        <v>Latte</v>
      </c>
      <c r="H941" s="7">
        <f t="shared" si="29"/>
        <v>1</v>
      </c>
      <c r="I941" s="7">
        <f>MAX('working sheet'!$B$2:$B$3548)-C941</f>
        <v>119.81567653935053</v>
      </c>
      <c r="J941" s="4" t="str">
        <f t="array" ref="J941">IF(AND(I941&lt;=30, D941&gt;=10, E941&gt;=200), "VIP",  IF(AND(I941&lt;=60, D941&gt;=5, E941&gt;=100), "Loyal", IF(AND(I941&lt;=90, D941&gt;=3), "Regular", IF(I941&lt;=30, "Recent", IF(D941&gt;=3, "Occasional", "At Risk")))))</f>
        <v>At Risk</v>
      </c>
      <c r="K941" t="str">
        <f t="array" ref="K941">IF(OR(J941="VIP", J941="Loyal"), "HIGH",IF(OR(J941="Regular", J941="Recent"), "MEDIUM","LOW"))</f>
        <v>LOW</v>
      </c>
    </row>
    <row r="942" spans="1:11">
      <c r="A942" t="s">
        <v>955</v>
      </c>
      <c r="B942" s="14">
        <f>_xlfn.MINIFS('working sheet'!$B$2:$B$3548, 'working sheet'!$D$2:$D$3548, A942)</f>
        <v>45621.329438703702</v>
      </c>
      <c r="C942" s="17">
        <f>_xlfn.MAXIFS('working sheet'!$B$1:$B$3548,'working sheet'!$D$1:$D$3548,'Customer Portfolio'!A942)</f>
        <v>45621.329438703702</v>
      </c>
      <c r="D942">
        <f>COUNTIFS('working sheet'!$D$1:$D$3548,'Customer Portfolio'!A942)</f>
        <v>1</v>
      </c>
      <c r="E942" s="5">
        <f>SUMIFS('working sheet'!$E$2:$E$3548,'working sheet'!$D$2:$D$3548,'Customer Portfolio'!A942)</f>
        <v>35.76</v>
      </c>
      <c r="F942" s="6">
        <f t="shared" si="28"/>
        <v>35.76</v>
      </c>
      <c r="G942" t="str">
        <f t="array" ref="G942">IFERROR(INDEX('working sheet'!$F$2:$F$3548, MODE(IF('working sheet'!$D$2:$D$3548=A942, MATCH('working sheet'!$F$2:$F$3548, 'working sheet'!$F$2:$F$3548, 0)))),
         INDEX('working sheet'!$F$2:$F$3548, MATCH(A942, 'working sheet'!$D$2:$D$3548, 0)))</f>
        <v>Latte</v>
      </c>
      <c r="H942" s="7">
        <f t="shared" si="29"/>
        <v>1</v>
      </c>
      <c r="I942" s="7">
        <f>MAX('working sheet'!$B$2:$B$3548)-C942</f>
        <v>118.42864734953764</v>
      </c>
      <c r="J942" s="4" t="str">
        <f t="array" ref="J942">IF(AND(I942&lt;=30, D942&gt;=10, E942&gt;=200), "VIP",  IF(AND(I942&lt;=60, D942&gt;=5, E942&gt;=100), "Loyal", IF(AND(I942&lt;=90, D942&gt;=3), "Regular", IF(I942&lt;=30, "Recent", IF(D942&gt;=3, "Occasional", "At Risk")))))</f>
        <v>At Risk</v>
      </c>
      <c r="K942" t="str">
        <f t="array" ref="K942">IF(OR(J942="VIP", J942="Loyal"), "HIGH",IF(OR(J942="Regular", J942="Recent"), "MEDIUM","LOW"))</f>
        <v>LOW</v>
      </c>
    </row>
    <row r="943" spans="1:11">
      <c r="A943" t="s">
        <v>956</v>
      </c>
      <c r="B943" s="14">
        <f>_xlfn.MINIFS('working sheet'!$B$2:$B$3548, 'working sheet'!$D$2:$D$3548, A943)</f>
        <v>45621.53539582176</v>
      </c>
      <c r="C943" s="17">
        <f>_xlfn.MAXIFS('working sheet'!$B$1:$B$3548,'working sheet'!$D$1:$D$3548,'Customer Portfolio'!A943)</f>
        <v>45621.53539582176</v>
      </c>
      <c r="D943">
        <f>COUNTIFS('working sheet'!$D$1:$D$3548,'Customer Portfolio'!A943)</f>
        <v>1</v>
      </c>
      <c r="E943" s="5">
        <f>SUMIFS('working sheet'!$E$2:$E$3548,'working sheet'!$D$2:$D$3548,'Customer Portfolio'!A943)</f>
        <v>35.76</v>
      </c>
      <c r="F943" s="6">
        <f t="shared" si="28"/>
        <v>35.76</v>
      </c>
      <c r="G943" t="str">
        <f t="array" ref="G943">IFERROR(INDEX('working sheet'!$F$2:$F$3548, MODE(IF('working sheet'!$D$2:$D$3548=A943, MATCH('working sheet'!$F$2:$F$3548, 'working sheet'!$F$2:$F$3548, 0)))),
         INDEX('working sheet'!$F$2:$F$3548, MATCH(A943, 'working sheet'!$D$2:$D$3548, 0)))</f>
        <v>Latte</v>
      </c>
      <c r="H943" s="7">
        <f t="shared" si="29"/>
        <v>1</v>
      </c>
      <c r="I943" s="7">
        <f>MAX('working sheet'!$B$2:$B$3548)-C943</f>
        <v>118.22269023147965</v>
      </c>
      <c r="J943" s="4" t="str">
        <f t="array" ref="J943">IF(AND(I943&lt;=30, D943&gt;=10, E943&gt;=200), "VIP",  IF(AND(I943&lt;=60, D943&gt;=5, E943&gt;=100), "Loyal", IF(AND(I943&lt;=90, D943&gt;=3), "Regular", IF(I943&lt;=30, "Recent", IF(D943&gt;=3, "Occasional", "At Risk")))))</f>
        <v>At Risk</v>
      </c>
      <c r="K943" t="str">
        <f t="array" ref="K943">IF(OR(J943="VIP", J943="Loyal"), "HIGH",IF(OR(J943="Regular", J943="Recent"), "MEDIUM","LOW"))</f>
        <v>LOW</v>
      </c>
    </row>
    <row r="944" spans="1:11">
      <c r="A944" t="s">
        <v>957</v>
      </c>
      <c r="B944" s="14">
        <f>_xlfn.MINIFS('working sheet'!$B$2:$B$3548, 'working sheet'!$D$2:$D$3548, A944)</f>
        <v>45621.536586261573</v>
      </c>
      <c r="C944" s="17">
        <f>_xlfn.MAXIFS('working sheet'!$B$1:$B$3548,'working sheet'!$D$1:$D$3548,'Customer Portfolio'!A944)</f>
        <v>45621.536586261573</v>
      </c>
      <c r="D944">
        <f>COUNTIFS('working sheet'!$D$1:$D$3548,'Customer Portfolio'!A944)</f>
        <v>1</v>
      </c>
      <c r="E944" s="5">
        <f>SUMIFS('working sheet'!$E$2:$E$3548,'working sheet'!$D$2:$D$3548,'Customer Portfolio'!A944)</f>
        <v>35.76</v>
      </c>
      <c r="F944" s="6">
        <f t="shared" si="28"/>
        <v>35.76</v>
      </c>
      <c r="G944" t="str">
        <f t="array" ref="G944">IFERROR(INDEX('working sheet'!$F$2:$F$3548, MODE(IF('working sheet'!$D$2:$D$3548=A944, MATCH('working sheet'!$F$2:$F$3548, 'working sheet'!$F$2:$F$3548, 0)))),
         INDEX('working sheet'!$F$2:$F$3548, MATCH(A944, 'working sheet'!$D$2:$D$3548, 0)))</f>
        <v>Latte</v>
      </c>
      <c r="H944" s="7">
        <f t="shared" si="29"/>
        <v>1</v>
      </c>
      <c r="I944" s="7">
        <f>MAX('working sheet'!$B$2:$B$3548)-C944</f>
        <v>118.22149979166716</v>
      </c>
      <c r="J944" s="4" t="str">
        <f t="array" ref="J944">IF(AND(I944&lt;=30, D944&gt;=10, E944&gt;=200), "VIP",  IF(AND(I944&lt;=60, D944&gt;=5, E944&gt;=100), "Loyal", IF(AND(I944&lt;=90, D944&gt;=3), "Regular", IF(I944&lt;=30, "Recent", IF(D944&gt;=3, "Occasional", "At Risk")))))</f>
        <v>At Risk</v>
      </c>
      <c r="K944" t="str">
        <f t="array" ref="K944">IF(OR(J944="VIP", J944="Loyal"), "HIGH",IF(OR(J944="Regular", J944="Recent"), "MEDIUM","LOW"))</f>
        <v>LOW</v>
      </c>
    </row>
    <row r="945" spans="1:11">
      <c r="A945" t="s">
        <v>958</v>
      </c>
      <c r="B945" s="14">
        <f>_xlfn.MINIFS('working sheet'!$B$2:$B$3548, 'working sheet'!$D$2:$D$3548, A945)</f>
        <v>45621.793045104168</v>
      </c>
      <c r="C945" s="17">
        <f>_xlfn.MAXIFS('working sheet'!$B$1:$B$3548,'working sheet'!$D$1:$D$3548,'Customer Portfolio'!A945)</f>
        <v>45621.793045104168</v>
      </c>
      <c r="D945">
        <f>COUNTIFS('working sheet'!$D$1:$D$3548,'Customer Portfolio'!A945)</f>
        <v>1</v>
      </c>
      <c r="E945" s="5">
        <f>SUMIFS('working sheet'!$E$2:$E$3548,'working sheet'!$D$2:$D$3548,'Customer Portfolio'!A945)</f>
        <v>30.86</v>
      </c>
      <c r="F945" s="6">
        <f t="shared" si="28"/>
        <v>30.86</v>
      </c>
      <c r="G945" t="str">
        <f t="array" ref="G945">IFERROR(INDEX('working sheet'!$F$2:$F$3548, MODE(IF('working sheet'!$D$2:$D$3548=A945, MATCH('working sheet'!$F$2:$F$3548, 'working sheet'!$F$2:$F$3548, 0)))),
         INDEX('working sheet'!$F$2:$F$3548, MATCH(A945, 'working sheet'!$D$2:$D$3548, 0)))</f>
        <v>Americano with Milk</v>
      </c>
      <c r="H945" s="7">
        <f t="shared" si="29"/>
        <v>1</v>
      </c>
      <c r="I945" s="7">
        <f>MAX('working sheet'!$B$2:$B$3548)-C945</f>
        <v>117.96504094907141</v>
      </c>
      <c r="J945" s="4" t="str">
        <f t="array" ref="J945">IF(AND(I945&lt;=30, D945&gt;=10, E945&gt;=200), "VIP",  IF(AND(I945&lt;=60, D945&gt;=5, E945&gt;=100), "Loyal", IF(AND(I945&lt;=90, D945&gt;=3), "Regular", IF(I945&lt;=30, "Recent", IF(D945&gt;=3, "Occasional", "At Risk")))))</f>
        <v>At Risk</v>
      </c>
      <c r="K945" t="str">
        <f t="array" ref="K945">IF(OR(J945="VIP", J945="Loyal"), "HIGH",IF(OR(J945="Regular", J945="Recent"), "MEDIUM","LOW"))</f>
        <v>LOW</v>
      </c>
    </row>
    <row r="946" spans="1:11">
      <c r="A946" t="s">
        <v>959</v>
      </c>
      <c r="B946" s="14">
        <f>_xlfn.MINIFS('working sheet'!$B$2:$B$3548, 'working sheet'!$D$2:$D$3548, A946)</f>
        <v>45621.818038067133</v>
      </c>
      <c r="C946" s="17">
        <f>_xlfn.MAXIFS('working sheet'!$B$1:$B$3548,'working sheet'!$D$1:$D$3548,'Customer Portfolio'!A946)</f>
        <v>45621.818038067133</v>
      </c>
      <c r="D946">
        <f>COUNTIFS('working sheet'!$D$1:$D$3548,'Customer Portfolio'!A946)</f>
        <v>1</v>
      </c>
      <c r="E946" s="5">
        <f>SUMIFS('working sheet'!$E$2:$E$3548,'working sheet'!$D$2:$D$3548,'Customer Portfolio'!A946)</f>
        <v>35.76</v>
      </c>
      <c r="F946" s="6">
        <f t="shared" si="28"/>
        <v>35.76</v>
      </c>
      <c r="G946" t="str">
        <f t="array" ref="G946">IFERROR(INDEX('working sheet'!$F$2:$F$3548, MODE(IF('working sheet'!$D$2:$D$3548=A946, MATCH('working sheet'!$F$2:$F$3548, 'working sheet'!$F$2:$F$3548, 0)))),
         INDEX('working sheet'!$F$2:$F$3548, MATCH(A946, 'working sheet'!$D$2:$D$3548, 0)))</f>
        <v>Hot Chocolate</v>
      </c>
      <c r="H946" s="7">
        <f t="shared" si="29"/>
        <v>1</v>
      </c>
      <c r="I946" s="7">
        <f>MAX('working sheet'!$B$2:$B$3548)-C946</f>
        <v>117.94004798610695</v>
      </c>
      <c r="J946" s="4" t="str">
        <f t="array" ref="J946">IF(AND(I946&lt;=30, D946&gt;=10, E946&gt;=200), "VIP",  IF(AND(I946&lt;=60, D946&gt;=5, E946&gt;=100), "Loyal", IF(AND(I946&lt;=90, D946&gt;=3), "Regular", IF(I946&lt;=30, "Recent", IF(D946&gt;=3, "Occasional", "At Risk")))))</f>
        <v>At Risk</v>
      </c>
      <c r="K946" t="str">
        <f t="array" ref="K946">IF(OR(J946="VIP", J946="Loyal"), "HIGH",IF(OR(J946="Regular", J946="Recent"), "MEDIUM","LOW"))</f>
        <v>LOW</v>
      </c>
    </row>
    <row r="947" spans="1:11">
      <c r="A947" t="s">
        <v>960</v>
      </c>
      <c r="B947" s="14">
        <f>_xlfn.MINIFS('working sheet'!$B$2:$B$3548, 'working sheet'!$D$2:$D$3548, A947)</f>
        <v>45622.460963831021</v>
      </c>
      <c r="C947" s="17">
        <f>_xlfn.MAXIFS('working sheet'!$B$1:$B$3548,'working sheet'!$D$1:$D$3548,'Customer Portfolio'!A947)</f>
        <v>45622.460963831021</v>
      </c>
      <c r="D947">
        <f>COUNTIFS('working sheet'!$D$1:$D$3548,'Customer Portfolio'!A947)</f>
        <v>1</v>
      </c>
      <c r="E947" s="5">
        <f>SUMIFS('working sheet'!$E$2:$E$3548,'working sheet'!$D$2:$D$3548,'Customer Portfolio'!A947)</f>
        <v>25.96</v>
      </c>
      <c r="F947" s="6">
        <f t="shared" si="28"/>
        <v>25.96</v>
      </c>
      <c r="G947" t="str">
        <f t="array" ref="G947">IFERROR(INDEX('working sheet'!$F$2:$F$3548, MODE(IF('working sheet'!$D$2:$D$3548=A947, MATCH('working sheet'!$F$2:$F$3548, 'working sheet'!$F$2:$F$3548, 0)))),
         INDEX('working sheet'!$F$2:$F$3548, MATCH(A947, 'working sheet'!$D$2:$D$3548, 0)))</f>
        <v>Americano</v>
      </c>
      <c r="H947" s="7">
        <f t="shared" si="29"/>
        <v>1</v>
      </c>
      <c r="I947" s="7">
        <f>MAX('working sheet'!$B$2:$B$3548)-C947</f>
        <v>117.2971222222186</v>
      </c>
      <c r="J947" s="4" t="str">
        <f t="array" ref="J947">IF(AND(I947&lt;=30, D947&gt;=10, E947&gt;=200), "VIP",  IF(AND(I947&lt;=60, D947&gt;=5, E947&gt;=100), "Loyal", IF(AND(I947&lt;=90, D947&gt;=3), "Regular", IF(I947&lt;=30, "Recent", IF(D947&gt;=3, "Occasional", "At Risk")))))</f>
        <v>At Risk</v>
      </c>
      <c r="K947" t="str">
        <f t="array" ref="K947">IF(OR(J947="VIP", J947="Loyal"), "HIGH",IF(OR(J947="Regular", J947="Recent"), "MEDIUM","LOW"))</f>
        <v>LOW</v>
      </c>
    </row>
    <row r="948" spans="1:11">
      <c r="A948" t="s">
        <v>961</v>
      </c>
      <c r="B948" s="14">
        <f>_xlfn.MINIFS('working sheet'!$B$2:$B$3548, 'working sheet'!$D$2:$D$3548, A948)</f>
        <v>45622.462605185188</v>
      </c>
      <c r="C948" s="17">
        <f>_xlfn.MAXIFS('working sheet'!$B$1:$B$3548,'working sheet'!$D$1:$D$3548,'Customer Portfolio'!A948)</f>
        <v>45622.463309791667</v>
      </c>
      <c r="D948">
        <f>COUNTIFS('working sheet'!$D$1:$D$3548,'Customer Portfolio'!A948)</f>
        <v>2</v>
      </c>
      <c r="E948" s="5">
        <f>SUMIFS('working sheet'!$E$2:$E$3548,'working sheet'!$D$2:$D$3548,'Customer Portfolio'!A948)</f>
        <v>71.52</v>
      </c>
      <c r="F948" s="6">
        <f t="shared" si="28"/>
        <v>35.76</v>
      </c>
      <c r="G948" t="str">
        <f t="array" ref="G948">IFERROR(INDEX('working sheet'!$F$2:$F$3548, MODE(IF('working sheet'!$D$2:$D$3548=A948, MATCH('working sheet'!$F$2:$F$3548, 'working sheet'!$F$2:$F$3548, 0)))),
         INDEX('working sheet'!$F$2:$F$3548, MATCH(A948, 'working sheet'!$D$2:$D$3548, 0)))</f>
        <v>Cocoa</v>
      </c>
      <c r="H948" s="7">
        <f t="shared" si="29"/>
        <v>1.0007046064783935</v>
      </c>
      <c r="I948" s="7">
        <f>MAX('working sheet'!$B$2:$B$3548)-C948</f>
        <v>117.29477626157313</v>
      </c>
      <c r="J948" s="4" t="str">
        <f t="array" ref="J948">IF(AND(I948&lt;=30, D948&gt;=10, E948&gt;=200), "VIP",  IF(AND(I948&lt;=60, D948&gt;=5, E948&gt;=100), "Loyal", IF(AND(I948&lt;=90, D948&gt;=3), "Regular", IF(I948&lt;=30, "Recent", IF(D948&gt;=3, "Occasional", "At Risk")))))</f>
        <v>At Risk</v>
      </c>
      <c r="K948" t="str">
        <f t="array" ref="K948">IF(OR(J948="VIP", J948="Loyal"), "HIGH",IF(OR(J948="Regular", J948="Recent"), "MEDIUM","LOW"))</f>
        <v>LOW</v>
      </c>
    </row>
    <row r="949" spans="1:11">
      <c r="A949" t="s">
        <v>962</v>
      </c>
      <c r="B949" s="14">
        <f>_xlfn.MINIFS('working sheet'!$B$2:$B$3548, 'working sheet'!$D$2:$D$3548, A949)</f>
        <v>45622.66937851852</v>
      </c>
      <c r="C949" s="17">
        <f>_xlfn.MAXIFS('working sheet'!$B$1:$B$3548,'working sheet'!$D$1:$D$3548,'Customer Portfolio'!A949)</f>
        <v>45622.66937851852</v>
      </c>
      <c r="D949">
        <f>COUNTIFS('working sheet'!$D$1:$D$3548,'Customer Portfolio'!A949)</f>
        <v>1</v>
      </c>
      <c r="E949" s="5">
        <f>SUMIFS('working sheet'!$E$2:$E$3548,'working sheet'!$D$2:$D$3548,'Customer Portfolio'!A949)</f>
        <v>35.76</v>
      </c>
      <c r="F949" s="6">
        <f t="shared" si="28"/>
        <v>35.76</v>
      </c>
      <c r="G949" t="str">
        <f t="array" ref="G949">IFERROR(INDEX('working sheet'!$F$2:$F$3548, MODE(IF('working sheet'!$D$2:$D$3548=A949, MATCH('working sheet'!$F$2:$F$3548, 'working sheet'!$F$2:$F$3548, 0)))),
         INDEX('working sheet'!$F$2:$F$3548, MATCH(A949, 'working sheet'!$D$2:$D$3548, 0)))</f>
        <v>Latte</v>
      </c>
      <c r="H949" s="7">
        <f t="shared" si="29"/>
        <v>1</v>
      </c>
      <c r="I949" s="7">
        <f>MAX('working sheet'!$B$2:$B$3548)-C949</f>
        <v>117.08870753472002</v>
      </c>
      <c r="J949" s="4" t="str">
        <f t="array" ref="J949">IF(AND(I949&lt;=30, D949&gt;=10, E949&gt;=200), "VIP",  IF(AND(I949&lt;=60, D949&gt;=5, E949&gt;=100), "Loyal", IF(AND(I949&lt;=90, D949&gt;=3), "Regular", IF(I949&lt;=30, "Recent", IF(D949&gt;=3, "Occasional", "At Risk")))))</f>
        <v>At Risk</v>
      </c>
      <c r="K949" t="str">
        <f t="array" ref="K949">IF(OR(J949="VIP", J949="Loyal"), "HIGH",IF(OR(J949="Regular", J949="Recent"), "MEDIUM","LOW"))</f>
        <v>LOW</v>
      </c>
    </row>
    <row r="950" spans="1:11">
      <c r="A950" t="s">
        <v>963</v>
      </c>
      <c r="B950" s="14">
        <f>_xlfn.MINIFS('working sheet'!$B$2:$B$3548, 'working sheet'!$D$2:$D$3548, A950)</f>
        <v>45622.670145312499</v>
      </c>
      <c r="C950" s="17">
        <f>_xlfn.MAXIFS('working sheet'!$B$1:$B$3548,'working sheet'!$D$1:$D$3548,'Customer Portfolio'!A950)</f>
        <v>45622.670145312499</v>
      </c>
      <c r="D950">
        <f>COUNTIFS('working sheet'!$D$1:$D$3548,'Customer Portfolio'!A950)</f>
        <v>1</v>
      </c>
      <c r="E950" s="5">
        <f>SUMIFS('working sheet'!$E$2:$E$3548,'working sheet'!$D$2:$D$3548,'Customer Portfolio'!A950)</f>
        <v>35.76</v>
      </c>
      <c r="F950" s="6">
        <f t="shared" si="28"/>
        <v>35.76</v>
      </c>
      <c r="G950" t="str">
        <f t="array" ref="G950">IFERROR(INDEX('working sheet'!$F$2:$F$3548, MODE(IF('working sheet'!$D$2:$D$3548=A950, MATCH('working sheet'!$F$2:$F$3548, 'working sheet'!$F$2:$F$3548, 0)))),
         INDEX('working sheet'!$F$2:$F$3548, MATCH(A950, 'working sheet'!$D$2:$D$3548, 0)))</f>
        <v>Latte</v>
      </c>
      <c r="H950" s="7">
        <f t="shared" si="29"/>
        <v>1</v>
      </c>
      <c r="I950" s="7">
        <f>MAX('working sheet'!$B$2:$B$3548)-C950</f>
        <v>117.08794074074103</v>
      </c>
      <c r="J950" s="4" t="str">
        <f t="array" ref="J950">IF(AND(I950&lt;=30, D950&gt;=10, E950&gt;=200), "VIP",  IF(AND(I950&lt;=60, D950&gt;=5, E950&gt;=100), "Loyal", IF(AND(I950&lt;=90, D950&gt;=3), "Regular", IF(I950&lt;=30, "Recent", IF(D950&gt;=3, "Occasional", "At Risk")))))</f>
        <v>At Risk</v>
      </c>
      <c r="K950" t="str">
        <f t="array" ref="K950">IF(OR(J950="VIP", J950="Loyal"), "HIGH",IF(OR(J950="Regular", J950="Recent"), "MEDIUM","LOW"))</f>
        <v>LOW</v>
      </c>
    </row>
    <row r="951" spans="1:11">
      <c r="A951" t="s">
        <v>964</v>
      </c>
      <c r="B951" s="14">
        <f>_xlfn.MINIFS('working sheet'!$B$2:$B$3548, 'working sheet'!$D$2:$D$3548, A951)</f>
        <v>45622.716408865737</v>
      </c>
      <c r="C951" s="17">
        <f>_xlfn.MAXIFS('working sheet'!$B$1:$B$3548,'working sheet'!$D$1:$D$3548,'Customer Portfolio'!A951)</f>
        <v>45622.717065243058</v>
      </c>
      <c r="D951">
        <f>COUNTIFS('working sheet'!$D$1:$D$3548,'Customer Portfolio'!A951)</f>
        <v>2</v>
      </c>
      <c r="E951" s="5">
        <f>SUMIFS('working sheet'!$E$2:$E$3548,'working sheet'!$D$2:$D$3548,'Customer Portfolio'!A951)</f>
        <v>56.82</v>
      </c>
      <c r="F951" s="6">
        <f t="shared" si="28"/>
        <v>28.41</v>
      </c>
      <c r="G951" t="str">
        <f t="array" ref="G951">IFERROR(INDEX('working sheet'!$F$2:$F$3548, MODE(IF('working sheet'!$D$2:$D$3548=A951, MATCH('working sheet'!$F$2:$F$3548, 'working sheet'!$F$2:$F$3548, 0)))),
         INDEX('working sheet'!$F$2:$F$3548, MATCH(A951, 'working sheet'!$D$2:$D$3548, 0)))</f>
        <v>Americano</v>
      </c>
      <c r="H951" s="7">
        <f t="shared" si="29"/>
        <v>1.0006563773204107</v>
      </c>
      <c r="I951" s="7">
        <f>MAX('working sheet'!$B$2:$B$3548)-C951</f>
        <v>117.04102081018209</v>
      </c>
      <c r="J951" s="4" t="str">
        <f t="array" ref="J951">IF(AND(I951&lt;=30, D951&gt;=10, E951&gt;=200), "VIP",  IF(AND(I951&lt;=60, D951&gt;=5, E951&gt;=100), "Loyal", IF(AND(I951&lt;=90, D951&gt;=3), "Regular", IF(I951&lt;=30, "Recent", IF(D951&gt;=3, "Occasional", "At Risk")))))</f>
        <v>At Risk</v>
      </c>
      <c r="K951" t="str">
        <f t="array" ref="K951">IF(OR(J951="VIP", J951="Loyal"), "HIGH",IF(OR(J951="Regular", J951="Recent"), "MEDIUM","LOW"))</f>
        <v>LOW</v>
      </c>
    </row>
    <row r="952" spans="1:11">
      <c r="A952" t="s">
        <v>965</v>
      </c>
      <c r="B952" s="14">
        <f>_xlfn.MINIFS('working sheet'!$B$2:$B$3548, 'working sheet'!$D$2:$D$3548, A952)</f>
        <v>45622.82459103009</v>
      </c>
      <c r="C952" s="17">
        <f>_xlfn.MAXIFS('working sheet'!$B$1:$B$3548,'working sheet'!$D$1:$D$3548,'Customer Portfolio'!A952)</f>
        <v>45622.82459103009</v>
      </c>
      <c r="D952">
        <f>COUNTIFS('working sheet'!$D$1:$D$3548,'Customer Portfolio'!A952)</f>
        <v>1</v>
      </c>
      <c r="E952" s="5">
        <f>SUMIFS('working sheet'!$E$2:$E$3548,'working sheet'!$D$2:$D$3548,'Customer Portfolio'!A952)</f>
        <v>35.76</v>
      </c>
      <c r="F952" s="6">
        <f t="shared" si="28"/>
        <v>35.76</v>
      </c>
      <c r="G952" t="str">
        <f t="array" ref="G952">IFERROR(INDEX('working sheet'!$F$2:$F$3548, MODE(IF('working sheet'!$D$2:$D$3548=A952, MATCH('working sheet'!$F$2:$F$3548, 'working sheet'!$F$2:$F$3548, 0)))),
         INDEX('working sheet'!$F$2:$F$3548, MATCH(A952, 'working sheet'!$D$2:$D$3548, 0)))</f>
        <v>Cocoa</v>
      </c>
      <c r="H952" s="7">
        <f t="shared" si="29"/>
        <v>1</v>
      </c>
      <c r="I952" s="7">
        <f>MAX('working sheet'!$B$2:$B$3548)-C952</f>
        <v>116.93349502314959</v>
      </c>
      <c r="J952" s="4" t="str">
        <f t="array" ref="J952">IF(AND(I952&lt;=30, D952&gt;=10, E952&gt;=200), "VIP",  IF(AND(I952&lt;=60, D952&gt;=5, E952&gt;=100), "Loyal", IF(AND(I952&lt;=90, D952&gt;=3), "Regular", IF(I952&lt;=30, "Recent", IF(D952&gt;=3, "Occasional", "At Risk")))))</f>
        <v>At Risk</v>
      </c>
      <c r="K952" t="str">
        <f t="array" ref="K952">IF(OR(J952="VIP", J952="Loyal"), "HIGH",IF(OR(J952="Regular", J952="Recent"), "MEDIUM","LOW"))</f>
        <v>LOW</v>
      </c>
    </row>
    <row r="953" spans="1:11">
      <c r="A953" t="s">
        <v>966</v>
      </c>
      <c r="B953" s="14">
        <f>_xlfn.MINIFS('working sheet'!$B$2:$B$3548, 'working sheet'!$D$2:$D$3548, A953)</f>
        <v>45624.36200144676</v>
      </c>
      <c r="C953" s="17">
        <f>_xlfn.MAXIFS('working sheet'!$B$1:$B$3548,'working sheet'!$D$1:$D$3548,'Customer Portfolio'!A953)</f>
        <v>45624.36200144676</v>
      </c>
      <c r="D953">
        <f>COUNTIFS('working sheet'!$D$1:$D$3548,'Customer Portfolio'!A953)</f>
        <v>1</v>
      </c>
      <c r="E953" s="5">
        <f>SUMIFS('working sheet'!$E$2:$E$3548,'working sheet'!$D$2:$D$3548,'Customer Portfolio'!A953)</f>
        <v>35.76</v>
      </c>
      <c r="F953" s="6">
        <f t="shared" si="28"/>
        <v>35.76</v>
      </c>
      <c r="G953" t="str">
        <f t="array" ref="G953">IFERROR(INDEX('working sheet'!$F$2:$F$3548, MODE(IF('working sheet'!$D$2:$D$3548=A953, MATCH('working sheet'!$F$2:$F$3548, 'working sheet'!$F$2:$F$3548, 0)))),
         INDEX('working sheet'!$F$2:$F$3548, MATCH(A953, 'working sheet'!$D$2:$D$3548, 0)))</f>
        <v>Cappuccino</v>
      </c>
      <c r="H953" s="7">
        <f t="shared" si="29"/>
        <v>1</v>
      </c>
      <c r="I953" s="7">
        <f>MAX('working sheet'!$B$2:$B$3548)-C953</f>
        <v>115.39608460648014</v>
      </c>
      <c r="J953" s="4" t="str">
        <f t="array" ref="J953">IF(AND(I953&lt;=30, D953&gt;=10, E953&gt;=200), "VIP",  IF(AND(I953&lt;=60, D953&gt;=5, E953&gt;=100), "Loyal", IF(AND(I953&lt;=90, D953&gt;=3), "Regular", IF(I953&lt;=30, "Recent", IF(D953&gt;=3, "Occasional", "At Risk")))))</f>
        <v>At Risk</v>
      </c>
      <c r="K953" t="str">
        <f t="array" ref="K953">IF(OR(J953="VIP", J953="Loyal"), "HIGH",IF(OR(J953="Regular", J953="Recent"), "MEDIUM","LOW"))</f>
        <v>LOW</v>
      </c>
    </row>
    <row r="954" spans="1:11">
      <c r="A954" t="s">
        <v>967</v>
      </c>
      <c r="B954" s="14">
        <f>_xlfn.MINIFS('working sheet'!$B$2:$B$3548, 'working sheet'!$D$2:$D$3548, A954)</f>
        <v>45625.63757939815</v>
      </c>
      <c r="C954" s="17">
        <f>_xlfn.MAXIFS('working sheet'!$B$1:$B$3548,'working sheet'!$D$1:$D$3548,'Customer Portfolio'!A954)</f>
        <v>45625.63757939815</v>
      </c>
      <c r="D954">
        <f>COUNTIFS('working sheet'!$D$1:$D$3548,'Customer Portfolio'!A954)</f>
        <v>1</v>
      </c>
      <c r="E954" s="5">
        <f>SUMIFS('working sheet'!$E$2:$E$3548,'working sheet'!$D$2:$D$3548,'Customer Portfolio'!A954)</f>
        <v>30.86</v>
      </c>
      <c r="F954" s="6">
        <f t="shared" si="28"/>
        <v>30.86</v>
      </c>
      <c r="G954" t="str">
        <f t="array" ref="G954">IFERROR(INDEX('working sheet'!$F$2:$F$3548, MODE(IF('working sheet'!$D$2:$D$3548=A954, MATCH('working sheet'!$F$2:$F$3548, 'working sheet'!$F$2:$F$3548, 0)))),
         INDEX('working sheet'!$F$2:$F$3548, MATCH(A954, 'working sheet'!$D$2:$D$3548, 0)))</f>
        <v>Americano with Milk</v>
      </c>
      <c r="H954" s="7">
        <f t="shared" si="29"/>
        <v>1</v>
      </c>
      <c r="I954" s="7">
        <f>MAX('working sheet'!$B$2:$B$3548)-C954</f>
        <v>114.12050665509014</v>
      </c>
      <c r="J954" s="4" t="str">
        <f t="array" ref="J954">IF(AND(I954&lt;=30, D954&gt;=10, E954&gt;=200), "VIP",  IF(AND(I954&lt;=60, D954&gt;=5, E954&gt;=100), "Loyal", IF(AND(I954&lt;=90, D954&gt;=3), "Regular", IF(I954&lt;=30, "Recent", IF(D954&gt;=3, "Occasional", "At Risk")))))</f>
        <v>At Risk</v>
      </c>
      <c r="K954" t="str">
        <f t="array" ref="K954">IF(OR(J954="VIP", J954="Loyal"), "HIGH",IF(OR(J954="Regular", J954="Recent"), "MEDIUM","LOW"))</f>
        <v>LOW</v>
      </c>
    </row>
    <row r="955" spans="1:11">
      <c r="A955" t="s">
        <v>968</v>
      </c>
      <c r="B955" s="14">
        <f>_xlfn.MINIFS('working sheet'!$B$2:$B$3548, 'working sheet'!$D$2:$D$3548, A955)</f>
        <v>45625.638429953702</v>
      </c>
      <c r="C955" s="17">
        <f>_xlfn.MAXIFS('working sheet'!$B$1:$B$3548,'working sheet'!$D$1:$D$3548,'Customer Portfolio'!A955)</f>
        <v>45625.638429953702</v>
      </c>
      <c r="D955">
        <f>COUNTIFS('working sheet'!$D$1:$D$3548,'Customer Portfolio'!A955)</f>
        <v>1</v>
      </c>
      <c r="E955" s="5">
        <f>SUMIFS('working sheet'!$E$2:$E$3548,'working sheet'!$D$2:$D$3548,'Customer Portfolio'!A955)</f>
        <v>35.76</v>
      </c>
      <c r="F955" s="6">
        <f t="shared" si="28"/>
        <v>35.76</v>
      </c>
      <c r="G955" t="str">
        <f t="array" ref="G955">IFERROR(INDEX('working sheet'!$F$2:$F$3548, MODE(IF('working sheet'!$D$2:$D$3548=A955, MATCH('working sheet'!$F$2:$F$3548, 'working sheet'!$F$2:$F$3548, 0)))),
         INDEX('working sheet'!$F$2:$F$3548, MATCH(A955, 'working sheet'!$D$2:$D$3548, 0)))</f>
        <v>Latte</v>
      </c>
      <c r="H955" s="7">
        <f t="shared" si="29"/>
        <v>1</v>
      </c>
      <c r="I955" s="7">
        <f>MAX('working sheet'!$B$2:$B$3548)-C955</f>
        <v>114.11965609953768</v>
      </c>
      <c r="J955" s="4" t="str">
        <f t="array" ref="J955">IF(AND(I955&lt;=30, D955&gt;=10, E955&gt;=200), "VIP",  IF(AND(I955&lt;=60, D955&gt;=5, E955&gt;=100), "Loyal", IF(AND(I955&lt;=90, D955&gt;=3), "Regular", IF(I955&lt;=30, "Recent", IF(D955&gt;=3, "Occasional", "At Risk")))))</f>
        <v>At Risk</v>
      </c>
      <c r="K955" t="str">
        <f t="array" ref="K955">IF(OR(J955="VIP", J955="Loyal"), "HIGH",IF(OR(J955="Regular", J955="Recent"), "MEDIUM","LOW"))</f>
        <v>LOW</v>
      </c>
    </row>
    <row r="956" spans="1:11">
      <c r="A956" t="s">
        <v>969</v>
      </c>
      <c r="B956" s="14">
        <f>_xlfn.MINIFS('working sheet'!$B$2:$B$3548, 'working sheet'!$D$2:$D$3548, A956)</f>
        <v>45625.873549386575</v>
      </c>
      <c r="C956" s="17">
        <f>_xlfn.MAXIFS('working sheet'!$B$1:$B$3548,'working sheet'!$D$1:$D$3548,'Customer Portfolio'!A956)</f>
        <v>45625.873549386575</v>
      </c>
      <c r="D956">
        <f>COUNTIFS('working sheet'!$D$1:$D$3548,'Customer Portfolio'!A956)</f>
        <v>1</v>
      </c>
      <c r="E956" s="5">
        <f>SUMIFS('working sheet'!$E$2:$E$3548,'working sheet'!$D$2:$D$3548,'Customer Portfolio'!A956)</f>
        <v>35.76</v>
      </c>
      <c r="F956" s="6">
        <f t="shared" si="28"/>
        <v>35.76</v>
      </c>
      <c r="G956" t="str">
        <f t="array" ref="G956">IFERROR(INDEX('working sheet'!$F$2:$F$3548, MODE(IF('working sheet'!$D$2:$D$3548=A956, MATCH('working sheet'!$F$2:$F$3548, 'working sheet'!$F$2:$F$3548, 0)))),
         INDEX('working sheet'!$F$2:$F$3548, MATCH(A956, 'working sheet'!$D$2:$D$3548, 0)))</f>
        <v>Cocoa</v>
      </c>
      <c r="H956" s="7">
        <f t="shared" si="29"/>
        <v>1</v>
      </c>
      <c r="I956" s="7">
        <f>MAX('working sheet'!$B$2:$B$3548)-C956</f>
        <v>113.88453666666464</v>
      </c>
      <c r="J956" s="4" t="str">
        <f t="array" ref="J956">IF(AND(I956&lt;=30, D956&gt;=10, E956&gt;=200), "VIP",  IF(AND(I956&lt;=60, D956&gt;=5, E956&gt;=100), "Loyal", IF(AND(I956&lt;=90, D956&gt;=3), "Regular", IF(I956&lt;=30, "Recent", IF(D956&gt;=3, "Occasional", "At Risk")))))</f>
        <v>At Risk</v>
      </c>
      <c r="K956" t="str">
        <f t="array" ref="K956">IF(OR(J956="VIP", J956="Loyal"), "HIGH",IF(OR(J956="Regular", J956="Recent"), "MEDIUM","LOW"))</f>
        <v>LOW</v>
      </c>
    </row>
    <row r="957" spans="1:11">
      <c r="A957" t="s">
        <v>970</v>
      </c>
      <c r="B957" s="14">
        <f>_xlfn.MINIFS('working sheet'!$B$2:$B$3548, 'working sheet'!$D$2:$D$3548, A957)</f>
        <v>45626.586757106481</v>
      </c>
      <c r="C957" s="17">
        <f>_xlfn.MAXIFS('working sheet'!$B$1:$B$3548,'working sheet'!$D$1:$D$3548,'Customer Portfolio'!A957)</f>
        <v>45626.587477754627</v>
      </c>
      <c r="D957">
        <f>COUNTIFS('working sheet'!$D$1:$D$3548,'Customer Portfolio'!A957)</f>
        <v>2</v>
      </c>
      <c r="E957" s="5">
        <f>SUMIFS('working sheet'!$E$2:$E$3548,'working sheet'!$D$2:$D$3548,'Customer Portfolio'!A957)</f>
        <v>61.72</v>
      </c>
      <c r="F957" s="6">
        <f t="shared" si="28"/>
        <v>30.86</v>
      </c>
      <c r="G957" t="str">
        <f t="array" ref="G957">IFERROR(INDEX('working sheet'!$F$2:$F$3548, MODE(IF('working sheet'!$D$2:$D$3548=A957, MATCH('working sheet'!$F$2:$F$3548, 'working sheet'!$F$2:$F$3548, 0)))),
         INDEX('working sheet'!$F$2:$F$3548, MATCH(A957, 'working sheet'!$D$2:$D$3548, 0)))</f>
        <v>Americano</v>
      </c>
      <c r="H957" s="7">
        <f t="shared" si="29"/>
        <v>1.0007206481459434</v>
      </c>
      <c r="I957" s="7">
        <f>MAX('working sheet'!$B$2:$B$3548)-C957</f>
        <v>113.17060829861293</v>
      </c>
      <c r="J957" s="4" t="str">
        <f t="array" ref="J957">IF(AND(I957&lt;=30, D957&gt;=10, E957&gt;=200), "VIP",  IF(AND(I957&lt;=60, D957&gt;=5, E957&gt;=100), "Loyal", IF(AND(I957&lt;=90, D957&gt;=3), "Regular", IF(I957&lt;=30, "Recent", IF(D957&gt;=3, "Occasional", "At Risk")))))</f>
        <v>At Risk</v>
      </c>
      <c r="K957" t="str">
        <f t="array" ref="K957">IF(OR(J957="VIP", J957="Loyal"), "HIGH",IF(OR(J957="Regular", J957="Recent"), "MEDIUM","LOW"))</f>
        <v>LOW</v>
      </c>
    </row>
    <row r="958" spans="1:11">
      <c r="A958" t="s">
        <v>971</v>
      </c>
      <c r="B958" s="14">
        <f>_xlfn.MINIFS('working sheet'!$B$2:$B$3548, 'working sheet'!$D$2:$D$3548, A958)</f>
        <v>45626.919311157406</v>
      </c>
      <c r="C958" s="17">
        <f>_xlfn.MAXIFS('working sheet'!$B$1:$B$3548,'working sheet'!$D$1:$D$3548,'Customer Portfolio'!A958)</f>
        <v>45626.919311157406</v>
      </c>
      <c r="D958">
        <f>COUNTIFS('working sheet'!$D$1:$D$3548,'Customer Portfolio'!A958)</f>
        <v>1</v>
      </c>
      <c r="E958" s="5">
        <f>SUMIFS('working sheet'!$E$2:$E$3548,'working sheet'!$D$2:$D$3548,'Customer Portfolio'!A958)</f>
        <v>30.86</v>
      </c>
      <c r="F958" s="6">
        <f t="shared" si="28"/>
        <v>30.86</v>
      </c>
      <c r="G958" t="str">
        <f t="array" ref="G958">IFERROR(INDEX('working sheet'!$F$2:$F$3548, MODE(IF('working sheet'!$D$2:$D$3548=A958, MATCH('working sheet'!$F$2:$F$3548, 'working sheet'!$F$2:$F$3548, 0)))),
         INDEX('working sheet'!$F$2:$F$3548, MATCH(A958, 'working sheet'!$D$2:$D$3548, 0)))</f>
        <v>Americano with Milk</v>
      </c>
      <c r="H958" s="7">
        <f t="shared" si="29"/>
        <v>1</v>
      </c>
      <c r="I958" s="7">
        <f>MAX('working sheet'!$B$2:$B$3548)-C958</f>
        <v>112.83877489583392</v>
      </c>
      <c r="J958" s="4" t="str">
        <f t="array" ref="J958">IF(AND(I958&lt;=30, D958&gt;=10, E958&gt;=200), "VIP",  IF(AND(I958&lt;=60, D958&gt;=5, E958&gt;=100), "Loyal", IF(AND(I958&lt;=90, D958&gt;=3), "Regular", IF(I958&lt;=30, "Recent", IF(D958&gt;=3, "Occasional", "At Risk")))))</f>
        <v>At Risk</v>
      </c>
      <c r="K958" t="str">
        <f t="array" ref="K958">IF(OR(J958="VIP", J958="Loyal"), "HIGH",IF(OR(J958="Regular", J958="Recent"), "MEDIUM","LOW"))</f>
        <v>LOW</v>
      </c>
    </row>
    <row r="959" spans="1:11">
      <c r="A959" t="s">
        <v>972</v>
      </c>
      <c r="B959" s="14">
        <f>_xlfn.MINIFS('working sheet'!$B$2:$B$3548, 'working sheet'!$D$2:$D$3548, A959)</f>
        <v>45627.60720914352</v>
      </c>
      <c r="C959" s="17">
        <f>_xlfn.MAXIFS('working sheet'!$B$1:$B$3548,'working sheet'!$D$1:$D$3548,'Customer Portfolio'!A959)</f>
        <v>45627.60720914352</v>
      </c>
      <c r="D959">
        <f>COUNTIFS('working sheet'!$D$1:$D$3548,'Customer Portfolio'!A959)</f>
        <v>1</v>
      </c>
      <c r="E959" s="5">
        <f>SUMIFS('working sheet'!$E$2:$E$3548,'working sheet'!$D$2:$D$3548,'Customer Portfolio'!A959)</f>
        <v>30.86</v>
      </c>
      <c r="F959" s="6">
        <f t="shared" si="28"/>
        <v>30.86</v>
      </c>
      <c r="G959" t="str">
        <f t="array" ref="G959">IFERROR(INDEX('working sheet'!$F$2:$F$3548, MODE(IF('working sheet'!$D$2:$D$3548=A959, MATCH('working sheet'!$F$2:$F$3548, 'working sheet'!$F$2:$F$3548, 0)))),
         INDEX('working sheet'!$F$2:$F$3548, MATCH(A959, 'working sheet'!$D$2:$D$3548, 0)))</f>
        <v>Americano with Milk</v>
      </c>
      <c r="H959" s="7">
        <f t="shared" si="29"/>
        <v>1</v>
      </c>
      <c r="I959" s="7">
        <f>MAX('working sheet'!$B$2:$B$3548)-C959</f>
        <v>112.15087690971995</v>
      </c>
      <c r="J959" s="4" t="str">
        <f t="array" ref="J959">IF(AND(I959&lt;=30, D959&gt;=10, E959&gt;=200), "VIP",  IF(AND(I959&lt;=60, D959&gt;=5, E959&gt;=100), "Loyal", IF(AND(I959&lt;=90, D959&gt;=3), "Regular", IF(I959&lt;=30, "Recent", IF(D959&gt;=3, "Occasional", "At Risk")))))</f>
        <v>At Risk</v>
      </c>
      <c r="K959" t="str">
        <f t="array" ref="K959">IF(OR(J959="VIP", J959="Loyal"), "HIGH",IF(OR(J959="Regular", J959="Recent"), "MEDIUM","LOW"))</f>
        <v>LOW</v>
      </c>
    </row>
    <row r="960" spans="1:11">
      <c r="A960" t="s">
        <v>973</v>
      </c>
      <c r="B960" s="14">
        <f>_xlfn.MINIFS('working sheet'!$B$2:$B$3548, 'working sheet'!$D$2:$D$3548, A960)</f>
        <v>45627.631396446763</v>
      </c>
      <c r="C960" s="17">
        <f>_xlfn.MAXIFS('working sheet'!$B$1:$B$3548,'working sheet'!$D$1:$D$3548,'Customer Portfolio'!A960)</f>
        <v>45627.631909270836</v>
      </c>
      <c r="D960">
        <f>COUNTIFS('working sheet'!$D$1:$D$3548,'Customer Portfolio'!A960)</f>
        <v>2</v>
      </c>
      <c r="E960" s="5">
        <f>SUMIFS('working sheet'!$E$2:$E$3548,'working sheet'!$D$2:$D$3548,'Customer Portfolio'!A960)</f>
        <v>71.52</v>
      </c>
      <c r="F960" s="6">
        <f t="shared" si="28"/>
        <v>35.76</v>
      </c>
      <c r="G960" t="str">
        <f t="array" ref="G960">IFERROR(INDEX('working sheet'!$F$2:$F$3548, MODE(IF('working sheet'!$D$2:$D$3548=A960, MATCH('working sheet'!$F$2:$F$3548, 'working sheet'!$F$2:$F$3548, 0)))),
         INDEX('working sheet'!$F$2:$F$3548, MATCH(A960, 'working sheet'!$D$2:$D$3548, 0)))</f>
        <v>Cocoa</v>
      </c>
      <c r="H960" s="7">
        <f t="shared" si="29"/>
        <v>1.0005128240736667</v>
      </c>
      <c r="I960" s="7">
        <f>MAX('working sheet'!$B$2:$B$3548)-C960</f>
        <v>112.12617678240349</v>
      </c>
      <c r="J960" s="4" t="str">
        <f t="array" ref="J960">IF(AND(I960&lt;=30, D960&gt;=10, E960&gt;=200), "VIP",  IF(AND(I960&lt;=60, D960&gt;=5, E960&gt;=100), "Loyal", IF(AND(I960&lt;=90, D960&gt;=3), "Regular", IF(I960&lt;=30, "Recent", IF(D960&gt;=3, "Occasional", "At Risk")))))</f>
        <v>At Risk</v>
      </c>
      <c r="K960" t="str">
        <f t="array" ref="K960">IF(OR(J960="VIP", J960="Loyal"), "HIGH",IF(OR(J960="Regular", J960="Recent"), "MEDIUM","LOW"))</f>
        <v>LOW</v>
      </c>
    </row>
    <row r="961" spans="1:11">
      <c r="A961" t="s">
        <v>974</v>
      </c>
      <c r="B961" s="14">
        <f>_xlfn.MINIFS('working sheet'!$B$2:$B$3548, 'working sheet'!$D$2:$D$3548, A961)</f>
        <v>45627.65488765046</v>
      </c>
      <c r="C961" s="17">
        <f>_xlfn.MAXIFS('working sheet'!$B$1:$B$3548,'working sheet'!$D$1:$D$3548,'Customer Portfolio'!A961)</f>
        <v>45627.65488765046</v>
      </c>
      <c r="D961">
        <f>COUNTIFS('working sheet'!$D$1:$D$3548,'Customer Portfolio'!A961)</f>
        <v>1</v>
      </c>
      <c r="E961" s="5">
        <f>SUMIFS('working sheet'!$E$2:$E$3548,'working sheet'!$D$2:$D$3548,'Customer Portfolio'!A961)</f>
        <v>35.76</v>
      </c>
      <c r="F961" s="6">
        <f t="shared" si="28"/>
        <v>35.76</v>
      </c>
      <c r="G961" t="str">
        <f t="array" ref="G961">IFERROR(INDEX('working sheet'!$F$2:$F$3548, MODE(IF('working sheet'!$D$2:$D$3548=A961, MATCH('working sheet'!$F$2:$F$3548, 'working sheet'!$F$2:$F$3548, 0)))),
         INDEX('working sheet'!$F$2:$F$3548, MATCH(A961, 'working sheet'!$D$2:$D$3548, 0)))</f>
        <v>Cappuccino</v>
      </c>
      <c r="H961" s="7">
        <f t="shared" si="29"/>
        <v>1</v>
      </c>
      <c r="I961" s="7">
        <f>MAX('working sheet'!$B$2:$B$3548)-C961</f>
        <v>112.10319840277953</v>
      </c>
      <c r="J961" s="4" t="str">
        <f t="array" ref="J961">IF(AND(I961&lt;=30, D961&gt;=10, E961&gt;=200), "VIP",  IF(AND(I961&lt;=60, D961&gt;=5, E961&gt;=100), "Loyal", IF(AND(I961&lt;=90, D961&gt;=3), "Regular", IF(I961&lt;=30, "Recent", IF(D961&gt;=3, "Occasional", "At Risk")))))</f>
        <v>At Risk</v>
      </c>
      <c r="K961" t="str">
        <f t="array" ref="K961">IF(OR(J961="VIP", J961="Loyal"), "HIGH",IF(OR(J961="Regular", J961="Recent"), "MEDIUM","LOW"))</f>
        <v>LOW</v>
      </c>
    </row>
    <row r="962" spans="1:11">
      <c r="A962" t="s">
        <v>975</v>
      </c>
      <c r="B962" s="14">
        <f>_xlfn.MINIFS('working sheet'!$B$2:$B$3548, 'working sheet'!$D$2:$D$3548, A962)</f>
        <v>45627.664250173613</v>
      </c>
      <c r="C962" s="17">
        <f>_xlfn.MAXIFS('working sheet'!$B$1:$B$3548,'working sheet'!$D$1:$D$3548,'Customer Portfolio'!A962)</f>
        <v>45627.664250173613</v>
      </c>
      <c r="D962">
        <f>COUNTIFS('working sheet'!$D$1:$D$3548,'Customer Portfolio'!A962)</f>
        <v>1</v>
      </c>
      <c r="E962" s="5">
        <f>SUMIFS('working sheet'!$E$2:$E$3548,'working sheet'!$D$2:$D$3548,'Customer Portfolio'!A962)</f>
        <v>35.76</v>
      </c>
      <c r="F962" s="6">
        <f t="shared" si="28"/>
        <v>35.76</v>
      </c>
      <c r="G962" t="str">
        <f t="array" ref="G962">IFERROR(INDEX('working sheet'!$F$2:$F$3548, MODE(IF('working sheet'!$D$2:$D$3548=A962, MATCH('working sheet'!$F$2:$F$3548, 'working sheet'!$F$2:$F$3548, 0)))),
         INDEX('working sheet'!$F$2:$F$3548, MATCH(A962, 'working sheet'!$D$2:$D$3548, 0)))</f>
        <v>Latte</v>
      </c>
      <c r="H962" s="7">
        <f t="shared" si="29"/>
        <v>1</v>
      </c>
      <c r="I962" s="7">
        <f>MAX('working sheet'!$B$2:$B$3548)-C962</f>
        <v>112.09383587962657</v>
      </c>
      <c r="J962" s="4" t="str">
        <f t="array" ref="J962">IF(AND(I962&lt;=30, D962&gt;=10, E962&gt;=200), "VIP",  IF(AND(I962&lt;=60, D962&gt;=5, E962&gt;=100), "Loyal", IF(AND(I962&lt;=90, D962&gt;=3), "Regular", IF(I962&lt;=30, "Recent", IF(D962&gt;=3, "Occasional", "At Risk")))))</f>
        <v>At Risk</v>
      </c>
      <c r="K962" t="str">
        <f t="array" ref="K962">IF(OR(J962="VIP", J962="Loyal"), "HIGH",IF(OR(J962="Regular", J962="Recent"), "MEDIUM","LOW"))</f>
        <v>LOW</v>
      </c>
    </row>
    <row r="963" spans="1:11">
      <c r="A963" t="s">
        <v>976</v>
      </c>
      <c r="B963" s="14">
        <f>_xlfn.MINIFS('working sheet'!$B$2:$B$3548, 'working sheet'!$D$2:$D$3548, A963)</f>
        <v>45627.665154699076</v>
      </c>
      <c r="C963" s="17">
        <f>_xlfn.MAXIFS('working sheet'!$B$1:$B$3548,'working sheet'!$D$1:$D$3548,'Customer Portfolio'!A963)</f>
        <v>45627.665154699076</v>
      </c>
      <c r="D963">
        <f>COUNTIFS('working sheet'!$D$1:$D$3548,'Customer Portfolio'!A963)</f>
        <v>1</v>
      </c>
      <c r="E963" s="5">
        <f>SUMIFS('working sheet'!$E$2:$E$3548,'working sheet'!$D$2:$D$3548,'Customer Portfolio'!A963)</f>
        <v>35.76</v>
      </c>
      <c r="F963" s="6">
        <f t="shared" ref="F963:F1026" si="30">E963/D963</f>
        <v>35.76</v>
      </c>
      <c r="G963" t="str">
        <f t="array" ref="G963">IFERROR(INDEX('working sheet'!$F$2:$F$3548, MODE(IF('working sheet'!$D$2:$D$3548=A963, MATCH('working sheet'!$F$2:$F$3548, 'working sheet'!$F$2:$F$3548, 0)))),
         INDEX('working sheet'!$F$2:$F$3548, MATCH(A963, 'working sheet'!$D$2:$D$3548, 0)))</f>
        <v>Latte</v>
      </c>
      <c r="H963" s="7">
        <f t="shared" ref="H963:H1026" si="31">C963-B963+1</f>
        <v>1</v>
      </c>
      <c r="I963" s="7">
        <f>MAX('working sheet'!$B$2:$B$3548)-C963</f>
        <v>112.09293135416374</v>
      </c>
      <c r="J963" s="4" t="str">
        <f t="array" ref="J963">IF(AND(I963&lt;=30, D963&gt;=10, E963&gt;=200), "VIP",  IF(AND(I963&lt;=60, D963&gt;=5, E963&gt;=100), "Loyal", IF(AND(I963&lt;=90, D963&gt;=3), "Regular", IF(I963&lt;=30, "Recent", IF(D963&gt;=3, "Occasional", "At Risk")))))</f>
        <v>At Risk</v>
      </c>
      <c r="K963" t="str">
        <f t="array" ref="K963">IF(OR(J963="VIP", J963="Loyal"), "HIGH",IF(OR(J963="Regular", J963="Recent"), "MEDIUM","LOW"))</f>
        <v>LOW</v>
      </c>
    </row>
    <row r="964" spans="1:11">
      <c r="A964" t="s">
        <v>977</v>
      </c>
      <c r="B964" s="14">
        <f>_xlfn.MINIFS('working sheet'!$B$2:$B$3548, 'working sheet'!$D$2:$D$3548, A964)</f>
        <v>45627.68957732639</v>
      </c>
      <c r="C964" s="17">
        <f>_xlfn.MAXIFS('working sheet'!$B$1:$B$3548,'working sheet'!$D$1:$D$3548,'Customer Portfolio'!A964)</f>
        <v>45627.68957732639</v>
      </c>
      <c r="D964">
        <f>COUNTIFS('working sheet'!$D$1:$D$3548,'Customer Portfolio'!A964)</f>
        <v>1</v>
      </c>
      <c r="E964" s="5">
        <f>SUMIFS('working sheet'!$E$2:$E$3548,'working sheet'!$D$2:$D$3548,'Customer Portfolio'!A964)</f>
        <v>35.76</v>
      </c>
      <c r="F964" s="6">
        <f t="shared" si="30"/>
        <v>35.76</v>
      </c>
      <c r="G964" t="str">
        <f t="array" ref="G964">IFERROR(INDEX('working sheet'!$F$2:$F$3548, MODE(IF('working sheet'!$D$2:$D$3548=A964, MATCH('working sheet'!$F$2:$F$3548, 'working sheet'!$F$2:$F$3548, 0)))),
         INDEX('working sheet'!$F$2:$F$3548, MATCH(A964, 'working sheet'!$D$2:$D$3548, 0)))</f>
        <v>Latte</v>
      </c>
      <c r="H964" s="7">
        <f t="shared" si="31"/>
        <v>1</v>
      </c>
      <c r="I964" s="7">
        <f>MAX('working sheet'!$B$2:$B$3548)-C964</f>
        <v>112.06850872685027</v>
      </c>
      <c r="J964" s="4" t="str">
        <f t="array" ref="J964">IF(AND(I964&lt;=30, D964&gt;=10, E964&gt;=200), "VIP",  IF(AND(I964&lt;=60, D964&gt;=5, E964&gt;=100), "Loyal", IF(AND(I964&lt;=90, D964&gt;=3), "Regular", IF(I964&lt;=30, "Recent", IF(D964&gt;=3, "Occasional", "At Risk")))))</f>
        <v>At Risk</v>
      </c>
      <c r="K964" t="str">
        <f t="array" ref="K964">IF(OR(J964="VIP", J964="Loyal"), "HIGH",IF(OR(J964="Regular", J964="Recent"), "MEDIUM","LOW"))</f>
        <v>LOW</v>
      </c>
    </row>
    <row r="965" spans="1:11">
      <c r="A965" t="s">
        <v>978</v>
      </c>
      <c r="B965" s="14">
        <f>_xlfn.MINIFS('working sheet'!$B$2:$B$3548, 'working sheet'!$D$2:$D$3548, A965)</f>
        <v>45627.690625543983</v>
      </c>
      <c r="C965" s="17">
        <f>_xlfn.MAXIFS('working sheet'!$B$1:$B$3548,'working sheet'!$D$1:$D$3548,'Customer Portfolio'!A965)</f>
        <v>45627.690625543983</v>
      </c>
      <c r="D965">
        <f>COUNTIFS('working sheet'!$D$1:$D$3548,'Customer Portfolio'!A965)</f>
        <v>1</v>
      </c>
      <c r="E965" s="5">
        <f>SUMIFS('working sheet'!$E$2:$E$3548,'working sheet'!$D$2:$D$3548,'Customer Portfolio'!A965)</f>
        <v>35.76</v>
      </c>
      <c r="F965" s="6">
        <f t="shared" si="30"/>
        <v>35.76</v>
      </c>
      <c r="G965" t="str">
        <f t="array" ref="G965">IFERROR(INDEX('working sheet'!$F$2:$F$3548, MODE(IF('working sheet'!$D$2:$D$3548=A965, MATCH('working sheet'!$F$2:$F$3548, 'working sheet'!$F$2:$F$3548, 0)))),
         INDEX('working sheet'!$F$2:$F$3548, MATCH(A965, 'working sheet'!$D$2:$D$3548, 0)))</f>
        <v>Latte</v>
      </c>
      <c r="H965" s="7">
        <f t="shared" si="31"/>
        <v>1</v>
      </c>
      <c r="I965" s="7">
        <f>MAX('working sheet'!$B$2:$B$3548)-C965</f>
        <v>112.06746050925722</v>
      </c>
      <c r="J965" s="4" t="str">
        <f t="array" ref="J965">IF(AND(I965&lt;=30, D965&gt;=10, E965&gt;=200), "VIP",  IF(AND(I965&lt;=60, D965&gt;=5, E965&gt;=100), "Loyal", IF(AND(I965&lt;=90, D965&gt;=3), "Regular", IF(I965&lt;=30, "Recent", IF(D965&gt;=3, "Occasional", "At Risk")))))</f>
        <v>At Risk</v>
      </c>
      <c r="K965" t="str">
        <f t="array" ref="K965">IF(OR(J965="VIP", J965="Loyal"), "HIGH",IF(OR(J965="Regular", J965="Recent"), "MEDIUM","LOW"))</f>
        <v>LOW</v>
      </c>
    </row>
    <row r="966" spans="1:11">
      <c r="A966" t="s">
        <v>979</v>
      </c>
      <c r="B966" s="14">
        <f>_xlfn.MINIFS('working sheet'!$B$2:$B$3548, 'working sheet'!$D$2:$D$3548, A966)</f>
        <v>45627.71555064815</v>
      </c>
      <c r="C966" s="17">
        <f>_xlfn.MAXIFS('working sheet'!$B$1:$B$3548,'working sheet'!$D$1:$D$3548,'Customer Portfolio'!A966)</f>
        <v>45627.716342812499</v>
      </c>
      <c r="D966">
        <f>COUNTIFS('working sheet'!$D$1:$D$3548,'Customer Portfolio'!A966)</f>
        <v>2</v>
      </c>
      <c r="E966" s="5">
        <f>SUMIFS('working sheet'!$E$2:$E$3548,'working sheet'!$D$2:$D$3548,'Customer Portfolio'!A966)</f>
        <v>61.72</v>
      </c>
      <c r="F966" s="6">
        <f t="shared" si="30"/>
        <v>30.86</v>
      </c>
      <c r="G966" t="str">
        <f t="array" ref="G966">IFERROR(INDEX('working sheet'!$F$2:$F$3548, MODE(IF('working sheet'!$D$2:$D$3548=A966, MATCH('working sheet'!$F$2:$F$3548, 'working sheet'!$F$2:$F$3548, 0)))),
         INDEX('working sheet'!$F$2:$F$3548, MATCH(A966, 'working sheet'!$D$2:$D$3548, 0)))</f>
        <v>Americano with Milk</v>
      </c>
      <c r="H966" s="7">
        <f t="shared" si="31"/>
        <v>1.0007921643482405</v>
      </c>
      <c r="I966" s="7">
        <f>MAX('working sheet'!$B$2:$B$3548)-C966</f>
        <v>112.0417432407412</v>
      </c>
      <c r="J966" s="4" t="str">
        <f t="array" ref="J966">IF(AND(I966&lt;=30, D966&gt;=10, E966&gt;=200), "VIP",  IF(AND(I966&lt;=60, D966&gt;=5, E966&gt;=100), "Loyal", IF(AND(I966&lt;=90, D966&gt;=3), "Regular", IF(I966&lt;=30, "Recent", IF(D966&gt;=3, "Occasional", "At Risk")))))</f>
        <v>At Risk</v>
      </c>
      <c r="K966" t="str">
        <f t="array" ref="K966">IF(OR(J966="VIP", J966="Loyal"), "HIGH",IF(OR(J966="Regular", J966="Recent"), "MEDIUM","LOW"))</f>
        <v>LOW</v>
      </c>
    </row>
    <row r="967" spans="1:11">
      <c r="A967" t="s">
        <v>980</v>
      </c>
      <c r="B967" s="14">
        <f>_xlfn.MINIFS('working sheet'!$B$2:$B$3548, 'working sheet'!$D$2:$D$3548, A967)</f>
        <v>45627.776720891205</v>
      </c>
      <c r="C967" s="17">
        <f>_xlfn.MAXIFS('working sheet'!$B$1:$B$3548,'working sheet'!$D$1:$D$3548,'Customer Portfolio'!A967)</f>
        <v>45627.776720891205</v>
      </c>
      <c r="D967">
        <f>COUNTIFS('working sheet'!$D$1:$D$3548,'Customer Portfolio'!A967)</f>
        <v>1</v>
      </c>
      <c r="E967" s="5">
        <f>SUMIFS('working sheet'!$E$2:$E$3548,'working sheet'!$D$2:$D$3548,'Customer Portfolio'!A967)</f>
        <v>30.86</v>
      </c>
      <c r="F967" s="6">
        <f t="shared" si="30"/>
        <v>30.86</v>
      </c>
      <c r="G967" t="str">
        <f t="array" ref="G967">IFERROR(INDEX('working sheet'!$F$2:$F$3548, MODE(IF('working sheet'!$D$2:$D$3548=A967, MATCH('working sheet'!$F$2:$F$3548, 'working sheet'!$F$2:$F$3548, 0)))),
         INDEX('working sheet'!$F$2:$F$3548, MATCH(A967, 'working sheet'!$D$2:$D$3548, 0)))</f>
        <v>Americano with Milk</v>
      </c>
      <c r="H967" s="7">
        <f t="shared" si="31"/>
        <v>1</v>
      </c>
      <c r="I967" s="7">
        <f>MAX('working sheet'!$B$2:$B$3548)-C967</f>
        <v>111.98136516203522</v>
      </c>
      <c r="J967" s="4" t="str">
        <f t="array" ref="J967">IF(AND(I967&lt;=30, D967&gt;=10, E967&gt;=200), "VIP",  IF(AND(I967&lt;=60, D967&gt;=5, E967&gt;=100), "Loyal", IF(AND(I967&lt;=90, D967&gt;=3), "Regular", IF(I967&lt;=30, "Recent", IF(D967&gt;=3, "Occasional", "At Risk")))))</f>
        <v>At Risk</v>
      </c>
      <c r="K967" t="str">
        <f t="array" ref="K967">IF(OR(J967="VIP", J967="Loyal"), "HIGH",IF(OR(J967="Regular", J967="Recent"), "MEDIUM","LOW"))</f>
        <v>LOW</v>
      </c>
    </row>
    <row r="968" spans="1:11">
      <c r="A968" t="s">
        <v>981</v>
      </c>
      <c r="B968" s="14">
        <f>_xlfn.MINIFS('working sheet'!$B$2:$B$3548, 'working sheet'!$D$2:$D$3548, A968)</f>
        <v>45628.327770520831</v>
      </c>
      <c r="C968" s="17">
        <f>_xlfn.MAXIFS('working sheet'!$B$1:$B$3548,'working sheet'!$D$1:$D$3548,'Customer Portfolio'!A968)</f>
        <v>45628.327770520831</v>
      </c>
      <c r="D968">
        <f>COUNTIFS('working sheet'!$D$1:$D$3548,'Customer Portfolio'!A968)</f>
        <v>1</v>
      </c>
      <c r="E968" s="5">
        <f>SUMIFS('working sheet'!$E$2:$E$3548,'working sheet'!$D$2:$D$3548,'Customer Portfolio'!A968)</f>
        <v>25.96</v>
      </c>
      <c r="F968" s="6">
        <f t="shared" si="30"/>
        <v>25.96</v>
      </c>
      <c r="G968" t="str">
        <f t="array" ref="G968">IFERROR(INDEX('working sheet'!$F$2:$F$3548, MODE(IF('working sheet'!$D$2:$D$3548=A968, MATCH('working sheet'!$F$2:$F$3548, 'working sheet'!$F$2:$F$3548, 0)))),
         INDEX('working sheet'!$F$2:$F$3548, MATCH(A968, 'working sheet'!$D$2:$D$3548, 0)))</f>
        <v>Americano</v>
      </c>
      <c r="H968" s="7">
        <f t="shared" si="31"/>
        <v>1</v>
      </c>
      <c r="I968" s="7">
        <f>MAX('working sheet'!$B$2:$B$3548)-C968</f>
        <v>111.43031553240871</v>
      </c>
      <c r="J968" s="4" t="str">
        <f t="array" ref="J968">IF(AND(I968&lt;=30, D968&gt;=10, E968&gt;=200), "VIP",  IF(AND(I968&lt;=60, D968&gt;=5, E968&gt;=100), "Loyal", IF(AND(I968&lt;=90, D968&gt;=3), "Regular", IF(I968&lt;=30, "Recent", IF(D968&gt;=3, "Occasional", "At Risk")))))</f>
        <v>At Risk</v>
      </c>
      <c r="K968" t="str">
        <f t="array" ref="K968">IF(OR(J968="VIP", J968="Loyal"), "HIGH",IF(OR(J968="Regular", J968="Recent"), "MEDIUM","LOW"))</f>
        <v>LOW</v>
      </c>
    </row>
    <row r="969" spans="1:11">
      <c r="A969" t="s">
        <v>982</v>
      </c>
      <c r="B969" s="14">
        <f>_xlfn.MINIFS('working sheet'!$B$2:$B$3548, 'working sheet'!$D$2:$D$3548, A969)</f>
        <v>45628.370306180557</v>
      </c>
      <c r="C969" s="17">
        <f>_xlfn.MAXIFS('working sheet'!$B$1:$B$3548,'working sheet'!$D$1:$D$3548,'Customer Portfolio'!A969)</f>
        <v>45628.370306180557</v>
      </c>
      <c r="D969">
        <f>COUNTIFS('working sheet'!$D$1:$D$3548,'Customer Portfolio'!A969)</f>
        <v>1</v>
      </c>
      <c r="E969" s="5">
        <f>SUMIFS('working sheet'!$E$2:$E$3548,'working sheet'!$D$2:$D$3548,'Customer Portfolio'!A969)</f>
        <v>35.76</v>
      </c>
      <c r="F969" s="6">
        <f t="shared" si="30"/>
        <v>35.76</v>
      </c>
      <c r="G969" t="str">
        <f t="array" ref="G969">IFERROR(INDEX('working sheet'!$F$2:$F$3548, MODE(IF('working sheet'!$D$2:$D$3548=A969, MATCH('working sheet'!$F$2:$F$3548, 'working sheet'!$F$2:$F$3548, 0)))),
         INDEX('working sheet'!$F$2:$F$3548, MATCH(A969, 'working sheet'!$D$2:$D$3548, 0)))</f>
        <v>Cocoa</v>
      </c>
      <c r="H969" s="7">
        <f t="shared" si="31"/>
        <v>1</v>
      </c>
      <c r="I969" s="7">
        <f>MAX('working sheet'!$B$2:$B$3548)-C969</f>
        <v>111.38777987268259</v>
      </c>
      <c r="J969" s="4" t="str">
        <f t="array" ref="J969">IF(AND(I969&lt;=30, D969&gt;=10, E969&gt;=200), "VIP",  IF(AND(I969&lt;=60, D969&gt;=5, E969&gt;=100), "Loyal", IF(AND(I969&lt;=90, D969&gt;=3), "Regular", IF(I969&lt;=30, "Recent", IF(D969&gt;=3, "Occasional", "At Risk")))))</f>
        <v>At Risk</v>
      </c>
      <c r="K969" t="str">
        <f t="array" ref="K969">IF(OR(J969="VIP", J969="Loyal"), "HIGH",IF(OR(J969="Regular", J969="Recent"), "MEDIUM","LOW"))</f>
        <v>LOW</v>
      </c>
    </row>
    <row r="970" spans="1:11">
      <c r="A970" t="s">
        <v>983</v>
      </c>
      <c r="B970" s="14">
        <f>_xlfn.MINIFS('working sheet'!$B$2:$B$3548, 'working sheet'!$D$2:$D$3548, A970)</f>
        <v>45628.644721597222</v>
      </c>
      <c r="C970" s="17">
        <f>_xlfn.MAXIFS('working sheet'!$B$1:$B$3548,'working sheet'!$D$1:$D$3548,'Customer Portfolio'!A970)</f>
        <v>45628.644721597222</v>
      </c>
      <c r="D970">
        <f>COUNTIFS('working sheet'!$D$1:$D$3548,'Customer Portfolio'!A970)</f>
        <v>1</v>
      </c>
      <c r="E970" s="5">
        <f>SUMIFS('working sheet'!$E$2:$E$3548,'working sheet'!$D$2:$D$3548,'Customer Portfolio'!A970)</f>
        <v>21.06</v>
      </c>
      <c r="F970" s="6">
        <f t="shared" si="30"/>
        <v>21.06</v>
      </c>
      <c r="G970" t="str">
        <f t="array" ref="G970">IFERROR(INDEX('working sheet'!$F$2:$F$3548, MODE(IF('working sheet'!$D$2:$D$3548=A970, MATCH('working sheet'!$F$2:$F$3548, 'working sheet'!$F$2:$F$3548, 0)))),
         INDEX('working sheet'!$F$2:$F$3548, MATCH(A970, 'working sheet'!$D$2:$D$3548, 0)))</f>
        <v>Espresso</v>
      </c>
      <c r="H970" s="7">
        <f t="shared" si="31"/>
        <v>1</v>
      </c>
      <c r="I970" s="7">
        <f>MAX('working sheet'!$B$2:$B$3548)-C970</f>
        <v>111.11336445601773</v>
      </c>
      <c r="J970" s="4" t="str">
        <f t="array" ref="J970">IF(AND(I970&lt;=30, D970&gt;=10, E970&gt;=200), "VIP",  IF(AND(I970&lt;=60, D970&gt;=5, E970&gt;=100), "Loyal", IF(AND(I970&lt;=90, D970&gt;=3), "Regular", IF(I970&lt;=30, "Recent", IF(D970&gt;=3, "Occasional", "At Risk")))))</f>
        <v>At Risk</v>
      </c>
      <c r="K970" t="str">
        <f t="array" ref="K970">IF(OR(J970="VIP", J970="Loyal"), "HIGH",IF(OR(J970="Regular", J970="Recent"), "MEDIUM","LOW"))</f>
        <v>LOW</v>
      </c>
    </row>
    <row r="971" spans="1:11">
      <c r="A971" t="s">
        <v>984</v>
      </c>
      <c r="B971" s="14">
        <f>_xlfn.MINIFS('working sheet'!$B$2:$B$3548, 'working sheet'!$D$2:$D$3548, A971)</f>
        <v>45628.675276851849</v>
      </c>
      <c r="C971" s="17">
        <f>_xlfn.MAXIFS('working sheet'!$B$1:$B$3548,'working sheet'!$D$1:$D$3548,'Customer Portfolio'!A971)</f>
        <v>45628.675276851849</v>
      </c>
      <c r="D971">
        <f>COUNTIFS('working sheet'!$D$1:$D$3548,'Customer Portfolio'!A971)</f>
        <v>1</v>
      </c>
      <c r="E971" s="5">
        <f>SUMIFS('working sheet'!$E$2:$E$3548,'working sheet'!$D$2:$D$3548,'Customer Portfolio'!A971)</f>
        <v>35.76</v>
      </c>
      <c r="F971" s="6">
        <f t="shared" si="30"/>
        <v>35.76</v>
      </c>
      <c r="G971" t="str">
        <f t="array" ref="G971">IFERROR(INDEX('working sheet'!$F$2:$F$3548, MODE(IF('working sheet'!$D$2:$D$3548=A971, MATCH('working sheet'!$F$2:$F$3548, 'working sheet'!$F$2:$F$3548, 0)))),
         INDEX('working sheet'!$F$2:$F$3548, MATCH(A971, 'working sheet'!$D$2:$D$3548, 0)))</f>
        <v>Cappuccino</v>
      </c>
      <c r="H971" s="7">
        <f t="shared" si="31"/>
        <v>1</v>
      </c>
      <c r="I971" s="7">
        <f>MAX('working sheet'!$B$2:$B$3548)-C971</f>
        <v>111.08280920139077</v>
      </c>
      <c r="J971" s="4" t="str">
        <f t="array" ref="J971">IF(AND(I971&lt;=30, D971&gt;=10, E971&gt;=200), "VIP",  IF(AND(I971&lt;=60, D971&gt;=5, E971&gt;=100), "Loyal", IF(AND(I971&lt;=90, D971&gt;=3), "Regular", IF(I971&lt;=30, "Recent", IF(D971&gt;=3, "Occasional", "At Risk")))))</f>
        <v>At Risk</v>
      </c>
      <c r="K971" t="str">
        <f t="array" ref="K971">IF(OR(J971="VIP", J971="Loyal"), "HIGH",IF(OR(J971="Regular", J971="Recent"), "MEDIUM","LOW"))</f>
        <v>LOW</v>
      </c>
    </row>
    <row r="972" spans="1:11">
      <c r="A972" t="s">
        <v>985</v>
      </c>
      <c r="B972" s="14">
        <f>_xlfn.MINIFS('working sheet'!$B$2:$B$3548, 'working sheet'!$D$2:$D$3548, A972)</f>
        <v>45628.732195543984</v>
      </c>
      <c r="C972" s="17">
        <f>_xlfn.MAXIFS('working sheet'!$B$1:$B$3548,'working sheet'!$D$1:$D$3548,'Customer Portfolio'!A972)</f>
        <v>45628.732195543984</v>
      </c>
      <c r="D972">
        <f>COUNTIFS('working sheet'!$D$1:$D$3548,'Customer Portfolio'!A972)</f>
        <v>1</v>
      </c>
      <c r="E972" s="5">
        <f>SUMIFS('working sheet'!$E$2:$E$3548,'working sheet'!$D$2:$D$3548,'Customer Portfolio'!A972)</f>
        <v>25.96</v>
      </c>
      <c r="F972" s="6">
        <f t="shared" si="30"/>
        <v>25.96</v>
      </c>
      <c r="G972" t="str">
        <f t="array" ref="G972">IFERROR(INDEX('working sheet'!$F$2:$F$3548, MODE(IF('working sheet'!$D$2:$D$3548=A972, MATCH('working sheet'!$F$2:$F$3548, 'working sheet'!$F$2:$F$3548, 0)))),
         INDEX('working sheet'!$F$2:$F$3548, MATCH(A972, 'working sheet'!$D$2:$D$3548, 0)))</f>
        <v>Americano</v>
      </c>
      <c r="H972" s="7">
        <f t="shared" si="31"/>
        <v>1</v>
      </c>
      <c r="I972" s="7">
        <f>MAX('working sheet'!$B$2:$B$3548)-C972</f>
        <v>111.02589050925599</v>
      </c>
      <c r="J972" s="4" t="str">
        <f t="array" ref="J972">IF(AND(I972&lt;=30, D972&gt;=10, E972&gt;=200), "VIP",  IF(AND(I972&lt;=60, D972&gt;=5, E972&gt;=100), "Loyal", IF(AND(I972&lt;=90, D972&gt;=3), "Regular", IF(I972&lt;=30, "Recent", IF(D972&gt;=3, "Occasional", "At Risk")))))</f>
        <v>At Risk</v>
      </c>
      <c r="K972" t="str">
        <f t="array" ref="K972">IF(OR(J972="VIP", J972="Loyal"), "HIGH",IF(OR(J972="Regular", J972="Recent"), "MEDIUM","LOW"))</f>
        <v>LOW</v>
      </c>
    </row>
    <row r="973" spans="1:11">
      <c r="A973" t="s">
        <v>986</v>
      </c>
      <c r="B973" s="14">
        <f>_xlfn.MINIFS('working sheet'!$B$2:$B$3548, 'working sheet'!$D$2:$D$3548, A973)</f>
        <v>45628.750373842595</v>
      </c>
      <c r="C973" s="17">
        <f>_xlfn.MAXIFS('working sheet'!$B$1:$B$3548,'working sheet'!$D$1:$D$3548,'Customer Portfolio'!A973)</f>
        <v>45628.750373842595</v>
      </c>
      <c r="D973">
        <f>COUNTIFS('working sheet'!$D$1:$D$3548,'Customer Portfolio'!A973)</f>
        <v>1</v>
      </c>
      <c r="E973" s="5">
        <f>SUMIFS('working sheet'!$E$2:$E$3548,'working sheet'!$D$2:$D$3548,'Customer Portfolio'!A973)</f>
        <v>35.76</v>
      </c>
      <c r="F973" s="6">
        <f t="shared" si="30"/>
        <v>35.76</v>
      </c>
      <c r="G973" t="str">
        <f t="array" ref="G973">IFERROR(INDEX('working sheet'!$F$2:$F$3548, MODE(IF('working sheet'!$D$2:$D$3548=A973, MATCH('working sheet'!$F$2:$F$3548, 'working sheet'!$F$2:$F$3548, 0)))),
         INDEX('working sheet'!$F$2:$F$3548, MATCH(A973, 'working sheet'!$D$2:$D$3548, 0)))</f>
        <v>Cappuccino</v>
      </c>
      <c r="H973" s="7">
        <f t="shared" si="31"/>
        <v>1</v>
      </c>
      <c r="I973" s="7">
        <f>MAX('working sheet'!$B$2:$B$3548)-C973</f>
        <v>111.00771221064497</v>
      </c>
      <c r="J973" s="4" t="str">
        <f t="array" ref="J973">IF(AND(I973&lt;=30, D973&gt;=10, E973&gt;=200), "VIP",  IF(AND(I973&lt;=60, D973&gt;=5, E973&gt;=100), "Loyal", IF(AND(I973&lt;=90, D973&gt;=3), "Regular", IF(I973&lt;=30, "Recent", IF(D973&gt;=3, "Occasional", "At Risk")))))</f>
        <v>At Risk</v>
      </c>
      <c r="K973" t="str">
        <f t="array" ref="K973">IF(OR(J973="VIP", J973="Loyal"), "HIGH",IF(OR(J973="Regular", J973="Recent"), "MEDIUM","LOW"))</f>
        <v>LOW</v>
      </c>
    </row>
    <row r="974" spans="1:11">
      <c r="A974" t="s">
        <v>987</v>
      </c>
      <c r="B974" s="14">
        <f>_xlfn.MINIFS('working sheet'!$B$2:$B$3548, 'working sheet'!$D$2:$D$3548, A974)</f>
        <v>45629.470815000001</v>
      </c>
      <c r="C974" s="17">
        <f>_xlfn.MAXIFS('working sheet'!$B$1:$B$3548,'working sheet'!$D$1:$D$3548,'Customer Portfolio'!A974)</f>
        <v>45629.470815000001</v>
      </c>
      <c r="D974">
        <f>COUNTIFS('working sheet'!$D$1:$D$3548,'Customer Portfolio'!A974)</f>
        <v>1</v>
      </c>
      <c r="E974" s="5">
        <f>SUMIFS('working sheet'!$E$2:$E$3548,'working sheet'!$D$2:$D$3548,'Customer Portfolio'!A974)</f>
        <v>25.96</v>
      </c>
      <c r="F974" s="6">
        <f t="shared" si="30"/>
        <v>25.96</v>
      </c>
      <c r="G974" t="str">
        <f t="array" ref="G974">IFERROR(INDEX('working sheet'!$F$2:$F$3548, MODE(IF('working sheet'!$D$2:$D$3548=A974, MATCH('working sheet'!$F$2:$F$3548, 'working sheet'!$F$2:$F$3548, 0)))),
         INDEX('working sheet'!$F$2:$F$3548, MATCH(A974, 'working sheet'!$D$2:$D$3548, 0)))</f>
        <v>Americano</v>
      </c>
      <c r="H974" s="7">
        <f t="shared" si="31"/>
        <v>1</v>
      </c>
      <c r="I974" s="7">
        <f>MAX('working sheet'!$B$2:$B$3548)-C974</f>
        <v>110.28727105323924</v>
      </c>
      <c r="J974" s="4" t="str">
        <f t="array" ref="J974">IF(AND(I974&lt;=30, D974&gt;=10, E974&gt;=200), "VIP",  IF(AND(I974&lt;=60, D974&gt;=5, E974&gt;=100), "Loyal", IF(AND(I974&lt;=90, D974&gt;=3), "Regular", IF(I974&lt;=30, "Recent", IF(D974&gt;=3, "Occasional", "At Risk")))))</f>
        <v>At Risk</v>
      </c>
      <c r="K974" t="str">
        <f t="array" ref="K974">IF(OR(J974="VIP", J974="Loyal"), "HIGH",IF(OR(J974="Regular", J974="Recent"), "MEDIUM","LOW"))</f>
        <v>LOW</v>
      </c>
    </row>
    <row r="975" spans="1:11">
      <c r="A975" t="s">
        <v>988</v>
      </c>
      <c r="B975" s="14">
        <f>_xlfn.MINIFS('working sheet'!$B$2:$B$3548, 'working sheet'!$D$2:$D$3548, A975)</f>
        <v>45629.487587731484</v>
      </c>
      <c r="C975" s="17">
        <f>_xlfn.MAXIFS('working sheet'!$B$1:$B$3548,'working sheet'!$D$1:$D$3548,'Customer Portfolio'!A975)</f>
        <v>45629.487587731484</v>
      </c>
      <c r="D975">
        <f>COUNTIFS('working sheet'!$D$1:$D$3548,'Customer Portfolio'!A975)</f>
        <v>1</v>
      </c>
      <c r="E975" s="5">
        <f>SUMIFS('working sheet'!$E$2:$E$3548,'working sheet'!$D$2:$D$3548,'Customer Portfolio'!A975)</f>
        <v>30.86</v>
      </c>
      <c r="F975" s="6">
        <f t="shared" si="30"/>
        <v>30.86</v>
      </c>
      <c r="G975" t="str">
        <f t="array" ref="G975">IFERROR(INDEX('working sheet'!$F$2:$F$3548, MODE(IF('working sheet'!$D$2:$D$3548=A975, MATCH('working sheet'!$F$2:$F$3548, 'working sheet'!$F$2:$F$3548, 0)))),
         INDEX('working sheet'!$F$2:$F$3548, MATCH(A975, 'working sheet'!$D$2:$D$3548, 0)))</f>
        <v>Americano with Milk</v>
      </c>
      <c r="H975" s="7">
        <f t="shared" si="31"/>
        <v>1</v>
      </c>
      <c r="I975" s="7">
        <f>MAX('working sheet'!$B$2:$B$3548)-C975</f>
        <v>110.27049832175544</v>
      </c>
      <c r="J975" s="4" t="str">
        <f t="array" ref="J975">IF(AND(I975&lt;=30, D975&gt;=10, E975&gt;=200), "VIP",  IF(AND(I975&lt;=60, D975&gt;=5, E975&gt;=100), "Loyal", IF(AND(I975&lt;=90, D975&gt;=3), "Regular", IF(I975&lt;=30, "Recent", IF(D975&gt;=3, "Occasional", "At Risk")))))</f>
        <v>At Risk</v>
      </c>
      <c r="K975" t="str">
        <f t="array" ref="K975">IF(OR(J975="VIP", J975="Loyal"), "HIGH",IF(OR(J975="Regular", J975="Recent"), "MEDIUM","LOW"))</f>
        <v>LOW</v>
      </c>
    </row>
    <row r="976" spans="1:11">
      <c r="A976" t="s">
        <v>989</v>
      </c>
      <c r="B976" s="14">
        <f>_xlfn.MINIFS('working sheet'!$B$2:$B$3548, 'working sheet'!$D$2:$D$3548, A976)</f>
        <v>45629.868700833336</v>
      </c>
      <c r="C976" s="17">
        <f>_xlfn.MAXIFS('working sheet'!$B$1:$B$3548,'working sheet'!$D$1:$D$3548,'Customer Portfolio'!A976)</f>
        <v>45629.868700833336</v>
      </c>
      <c r="D976">
        <f>COUNTIFS('working sheet'!$D$1:$D$3548,'Customer Portfolio'!A976)</f>
        <v>1</v>
      </c>
      <c r="E976" s="5">
        <f>SUMIFS('working sheet'!$E$2:$E$3548,'working sheet'!$D$2:$D$3548,'Customer Portfolio'!A976)</f>
        <v>35.76</v>
      </c>
      <c r="F976" s="6">
        <f t="shared" si="30"/>
        <v>35.76</v>
      </c>
      <c r="G976" t="str">
        <f t="array" ref="G976">IFERROR(INDEX('working sheet'!$F$2:$F$3548, MODE(IF('working sheet'!$D$2:$D$3548=A976, MATCH('working sheet'!$F$2:$F$3548, 'working sheet'!$F$2:$F$3548, 0)))),
         INDEX('working sheet'!$F$2:$F$3548, MATCH(A976, 'working sheet'!$D$2:$D$3548, 0)))</f>
        <v>Cocoa</v>
      </c>
      <c r="H976" s="7">
        <f t="shared" si="31"/>
        <v>1</v>
      </c>
      <c r="I976" s="7">
        <f>MAX('working sheet'!$B$2:$B$3548)-C976</f>
        <v>109.88938521990349</v>
      </c>
      <c r="J976" s="4" t="str">
        <f t="array" ref="J976">IF(AND(I976&lt;=30, D976&gt;=10, E976&gt;=200), "VIP",  IF(AND(I976&lt;=60, D976&gt;=5, E976&gt;=100), "Loyal", IF(AND(I976&lt;=90, D976&gt;=3), "Regular", IF(I976&lt;=30, "Recent", IF(D976&gt;=3, "Occasional", "At Risk")))))</f>
        <v>At Risk</v>
      </c>
      <c r="K976" t="str">
        <f t="array" ref="K976">IF(OR(J976="VIP", J976="Loyal"), "HIGH",IF(OR(J976="Regular", J976="Recent"), "MEDIUM","LOW"))</f>
        <v>LOW</v>
      </c>
    </row>
    <row r="977" spans="1:11">
      <c r="A977" t="s">
        <v>990</v>
      </c>
      <c r="B977" s="14">
        <f>_xlfn.MINIFS('working sheet'!$B$2:$B$3548, 'working sheet'!$D$2:$D$3548, A977)</f>
        <v>45629.930020520835</v>
      </c>
      <c r="C977" s="17">
        <f>_xlfn.MAXIFS('working sheet'!$B$1:$B$3548,'working sheet'!$D$1:$D$3548,'Customer Portfolio'!A977)</f>
        <v>45634.903744479168</v>
      </c>
      <c r="D977">
        <f>COUNTIFS('working sheet'!$D$1:$D$3548,'Customer Portfolio'!A977)</f>
        <v>2</v>
      </c>
      <c r="E977" s="5">
        <f>SUMIFS('working sheet'!$E$2:$E$3548,'working sheet'!$D$2:$D$3548,'Customer Portfolio'!A977)</f>
        <v>61.72</v>
      </c>
      <c r="F977" s="6">
        <f t="shared" si="30"/>
        <v>30.86</v>
      </c>
      <c r="G977" t="str">
        <f t="array" ref="G977">IFERROR(INDEX('working sheet'!$F$2:$F$3548, MODE(IF('working sheet'!$D$2:$D$3548=A977, MATCH('working sheet'!$F$2:$F$3548, 'working sheet'!$F$2:$F$3548, 0)))),
         INDEX('working sheet'!$F$2:$F$3548, MATCH(A977, 'working sheet'!$D$2:$D$3548, 0)))</f>
        <v>Americano with Milk</v>
      </c>
      <c r="H977" s="7">
        <f t="shared" si="31"/>
        <v>5.9737239583337214</v>
      </c>
      <c r="I977" s="7">
        <f>MAX('working sheet'!$B$2:$B$3548)-C977</f>
        <v>104.85434157407144</v>
      </c>
      <c r="J977" s="4" t="str">
        <f t="array" ref="J977">IF(AND(I977&lt;=30, D977&gt;=10, E977&gt;=200), "VIP",  IF(AND(I977&lt;=60, D977&gt;=5, E977&gt;=100), "Loyal", IF(AND(I977&lt;=90, D977&gt;=3), "Regular", IF(I977&lt;=30, "Recent", IF(D977&gt;=3, "Occasional", "At Risk")))))</f>
        <v>At Risk</v>
      </c>
      <c r="K977" t="str">
        <f t="array" ref="K977">IF(OR(J977="VIP", J977="Loyal"), "HIGH",IF(OR(J977="Regular", J977="Recent"), "MEDIUM","LOW"))</f>
        <v>LOW</v>
      </c>
    </row>
    <row r="978" spans="1:11">
      <c r="A978" t="s">
        <v>991</v>
      </c>
      <c r="B978" s="14">
        <f>_xlfn.MINIFS('working sheet'!$B$2:$B$3548, 'working sheet'!$D$2:$D$3548, A978)</f>
        <v>45630.368405833331</v>
      </c>
      <c r="C978" s="17">
        <f>_xlfn.MAXIFS('working sheet'!$B$1:$B$3548,'working sheet'!$D$1:$D$3548,'Customer Portfolio'!A978)</f>
        <v>45630.368405833331</v>
      </c>
      <c r="D978">
        <f>COUNTIFS('working sheet'!$D$1:$D$3548,'Customer Portfolio'!A978)</f>
        <v>1</v>
      </c>
      <c r="E978" s="5">
        <f>SUMIFS('working sheet'!$E$2:$E$3548,'working sheet'!$D$2:$D$3548,'Customer Portfolio'!A978)</f>
        <v>35.76</v>
      </c>
      <c r="F978" s="6">
        <f t="shared" si="30"/>
        <v>35.76</v>
      </c>
      <c r="G978" t="str">
        <f t="array" ref="G978">IFERROR(INDEX('working sheet'!$F$2:$F$3548, MODE(IF('working sheet'!$D$2:$D$3548=A978, MATCH('working sheet'!$F$2:$F$3548, 'working sheet'!$F$2:$F$3548, 0)))),
         INDEX('working sheet'!$F$2:$F$3548, MATCH(A978, 'working sheet'!$D$2:$D$3548, 0)))</f>
        <v>Latte</v>
      </c>
      <c r="H978" s="7">
        <f t="shared" si="31"/>
        <v>1</v>
      </c>
      <c r="I978" s="7">
        <f>MAX('working sheet'!$B$2:$B$3548)-C978</f>
        <v>109.38968021990877</v>
      </c>
      <c r="J978" s="4" t="str">
        <f t="array" ref="J978">IF(AND(I978&lt;=30, D978&gt;=10, E978&gt;=200), "VIP",  IF(AND(I978&lt;=60, D978&gt;=5, E978&gt;=100), "Loyal", IF(AND(I978&lt;=90, D978&gt;=3), "Regular", IF(I978&lt;=30, "Recent", IF(D978&gt;=3, "Occasional", "At Risk")))))</f>
        <v>At Risk</v>
      </c>
      <c r="K978" t="str">
        <f t="array" ref="K978">IF(OR(J978="VIP", J978="Loyal"), "HIGH",IF(OR(J978="Regular", J978="Recent"), "MEDIUM","LOW"))</f>
        <v>LOW</v>
      </c>
    </row>
    <row r="979" spans="1:11">
      <c r="A979" t="s">
        <v>992</v>
      </c>
      <c r="B979" s="14">
        <f>_xlfn.MINIFS('working sheet'!$B$2:$B$3548, 'working sheet'!$D$2:$D$3548, A979)</f>
        <v>45630.36961814815</v>
      </c>
      <c r="C979" s="17">
        <f>_xlfn.MAXIFS('working sheet'!$B$1:$B$3548,'working sheet'!$D$1:$D$3548,'Customer Portfolio'!A979)</f>
        <v>45630.36961814815</v>
      </c>
      <c r="D979">
        <f>COUNTIFS('working sheet'!$D$1:$D$3548,'Customer Portfolio'!A979)</f>
        <v>1</v>
      </c>
      <c r="E979" s="5">
        <f>SUMIFS('working sheet'!$E$2:$E$3548,'working sheet'!$D$2:$D$3548,'Customer Portfolio'!A979)</f>
        <v>35.76</v>
      </c>
      <c r="F979" s="6">
        <f t="shared" si="30"/>
        <v>35.76</v>
      </c>
      <c r="G979" t="str">
        <f t="array" ref="G979">IFERROR(INDEX('working sheet'!$F$2:$F$3548, MODE(IF('working sheet'!$D$2:$D$3548=A979, MATCH('working sheet'!$F$2:$F$3548, 'working sheet'!$F$2:$F$3548, 0)))),
         INDEX('working sheet'!$F$2:$F$3548, MATCH(A979, 'working sheet'!$D$2:$D$3548, 0)))</f>
        <v>Latte</v>
      </c>
      <c r="H979" s="7">
        <f t="shared" si="31"/>
        <v>1</v>
      </c>
      <c r="I979" s="7">
        <f>MAX('working sheet'!$B$2:$B$3548)-C979</f>
        <v>109.38846790508978</v>
      </c>
      <c r="J979" s="4" t="str">
        <f t="array" ref="J979">IF(AND(I979&lt;=30, D979&gt;=10, E979&gt;=200), "VIP",  IF(AND(I979&lt;=60, D979&gt;=5, E979&gt;=100), "Loyal", IF(AND(I979&lt;=90, D979&gt;=3), "Regular", IF(I979&lt;=30, "Recent", IF(D979&gt;=3, "Occasional", "At Risk")))))</f>
        <v>At Risk</v>
      </c>
      <c r="K979" t="str">
        <f t="array" ref="K979">IF(OR(J979="VIP", J979="Loyal"), "HIGH",IF(OR(J979="Regular", J979="Recent"), "MEDIUM","LOW"))</f>
        <v>LOW</v>
      </c>
    </row>
    <row r="980" spans="1:11">
      <c r="A980" t="s">
        <v>993</v>
      </c>
      <c r="B980" s="14">
        <f>_xlfn.MINIFS('working sheet'!$B$2:$B$3548, 'working sheet'!$D$2:$D$3548, A980)</f>
        <v>45630.377941493054</v>
      </c>
      <c r="C980" s="17">
        <f>_xlfn.MAXIFS('working sheet'!$B$1:$B$3548,'working sheet'!$D$1:$D$3548,'Customer Portfolio'!A980)</f>
        <v>45630.377941493054</v>
      </c>
      <c r="D980">
        <f>COUNTIFS('working sheet'!$D$1:$D$3548,'Customer Portfolio'!A980)</f>
        <v>1</v>
      </c>
      <c r="E980" s="5">
        <f>SUMIFS('working sheet'!$E$2:$E$3548,'working sheet'!$D$2:$D$3548,'Customer Portfolio'!A980)</f>
        <v>25.96</v>
      </c>
      <c r="F980" s="6">
        <f t="shared" si="30"/>
        <v>25.96</v>
      </c>
      <c r="G980" t="str">
        <f t="array" ref="G980">IFERROR(INDEX('working sheet'!$F$2:$F$3548, MODE(IF('working sheet'!$D$2:$D$3548=A980, MATCH('working sheet'!$F$2:$F$3548, 'working sheet'!$F$2:$F$3548, 0)))),
         INDEX('working sheet'!$F$2:$F$3548, MATCH(A980, 'working sheet'!$D$2:$D$3548, 0)))</f>
        <v>Americano</v>
      </c>
      <c r="H980" s="7">
        <f t="shared" si="31"/>
        <v>1</v>
      </c>
      <c r="I980" s="7">
        <f>MAX('working sheet'!$B$2:$B$3548)-C980</f>
        <v>109.38014456018573</v>
      </c>
      <c r="J980" s="4" t="str">
        <f t="array" ref="J980">IF(AND(I980&lt;=30, D980&gt;=10, E980&gt;=200), "VIP",  IF(AND(I980&lt;=60, D980&gt;=5, E980&gt;=100), "Loyal", IF(AND(I980&lt;=90, D980&gt;=3), "Regular", IF(I980&lt;=30, "Recent", IF(D980&gt;=3, "Occasional", "At Risk")))))</f>
        <v>At Risk</v>
      </c>
      <c r="K980" t="str">
        <f t="array" ref="K980">IF(OR(J980="VIP", J980="Loyal"), "HIGH",IF(OR(J980="Regular", J980="Recent"), "MEDIUM","LOW"))</f>
        <v>LOW</v>
      </c>
    </row>
    <row r="981" spans="1:11">
      <c r="A981" t="s">
        <v>994</v>
      </c>
      <c r="B981" s="14">
        <f>_xlfn.MINIFS('working sheet'!$B$2:$B$3548, 'working sheet'!$D$2:$D$3548, A981)</f>
        <v>45630.435390636572</v>
      </c>
      <c r="C981" s="17">
        <f>_xlfn.MAXIFS('working sheet'!$B$1:$B$3548,'working sheet'!$D$1:$D$3548,'Customer Portfolio'!A981)</f>
        <v>45630.435390636572</v>
      </c>
      <c r="D981">
        <f>COUNTIFS('working sheet'!$D$1:$D$3548,'Customer Portfolio'!A981)</f>
        <v>1</v>
      </c>
      <c r="E981" s="5">
        <f>SUMIFS('working sheet'!$E$2:$E$3548,'working sheet'!$D$2:$D$3548,'Customer Portfolio'!A981)</f>
        <v>30.86</v>
      </c>
      <c r="F981" s="6">
        <f t="shared" si="30"/>
        <v>30.86</v>
      </c>
      <c r="G981" t="str">
        <f t="array" ref="G981">IFERROR(INDEX('working sheet'!$F$2:$F$3548, MODE(IF('working sheet'!$D$2:$D$3548=A981, MATCH('working sheet'!$F$2:$F$3548, 'working sheet'!$F$2:$F$3548, 0)))),
         INDEX('working sheet'!$F$2:$F$3548, MATCH(A981, 'working sheet'!$D$2:$D$3548, 0)))</f>
        <v>Americano with Milk</v>
      </c>
      <c r="H981" s="7">
        <f t="shared" si="31"/>
        <v>1</v>
      </c>
      <c r="I981" s="7">
        <f>MAX('working sheet'!$B$2:$B$3548)-C981</f>
        <v>109.32269541666756</v>
      </c>
      <c r="J981" s="4" t="str">
        <f t="array" ref="J981">IF(AND(I981&lt;=30, D981&gt;=10, E981&gt;=200), "VIP",  IF(AND(I981&lt;=60, D981&gt;=5, E981&gt;=100), "Loyal", IF(AND(I981&lt;=90, D981&gt;=3), "Regular", IF(I981&lt;=30, "Recent", IF(D981&gt;=3, "Occasional", "At Risk")))))</f>
        <v>At Risk</v>
      </c>
      <c r="K981" t="str">
        <f t="array" ref="K981">IF(OR(J981="VIP", J981="Loyal"), "HIGH",IF(OR(J981="Regular", J981="Recent"), "MEDIUM","LOW"))</f>
        <v>LOW</v>
      </c>
    </row>
    <row r="982" spans="1:11">
      <c r="A982" t="s">
        <v>995</v>
      </c>
      <c r="B982" s="14">
        <f>_xlfn.MINIFS('working sheet'!$B$2:$B$3548, 'working sheet'!$D$2:$D$3548, A982)</f>
        <v>45630.490251423609</v>
      </c>
      <c r="C982" s="17">
        <f>_xlfn.MAXIFS('working sheet'!$B$1:$B$3548,'working sheet'!$D$1:$D$3548,'Customer Portfolio'!A982)</f>
        <v>45630.490251423609</v>
      </c>
      <c r="D982">
        <f>COUNTIFS('working sheet'!$D$1:$D$3548,'Customer Portfolio'!A982)</f>
        <v>1</v>
      </c>
      <c r="E982" s="5">
        <f>SUMIFS('working sheet'!$E$2:$E$3548,'working sheet'!$D$2:$D$3548,'Customer Portfolio'!A982)</f>
        <v>30.86</v>
      </c>
      <c r="F982" s="6">
        <f t="shared" si="30"/>
        <v>30.86</v>
      </c>
      <c r="G982" t="str">
        <f t="array" ref="G982">IFERROR(INDEX('working sheet'!$F$2:$F$3548, MODE(IF('working sheet'!$D$2:$D$3548=A982, MATCH('working sheet'!$F$2:$F$3548, 'working sheet'!$F$2:$F$3548, 0)))),
         INDEX('working sheet'!$F$2:$F$3548, MATCH(A982, 'working sheet'!$D$2:$D$3548, 0)))</f>
        <v>Americano with Milk</v>
      </c>
      <c r="H982" s="7">
        <f t="shared" si="31"/>
        <v>1</v>
      </c>
      <c r="I982" s="7">
        <f>MAX('working sheet'!$B$2:$B$3548)-C982</f>
        <v>109.26783462963067</v>
      </c>
      <c r="J982" s="4" t="str">
        <f t="array" ref="J982">IF(AND(I982&lt;=30, D982&gt;=10, E982&gt;=200), "VIP",  IF(AND(I982&lt;=60, D982&gt;=5, E982&gt;=100), "Loyal", IF(AND(I982&lt;=90, D982&gt;=3), "Regular", IF(I982&lt;=30, "Recent", IF(D982&gt;=3, "Occasional", "At Risk")))))</f>
        <v>At Risk</v>
      </c>
      <c r="K982" t="str">
        <f t="array" ref="K982">IF(OR(J982="VIP", J982="Loyal"), "HIGH",IF(OR(J982="Regular", J982="Recent"), "MEDIUM","LOW"))</f>
        <v>LOW</v>
      </c>
    </row>
    <row r="983" spans="1:11">
      <c r="A983" t="s">
        <v>996</v>
      </c>
      <c r="B983" s="14">
        <f>_xlfn.MINIFS('working sheet'!$B$2:$B$3548, 'working sheet'!$D$2:$D$3548, A983)</f>
        <v>45630.606883182867</v>
      </c>
      <c r="C983" s="17">
        <f>_xlfn.MAXIFS('working sheet'!$B$1:$B$3548,'working sheet'!$D$1:$D$3548,'Customer Portfolio'!A983)</f>
        <v>45630.606883182867</v>
      </c>
      <c r="D983">
        <f>COUNTIFS('working sheet'!$D$1:$D$3548,'Customer Portfolio'!A983)</f>
        <v>1</v>
      </c>
      <c r="E983" s="5">
        <f>SUMIFS('working sheet'!$E$2:$E$3548,'working sheet'!$D$2:$D$3548,'Customer Portfolio'!A983)</f>
        <v>35.76</v>
      </c>
      <c r="F983" s="6">
        <f t="shared" si="30"/>
        <v>35.76</v>
      </c>
      <c r="G983" t="str">
        <f t="array" ref="G983">IFERROR(INDEX('working sheet'!$F$2:$F$3548, MODE(IF('working sheet'!$D$2:$D$3548=A983, MATCH('working sheet'!$F$2:$F$3548, 'working sheet'!$F$2:$F$3548, 0)))),
         INDEX('working sheet'!$F$2:$F$3548, MATCH(A983, 'working sheet'!$D$2:$D$3548, 0)))</f>
        <v>Hot Chocolate</v>
      </c>
      <c r="H983" s="7">
        <f t="shared" si="31"/>
        <v>1</v>
      </c>
      <c r="I983" s="7">
        <f>MAX('working sheet'!$B$2:$B$3548)-C983</f>
        <v>109.1512028703728</v>
      </c>
      <c r="J983" s="4" t="str">
        <f t="array" ref="J983">IF(AND(I983&lt;=30, D983&gt;=10, E983&gt;=200), "VIP",  IF(AND(I983&lt;=60, D983&gt;=5, E983&gt;=100), "Loyal", IF(AND(I983&lt;=90, D983&gt;=3), "Regular", IF(I983&lt;=30, "Recent", IF(D983&gt;=3, "Occasional", "At Risk")))))</f>
        <v>At Risk</v>
      </c>
      <c r="K983" t="str">
        <f t="array" ref="K983">IF(OR(J983="VIP", J983="Loyal"), "HIGH",IF(OR(J983="Regular", J983="Recent"), "MEDIUM","LOW"))</f>
        <v>LOW</v>
      </c>
    </row>
    <row r="984" spans="1:11">
      <c r="A984" t="s">
        <v>997</v>
      </c>
      <c r="B984" s="14">
        <f>_xlfn.MINIFS('working sheet'!$B$2:$B$3548, 'working sheet'!$D$2:$D$3548, A984)</f>
        <v>45631.3706977662</v>
      </c>
      <c r="C984" s="17">
        <f>_xlfn.MAXIFS('working sheet'!$B$1:$B$3548,'working sheet'!$D$1:$D$3548,'Customer Portfolio'!A984)</f>
        <v>45631.3706977662</v>
      </c>
      <c r="D984">
        <f>COUNTIFS('working sheet'!$D$1:$D$3548,'Customer Portfolio'!A984)</f>
        <v>1</v>
      </c>
      <c r="E984" s="5">
        <f>SUMIFS('working sheet'!$E$2:$E$3548,'working sheet'!$D$2:$D$3548,'Customer Portfolio'!A984)</f>
        <v>25.96</v>
      </c>
      <c r="F984" s="6">
        <f t="shared" si="30"/>
        <v>25.96</v>
      </c>
      <c r="G984" t="str">
        <f t="array" ref="G984">IFERROR(INDEX('working sheet'!$F$2:$F$3548, MODE(IF('working sheet'!$D$2:$D$3548=A984, MATCH('working sheet'!$F$2:$F$3548, 'working sheet'!$F$2:$F$3548, 0)))),
         INDEX('working sheet'!$F$2:$F$3548, MATCH(A984, 'working sheet'!$D$2:$D$3548, 0)))</f>
        <v>Americano</v>
      </c>
      <c r="H984" s="7">
        <f t="shared" si="31"/>
        <v>1</v>
      </c>
      <c r="I984" s="7">
        <f>MAX('working sheet'!$B$2:$B$3548)-C984</f>
        <v>108.38738828703936</v>
      </c>
      <c r="J984" s="4" t="str">
        <f t="array" ref="J984">IF(AND(I984&lt;=30, D984&gt;=10, E984&gt;=200), "VIP",  IF(AND(I984&lt;=60, D984&gt;=5, E984&gt;=100), "Loyal", IF(AND(I984&lt;=90, D984&gt;=3), "Regular", IF(I984&lt;=30, "Recent", IF(D984&gt;=3, "Occasional", "At Risk")))))</f>
        <v>At Risk</v>
      </c>
      <c r="K984" t="str">
        <f t="array" ref="K984">IF(OR(J984="VIP", J984="Loyal"), "HIGH",IF(OR(J984="Regular", J984="Recent"), "MEDIUM","LOW"))</f>
        <v>LOW</v>
      </c>
    </row>
    <row r="985" spans="1:11">
      <c r="A985" t="s">
        <v>998</v>
      </c>
      <c r="B985" s="14">
        <f>_xlfn.MINIFS('working sheet'!$B$2:$B$3548, 'working sheet'!$D$2:$D$3548, A985)</f>
        <v>45631.493571261577</v>
      </c>
      <c r="C985" s="17">
        <f>_xlfn.MAXIFS('working sheet'!$B$1:$B$3548,'working sheet'!$D$1:$D$3548,'Customer Portfolio'!A985)</f>
        <v>45631.493571261577</v>
      </c>
      <c r="D985">
        <f>COUNTIFS('working sheet'!$D$1:$D$3548,'Customer Portfolio'!A985)</f>
        <v>1</v>
      </c>
      <c r="E985" s="5">
        <f>SUMIFS('working sheet'!$E$2:$E$3548,'working sheet'!$D$2:$D$3548,'Customer Portfolio'!A985)</f>
        <v>25.96</v>
      </c>
      <c r="F985" s="6">
        <f t="shared" si="30"/>
        <v>25.96</v>
      </c>
      <c r="G985" t="str">
        <f t="array" ref="G985">IFERROR(INDEX('working sheet'!$F$2:$F$3548, MODE(IF('working sheet'!$D$2:$D$3548=A985, MATCH('working sheet'!$F$2:$F$3548, 'working sheet'!$F$2:$F$3548, 0)))),
         INDEX('working sheet'!$F$2:$F$3548, MATCH(A985, 'working sheet'!$D$2:$D$3548, 0)))</f>
        <v>Americano</v>
      </c>
      <c r="H985" s="7">
        <f t="shared" si="31"/>
        <v>1</v>
      </c>
      <c r="I985" s="7">
        <f>MAX('working sheet'!$B$2:$B$3548)-C985</f>
        <v>108.2645147916628</v>
      </c>
      <c r="J985" s="4" t="str">
        <f t="array" ref="J985">IF(AND(I985&lt;=30, D985&gt;=10, E985&gt;=200), "VIP",  IF(AND(I985&lt;=60, D985&gt;=5, E985&gt;=100), "Loyal", IF(AND(I985&lt;=90, D985&gt;=3), "Regular", IF(I985&lt;=30, "Recent", IF(D985&gt;=3, "Occasional", "At Risk")))))</f>
        <v>At Risk</v>
      </c>
      <c r="K985" t="str">
        <f t="array" ref="K985">IF(OR(J985="VIP", J985="Loyal"), "HIGH",IF(OR(J985="Regular", J985="Recent"), "MEDIUM","LOW"))</f>
        <v>LOW</v>
      </c>
    </row>
    <row r="986" spans="1:11">
      <c r="A986" t="s">
        <v>999</v>
      </c>
      <c r="B986" s="14">
        <f>_xlfn.MINIFS('working sheet'!$B$2:$B$3548, 'working sheet'!$D$2:$D$3548, A986)</f>
        <v>45631.604841921297</v>
      </c>
      <c r="C986" s="17">
        <f>_xlfn.MAXIFS('working sheet'!$B$1:$B$3548,'working sheet'!$D$1:$D$3548,'Customer Portfolio'!A986)</f>
        <v>45631.604841921297</v>
      </c>
      <c r="D986">
        <f>COUNTIFS('working sheet'!$D$1:$D$3548,'Customer Portfolio'!A986)</f>
        <v>1</v>
      </c>
      <c r="E986" s="5">
        <f>SUMIFS('working sheet'!$E$2:$E$3548,'working sheet'!$D$2:$D$3548,'Customer Portfolio'!A986)</f>
        <v>35.76</v>
      </c>
      <c r="F986" s="6">
        <f t="shared" si="30"/>
        <v>35.76</v>
      </c>
      <c r="G986" t="str">
        <f t="array" ref="G986">IFERROR(INDEX('working sheet'!$F$2:$F$3548, MODE(IF('working sheet'!$D$2:$D$3548=A986, MATCH('working sheet'!$F$2:$F$3548, 'working sheet'!$F$2:$F$3548, 0)))),
         INDEX('working sheet'!$F$2:$F$3548, MATCH(A986, 'working sheet'!$D$2:$D$3548, 0)))</f>
        <v>Cappuccino</v>
      </c>
      <c r="H986" s="7">
        <f t="shared" si="31"/>
        <v>1</v>
      </c>
      <c r="I986" s="7">
        <f>MAX('working sheet'!$B$2:$B$3548)-C986</f>
        <v>108.15324413194321</v>
      </c>
      <c r="J986" s="4" t="str">
        <f t="array" ref="J986">IF(AND(I986&lt;=30, D986&gt;=10, E986&gt;=200), "VIP",  IF(AND(I986&lt;=60, D986&gt;=5, E986&gt;=100), "Loyal", IF(AND(I986&lt;=90, D986&gt;=3), "Regular", IF(I986&lt;=30, "Recent", IF(D986&gt;=3, "Occasional", "At Risk")))))</f>
        <v>At Risk</v>
      </c>
      <c r="K986" t="str">
        <f t="array" ref="K986">IF(OR(J986="VIP", J986="Loyal"), "HIGH",IF(OR(J986="Regular", J986="Recent"), "MEDIUM","LOW"))</f>
        <v>LOW</v>
      </c>
    </row>
    <row r="987" spans="1:11">
      <c r="A987" t="s">
        <v>1000</v>
      </c>
      <c r="B987" s="14">
        <f>_xlfn.MINIFS('working sheet'!$B$2:$B$3548, 'working sheet'!$D$2:$D$3548, A987)</f>
        <v>45633.470256284723</v>
      </c>
      <c r="C987" s="17">
        <f>_xlfn.MAXIFS('working sheet'!$B$1:$B$3548,'working sheet'!$D$1:$D$3548,'Customer Portfolio'!A987)</f>
        <v>45633.470256284723</v>
      </c>
      <c r="D987">
        <f>COUNTIFS('working sheet'!$D$1:$D$3548,'Customer Portfolio'!A987)</f>
        <v>1</v>
      </c>
      <c r="E987" s="5">
        <f>SUMIFS('working sheet'!$E$2:$E$3548,'working sheet'!$D$2:$D$3548,'Customer Portfolio'!A987)</f>
        <v>30.86</v>
      </c>
      <c r="F987" s="6">
        <f t="shared" si="30"/>
        <v>30.86</v>
      </c>
      <c r="G987" t="str">
        <f t="array" ref="G987">IFERROR(INDEX('working sheet'!$F$2:$F$3548, MODE(IF('working sheet'!$D$2:$D$3548=A987, MATCH('working sheet'!$F$2:$F$3548, 'working sheet'!$F$2:$F$3548, 0)))),
         INDEX('working sheet'!$F$2:$F$3548, MATCH(A987, 'working sheet'!$D$2:$D$3548, 0)))</f>
        <v>Americano with Milk</v>
      </c>
      <c r="H987" s="7">
        <f t="shared" si="31"/>
        <v>1</v>
      </c>
      <c r="I987" s="7">
        <f>MAX('working sheet'!$B$2:$B$3548)-C987</f>
        <v>106.28782976851653</v>
      </c>
      <c r="J987" s="4" t="str">
        <f t="array" ref="J987">IF(AND(I987&lt;=30, D987&gt;=10, E987&gt;=200), "VIP",  IF(AND(I987&lt;=60, D987&gt;=5, E987&gt;=100), "Loyal", IF(AND(I987&lt;=90, D987&gt;=3), "Regular", IF(I987&lt;=30, "Recent", IF(D987&gt;=3, "Occasional", "At Risk")))))</f>
        <v>At Risk</v>
      </c>
      <c r="K987" t="str">
        <f t="array" ref="K987">IF(OR(J987="VIP", J987="Loyal"), "HIGH",IF(OR(J987="Regular", J987="Recent"), "MEDIUM","LOW"))</f>
        <v>LOW</v>
      </c>
    </row>
    <row r="988" spans="1:11">
      <c r="A988" t="s">
        <v>1001</v>
      </c>
      <c r="B988" s="14">
        <f>_xlfn.MINIFS('working sheet'!$B$2:$B$3548, 'working sheet'!$D$2:$D$3548, A988)</f>
        <v>45633.594940891206</v>
      </c>
      <c r="C988" s="17">
        <f>_xlfn.MAXIFS('working sheet'!$B$1:$B$3548,'working sheet'!$D$1:$D$3548,'Customer Portfolio'!A988)</f>
        <v>45633.594940891206</v>
      </c>
      <c r="D988">
        <f>COUNTIFS('working sheet'!$D$1:$D$3548,'Customer Portfolio'!A988)</f>
        <v>1</v>
      </c>
      <c r="E988" s="5">
        <f>SUMIFS('working sheet'!$E$2:$E$3548,'working sheet'!$D$2:$D$3548,'Customer Portfolio'!A988)</f>
        <v>25.96</v>
      </c>
      <c r="F988" s="6">
        <f t="shared" si="30"/>
        <v>25.96</v>
      </c>
      <c r="G988" t="str">
        <f t="array" ref="G988">IFERROR(INDEX('working sheet'!$F$2:$F$3548, MODE(IF('working sheet'!$D$2:$D$3548=A988, MATCH('working sheet'!$F$2:$F$3548, 'working sheet'!$F$2:$F$3548, 0)))),
         INDEX('working sheet'!$F$2:$F$3548, MATCH(A988, 'working sheet'!$D$2:$D$3548, 0)))</f>
        <v>Americano</v>
      </c>
      <c r="H988" s="7">
        <f t="shared" si="31"/>
        <v>1</v>
      </c>
      <c r="I988" s="7">
        <f>MAX('working sheet'!$B$2:$B$3548)-C988</f>
        <v>106.1631451620342</v>
      </c>
      <c r="J988" s="4" t="str">
        <f t="array" ref="J988">IF(AND(I988&lt;=30, D988&gt;=10, E988&gt;=200), "VIP",  IF(AND(I988&lt;=60, D988&gt;=5, E988&gt;=100), "Loyal", IF(AND(I988&lt;=90, D988&gt;=3), "Regular", IF(I988&lt;=30, "Recent", IF(D988&gt;=3, "Occasional", "At Risk")))))</f>
        <v>At Risk</v>
      </c>
      <c r="K988" t="str">
        <f t="array" ref="K988">IF(OR(J988="VIP", J988="Loyal"), "HIGH",IF(OR(J988="Regular", J988="Recent"), "MEDIUM","LOW"))</f>
        <v>LOW</v>
      </c>
    </row>
    <row r="989" spans="1:11">
      <c r="A989" t="s">
        <v>1002</v>
      </c>
      <c r="B989" s="14">
        <f>_xlfn.MINIFS('working sheet'!$B$2:$B$3548, 'working sheet'!$D$2:$D$3548, A989)</f>
        <v>45633.916782337961</v>
      </c>
      <c r="C989" s="17">
        <f>_xlfn.MAXIFS('working sheet'!$B$1:$B$3548,'working sheet'!$D$1:$D$3548,'Customer Portfolio'!A989)</f>
        <v>45633.916782337961</v>
      </c>
      <c r="D989">
        <f>COUNTIFS('working sheet'!$D$1:$D$3548,'Customer Portfolio'!A989)</f>
        <v>1</v>
      </c>
      <c r="E989" s="5">
        <f>SUMIFS('working sheet'!$E$2:$E$3548,'working sheet'!$D$2:$D$3548,'Customer Portfolio'!A989)</f>
        <v>30.86</v>
      </c>
      <c r="F989" s="6">
        <f t="shared" si="30"/>
        <v>30.86</v>
      </c>
      <c r="G989" t="str">
        <f t="array" ref="G989">IFERROR(INDEX('working sheet'!$F$2:$F$3548, MODE(IF('working sheet'!$D$2:$D$3548=A989, MATCH('working sheet'!$F$2:$F$3548, 'working sheet'!$F$2:$F$3548, 0)))),
         INDEX('working sheet'!$F$2:$F$3548, MATCH(A989, 'working sheet'!$D$2:$D$3548, 0)))</f>
        <v>Americano with Milk</v>
      </c>
      <c r="H989" s="7">
        <f t="shared" si="31"/>
        <v>1</v>
      </c>
      <c r="I989" s="7">
        <f>MAX('working sheet'!$B$2:$B$3548)-C989</f>
        <v>105.84130371527863</v>
      </c>
      <c r="J989" s="4" t="str">
        <f t="array" ref="J989">IF(AND(I989&lt;=30, D989&gt;=10, E989&gt;=200), "VIP",  IF(AND(I989&lt;=60, D989&gt;=5, E989&gt;=100), "Loyal", IF(AND(I989&lt;=90, D989&gt;=3), "Regular", IF(I989&lt;=30, "Recent", IF(D989&gt;=3, "Occasional", "At Risk")))))</f>
        <v>At Risk</v>
      </c>
      <c r="K989" t="str">
        <f t="array" ref="K989">IF(OR(J989="VIP", J989="Loyal"), "HIGH",IF(OR(J989="Regular", J989="Recent"), "MEDIUM","LOW"))</f>
        <v>LOW</v>
      </c>
    </row>
    <row r="990" spans="1:11">
      <c r="A990" t="s">
        <v>1003</v>
      </c>
      <c r="B990" s="14">
        <f>_xlfn.MINIFS('working sheet'!$B$2:$B$3548, 'working sheet'!$D$2:$D$3548, A990)</f>
        <v>45633.936308888886</v>
      </c>
      <c r="C990" s="17">
        <f>_xlfn.MAXIFS('working sheet'!$B$1:$B$3548,'working sheet'!$D$1:$D$3548,'Customer Portfolio'!A990)</f>
        <v>45633.936308888886</v>
      </c>
      <c r="D990">
        <f>COUNTIFS('working sheet'!$D$1:$D$3548,'Customer Portfolio'!A990)</f>
        <v>1</v>
      </c>
      <c r="E990" s="5">
        <f>SUMIFS('working sheet'!$E$2:$E$3548,'working sheet'!$D$2:$D$3548,'Customer Portfolio'!A990)</f>
        <v>25.96</v>
      </c>
      <c r="F990" s="6">
        <f t="shared" si="30"/>
        <v>25.96</v>
      </c>
      <c r="G990" t="str">
        <f t="array" ref="G990">IFERROR(INDEX('working sheet'!$F$2:$F$3548, MODE(IF('working sheet'!$D$2:$D$3548=A990, MATCH('working sheet'!$F$2:$F$3548, 'working sheet'!$F$2:$F$3548, 0)))),
         INDEX('working sheet'!$F$2:$F$3548, MATCH(A990, 'working sheet'!$D$2:$D$3548, 0)))</f>
        <v>Americano</v>
      </c>
      <c r="H990" s="7">
        <f t="shared" si="31"/>
        <v>1</v>
      </c>
      <c r="I990" s="7">
        <f>MAX('working sheet'!$B$2:$B$3548)-C990</f>
        <v>105.82177716435399</v>
      </c>
      <c r="J990" s="4" t="str">
        <f t="array" ref="J990">IF(AND(I990&lt;=30, D990&gt;=10, E990&gt;=200), "VIP",  IF(AND(I990&lt;=60, D990&gt;=5, E990&gt;=100), "Loyal", IF(AND(I990&lt;=90, D990&gt;=3), "Regular", IF(I990&lt;=30, "Recent", IF(D990&gt;=3, "Occasional", "At Risk")))))</f>
        <v>At Risk</v>
      </c>
      <c r="K990" t="str">
        <f t="array" ref="K990">IF(OR(J990="VIP", J990="Loyal"), "HIGH",IF(OR(J990="Regular", J990="Recent"), "MEDIUM","LOW"))</f>
        <v>LOW</v>
      </c>
    </row>
    <row r="991" spans="1:11">
      <c r="A991" t="s">
        <v>1004</v>
      </c>
      <c r="B991" s="14">
        <f>_xlfn.MINIFS('working sheet'!$B$2:$B$3548, 'working sheet'!$D$2:$D$3548, A991)</f>
        <v>45634.535889756946</v>
      </c>
      <c r="C991" s="17">
        <f>_xlfn.MAXIFS('working sheet'!$B$1:$B$3548,'working sheet'!$D$1:$D$3548,'Customer Portfolio'!A991)</f>
        <v>45634.535889756946</v>
      </c>
      <c r="D991">
        <f>COUNTIFS('working sheet'!$D$1:$D$3548,'Customer Portfolio'!A991)</f>
        <v>1</v>
      </c>
      <c r="E991" s="5">
        <f>SUMIFS('working sheet'!$E$2:$E$3548,'working sheet'!$D$2:$D$3548,'Customer Portfolio'!A991)</f>
        <v>25.96</v>
      </c>
      <c r="F991" s="6">
        <f t="shared" si="30"/>
        <v>25.96</v>
      </c>
      <c r="G991" t="str">
        <f t="array" ref="G991">IFERROR(INDEX('working sheet'!$F$2:$F$3548, MODE(IF('working sheet'!$D$2:$D$3548=A991, MATCH('working sheet'!$F$2:$F$3548, 'working sheet'!$F$2:$F$3548, 0)))),
         INDEX('working sheet'!$F$2:$F$3548, MATCH(A991, 'working sheet'!$D$2:$D$3548, 0)))</f>
        <v>Cortado</v>
      </c>
      <c r="H991" s="7">
        <f t="shared" si="31"/>
        <v>1</v>
      </c>
      <c r="I991" s="7">
        <f>MAX('working sheet'!$B$2:$B$3548)-C991</f>
        <v>105.22219629629399</v>
      </c>
      <c r="J991" s="4" t="str">
        <f t="array" ref="J991">IF(AND(I991&lt;=30, D991&gt;=10, E991&gt;=200), "VIP",  IF(AND(I991&lt;=60, D991&gt;=5, E991&gt;=100), "Loyal", IF(AND(I991&lt;=90, D991&gt;=3), "Regular", IF(I991&lt;=30, "Recent", IF(D991&gt;=3, "Occasional", "At Risk")))))</f>
        <v>At Risk</v>
      </c>
      <c r="K991" t="str">
        <f t="array" ref="K991">IF(OR(J991="VIP", J991="Loyal"), "HIGH",IF(OR(J991="Regular", J991="Recent"), "MEDIUM","LOW"))</f>
        <v>LOW</v>
      </c>
    </row>
    <row r="992" spans="1:11">
      <c r="A992" t="s">
        <v>1005</v>
      </c>
      <c r="B992" s="14">
        <f>_xlfn.MINIFS('working sheet'!$B$2:$B$3548, 'working sheet'!$D$2:$D$3548, A992)</f>
        <v>45634.543474560189</v>
      </c>
      <c r="C992" s="17">
        <f>_xlfn.MAXIFS('working sheet'!$B$1:$B$3548,'working sheet'!$D$1:$D$3548,'Customer Portfolio'!A992)</f>
        <v>45634.544198148149</v>
      </c>
      <c r="D992">
        <f>COUNTIFS('working sheet'!$D$1:$D$3548,'Customer Portfolio'!A992)</f>
        <v>2</v>
      </c>
      <c r="E992" s="5">
        <f>SUMIFS('working sheet'!$E$2:$E$3548,'working sheet'!$D$2:$D$3548,'Customer Portfolio'!A992)</f>
        <v>61.72</v>
      </c>
      <c r="F992" s="6">
        <f t="shared" si="30"/>
        <v>30.86</v>
      </c>
      <c r="G992" t="str">
        <f t="array" ref="G992">IFERROR(INDEX('working sheet'!$F$2:$F$3548, MODE(IF('working sheet'!$D$2:$D$3548=A992, MATCH('working sheet'!$F$2:$F$3548, 'working sheet'!$F$2:$F$3548, 0)))),
         INDEX('working sheet'!$F$2:$F$3548, MATCH(A992, 'working sheet'!$D$2:$D$3548, 0)))</f>
        <v>Americano with Milk</v>
      </c>
      <c r="H992" s="7">
        <f t="shared" si="31"/>
        <v>1.0007235879602376</v>
      </c>
      <c r="I992" s="7">
        <f>MAX('working sheet'!$B$2:$B$3548)-C992</f>
        <v>105.21388790509081</v>
      </c>
      <c r="J992" s="4" t="str">
        <f t="array" ref="J992">IF(AND(I992&lt;=30, D992&gt;=10, E992&gt;=200), "VIP",  IF(AND(I992&lt;=60, D992&gt;=5, E992&gt;=100), "Loyal", IF(AND(I992&lt;=90, D992&gt;=3), "Regular", IF(I992&lt;=30, "Recent", IF(D992&gt;=3, "Occasional", "At Risk")))))</f>
        <v>At Risk</v>
      </c>
      <c r="K992" t="str">
        <f t="array" ref="K992">IF(OR(J992="VIP", J992="Loyal"), "HIGH",IF(OR(J992="Regular", J992="Recent"), "MEDIUM","LOW"))</f>
        <v>LOW</v>
      </c>
    </row>
    <row r="993" spans="1:11">
      <c r="A993" t="s">
        <v>1006</v>
      </c>
      <c r="B993" s="14">
        <f>_xlfn.MINIFS('working sheet'!$B$2:$B$3548, 'working sheet'!$D$2:$D$3548, A993)</f>
        <v>45634.779036493055</v>
      </c>
      <c r="C993" s="17">
        <f>_xlfn.MAXIFS('working sheet'!$B$1:$B$3548,'working sheet'!$D$1:$D$3548,'Customer Portfolio'!A993)</f>
        <v>45634.779036493055</v>
      </c>
      <c r="D993">
        <f>COUNTIFS('working sheet'!$D$1:$D$3548,'Customer Portfolio'!A993)</f>
        <v>1</v>
      </c>
      <c r="E993" s="5">
        <f>SUMIFS('working sheet'!$E$2:$E$3548,'working sheet'!$D$2:$D$3548,'Customer Portfolio'!A993)</f>
        <v>21.06</v>
      </c>
      <c r="F993" s="6">
        <f t="shared" si="30"/>
        <v>21.06</v>
      </c>
      <c r="G993" t="str">
        <f t="array" ref="G993">IFERROR(INDEX('working sheet'!$F$2:$F$3548, MODE(IF('working sheet'!$D$2:$D$3548=A993, MATCH('working sheet'!$F$2:$F$3548, 'working sheet'!$F$2:$F$3548, 0)))),
         INDEX('working sheet'!$F$2:$F$3548, MATCH(A993, 'working sheet'!$D$2:$D$3548, 0)))</f>
        <v>Espresso</v>
      </c>
      <c r="H993" s="7">
        <f t="shared" si="31"/>
        <v>1</v>
      </c>
      <c r="I993" s="7">
        <f>MAX('working sheet'!$B$2:$B$3548)-C993</f>
        <v>104.97904956018465</v>
      </c>
      <c r="J993" s="4" t="str">
        <f t="array" ref="J993">IF(AND(I993&lt;=30, D993&gt;=10, E993&gt;=200), "VIP",  IF(AND(I993&lt;=60, D993&gt;=5, E993&gt;=100), "Loyal", IF(AND(I993&lt;=90, D993&gt;=3), "Regular", IF(I993&lt;=30, "Recent", IF(D993&gt;=3, "Occasional", "At Risk")))))</f>
        <v>At Risk</v>
      </c>
      <c r="K993" t="str">
        <f t="array" ref="K993">IF(OR(J993="VIP", J993="Loyal"), "HIGH",IF(OR(J993="Regular", J993="Recent"), "MEDIUM","LOW"))</f>
        <v>LOW</v>
      </c>
    </row>
    <row r="994" spans="1:11">
      <c r="A994" t="s">
        <v>1007</v>
      </c>
      <c r="B994" s="14">
        <f>_xlfn.MINIFS('working sheet'!$B$2:$B$3548, 'working sheet'!$D$2:$D$3548, A994)</f>
        <v>45634.894792581021</v>
      </c>
      <c r="C994" s="17">
        <f>_xlfn.MAXIFS('working sheet'!$B$1:$B$3548,'working sheet'!$D$1:$D$3548,'Customer Portfolio'!A994)</f>
        <v>45634.894792581021</v>
      </c>
      <c r="D994">
        <f>COUNTIFS('working sheet'!$D$1:$D$3548,'Customer Portfolio'!A994)</f>
        <v>1</v>
      </c>
      <c r="E994" s="5">
        <f>SUMIFS('working sheet'!$E$2:$E$3548,'working sheet'!$D$2:$D$3548,'Customer Portfolio'!A994)</f>
        <v>30.86</v>
      </c>
      <c r="F994" s="6">
        <f t="shared" si="30"/>
        <v>30.86</v>
      </c>
      <c r="G994" t="str">
        <f t="array" ref="G994">IFERROR(INDEX('working sheet'!$F$2:$F$3548, MODE(IF('working sheet'!$D$2:$D$3548=A994, MATCH('working sheet'!$F$2:$F$3548, 'working sheet'!$F$2:$F$3548, 0)))),
         INDEX('working sheet'!$F$2:$F$3548, MATCH(A994, 'working sheet'!$D$2:$D$3548, 0)))</f>
        <v>Americano with Milk</v>
      </c>
      <c r="H994" s="7">
        <f t="shared" si="31"/>
        <v>1</v>
      </c>
      <c r="I994" s="7">
        <f>MAX('working sheet'!$B$2:$B$3548)-C994</f>
        <v>104.86329347221908</v>
      </c>
      <c r="J994" s="4" t="str">
        <f t="array" ref="J994">IF(AND(I994&lt;=30, D994&gt;=10, E994&gt;=200), "VIP",  IF(AND(I994&lt;=60, D994&gt;=5, E994&gt;=100), "Loyal", IF(AND(I994&lt;=90, D994&gt;=3), "Regular", IF(I994&lt;=30, "Recent", IF(D994&gt;=3, "Occasional", "At Risk")))))</f>
        <v>At Risk</v>
      </c>
      <c r="K994" t="str">
        <f t="array" ref="K994">IF(OR(J994="VIP", J994="Loyal"), "HIGH",IF(OR(J994="Regular", J994="Recent"), "MEDIUM","LOW"))</f>
        <v>LOW</v>
      </c>
    </row>
    <row r="995" spans="1:11">
      <c r="A995" t="s">
        <v>1008</v>
      </c>
      <c r="B995" s="14">
        <f>_xlfn.MINIFS('working sheet'!$B$2:$B$3548, 'working sheet'!$D$2:$D$3548, A995)</f>
        <v>45635.356027893518</v>
      </c>
      <c r="C995" s="17">
        <f>_xlfn.MAXIFS('working sheet'!$B$1:$B$3548,'working sheet'!$D$1:$D$3548,'Customer Portfolio'!A995)</f>
        <v>45635.356027893518</v>
      </c>
      <c r="D995">
        <f>COUNTIFS('working sheet'!$D$1:$D$3548,'Customer Portfolio'!A995)</f>
        <v>1</v>
      </c>
      <c r="E995" s="5">
        <f>SUMIFS('working sheet'!$E$2:$E$3548,'working sheet'!$D$2:$D$3548,'Customer Portfolio'!A995)</f>
        <v>35.76</v>
      </c>
      <c r="F995" s="6">
        <f t="shared" si="30"/>
        <v>35.76</v>
      </c>
      <c r="G995" t="str">
        <f t="array" ref="G995">IFERROR(INDEX('working sheet'!$F$2:$F$3548, MODE(IF('working sheet'!$D$2:$D$3548=A995, MATCH('working sheet'!$F$2:$F$3548, 'working sheet'!$F$2:$F$3548, 0)))),
         INDEX('working sheet'!$F$2:$F$3548, MATCH(A995, 'working sheet'!$D$2:$D$3548, 0)))</f>
        <v>Cappuccino</v>
      </c>
      <c r="H995" s="7">
        <f t="shared" si="31"/>
        <v>1</v>
      </c>
      <c r="I995" s="7">
        <f>MAX('working sheet'!$B$2:$B$3548)-C995</f>
        <v>104.40205815972149</v>
      </c>
      <c r="J995" s="4" t="str">
        <f t="array" ref="J995">IF(AND(I995&lt;=30, D995&gt;=10, E995&gt;=200), "VIP",  IF(AND(I995&lt;=60, D995&gt;=5, E995&gt;=100), "Loyal", IF(AND(I995&lt;=90, D995&gt;=3), "Regular", IF(I995&lt;=30, "Recent", IF(D995&gt;=3, "Occasional", "At Risk")))))</f>
        <v>At Risk</v>
      </c>
      <c r="K995" t="str">
        <f t="array" ref="K995">IF(OR(J995="VIP", J995="Loyal"), "HIGH",IF(OR(J995="Regular", J995="Recent"), "MEDIUM","LOW"))</f>
        <v>LOW</v>
      </c>
    </row>
    <row r="996" spans="1:11">
      <c r="A996" t="s">
        <v>1009</v>
      </c>
      <c r="B996" s="14">
        <f>_xlfn.MINIFS('working sheet'!$B$2:$B$3548, 'working sheet'!$D$2:$D$3548, A996)</f>
        <v>45635.383624675924</v>
      </c>
      <c r="C996" s="17">
        <f>_xlfn.MAXIFS('working sheet'!$B$1:$B$3548,'working sheet'!$D$1:$D$3548,'Customer Portfolio'!A996)</f>
        <v>45635.383624675924</v>
      </c>
      <c r="D996">
        <f>COUNTIFS('working sheet'!$D$1:$D$3548,'Customer Portfolio'!A996)</f>
        <v>1</v>
      </c>
      <c r="E996" s="5">
        <f>SUMIFS('working sheet'!$E$2:$E$3548,'working sheet'!$D$2:$D$3548,'Customer Portfolio'!A996)</f>
        <v>25.96</v>
      </c>
      <c r="F996" s="6">
        <f t="shared" si="30"/>
        <v>25.96</v>
      </c>
      <c r="G996" t="str">
        <f t="array" ref="G996">IFERROR(INDEX('working sheet'!$F$2:$F$3548, MODE(IF('working sheet'!$D$2:$D$3548=A996, MATCH('working sheet'!$F$2:$F$3548, 'working sheet'!$F$2:$F$3548, 0)))),
         INDEX('working sheet'!$F$2:$F$3548, MATCH(A996, 'working sheet'!$D$2:$D$3548, 0)))</f>
        <v>Americano</v>
      </c>
      <c r="H996" s="7">
        <f t="shared" si="31"/>
        <v>1</v>
      </c>
      <c r="I996" s="7">
        <f>MAX('working sheet'!$B$2:$B$3548)-C996</f>
        <v>104.37446137731604</v>
      </c>
      <c r="J996" s="4" t="str">
        <f t="array" ref="J996">IF(AND(I996&lt;=30, D996&gt;=10, E996&gt;=200), "VIP",  IF(AND(I996&lt;=60, D996&gt;=5, E996&gt;=100), "Loyal", IF(AND(I996&lt;=90, D996&gt;=3), "Regular", IF(I996&lt;=30, "Recent", IF(D996&gt;=3, "Occasional", "At Risk")))))</f>
        <v>At Risk</v>
      </c>
      <c r="K996" t="str">
        <f t="array" ref="K996">IF(OR(J996="VIP", J996="Loyal"), "HIGH",IF(OR(J996="Regular", J996="Recent"), "MEDIUM","LOW"))</f>
        <v>LOW</v>
      </c>
    </row>
    <row r="997" spans="1:11">
      <c r="A997" t="s">
        <v>1010</v>
      </c>
      <c r="B997" s="14">
        <f>_xlfn.MINIFS('working sheet'!$B$2:$B$3548, 'working sheet'!$D$2:$D$3548, A997)</f>
        <v>45635.890176724541</v>
      </c>
      <c r="C997" s="17">
        <f>_xlfn.MAXIFS('working sheet'!$B$1:$B$3548,'working sheet'!$D$1:$D$3548,'Customer Portfolio'!A997)</f>
        <v>45635.890176724541</v>
      </c>
      <c r="D997">
        <f>COUNTIFS('working sheet'!$D$1:$D$3548,'Customer Portfolio'!A997)</f>
        <v>1</v>
      </c>
      <c r="E997" s="5">
        <f>SUMIFS('working sheet'!$E$2:$E$3548,'working sheet'!$D$2:$D$3548,'Customer Portfolio'!A997)</f>
        <v>35.76</v>
      </c>
      <c r="F997" s="6">
        <f t="shared" si="30"/>
        <v>35.76</v>
      </c>
      <c r="G997" t="str">
        <f t="array" ref="G997">IFERROR(INDEX('working sheet'!$F$2:$F$3548, MODE(IF('working sheet'!$D$2:$D$3548=A997, MATCH('working sheet'!$F$2:$F$3548, 'working sheet'!$F$2:$F$3548, 0)))),
         INDEX('working sheet'!$F$2:$F$3548, MATCH(A997, 'working sheet'!$D$2:$D$3548, 0)))</f>
        <v>Cocoa</v>
      </c>
      <c r="H997" s="7">
        <f t="shared" si="31"/>
        <v>1</v>
      </c>
      <c r="I997" s="7">
        <f>MAX('working sheet'!$B$2:$B$3548)-C997</f>
        <v>103.86790932869917</v>
      </c>
      <c r="J997" s="4" t="str">
        <f t="array" ref="J997">IF(AND(I997&lt;=30, D997&gt;=10, E997&gt;=200), "VIP",  IF(AND(I997&lt;=60, D997&gt;=5, E997&gt;=100), "Loyal", IF(AND(I997&lt;=90, D997&gt;=3), "Regular", IF(I997&lt;=30, "Recent", IF(D997&gt;=3, "Occasional", "At Risk")))))</f>
        <v>At Risk</v>
      </c>
      <c r="K997" t="str">
        <f t="array" ref="K997">IF(OR(J997="VIP", J997="Loyal"), "HIGH",IF(OR(J997="Regular", J997="Recent"), "MEDIUM","LOW"))</f>
        <v>LOW</v>
      </c>
    </row>
    <row r="998" spans="1:11">
      <c r="A998" t="s">
        <v>1011</v>
      </c>
      <c r="B998" s="14">
        <f>_xlfn.MINIFS('working sheet'!$B$2:$B$3548, 'working sheet'!$D$2:$D$3548, A998)</f>
        <v>45637.509100381947</v>
      </c>
      <c r="C998" s="17">
        <f>_xlfn.MAXIFS('working sheet'!$B$1:$B$3548,'working sheet'!$D$1:$D$3548,'Customer Portfolio'!A998)</f>
        <v>45637.509100381947</v>
      </c>
      <c r="D998">
        <f>COUNTIFS('working sheet'!$D$1:$D$3548,'Customer Portfolio'!A998)</f>
        <v>1</v>
      </c>
      <c r="E998" s="5">
        <f>SUMIFS('working sheet'!$E$2:$E$3548,'working sheet'!$D$2:$D$3548,'Customer Portfolio'!A998)</f>
        <v>35.76</v>
      </c>
      <c r="F998" s="6">
        <f t="shared" si="30"/>
        <v>35.76</v>
      </c>
      <c r="G998" t="str">
        <f t="array" ref="G998">IFERROR(INDEX('working sheet'!$F$2:$F$3548, MODE(IF('working sheet'!$D$2:$D$3548=A998, MATCH('working sheet'!$F$2:$F$3548, 'working sheet'!$F$2:$F$3548, 0)))),
         INDEX('working sheet'!$F$2:$F$3548, MATCH(A998, 'working sheet'!$D$2:$D$3548, 0)))</f>
        <v>Hot Chocolate</v>
      </c>
      <c r="H998" s="7">
        <f t="shared" si="31"/>
        <v>1</v>
      </c>
      <c r="I998" s="7">
        <f>MAX('working sheet'!$B$2:$B$3548)-C998</f>
        <v>102.24898567129276</v>
      </c>
      <c r="J998" s="4" t="str">
        <f t="array" ref="J998">IF(AND(I998&lt;=30, D998&gt;=10, E998&gt;=200), "VIP",  IF(AND(I998&lt;=60, D998&gt;=5, E998&gt;=100), "Loyal", IF(AND(I998&lt;=90, D998&gt;=3), "Regular", IF(I998&lt;=30, "Recent", IF(D998&gt;=3, "Occasional", "At Risk")))))</f>
        <v>At Risk</v>
      </c>
      <c r="K998" t="str">
        <f t="array" ref="K998">IF(OR(J998="VIP", J998="Loyal"), "HIGH",IF(OR(J998="Regular", J998="Recent"), "MEDIUM","LOW"))</f>
        <v>LOW</v>
      </c>
    </row>
    <row r="999" spans="1:11">
      <c r="A999" t="s">
        <v>1012</v>
      </c>
      <c r="B999" s="14">
        <f>_xlfn.MINIFS('working sheet'!$B$2:$B$3548, 'working sheet'!$D$2:$D$3548, A999)</f>
        <v>45637.539441724541</v>
      </c>
      <c r="C999" s="17">
        <f>_xlfn.MAXIFS('working sheet'!$B$1:$B$3548,'working sheet'!$D$1:$D$3548,'Customer Portfolio'!A999)</f>
        <v>45637.539441724541</v>
      </c>
      <c r="D999">
        <f>COUNTIFS('working sheet'!$D$1:$D$3548,'Customer Portfolio'!A999)</f>
        <v>1</v>
      </c>
      <c r="E999" s="5">
        <f>SUMIFS('working sheet'!$E$2:$E$3548,'working sheet'!$D$2:$D$3548,'Customer Portfolio'!A999)</f>
        <v>21.06</v>
      </c>
      <c r="F999" s="6">
        <f t="shared" si="30"/>
        <v>21.06</v>
      </c>
      <c r="G999" t="str">
        <f t="array" ref="G999">IFERROR(INDEX('working sheet'!$F$2:$F$3548, MODE(IF('working sheet'!$D$2:$D$3548=A999, MATCH('working sheet'!$F$2:$F$3548, 'working sheet'!$F$2:$F$3548, 0)))),
         INDEX('working sheet'!$F$2:$F$3548, MATCH(A999, 'working sheet'!$D$2:$D$3548, 0)))</f>
        <v>Espresso</v>
      </c>
      <c r="H999" s="7">
        <f t="shared" si="31"/>
        <v>1</v>
      </c>
      <c r="I999" s="7">
        <f>MAX('working sheet'!$B$2:$B$3548)-C999</f>
        <v>102.21864432869916</v>
      </c>
      <c r="J999" s="4" t="str">
        <f t="array" ref="J999">IF(AND(I999&lt;=30, D999&gt;=10, E999&gt;=200), "VIP",  IF(AND(I999&lt;=60, D999&gt;=5, E999&gt;=100), "Loyal", IF(AND(I999&lt;=90, D999&gt;=3), "Regular", IF(I999&lt;=30, "Recent", IF(D999&gt;=3, "Occasional", "At Risk")))))</f>
        <v>At Risk</v>
      </c>
      <c r="K999" t="str">
        <f t="array" ref="K999">IF(OR(J999="VIP", J999="Loyal"), "HIGH",IF(OR(J999="Regular", J999="Recent"), "MEDIUM","LOW"))</f>
        <v>LOW</v>
      </c>
    </row>
    <row r="1000" spans="1:11">
      <c r="A1000" t="s">
        <v>1013</v>
      </c>
      <c r="B1000" s="14">
        <f>_xlfn.MINIFS('working sheet'!$B$2:$B$3548, 'working sheet'!$D$2:$D$3548, A1000)</f>
        <v>45637.749600173614</v>
      </c>
      <c r="C1000" s="17">
        <f>_xlfn.MAXIFS('working sheet'!$B$1:$B$3548,'working sheet'!$D$1:$D$3548,'Customer Portfolio'!A1000)</f>
        <v>45637.749600173614</v>
      </c>
      <c r="D1000">
        <f>COUNTIFS('working sheet'!$D$1:$D$3548,'Customer Portfolio'!A1000)</f>
        <v>1</v>
      </c>
      <c r="E1000" s="5">
        <f>SUMIFS('working sheet'!$E$2:$E$3548,'working sheet'!$D$2:$D$3548,'Customer Portfolio'!A1000)</f>
        <v>35.76</v>
      </c>
      <c r="F1000" s="6">
        <f t="shared" si="30"/>
        <v>35.76</v>
      </c>
      <c r="G1000" t="str">
        <f t="array" ref="G1000">IFERROR(INDEX('working sheet'!$F$2:$F$3548, MODE(IF('working sheet'!$D$2:$D$3548=A1000, MATCH('working sheet'!$F$2:$F$3548, 'working sheet'!$F$2:$F$3548, 0)))),
         INDEX('working sheet'!$F$2:$F$3548, MATCH(A1000, 'working sheet'!$D$2:$D$3548, 0)))</f>
        <v>Cocoa</v>
      </c>
      <c r="H1000" s="7">
        <f t="shared" si="31"/>
        <v>1</v>
      </c>
      <c r="I1000" s="7">
        <f>MAX('working sheet'!$B$2:$B$3548)-C1000</f>
        <v>102.00848587962537</v>
      </c>
      <c r="J1000" s="4" t="str">
        <f t="array" ref="J1000">IF(AND(I1000&lt;=30, D1000&gt;=10, E1000&gt;=200), "VIP",  IF(AND(I1000&lt;=60, D1000&gt;=5, E1000&gt;=100), "Loyal", IF(AND(I1000&lt;=90, D1000&gt;=3), "Regular", IF(I1000&lt;=30, "Recent", IF(D1000&gt;=3, "Occasional", "At Risk")))))</f>
        <v>At Risk</v>
      </c>
      <c r="K1000" t="str">
        <f t="array" ref="K1000">IF(OR(J1000="VIP", J1000="Loyal"), "HIGH",IF(OR(J1000="Regular", J1000="Recent"), "MEDIUM","LOW"))</f>
        <v>LOW</v>
      </c>
    </row>
    <row r="1001" spans="1:11">
      <c r="A1001" t="s">
        <v>1014</v>
      </c>
      <c r="B1001" s="14">
        <f>_xlfn.MINIFS('working sheet'!$B$2:$B$3548, 'working sheet'!$D$2:$D$3548, A1001)</f>
        <v>45637.887698981482</v>
      </c>
      <c r="C1001" s="17">
        <f>_xlfn.MAXIFS('working sheet'!$B$1:$B$3548,'working sheet'!$D$1:$D$3548,'Customer Portfolio'!A1001)</f>
        <v>45661.932994444447</v>
      </c>
      <c r="D1001">
        <f>COUNTIFS('working sheet'!$D$1:$D$3548,'Customer Portfolio'!A1001)</f>
        <v>2</v>
      </c>
      <c r="E1001" s="5">
        <f>SUMIFS('working sheet'!$E$2:$E$3548,'working sheet'!$D$2:$D$3548,'Customer Portfolio'!A1001)</f>
        <v>71.52</v>
      </c>
      <c r="F1001" s="6">
        <f t="shared" si="30"/>
        <v>35.76</v>
      </c>
      <c r="G1001" t="str">
        <f t="array" ref="G1001">IFERROR(INDEX('working sheet'!$F$2:$F$3548, MODE(IF('working sheet'!$D$2:$D$3548=A1001, MATCH('working sheet'!$F$2:$F$3548, 'working sheet'!$F$2:$F$3548, 0)))),
         INDEX('working sheet'!$F$2:$F$3548, MATCH(A1001, 'working sheet'!$D$2:$D$3548, 0)))</f>
        <v>Latte</v>
      </c>
      <c r="H1001" s="7">
        <f t="shared" si="31"/>
        <v>25.045295462965441</v>
      </c>
      <c r="I1001" s="7">
        <f>MAX('working sheet'!$B$2:$B$3548)-C1001</f>
        <v>77.825091608792718</v>
      </c>
      <c r="J1001" s="4" t="str">
        <f t="array" ref="J1001">IF(AND(I1001&lt;=30, D1001&gt;=10, E1001&gt;=200), "VIP",  IF(AND(I1001&lt;=60, D1001&gt;=5, E1001&gt;=100), "Loyal", IF(AND(I1001&lt;=90, D1001&gt;=3), "Regular", IF(I1001&lt;=30, "Recent", IF(D1001&gt;=3, "Occasional", "At Risk")))))</f>
        <v>At Risk</v>
      </c>
      <c r="K1001" t="str">
        <f t="array" ref="K1001">IF(OR(J1001="VIP", J1001="Loyal"), "HIGH",IF(OR(J1001="Regular", J1001="Recent"), "MEDIUM","LOW"))</f>
        <v>LOW</v>
      </c>
    </row>
    <row r="1002" spans="1:11">
      <c r="A1002" t="s">
        <v>1015</v>
      </c>
      <c r="B1002" s="14">
        <f>_xlfn.MINIFS('working sheet'!$B$2:$B$3548, 'working sheet'!$D$2:$D$3548, A1002)</f>
        <v>45638.332305393516</v>
      </c>
      <c r="C1002" s="17">
        <f>_xlfn.MAXIFS('working sheet'!$B$1:$B$3548,'working sheet'!$D$1:$D$3548,'Customer Portfolio'!A1002)</f>
        <v>45638.332305393516</v>
      </c>
      <c r="D1002">
        <f>COUNTIFS('working sheet'!$D$1:$D$3548,'Customer Portfolio'!A1002)</f>
        <v>1</v>
      </c>
      <c r="E1002" s="5">
        <f>SUMIFS('working sheet'!$E$2:$E$3548,'working sheet'!$D$2:$D$3548,'Customer Portfolio'!A1002)</f>
        <v>30.86</v>
      </c>
      <c r="F1002" s="6">
        <f t="shared" si="30"/>
        <v>30.86</v>
      </c>
      <c r="G1002" t="str">
        <f t="array" ref="G1002">IFERROR(INDEX('working sheet'!$F$2:$F$3548, MODE(IF('working sheet'!$D$2:$D$3548=A1002, MATCH('working sheet'!$F$2:$F$3548, 'working sheet'!$F$2:$F$3548, 0)))),
         INDEX('working sheet'!$F$2:$F$3548, MATCH(A1002, 'working sheet'!$D$2:$D$3548, 0)))</f>
        <v>Americano with Milk</v>
      </c>
      <c r="H1002" s="7">
        <f t="shared" si="31"/>
        <v>1</v>
      </c>
      <c r="I1002" s="7">
        <f>MAX('working sheet'!$B$2:$B$3548)-C1002</f>
        <v>101.42578065972339</v>
      </c>
      <c r="J1002" s="4" t="str">
        <f t="array" ref="J1002">IF(AND(I1002&lt;=30, D1002&gt;=10, E1002&gt;=200), "VIP",  IF(AND(I1002&lt;=60, D1002&gt;=5, E1002&gt;=100), "Loyal", IF(AND(I1002&lt;=90, D1002&gt;=3), "Regular", IF(I1002&lt;=30, "Recent", IF(D1002&gt;=3, "Occasional", "At Risk")))))</f>
        <v>At Risk</v>
      </c>
      <c r="K1002" t="str">
        <f t="array" ref="K1002">IF(OR(J1002="VIP", J1002="Loyal"), "HIGH",IF(OR(J1002="Regular", J1002="Recent"), "MEDIUM","LOW"))</f>
        <v>LOW</v>
      </c>
    </row>
    <row r="1003" spans="1:11">
      <c r="A1003" t="s">
        <v>1016</v>
      </c>
      <c r="B1003" s="14">
        <f>_xlfn.MINIFS('working sheet'!$B$2:$B$3548, 'working sheet'!$D$2:$D$3548, A1003)</f>
        <v>45638.53430175926</v>
      </c>
      <c r="C1003" s="17">
        <f>_xlfn.MAXIFS('working sheet'!$B$1:$B$3548,'working sheet'!$D$1:$D$3548,'Customer Portfolio'!A1003)</f>
        <v>45638.53430175926</v>
      </c>
      <c r="D1003">
        <f>COUNTIFS('working sheet'!$D$1:$D$3548,'Customer Portfolio'!A1003)</f>
        <v>1</v>
      </c>
      <c r="E1003" s="5">
        <f>SUMIFS('working sheet'!$E$2:$E$3548,'working sheet'!$D$2:$D$3548,'Customer Portfolio'!A1003)</f>
        <v>25.96</v>
      </c>
      <c r="F1003" s="6">
        <f t="shared" si="30"/>
        <v>25.96</v>
      </c>
      <c r="G1003" t="str">
        <f t="array" ref="G1003">IFERROR(INDEX('working sheet'!$F$2:$F$3548, MODE(IF('working sheet'!$D$2:$D$3548=A1003, MATCH('working sheet'!$F$2:$F$3548, 'working sheet'!$F$2:$F$3548, 0)))),
         INDEX('working sheet'!$F$2:$F$3548, MATCH(A1003, 'working sheet'!$D$2:$D$3548, 0)))</f>
        <v>Americano</v>
      </c>
      <c r="H1003" s="7">
        <f t="shared" si="31"/>
        <v>1</v>
      </c>
      <c r="I1003" s="7">
        <f>MAX('working sheet'!$B$2:$B$3548)-C1003</f>
        <v>101.22378429397941</v>
      </c>
      <c r="J1003" s="4" t="str">
        <f t="array" ref="J1003">IF(AND(I1003&lt;=30, D1003&gt;=10, E1003&gt;=200), "VIP",  IF(AND(I1003&lt;=60, D1003&gt;=5, E1003&gt;=100), "Loyal", IF(AND(I1003&lt;=90, D1003&gt;=3), "Regular", IF(I1003&lt;=30, "Recent", IF(D1003&gt;=3, "Occasional", "At Risk")))))</f>
        <v>At Risk</v>
      </c>
      <c r="K1003" t="str">
        <f t="array" ref="K1003">IF(OR(J1003="VIP", J1003="Loyal"), "HIGH",IF(OR(J1003="Regular", J1003="Recent"), "MEDIUM","LOW"))</f>
        <v>LOW</v>
      </c>
    </row>
    <row r="1004" spans="1:11">
      <c r="A1004" t="s">
        <v>1017</v>
      </c>
      <c r="B1004" s="14">
        <f>_xlfn.MINIFS('working sheet'!$B$2:$B$3548, 'working sheet'!$D$2:$D$3548, A1004)</f>
        <v>45638.704885509258</v>
      </c>
      <c r="C1004" s="17">
        <f>_xlfn.MAXIFS('working sheet'!$B$1:$B$3548,'working sheet'!$D$1:$D$3548,'Customer Portfolio'!A1004)</f>
        <v>45656.687429201389</v>
      </c>
      <c r="D1004">
        <f>COUNTIFS('working sheet'!$D$1:$D$3548,'Customer Portfolio'!A1004)</f>
        <v>8</v>
      </c>
      <c r="E1004" s="5">
        <f>SUMIFS('working sheet'!$E$2:$E$3548,'working sheet'!$D$2:$D$3548,'Customer Portfolio'!A1004)</f>
        <v>212.57999999999998</v>
      </c>
      <c r="F1004" s="6">
        <f t="shared" si="30"/>
        <v>26.572499999999998</v>
      </c>
      <c r="G1004" t="str">
        <f t="array" ref="G1004">IFERROR(INDEX('working sheet'!$F$2:$F$3548, MODE(IF('working sheet'!$D$2:$D$3548=A1004, MATCH('working sheet'!$F$2:$F$3548, 'working sheet'!$F$2:$F$3548, 0)))),
         INDEX('working sheet'!$F$2:$F$3548, MATCH(A1004, 'working sheet'!$D$2:$D$3548, 0)))</f>
        <v>Americano</v>
      </c>
      <c r="H1004" s="7">
        <f t="shared" si="31"/>
        <v>18.982543692131003</v>
      </c>
      <c r="I1004" s="7">
        <f>MAX('working sheet'!$B$2:$B$3548)-C1004</f>
        <v>83.070656851850799</v>
      </c>
      <c r="J1004" s="4" t="str">
        <f t="array" ref="J1004">IF(AND(I1004&lt;=30, D1004&gt;=10, E1004&gt;=200), "VIP",  IF(AND(I1004&lt;=60, D1004&gt;=5, E1004&gt;=100), "Loyal", IF(AND(I1004&lt;=90, D1004&gt;=3), "Regular", IF(I1004&lt;=30, "Recent", IF(D1004&gt;=3, "Occasional", "At Risk")))))</f>
        <v>Regular</v>
      </c>
      <c r="K1004" t="str">
        <f t="array" ref="K1004">IF(OR(J1004="VIP", J1004="Loyal"), "HIGH",IF(OR(J1004="Regular", J1004="Recent"), "MEDIUM","LOW"))</f>
        <v>MEDIUM</v>
      </c>
    </row>
    <row r="1005" spans="1:11">
      <c r="A1005" t="s">
        <v>1018</v>
      </c>
      <c r="B1005" s="14">
        <f>_xlfn.MINIFS('working sheet'!$B$2:$B$3548, 'working sheet'!$D$2:$D$3548, A1005)</f>
        <v>45639.519044594905</v>
      </c>
      <c r="C1005" s="17">
        <f>_xlfn.MAXIFS('working sheet'!$B$1:$B$3548,'working sheet'!$D$1:$D$3548,'Customer Portfolio'!A1005)</f>
        <v>45639.519044594905</v>
      </c>
      <c r="D1005">
        <f>COUNTIFS('working sheet'!$D$1:$D$3548,'Customer Portfolio'!A1005)</f>
        <v>1</v>
      </c>
      <c r="E1005" s="5">
        <f>SUMIFS('working sheet'!$E$2:$E$3548,'working sheet'!$D$2:$D$3548,'Customer Portfolio'!A1005)</f>
        <v>25.96</v>
      </c>
      <c r="F1005" s="6">
        <f t="shared" si="30"/>
        <v>25.96</v>
      </c>
      <c r="G1005" t="str">
        <f t="array" ref="G1005">IFERROR(INDEX('working sheet'!$F$2:$F$3548, MODE(IF('working sheet'!$D$2:$D$3548=A1005, MATCH('working sheet'!$F$2:$F$3548, 'working sheet'!$F$2:$F$3548, 0)))),
         INDEX('working sheet'!$F$2:$F$3548, MATCH(A1005, 'working sheet'!$D$2:$D$3548, 0)))</f>
        <v>Americano</v>
      </c>
      <c r="H1005" s="7">
        <f t="shared" si="31"/>
        <v>1</v>
      </c>
      <c r="I1005" s="7">
        <f>MAX('working sheet'!$B$2:$B$3548)-C1005</f>
        <v>100.23904145833512</v>
      </c>
      <c r="J1005" s="4" t="str">
        <f t="array" ref="J1005">IF(AND(I1005&lt;=30, D1005&gt;=10, E1005&gt;=200), "VIP",  IF(AND(I1005&lt;=60, D1005&gt;=5, E1005&gt;=100), "Loyal", IF(AND(I1005&lt;=90, D1005&gt;=3), "Regular", IF(I1005&lt;=30, "Recent", IF(D1005&gt;=3, "Occasional", "At Risk")))))</f>
        <v>At Risk</v>
      </c>
      <c r="K1005" t="str">
        <f t="array" ref="K1005">IF(OR(J1005="VIP", J1005="Loyal"), "HIGH",IF(OR(J1005="Regular", J1005="Recent"), "MEDIUM","LOW"))</f>
        <v>LOW</v>
      </c>
    </row>
    <row r="1006" spans="1:11">
      <c r="A1006" t="s">
        <v>1019</v>
      </c>
      <c r="B1006" s="14">
        <f>_xlfn.MINIFS('working sheet'!$B$2:$B$3548, 'working sheet'!$D$2:$D$3548, A1006)</f>
        <v>45639.584699803243</v>
      </c>
      <c r="C1006" s="17">
        <f>_xlfn.MAXIFS('working sheet'!$B$1:$B$3548,'working sheet'!$D$1:$D$3548,'Customer Portfolio'!A1006)</f>
        <v>45639.584699803243</v>
      </c>
      <c r="D1006">
        <f>COUNTIFS('working sheet'!$D$1:$D$3548,'Customer Portfolio'!A1006)</f>
        <v>1</v>
      </c>
      <c r="E1006" s="5">
        <f>SUMIFS('working sheet'!$E$2:$E$3548,'working sheet'!$D$2:$D$3548,'Customer Portfolio'!A1006)</f>
        <v>35.76</v>
      </c>
      <c r="F1006" s="6">
        <f t="shared" si="30"/>
        <v>35.76</v>
      </c>
      <c r="G1006" t="str">
        <f t="array" ref="G1006">IFERROR(INDEX('working sheet'!$F$2:$F$3548, MODE(IF('working sheet'!$D$2:$D$3548=A1006, MATCH('working sheet'!$F$2:$F$3548, 'working sheet'!$F$2:$F$3548, 0)))),
         INDEX('working sheet'!$F$2:$F$3548, MATCH(A1006, 'working sheet'!$D$2:$D$3548, 0)))</f>
        <v>Hot Chocolate</v>
      </c>
      <c r="H1006" s="7">
        <f t="shared" si="31"/>
        <v>1</v>
      </c>
      <c r="I1006" s="7">
        <f>MAX('working sheet'!$B$2:$B$3548)-C1006</f>
        <v>100.17338624999684</v>
      </c>
      <c r="J1006" s="4" t="str">
        <f t="array" ref="J1006">IF(AND(I1006&lt;=30, D1006&gt;=10, E1006&gt;=200), "VIP",  IF(AND(I1006&lt;=60, D1006&gt;=5, E1006&gt;=100), "Loyal", IF(AND(I1006&lt;=90, D1006&gt;=3), "Regular", IF(I1006&lt;=30, "Recent", IF(D1006&gt;=3, "Occasional", "At Risk")))))</f>
        <v>At Risk</v>
      </c>
      <c r="K1006" t="str">
        <f t="array" ref="K1006">IF(OR(J1006="VIP", J1006="Loyal"), "HIGH",IF(OR(J1006="Regular", J1006="Recent"), "MEDIUM","LOW"))</f>
        <v>LOW</v>
      </c>
    </row>
    <row r="1007" spans="1:11">
      <c r="A1007" t="s">
        <v>1020</v>
      </c>
      <c r="B1007" s="14">
        <f>_xlfn.MINIFS('working sheet'!$B$2:$B$3548, 'working sheet'!$D$2:$D$3548, A1007)</f>
        <v>45640.352454328706</v>
      </c>
      <c r="C1007" s="17">
        <f>_xlfn.MAXIFS('working sheet'!$B$1:$B$3548,'working sheet'!$D$1:$D$3548,'Customer Portfolio'!A1007)</f>
        <v>45640.352454328706</v>
      </c>
      <c r="D1007">
        <f>COUNTIFS('working sheet'!$D$1:$D$3548,'Customer Portfolio'!A1007)</f>
        <v>1</v>
      </c>
      <c r="E1007" s="5">
        <f>SUMIFS('working sheet'!$E$2:$E$3548,'working sheet'!$D$2:$D$3548,'Customer Portfolio'!A1007)</f>
        <v>30.86</v>
      </c>
      <c r="F1007" s="6">
        <f t="shared" si="30"/>
        <v>30.86</v>
      </c>
      <c r="G1007" t="str">
        <f t="array" ref="G1007">IFERROR(INDEX('working sheet'!$F$2:$F$3548, MODE(IF('working sheet'!$D$2:$D$3548=A1007, MATCH('working sheet'!$F$2:$F$3548, 'working sheet'!$F$2:$F$3548, 0)))),
         INDEX('working sheet'!$F$2:$F$3548, MATCH(A1007, 'working sheet'!$D$2:$D$3548, 0)))</f>
        <v>Americano with Milk</v>
      </c>
      <c r="H1007" s="7">
        <f t="shared" si="31"/>
        <v>1</v>
      </c>
      <c r="I1007" s="7">
        <f>MAX('working sheet'!$B$2:$B$3548)-C1007</f>
        <v>99.405631724534032</v>
      </c>
      <c r="J1007" s="4" t="str">
        <f t="array" ref="J1007">IF(AND(I1007&lt;=30, D1007&gt;=10, E1007&gt;=200), "VIP",  IF(AND(I1007&lt;=60, D1007&gt;=5, E1007&gt;=100), "Loyal", IF(AND(I1007&lt;=90, D1007&gt;=3), "Regular", IF(I1007&lt;=30, "Recent", IF(D1007&gt;=3, "Occasional", "At Risk")))))</f>
        <v>At Risk</v>
      </c>
      <c r="K1007" t="str">
        <f t="array" ref="K1007">IF(OR(J1007="VIP", J1007="Loyal"), "HIGH",IF(OR(J1007="Regular", J1007="Recent"), "MEDIUM","LOW"))</f>
        <v>LOW</v>
      </c>
    </row>
    <row r="1008" spans="1:11">
      <c r="A1008" t="s">
        <v>1021</v>
      </c>
      <c r="B1008" s="14">
        <f>_xlfn.MINIFS('working sheet'!$B$2:$B$3548, 'working sheet'!$D$2:$D$3548, A1008)</f>
        <v>45640.377147824074</v>
      </c>
      <c r="C1008" s="17">
        <f>_xlfn.MAXIFS('working sheet'!$B$1:$B$3548,'working sheet'!$D$1:$D$3548,'Customer Portfolio'!A1008)</f>
        <v>45640.377147824074</v>
      </c>
      <c r="D1008">
        <f>COUNTIFS('working sheet'!$D$1:$D$3548,'Customer Portfolio'!A1008)</f>
        <v>1</v>
      </c>
      <c r="E1008" s="5">
        <f>SUMIFS('working sheet'!$E$2:$E$3548,'working sheet'!$D$2:$D$3548,'Customer Portfolio'!A1008)</f>
        <v>35.76</v>
      </c>
      <c r="F1008" s="6">
        <f t="shared" si="30"/>
        <v>35.76</v>
      </c>
      <c r="G1008" t="str">
        <f t="array" ref="G1008">IFERROR(INDEX('working sheet'!$F$2:$F$3548, MODE(IF('working sheet'!$D$2:$D$3548=A1008, MATCH('working sheet'!$F$2:$F$3548, 'working sheet'!$F$2:$F$3548, 0)))),
         INDEX('working sheet'!$F$2:$F$3548, MATCH(A1008, 'working sheet'!$D$2:$D$3548, 0)))</f>
        <v>Cocoa</v>
      </c>
      <c r="H1008" s="7">
        <f t="shared" si="31"/>
        <v>1</v>
      </c>
      <c r="I1008" s="7">
        <f>MAX('working sheet'!$B$2:$B$3548)-C1008</f>
        <v>99.380938229165622</v>
      </c>
      <c r="J1008" s="4" t="str">
        <f t="array" ref="J1008">IF(AND(I1008&lt;=30, D1008&gt;=10, E1008&gt;=200), "VIP",  IF(AND(I1008&lt;=60, D1008&gt;=5, E1008&gt;=100), "Loyal", IF(AND(I1008&lt;=90, D1008&gt;=3), "Regular", IF(I1008&lt;=30, "Recent", IF(D1008&gt;=3, "Occasional", "At Risk")))))</f>
        <v>At Risk</v>
      </c>
      <c r="K1008" t="str">
        <f t="array" ref="K1008">IF(OR(J1008="VIP", J1008="Loyal"), "HIGH",IF(OR(J1008="Regular", J1008="Recent"), "MEDIUM","LOW"))</f>
        <v>LOW</v>
      </c>
    </row>
    <row r="1009" spans="1:11">
      <c r="A1009" t="s">
        <v>1022</v>
      </c>
      <c r="B1009" s="14">
        <f>_xlfn.MINIFS('working sheet'!$B$2:$B$3548, 'working sheet'!$D$2:$D$3548, A1009)</f>
        <v>45640.554942511575</v>
      </c>
      <c r="C1009" s="17">
        <f>_xlfn.MAXIFS('working sheet'!$B$1:$B$3548,'working sheet'!$D$1:$D$3548,'Customer Portfolio'!A1009)</f>
        <v>45640.555655127311</v>
      </c>
      <c r="D1009">
        <f>COUNTIFS('working sheet'!$D$1:$D$3548,'Customer Portfolio'!A1009)</f>
        <v>2</v>
      </c>
      <c r="E1009" s="5">
        <f>SUMIFS('working sheet'!$E$2:$E$3548,'working sheet'!$D$2:$D$3548,'Customer Portfolio'!A1009)</f>
        <v>61.72</v>
      </c>
      <c r="F1009" s="6">
        <f t="shared" si="30"/>
        <v>30.86</v>
      </c>
      <c r="G1009" t="str">
        <f t="array" ref="G1009">IFERROR(INDEX('working sheet'!$F$2:$F$3548, MODE(IF('working sheet'!$D$2:$D$3548=A1009, MATCH('working sheet'!$F$2:$F$3548, 'working sheet'!$F$2:$F$3548, 0)))),
         INDEX('working sheet'!$F$2:$F$3548, MATCH(A1009, 'working sheet'!$D$2:$D$3548, 0)))</f>
        <v>Americano</v>
      </c>
      <c r="H1009" s="7">
        <f t="shared" si="31"/>
        <v>1.0007126157361199</v>
      </c>
      <c r="I1009" s="7">
        <f>MAX('working sheet'!$B$2:$B$3548)-C1009</f>
        <v>99.202430925928638</v>
      </c>
      <c r="J1009" s="4" t="str">
        <f t="array" ref="J1009">IF(AND(I1009&lt;=30, D1009&gt;=10, E1009&gt;=200), "VIP",  IF(AND(I1009&lt;=60, D1009&gt;=5, E1009&gt;=100), "Loyal", IF(AND(I1009&lt;=90, D1009&gt;=3), "Regular", IF(I1009&lt;=30, "Recent", IF(D1009&gt;=3, "Occasional", "At Risk")))))</f>
        <v>At Risk</v>
      </c>
      <c r="K1009" t="str">
        <f t="array" ref="K1009">IF(OR(J1009="VIP", J1009="Loyal"), "HIGH",IF(OR(J1009="Regular", J1009="Recent"), "MEDIUM","LOW"))</f>
        <v>LOW</v>
      </c>
    </row>
    <row r="1010" spans="1:11">
      <c r="A1010" t="s">
        <v>1023</v>
      </c>
      <c r="B1010" s="14">
        <f>_xlfn.MINIFS('working sheet'!$B$2:$B$3548, 'working sheet'!$D$2:$D$3548, A1010)</f>
        <v>45640.766483287036</v>
      </c>
      <c r="C1010" s="17">
        <f>_xlfn.MAXIFS('working sheet'!$B$1:$B$3548,'working sheet'!$D$1:$D$3548,'Customer Portfolio'!A1010)</f>
        <v>45640.766483287036</v>
      </c>
      <c r="D1010">
        <f>COUNTIFS('working sheet'!$D$1:$D$3548,'Customer Portfolio'!A1010)</f>
        <v>1</v>
      </c>
      <c r="E1010" s="5">
        <f>SUMIFS('working sheet'!$E$2:$E$3548,'working sheet'!$D$2:$D$3548,'Customer Portfolio'!A1010)</f>
        <v>30.86</v>
      </c>
      <c r="F1010" s="6">
        <f t="shared" si="30"/>
        <v>30.86</v>
      </c>
      <c r="G1010" t="str">
        <f t="array" ref="G1010">IFERROR(INDEX('working sheet'!$F$2:$F$3548, MODE(IF('working sheet'!$D$2:$D$3548=A1010, MATCH('working sheet'!$F$2:$F$3548, 'working sheet'!$F$2:$F$3548, 0)))),
         INDEX('working sheet'!$F$2:$F$3548, MATCH(A1010, 'working sheet'!$D$2:$D$3548, 0)))</f>
        <v>Americano with Milk</v>
      </c>
      <c r="H1010" s="7">
        <f t="shared" si="31"/>
        <v>1</v>
      </c>
      <c r="I1010" s="7">
        <f>MAX('working sheet'!$B$2:$B$3548)-C1010</f>
        <v>98.991602766203869</v>
      </c>
      <c r="J1010" s="4" t="str">
        <f t="array" ref="J1010">IF(AND(I1010&lt;=30, D1010&gt;=10, E1010&gt;=200), "VIP",  IF(AND(I1010&lt;=60, D1010&gt;=5, E1010&gt;=100), "Loyal", IF(AND(I1010&lt;=90, D1010&gt;=3), "Regular", IF(I1010&lt;=30, "Recent", IF(D1010&gt;=3, "Occasional", "At Risk")))))</f>
        <v>At Risk</v>
      </c>
      <c r="K1010" t="str">
        <f t="array" ref="K1010">IF(OR(J1010="VIP", J1010="Loyal"), "HIGH",IF(OR(J1010="Regular", J1010="Recent"), "MEDIUM","LOW"))</f>
        <v>LOW</v>
      </c>
    </row>
    <row r="1011" spans="1:11">
      <c r="A1011" t="s">
        <v>1024</v>
      </c>
      <c r="B1011" s="14">
        <f>_xlfn.MINIFS('working sheet'!$B$2:$B$3548, 'working sheet'!$D$2:$D$3548, A1011)</f>
        <v>45642.335776608794</v>
      </c>
      <c r="C1011" s="17">
        <f>_xlfn.MAXIFS('working sheet'!$B$1:$B$3548,'working sheet'!$D$1:$D$3548,'Customer Portfolio'!A1011)</f>
        <v>45678.336854965281</v>
      </c>
      <c r="D1011">
        <f>COUNTIFS('working sheet'!$D$1:$D$3548,'Customer Portfolio'!A1011)</f>
        <v>2</v>
      </c>
      <c r="E1011" s="5">
        <f>SUMIFS('working sheet'!$E$2:$E$3548,'working sheet'!$D$2:$D$3548,'Customer Portfolio'!A1011)</f>
        <v>71.52</v>
      </c>
      <c r="F1011" s="6">
        <f t="shared" si="30"/>
        <v>35.76</v>
      </c>
      <c r="G1011" t="str">
        <f t="array" ref="G1011">IFERROR(INDEX('working sheet'!$F$2:$F$3548, MODE(IF('working sheet'!$D$2:$D$3548=A1011, MATCH('working sheet'!$F$2:$F$3548, 'working sheet'!$F$2:$F$3548, 0)))),
         INDEX('working sheet'!$F$2:$F$3548, MATCH(A1011, 'working sheet'!$D$2:$D$3548, 0)))</f>
        <v>Hot Chocolate</v>
      </c>
      <c r="H1011" s="7">
        <f t="shared" si="31"/>
        <v>37.001078356486687</v>
      </c>
      <c r="I1011" s="7">
        <f>MAX('working sheet'!$B$2:$B$3548)-C1011</f>
        <v>61.421231087959313</v>
      </c>
      <c r="J1011" s="4" t="str">
        <f t="array" ref="J1011">IF(AND(I1011&lt;=30, D1011&gt;=10, E1011&gt;=200), "VIP",  IF(AND(I1011&lt;=60, D1011&gt;=5, E1011&gt;=100), "Loyal", IF(AND(I1011&lt;=90, D1011&gt;=3), "Regular", IF(I1011&lt;=30, "Recent", IF(D1011&gt;=3, "Occasional", "At Risk")))))</f>
        <v>At Risk</v>
      </c>
      <c r="K1011" t="str">
        <f t="array" ref="K1011">IF(OR(J1011="VIP", J1011="Loyal"), "HIGH",IF(OR(J1011="Regular", J1011="Recent"), "MEDIUM","LOW"))</f>
        <v>LOW</v>
      </c>
    </row>
    <row r="1012" spans="1:11">
      <c r="A1012" t="s">
        <v>1025</v>
      </c>
      <c r="B1012" s="14">
        <f>_xlfn.MINIFS('working sheet'!$B$2:$B$3548, 'working sheet'!$D$2:$D$3548, A1012)</f>
        <v>45642.513288553244</v>
      </c>
      <c r="C1012" s="17">
        <f>_xlfn.MAXIFS('working sheet'!$B$1:$B$3548,'working sheet'!$D$1:$D$3548,'Customer Portfolio'!A1012)</f>
        <v>45642.513288553244</v>
      </c>
      <c r="D1012">
        <f>COUNTIFS('working sheet'!$D$1:$D$3548,'Customer Portfolio'!A1012)</f>
        <v>1</v>
      </c>
      <c r="E1012" s="5">
        <f>SUMIFS('working sheet'!$E$2:$E$3548,'working sheet'!$D$2:$D$3548,'Customer Portfolio'!A1012)</f>
        <v>30.86</v>
      </c>
      <c r="F1012" s="6">
        <f t="shared" si="30"/>
        <v>30.86</v>
      </c>
      <c r="G1012" t="str">
        <f t="array" ref="G1012">IFERROR(INDEX('working sheet'!$F$2:$F$3548, MODE(IF('working sheet'!$D$2:$D$3548=A1012, MATCH('working sheet'!$F$2:$F$3548, 'working sheet'!$F$2:$F$3548, 0)))),
         INDEX('working sheet'!$F$2:$F$3548, MATCH(A1012, 'working sheet'!$D$2:$D$3548, 0)))</f>
        <v>Americano with Milk</v>
      </c>
      <c r="H1012" s="7">
        <f t="shared" si="31"/>
        <v>1</v>
      </c>
      <c r="I1012" s="7">
        <f>MAX('working sheet'!$B$2:$B$3548)-C1012</f>
        <v>97.244797499995911</v>
      </c>
      <c r="J1012" s="4" t="str">
        <f t="array" ref="J1012">IF(AND(I1012&lt;=30, D1012&gt;=10, E1012&gt;=200), "VIP",  IF(AND(I1012&lt;=60, D1012&gt;=5, E1012&gt;=100), "Loyal", IF(AND(I1012&lt;=90, D1012&gt;=3), "Regular", IF(I1012&lt;=30, "Recent", IF(D1012&gt;=3, "Occasional", "At Risk")))))</f>
        <v>At Risk</v>
      </c>
      <c r="K1012" t="str">
        <f t="array" ref="K1012">IF(OR(J1012="VIP", J1012="Loyal"), "HIGH",IF(OR(J1012="Regular", J1012="Recent"), "MEDIUM","LOW"))</f>
        <v>LOW</v>
      </c>
    </row>
    <row r="1013" spans="1:11">
      <c r="A1013" t="s">
        <v>1026</v>
      </c>
      <c r="B1013" s="14">
        <f>_xlfn.MINIFS('working sheet'!$B$2:$B$3548, 'working sheet'!$D$2:$D$3548, A1013)</f>
        <v>45643.366876828703</v>
      </c>
      <c r="C1013" s="17">
        <f>_xlfn.MAXIFS('working sheet'!$B$1:$B$3548,'working sheet'!$D$1:$D$3548,'Customer Portfolio'!A1013)</f>
        <v>45643.366876828703</v>
      </c>
      <c r="D1013">
        <f>COUNTIFS('working sheet'!$D$1:$D$3548,'Customer Portfolio'!A1013)</f>
        <v>1</v>
      </c>
      <c r="E1013" s="5">
        <f>SUMIFS('working sheet'!$E$2:$E$3548,'working sheet'!$D$2:$D$3548,'Customer Portfolio'!A1013)</f>
        <v>25.96</v>
      </c>
      <c r="F1013" s="6">
        <f t="shared" si="30"/>
        <v>25.96</v>
      </c>
      <c r="G1013" t="str">
        <f t="array" ref="G1013">IFERROR(INDEX('working sheet'!$F$2:$F$3548, MODE(IF('working sheet'!$D$2:$D$3548=A1013, MATCH('working sheet'!$F$2:$F$3548, 'working sheet'!$F$2:$F$3548, 0)))),
         INDEX('working sheet'!$F$2:$F$3548, MATCH(A1013, 'working sheet'!$D$2:$D$3548, 0)))</f>
        <v>Cortado</v>
      </c>
      <c r="H1013" s="7">
        <f t="shared" si="31"/>
        <v>1</v>
      </c>
      <c r="I1013" s="7">
        <f>MAX('working sheet'!$B$2:$B$3548)-C1013</f>
        <v>96.391209224537306</v>
      </c>
      <c r="J1013" s="4" t="str">
        <f t="array" ref="J1013">IF(AND(I1013&lt;=30, D1013&gt;=10, E1013&gt;=200), "VIP",  IF(AND(I1013&lt;=60, D1013&gt;=5, E1013&gt;=100), "Loyal", IF(AND(I1013&lt;=90, D1013&gt;=3), "Regular", IF(I1013&lt;=30, "Recent", IF(D1013&gt;=3, "Occasional", "At Risk")))))</f>
        <v>At Risk</v>
      </c>
      <c r="K1013" t="str">
        <f t="array" ref="K1013">IF(OR(J1013="VIP", J1013="Loyal"), "HIGH",IF(OR(J1013="Regular", J1013="Recent"), "MEDIUM","LOW"))</f>
        <v>LOW</v>
      </c>
    </row>
    <row r="1014" spans="1:11">
      <c r="A1014" t="s">
        <v>1027</v>
      </c>
      <c r="B1014" s="14">
        <f>_xlfn.MINIFS('working sheet'!$B$2:$B$3548, 'working sheet'!$D$2:$D$3548, A1014)</f>
        <v>45643.369822118053</v>
      </c>
      <c r="C1014" s="17">
        <f>_xlfn.MAXIFS('working sheet'!$B$1:$B$3548,'working sheet'!$D$1:$D$3548,'Customer Portfolio'!A1014)</f>
        <v>45643.369822118053</v>
      </c>
      <c r="D1014">
        <f>COUNTIFS('working sheet'!$D$1:$D$3548,'Customer Portfolio'!A1014)</f>
        <v>1</v>
      </c>
      <c r="E1014" s="5">
        <f>SUMIFS('working sheet'!$E$2:$E$3548,'working sheet'!$D$2:$D$3548,'Customer Portfolio'!A1014)</f>
        <v>35.76</v>
      </c>
      <c r="F1014" s="6">
        <f t="shared" si="30"/>
        <v>35.76</v>
      </c>
      <c r="G1014" t="str">
        <f t="array" ref="G1014">IFERROR(INDEX('working sheet'!$F$2:$F$3548, MODE(IF('working sheet'!$D$2:$D$3548=A1014, MATCH('working sheet'!$F$2:$F$3548, 'working sheet'!$F$2:$F$3548, 0)))),
         INDEX('working sheet'!$F$2:$F$3548, MATCH(A1014, 'working sheet'!$D$2:$D$3548, 0)))</f>
        <v>Cappuccino</v>
      </c>
      <c r="H1014" s="7">
        <f t="shared" si="31"/>
        <v>1</v>
      </c>
      <c r="I1014" s="7">
        <f>MAX('working sheet'!$B$2:$B$3548)-C1014</f>
        <v>96.388263935186842</v>
      </c>
      <c r="J1014" s="4" t="str">
        <f t="array" ref="J1014">IF(AND(I1014&lt;=30, D1014&gt;=10, E1014&gt;=200), "VIP",  IF(AND(I1014&lt;=60, D1014&gt;=5, E1014&gt;=100), "Loyal", IF(AND(I1014&lt;=90, D1014&gt;=3), "Regular", IF(I1014&lt;=30, "Recent", IF(D1014&gt;=3, "Occasional", "At Risk")))))</f>
        <v>At Risk</v>
      </c>
      <c r="K1014" t="str">
        <f t="array" ref="K1014">IF(OR(J1014="VIP", J1014="Loyal"), "HIGH",IF(OR(J1014="Regular", J1014="Recent"), "MEDIUM","LOW"))</f>
        <v>LOW</v>
      </c>
    </row>
    <row r="1015" spans="1:11">
      <c r="A1015" t="s">
        <v>1028</v>
      </c>
      <c r="B1015" s="14">
        <f>_xlfn.MINIFS('working sheet'!$B$2:$B$3548, 'working sheet'!$D$2:$D$3548, A1015)</f>
        <v>45643.682350219904</v>
      </c>
      <c r="C1015" s="17">
        <f>_xlfn.MAXIFS('working sheet'!$B$1:$B$3548,'working sheet'!$D$1:$D$3548,'Customer Portfolio'!A1015)</f>
        <v>45643.683062557873</v>
      </c>
      <c r="D1015">
        <f>COUNTIFS('working sheet'!$D$1:$D$3548,'Customer Portfolio'!A1015)</f>
        <v>2</v>
      </c>
      <c r="E1015" s="5">
        <f>SUMIFS('working sheet'!$E$2:$E$3548,'working sheet'!$D$2:$D$3548,'Customer Portfolio'!A1015)</f>
        <v>61.72</v>
      </c>
      <c r="F1015" s="6">
        <f t="shared" si="30"/>
        <v>30.86</v>
      </c>
      <c r="G1015" t="str">
        <f t="array" ref="G1015">IFERROR(INDEX('working sheet'!$F$2:$F$3548, MODE(IF('working sheet'!$D$2:$D$3548=A1015, MATCH('working sheet'!$F$2:$F$3548, 'working sheet'!$F$2:$F$3548, 0)))),
         INDEX('working sheet'!$F$2:$F$3548, MATCH(A1015, 'working sheet'!$D$2:$D$3548, 0)))</f>
        <v>Americano</v>
      </c>
      <c r="H1015" s="7">
        <f t="shared" si="31"/>
        <v>1.000712337969162</v>
      </c>
      <c r="I1015" s="7">
        <f>MAX('working sheet'!$B$2:$B$3548)-C1015</f>
        <v>96.075023495366622</v>
      </c>
      <c r="J1015" s="4" t="str">
        <f t="array" ref="J1015">IF(AND(I1015&lt;=30, D1015&gt;=10, E1015&gt;=200), "VIP",  IF(AND(I1015&lt;=60, D1015&gt;=5, E1015&gt;=100), "Loyal", IF(AND(I1015&lt;=90, D1015&gt;=3), "Regular", IF(I1015&lt;=30, "Recent", IF(D1015&gt;=3, "Occasional", "At Risk")))))</f>
        <v>At Risk</v>
      </c>
      <c r="K1015" t="str">
        <f t="array" ref="K1015">IF(OR(J1015="VIP", J1015="Loyal"), "HIGH",IF(OR(J1015="Regular", J1015="Recent"), "MEDIUM","LOW"))</f>
        <v>LOW</v>
      </c>
    </row>
    <row r="1016" spans="1:11">
      <c r="A1016" t="s">
        <v>1029</v>
      </c>
      <c r="B1016" s="14">
        <f>_xlfn.MINIFS('working sheet'!$B$2:$B$3548, 'working sheet'!$D$2:$D$3548, A1016)</f>
        <v>45644.396160706019</v>
      </c>
      <c r="C1016" s="17">
        <f>_xlfn.MAXIFS('working sheet'!$B$1:$B$3548,'working sheet'!$D$1:$D$3548,'Customer Portfolio'!A1016)</f>
        <v>45644.396160706019</v>
      </c>
      <c r="D1016">
        <f>COUNTIFS('working sheet'!$D$1:$D$3548,'Customer Portfolio'!A1016)</f>
        <v>1</v>
      </c>
      <c r="E1016" s="5">
        <f>SUMIFS('working sheet'!$E$2:$E$3548,'working sheet'!$D$2:$D$3548,'Customer Portfolio'!A1016)</f>
        <v>35.76</v>
      </c>
      <c r="F1016" s="6">
        <f t="shared" si="30"/>
        <v>35.76</v>
      </c>
      <c r="G1016" t="str">
        <f t="array" ref="G1016">IFERROR(INDEX('working sheet'!$F$2:$F$3548, MODE(IF('working sheet'!$D$2:$D$3548=A1016, MATCH('working sheet'!$F$2:$F$3548, 'working sheet'!$F$2:$F$3548, 0)))),
         INDEX('working sheet'!$F$2:$F$3548, MATCH(A1016, 'working sheet'!$D$2:$D$3548, 0)))</f>
        <v>Latte</v>
      </c>
      <c r="H1016" s="7">
        <f t="shared" si="31"/>
        <v>1</v>
      </c>
      <c r="I1016" s="7">
        <f>MAX('working sheet'!$B$2:$B$3548)-C1016</f>
        <v>95.361925347220676</v>
      </c>
      <c r="J1016" s="4" t="str">
        <f t="array" ref="J1016">IF(AND(I1016&lt;=30, D1016&gt;=10, E1016&gt;=200), "VIP",  IF(AND(I1016&lt;=60, D1016&gt;=5, E1016&gt;=100), "Loyal", IF(AND(I1016&lt;=90, D1016&gt;=3), "Regular", IF(I1016&lt;=30, "Recent", IF(D1016&gt;=3, "Occasional", "At Risk")))))</f>
        <v>At Risk</v>
      </c>
      <c r="K1016" t="str">
        <f t="array" ref="K1016">IF(OR(J1016="VIP", J1016="Loyal"), "HIGH",IF(OR(J1016="Regular", J1016="Recent"), "MEDIUM","LOW"))</f>
        <v>LOW</v>
      </c>
    </row>
    <row r="1017" spans="1:11">
      <c r="A1017" t="s">
        <v>1030</v>
      </c>
      <c r="B1017" s="14">
        <f>_xlfn.MINIFS('working sheet'!$B$2:$B$3548, 'working sheet'!$D$2:$D$3548, A1017)</f>
        <v>45644.417609849537</v>
      </c>
      <c r="C1017" s="17">
        <f>_xlfn.MAXIFS('working sheet'!$B$1:$B$3548,'working sheet'!$D$1:$D$3548,'Customer Portfolio'!A1017)</f>
        <v>45644.419483564816</v>
      </c>
      <c r="D1017">
        <f>COUNTIFS('working sheet'!$D$1:$D$3548,'Customer Portfolio'!A1017)</f>
        <v>3</v>
      </c>
      <c r="E1017" s="5">
        <f>SUMIFS('working sheet'!$E$2:$E$3548,'working sheet'!$D$2:$D$3548,'Customer Portfolio'!A1017)</f>
        <v>102.38</v>
      </c>
      <c r="F1017" s="6">
        <f t="shared" si="30"/>
        <v>34.126666666666665</v>
      </c>
      <c r="G1017" t="str">
        <f t="array" ref="G1017">IFERROR(INDEX('working sheet'!$F$2:$F$3548, MODE(IF('working sheet'!$D$2:$D$3548=A1017, MATCH('working sheet'!$F$2:$F$3548, 'working sheet'!$F$2:$F$3548, 0)))),
         INDEX('working sheet'!$F$2:$F$3548, MATCH(A1017, 'working sheet'!$D$2:$D$3548, 0)))</f>
        <v>Americano with Milk</v>
      </c>
      <c r="H1017" s="7">
        <f t="shared" si="31"/>
        <v>1.0018737152786343</v>
      </c>
      <c r="I1017" s="7">
        <f>MAX('working sheet'!$B$2:$B$3548)-C1017</f>
        <v>95.33860248842393</v>
      </c>
      <c r="J1017" s="4" t="str">
        <f t="array" ref="J1017">IF(AND(I1017&lt;=30, D1017&gt;=10, E1017&gt;=200), "VIP",  IF(AND(I1017&lt;=60, D1017&gt;=5, E1017&gt;=100), "Loyal", IF(AND(I1017&lt;=90, D1017&gt;=3), "Regular", IF(I1017&lt;=30, "Recent", IF(D1017&gt;=3, "Occasional", "At Risk")))))</f>
        <v>Occasional</v>
      </c>
      <c r="K1017" t="str">
        <f t="array" ref="K1017">IF(OR(J1017="VIP", J1017="Loyal"), "HIGH",IF(OR(J1017="Regular", J1017="Recent"), "MEDIUM","LOW"))</f>
        <v>LOW</v>
      </c>
    </row>
    <row r="1018" spans="1:11">
      <c r="A1018" t="s">
        <v>1031</v>
      </c>
      <c r="B1018" s="14">
        <f>_xlfn.MINIFS('working sheet'!$B$2:$B$3548, 'working sheet'!$D$2:$D$3548, A1018)</f>
        <v>45645.425129456016</v>
      </c>
      <c r="C1018" s="17">
        <f>_xlfn.MAXIFS('working sheet'!$B$1:$B$3548,'working sheet'!$D$1:$D$3548,'Customer Portfolio'!A1018)</f>
        <v>45645.425129456016</v>
      </c>
      <c r="D1018">
        <f>COUNTIFS('working sheet'!$D$1:$D$3548,'Customer Portfolio'!A1018)</f>
        <v>1</v>
      </c>
      <c r="E1018" s="5">
        <f>SUMIFS('working sheet'!$E$2:$E$3548,'working sheet'!$D$2:$D$3548,'Customer Portfolio'!A1018)</f>
        <v>35.76</v>
      </c>
      <c r="F1018" s="6">
        <f t="shared" si="30"/>
        <v>35.76</v>
      </c>
      <c r="G1018" t="str">
        <f t="array" ref="G1018">IFERROR(INDEX('working sheet'!$F$2:$F$3548, MODE(IF('working sheet'!$D$2:$D$3548=A1018, MATCH('working sheet'!$F$2:$F$3548, 'working sheet'!$F$2:$F$3548, 0)))),
         INDEX('working sheet'!$F$2:$F$3548, MATCH(A1018, 'working sheet'!$D$2:$D$3548, 0)))</f>
        <v>Hot Chocolate</v>
      </c>
      <c r="H1018" s="7">
        <f t="shared" si="31"/>
        <v>1</v>
      </c>
      <c r="I1018" s="7">
        <f>MAX('working sheet'!$B$2:$B$3548)-C1018</f>
        <v>94.332956597223529</v>
      </c>
      <c r="J1018" s="4" t="str">
        <f t="array" ref="J1018">IF(AND(I1018&lt;=30, D1018&gt;=10, E1018&gt;=200), "VIP",  IF(AND(I1018&lt;=60, D1018&gt;=5, E1018&gt;=100), "Loyal", IF(AND(I1018&lt;=90, D1018&gt;=3), "Regular", IF(I1018&lt;=30, "Recent", IF(D1018&gt;=3, "Occasional", "At Risk")))))</f>
        <v>At Risk</v>
      </c>
      <c r="K1018" t="str">
        <f t="array" ref="K1018">IF(OR(J1018="VIP", J1018="Loyal"), "HIGH",IF(OR(J1018="Regular", J1018="Recent"), "MEDIUM","LOW"))</f>
        <v>LOW</v>
      </c>
    </row>
    <row r="1019" spans="1:11">
      <c r="A1019" t="s">
        <v>1032</v>
      </c>
      <c r="B1019" s="14">
        <f>_xlfn.MINIFS('working sheet'!$B$2:$B$3548, 'working sheet'!$D$2:$D$3548, A1019)</f>
        <v>45645.507550104165</v>
      </c>
      <c r="C1019" s="17">
        <f>_xlfn.MAXIFS('working sheet'!$B$1:$B$3548,'working sheet'!$D$1:$D$3548,'Customer Portfolio'!A1019)</f>
        <v>45645.507550104165</v>
      </c>
      <c r="D1019">
        <f>COUNTIFS('working sheet'!$D$1:$D$3548,'Customer Portfolio'!A1019)</f>
        <v>1</v>
      </c>
      <c r="E1019" s="5">
        <f>SUMIFS('working sheet'!$E$2:$E$3548,'working sheet'!$D$2:$D$3548,'Customer Portfolio'!A1019)</f>
        <v>21.06</v>
      </c>
      <c r="F1019" s="6">
        <f t="shared" si="30"/>
        <v>21.06</v>
      </c>
      <c r="G1019" t="str">
        <f t="array" ref="G1019">IFERROR(INDEX('working sheet'!$F$2:$F$3548, MODE(IF('working sheet'!$D$2:$D$3548=A1019, MATCH('working sheet'!$F$2:$F$3548, 'working sheet'!$F$2:$F$3548, 0)))),
         INDEX('working sheet'!$F$2:$F$3548, MATCH(A1019, 'working sheet'!$D$2:$D$3548, 0)))</f>
        <v>Espresso</v>
      </c>
      <c r="H1019" s="7">
        <f t="shared" si="31"/>
        <v>1</v>
      </c>
      <c r="I1019" s="7">
        <f>MAX('working sheet'!$B$2:$B$3548)-C1019</f>
        <v>94.250535949075129</v>
      </c>
      <c r="J1019" s="4" t="str">
        <f t="array" ref="J1019">IF(AND(I1019&lt;=30, D1019&gt;=10, E1019&gt;=200), "VIP",  IF(AND(I1019&lt;=60, D1019&gt;=5, E1019&gt;=100), "Loyal", IF(AND(I1019&lt;=90, D1019&gt;=3), "Regular", IF(I1019&lt;=30, "Recent", IF(D1019&gt;=3, "Occasional", "At Risk")))))</f>
        <v>At Risk</v>
      </c>
      <c r="K1019" t="str">
        <f t="array" ref="K1019">IF(OR(J1019="VIP", J1019="Loyal"), "HIGH",IF(OR(J1019="Regular", J1019="Recent"), "MEDIUM","LOW"))</f>
        <v>LOW</v>
      </c>
    </row>
    <row r="1020" spans="1:11">
      <c r="A1020" t="s">
        <v>1033</v>
      </c>
      <c r="B1020" s="14">
        <f>_xlfn.MINIFS('working sheet'!$B$2:$B$3548, 'working sheet'!$D$2:$D$3548, A1020)</f>
        <v>45645.568712812499</v>
      </c>
      <c r="C1020" s="17">
        <f>_xlfn.MAXIFS('working sheet'!$B$1:$B$3548,'working sheet'!$D$1:$D$3548,'Customer Portfolio'!A1020)</f>
        <v>45645.568712812499</v>
      </c>
      <c r="D1020">
        <f>COUNTIFS('working sheet'!$D$1:$D$3548,'Customer Portfolio'!A1020)</f>
        <v>1</v>
      </c>
      <c r="E1020" s="5">
        <f>SUMIFS('working sheet'!$E$2:$E$3548,'working sheet'!$D$2:$D$3548,'Customer Portfolio'!A1020)</f>
        <v>35.76</v>
      </c>
      <c r="F1020" s="6">
        <f t="shared" si="30"/>
        <v>35.76</v>
      </c>
      <c r="G1020" t="str">
        <f t="array" ref="G1020">IFERROR(INDEX('working sheet'!$F$2:$F$3548, MODE(IF('working sheet'!$D$2:$D$3548=A1020, MATCH('working sheet'!$F$2:$F$3548, 'working sheet'!$F$2:$F$3548, 0)))),
         INDEX('working sheet'!$F$2:$F$3548, MATCH(A1020, 'working sheet'!$D$2:$D$3548, 0)))</f>
        <v>Hot Chocolate</v>
      </c>
      <c r="H1020" s="7">
        <f t="shared" si="31"/>
        <v>1</v>
      </c>
      <c r="I1020" s="7">
        <f>MAX('working sheet'!$B$2:$B$3548)-C1020</f>
        <v>94.189373240740679</v>
      </c>
      <c r="J1020" s="4" t="str">
        <f t="array" ref="J1020">IF(AND(I1020&lt;=30, D1020&gt;=10, E1020&gt;=200), "VIP",  IF(AND(I1020&lt;=60, D1020&gt;=5, E1020&gt;=100), "Loyal", IF(AND(I1020&lt;=90, D1020&gt;=3), "Regular", IF(I1020&lt;=30, "Recent", IF(D1020&gt;=3, "Occasional", "At Risk")))))</f>
        <v>At Risk</v>
      </c>
      <c r="K1020" t="str">
        <f t="array" ref="K1020">IF(OR(J1020="VIP", J1020="Loyal"), "HIGH",IF(OR(J1020="Regular", J1020="Recent"), "MEDIUM","LOW"))</f>
        <v>LOW</v>
      </c>
    </row>
    <row r="1021" spans="1:11">
      <c r="A1021" t="s">
        <v>1034</v>
      </c>
      <c r="B1021" s="14">
        <f>_xlfn.MINIFS('working sheet'!$B$2:$B$3548, 'working sheet'!$D$2:$D$3548, A1021)</f>
        <v>45645.825208587965</v>
      </c>
      <c r="C1021" s="17">
        <f>_xlfn.MAXIFS('working sheet'!$B$1:$B$3548,'working sheet'!$D$1:$D$3548,'Customer Portfolio'!A1021)</f>
        <v>45647.741294583335</v>
      </c>
      <c r="D1021">
        <f>COUNTIFS('working sheet'!$D$1:$D$3548,'Customer Portfolio'!A1021)</f>
        <v>3</v>
      </c>
      <c r="E1021" s="5">
        <f>SUMIFS('working sheet'!$E$2:$E$3548,'working sheet'!$D$2:$D$3548,'Customer Portfolio'!A1021)</f>
        <v>102.38</v>
      </c>
      <c r="F1021" s="6">
        <f t="shared" si="30"/>
        <v>34.126666666666665</v>
      </c>
      <c r="G1021" t="str">
        <f t="array" ref="G1021">IFERROR(INDEX('working sheet'!$F$2:$F$3548, MODE(IF('working sheet'!$D$2:$D$3548=A1021, MATCH('working sheet'!$F$2:$F$3548, 'working sheet'!$F$2:$F$3548, 0)))),
         INDEX('working sheet'!$F$2:$F$3548, MATCH(A1021, 'working sheet'!$D$2:$D$3548, 0)))</f>
        <v>Americano with Milk</v>
      </c>
      <c r="H1021" s="7">
        <f t="shared" si="31"/>
        <v>2.9160859953699401</v>
      </c>
      <c r="I1021" s="7">
        <f>MAX('working sheet'!$B$2:$B$3548)-C1021</f>
        <v>92.016791469905002</v>
      </c>
      <c r="J1021" s="4" t="str">
        <f t="array" ref="J1021">IF(AND(I1021&lt;=30, D1021&gt;=10, E1021&gt;=200), "VIP",  IF(AND(I1021&lt;=60, D1021&gt;=5, E1021&gt;=100), "Loyal", IF(AND(I1021&lt;=90, D1021&gt;=3), "Regular", IF(I1021&lt;=30, "Recent", IF(D1021&gt;=3, "Occasional", "At Risk")))))</f>
        <v>Occasional</v>
      </c>
      <c r="K1021" t="str">
        <f t="array" ref="K1021">IF(OR(J1021="VIP", J1021="Loyal"), "HIGH",IF(OR(J1021="Regular", J1021="Recent"), "MEDIUM","LOW"))</f>
        <v>LOW</v>
      </c>
    </row>
    <row r="1022" spans="1:11">
      <c r="A1022" t="s">
        <v>1035</v>
      </c>
      <c r="B1022" s="14">
        <f>_xlfn.MINIFS('working sheet'!$B$2:$B$3548, 'working sheet'!$D$2:$D$3548, A1022)</f>
        <v>45645.880692256942</v>
      </c>
      <c r="C1022" s="17">
        <f>_xlfn.MAXIFS('working sheet'!$B$1:$B$3548,'working sheet'!$D$1:$D$3548,'Customer Portfolio'!A1022)</f>
        <v>45645.881431932874</v>
      </c>
      <c r="D1022">
        <f>COUNTIFS('working sheet'!$D$1:$D$3548,'Customer Portfolio'!A1022)</f>
        <v>2</v>
      </c>
      <c r="E1022" s="5">
        <f>SUMIFS('working sheet'!$E$2:$E$3548,'working sheet'!$D$2:$D$3548,'Customer Portfolio'!A1022)</f>
        <v>71.52</v>
      </c>
      <c r="F1022" s="6">
        <f t="shared" si="30"/>
        <v>35.76</v>
      </c>
      <c r="G1022" t="str">
        <f t="array" ref="G1022">IFERROR(INDEX('working sheet'!$F$2:$F$3548, MODE(IF('working sheet'!$D$2:$D$3548=A1022, MATCH('working sheet'!$F$2:$F$3548, 'working sheet'!$F$2:$F$3548, 0)))),
         INDEX('working sheet'!$F$2:$F$3548, MATCH(A1022, 'working sheet'!$D$2:$D$3548, 0)))</f>
        <v>Latte</v>
      </c>
      <c r="H1022" s="7">
        <f t="shared" si="31"/>
        <v>1.0007396759319818</v>
      </c>
      <c r="I1022" s="7">
        <f>MAX('working sheet'!$B$2:$B$3548)-C1022</f>
        <v>93.876654120365856</v>
      </c>
      <c r="J1022" s="4" t="str">
        <f t="array" ref="J1022">IF(AND(I1022&lt;=30, D1022&gt;=10, E1022&gt;=200), "VIP",  IF(AND(I1022&lt;=60, D1022&gt;=5, E1022&gt;=100), "Loyal", IF(AND(I1022&lt;=90, D1022&gt;=3), "Regular", IF(I1022&lt;=30, "Recent", IF(D1022&gt;=3, "Occasional", "At Risk")))))</f>
        <v>At Risk</v>
      </c>
      <c r="K1022" t="str">
        <f t="array" ref="K1022">IF(OR(J1022="VIP", J1022="Loyal"), "HIGH",IF(OR(J1022="Regular", J1022="Recent"), "MEDIUM","LOW"))</f>
        <v>LOW</v>
      </c>
    </row>
    <row r="1023" spans="1:11">
      <c r="A1023" t="s">
        <v>1036</v>
      </c>
      <c r="B1023" s="14">
        <f>_xlfn.MINIFS('working sheet'!$B$2:$B$3548, 'working sheet'!$D$2:$D$3548, A1023)</f>
        <v>45646.425495729163</v>
      </c>
      <c r="C1023" s="17">
        <f>_xlfn.MAXIFS('working sheet'!$B$1:$B$3548,'working sheet'!$D$1:$D$3548,'Customer Portfolio'!A1023)</f>
        <v>45646.425495729163</v>
      </c>
      <c r="D1023">
        <f>COUNTIFS('working sheet'!$D$1:$D$3548,'Customer Portfolio'!A1023)</f>
        <v>1</v>
      </c>
      <c r="E1023" s="5">
        <f>SUMIFS('working sheet'!$E$2:$E$3548,'working sheet'!$D$2:$D$3548,'Customer Portfolio'!A1023)</f>
        <v>35.76</v>
      </c>
      <c r="F1023" s="6">
        <f t="shared" si="30"/>
        <v>35.76</v>
      </c>
      <c r="G1023" t="str">
        <f t="array" ref="G1023">IFERROR(INDEX('working sheet'!$F$2:$F$3548, MODE(IF('working sheet'!$D$2:$D$3548=A1023, MATCH('working sheet'!$F$2:$F$3548, 'working sheet'!$F$2:$F$3548, 0)))),
         INDEX('working sheet'!$F$2:$F$3548, MATCH(A1023, 'working sheet'!$D$2:$D$3548, 0)))</f>
        <v>Cappuccino</v>
      </c>
      <c r="H1023" s="7">
        <f t="shared" si="31"/>
        <v>1</v>
      </c>
      <c r="I1023" s="7">
        <f>MAX('working sheet'!$B$2:$B$3548)-C1023</f>
        <v>93.332590324076591</v>
      </c>
      <c r="J1023" s="4" t="str">
        <f t="array" ref="J1023">IF(AND(I1023&lt;=30, D1023&gt;=10, E1023&gt;=200), "VIP",  IF(AND(I1023&lt;=60, D1023&gt;=5, E1023&gt;=100), "Loyal", IF(AND(I1023&lt;=90, D1023&gt;=3), "Regular", IF(I1023&lt;=30, "Recent", IF(D1023&gt;=3, "Occasional", "At Risk")))))</f>
        <v>At Risk</v>
      </c>
      <c r="K1023" t="str">
        <f t="array" ref="K1023">IF(OR(J1023="VIP", J1023="Loyal"), "HIGH",IF(OR(J1023="Regular", J1023="Recent"), "MEDIUM","LOW"))</f>
        <v>LOW</v>
      </c>
    </row>
    <row r="1024" spans="1:11">
      <c r="A1024" t="s">
        <v>1037</v>
      </c>
      <c r="B1024" s="14">
        <f>_xlfn.MINIFS('working sheet'!$B$2:$B$3548, 'working sheet'!$D$2:$D$3548, A1024)</f>
        <v>45646.623846631941</v>
      </c>
      <c r="C1024" s="17">
        <f>_xlfn.MAXIFS('working sheet'!$B$1:$B$3548,'working sheet'!$D$1:$D$3548,'Customer Portfolio'!A1024)</f>
        <v>45646.623846631941</v>
      </c>
      <c r="D1024">
        <f>COUNTIFS('working sheet'!$D$1:$D$3548,'Customer Portfolio'!A1024)</f>
        <v>1</v>
      </c>
      <c r="E1024" s="5">
        <f>SUMIFS('working sheet'!$E$2:$E$3548,'working sheet'!$D$2:$D$3548,'Customer Portfolio'!A1024)</f>
        <v>25.96</v>
      </c>
      <c r="F1024" s="6">
        <f t="shared" si="30"/>
        <v>25.96</v>
      </c>
      <c r="G1024" t="str">
        <f t="array" ref="G1024">IFERROR(INDEX('working sheet'!$F$2:$F$3548, MODE(IF('working sheet'!$D$2:$D$3548=A1024, MATCH('working sheet'!$F$2:$F$3548, 'working sheet'!$F$2:$F$3548, 0)))),
         INDEX('working sheet'!$F$2:$F$3548, MATCH(A1024, 'working sheet'!$D$2:$D$3548, 0)))</f>
        <v>Cortado</v>
      </c>
      <c r="H1024" s="7">
        <f t="shared" si="31"/>
        <v>1</v>
      </c>
      <c r="I1024" s="7">
        <f>MAX('working sheet'!$B$2:$B$3548)-C1024</f>
        <v>93.134239421298844</v>
      </c>
      <c r="J1024" s="4" t="str">
        <f t="array" ref="J1024">IF(AND(I1024&lt;=30, D1024&gt;=10, E1024&gt;=200), "VIP",  IF(AND(I1024&lt;=60, D1024&gt;=5, E1024&gt;=100), "Loyal", IF(AND(I1024&lt;=90, D1024&gt;=3), "Regular", IF(I1024&lt;=30, "Recent", IF(D1024&gt;=3, "Occasional", "At Risk")))))</f>
        <v>At Risk</v>
      </c>
      <c r="K1024" t="str">
        <f t="array" ref="K1024">IF(OR(J1024="VIP", J1024="Loyal"), "HIGH",IF(OR(J1024="Regular", J1024="Recent"), "MEDIUM","LOW"))</f>
        <v>LOW</v>
      </c>
    </row>
    <row r="1025" spans="1:11">
      <c r="A1025" t="s">
        <v>1038</v>
      </c>
      <c r="B1025" s="14">
        <f>_xlfn.MINIFS('working sheet'!$B$2:$B$3548, 'working sheet'!$D$2:$D$3548, A1025)</f>
        <v>45646.769700821758</v>
      </c>
      <c r="C1025" s="17">
        <f>_xlfn.MAXIFS('working sheet'!$B$1:$B$3548,'working sheet'!$D$1:$D$3548,'Customer Portfolio'!A1025)</f>
        <v>45646.769700821758</v>
      </c>
      <c r="D1025">
        <f>COUNTIFS('working sheet'!$D$1:$D$3548,'Customer Portfolio'!A1025)</f>
        <v>1</v>
      </c>
      <c r="E1025" s="5">
        <f>SUMIFS('working sheet'!$E$2:$E$3548,'working sheet'!$D$2:$D$3548,'Customer Portfolio'!A1025)</f>
        <v>35.76</v>
      </c>
      <c r="F1025" s="6">
        <f t="shared" si="30"/>
        <v>35.76</v>
      </c>
      <c r="G1025" t="str">
        <f t="array" ref="G1025">IFERROR(INDEX('working sheet'!$F$2:$F$3548, MODE(IF('working sheet'!$D$2:$D$3548=A1025, MATCH('working sheet'!$F$2:$F$3548, 'working sheet'!$F$2:$F$3548, 0)))),
         INDEX('working sheet'!$F$2:$F$3548, MATCH(A1025, 'working sheet'!$D$2:$D$3548, 0)))</f>
        <v>Cappuccino</v>
      </c>
      <c r="H1025" s="7">
        <f t="shared" si="31"/>
        <v>1</v>
      </c>
      <c r="I1025" s="7">
        <f>MAX('working sheet'!$B$2:$B$3548)-C1025</f>
        <v>92.988385231481516</v>
      </c>
      <c r="J1025" s="4" t="str">
        <f t="array" ref="J1025">IF(AND(I1025&lt;=30, D1025&gt;=10, E1025&gt;=200), "VIP",  IF(AND(I1025&lt;=60, D1025&gt;=5, E1025&gt;=100), "Loyal", IF(AND(I1025&lt;=90, D1025&gt;=3), "Regular", IF(I1025&lt;=30, "Recent", IF(D1025&gt;=3, "Occasional", "At Risk")))))</f>
        <v>At Risk</v>
      </c>
      <c r="K1025" t="str">
        <f t="array" ref="K1025">IF(OR(J1025="VIP", J1025="Loyal"), "HIGH",IF(OR(J1025="Regular", J1025="Recent"), "MEDIUM","LOW"))</f>
        <v>LOW</v>
      </c>
    </row>
    <row r="1026" spans="1:11">
      <c r="A1026" t="s">
        <v>1039</v>
      </c>
      <c r="B1026" s="14">
        <f>_xlfn.MINIFS('working sheet'!$B$2:$B$3548, 'working sheet'!$D$2:$D$3548, A1026)</f>
        <v>45647.430137442127</v>
      </c>
      <c r="C1026" s="17">
        <f>_xlfn.MAXIFS('working sheet'!$B$1:$B$3548,'working sheet'!$D$1:$D$3548,'Customer Portfolio'!A1026)</f>
        <v>45647.431031319444</v>
      </c>
      <c r="D1026">
        <f>COUNTIFS('working sheet'!$D$1:$D$3548,'Customer Portfolio'!A1026)</f>
        <v>2</v>
      </c>
      <c r="E1026" s="5">
        <f>SUMIFS('working sheet'!$E$2:$E$3548,'working sheet'!$D$2:$D$3548,'Customer Portfolio'!A1026)</f>
        <v>71.52</v>
      </c>
      <c r="F1026" s="6">
        <f t="shared" si="30"/>
        <v>35.76</v>
      </c>
      <c r="G1026" t="str">
        <f t="array" ref="G1026">IFERROR(INDEX('working sheet'!$F$2:$F$3548, MODE(IF('working sheet'!$D$2:$D$3548=A1026, MATCH('working sheet'!$F$2:$F$3548, 'working sheet'!$F$2:$F$3548, 0)))),
         INDEX('working sheet'!$F$2:$F$3548, MATCH(A1026, 'working sheet'!$D$2:$D$3548, 0)))</f>
        <v>Cappuccino</v>
      </c>
      <c r="H1026" s="7">
        <f t="shared" si="31"/>
        <v>1.0008938773171394</v>
      </c>
      <c r="I1026" s="7">
        <f>MAX('working sheet'!$B$2:$B$3548)-C1026</f>
        <v>92.327054733796103</v>
      </c>
      <c r="J1026" s="4" t="str">
        <f t="array" ref="J1026">IF(AND(I1026&lt;=30, D1026&gt;=10, E1026&gt;=200), "VIP",  IF(AND(I1026&lt;=60, D1026&gt;=5, E1026&gt;=100), "Loyal", IF(AND(I1026&lt;=90, D1026&gt;=3), "Regular", IF(I1026&lt;=30, "Recent", IF(D1026&gt;=3, "Occasional", "At Risk")))))</f>
        <v>At Risk</v>
      </c>
      <c r="K1026" t="str">
        <f t="array" ref="K1026">IF(OR(J1026="VIP", J1026="Loyal"), "HIGH",IF(OR(J1026="Regular", J1026="Recent"), "MEDIUM","LOW"))</f>
        <v>LOW</v>
      </c>
    </row>
    <row r="1027" spans="1:11">
      <c r="A1027" t="s">
        <v>1040</v>
      </c>
      <c r="B1027" s="14">
        <f>_xlfn.MINIFS('working sheet'!$B$2:$B$3548, 'working sheet'!$D$2:$D$3548, A1027)</f>
        <v>45647.438921250003</v>
      </c>
      <c r="C1027" s="17">
        <f>_xlfn.MAXIFS('working sheet'!$B$1:$B$3548,'working sheet'!$D$1:$D$3548,'Customer Portfolio'!A1027)</f>
        <v>45647.438921250003</v>
      </c>
      <c r="D1027">
        <f>COUNTIFS('working sheet'!$D$1:$D$3548,'Customer Portfolio'!A1027)</f>
        <v>1</v>
      </c>
      <c r="E1027" s="5">
        <f>SUMIFS('working sheet'!$E$2:$E$3548,'working sheet'!$D$2:$D$3548,'Customer Portfolio'!A1027)</f>
        <v>25.96</v>
      </c>
      <c r="F1027" s="6">
        <f t="shared" ref="F1027:F1090" si="32">E1027/D1027</f>
        <v>25.96</v>
      </c>
      <c r="G1027" t="str">
        <f t="array" ref="G1027">IFERROR(INDEX('working sheet'!$F$2:$F$3548, MODE(IF('working sheet'!$D$2:$D$3548=A1027, MATCH('working sheet'!$F$2:$F$3548, 'working sheet'!$F$2:$F$3548, 0)))),
         INDEX('working sheet'!$F$2:$F$3548, MATCH(A1027, 'working sheet'!$D$2:$D$3548, 0)))</f>
        <v>Americano</v>
      </c>
      <c r="H1027" s="7">
        <f t="shared" ref="H1027:H1090" si="33">C1027-B1027+1</f>
        <v>1</v>
      </c>
      <c r="I1027" s="7">
        <f>MAX('working sheet'!$B$2:$B$3548)-C1027</f>
        <v>92.319164803237072</v>
      </c>
      <c r="J1027" s="4" t="str">
        <f t="array" ref="J1027">IF(AND(I1027&lt;=30, D1027&gt;=10, E1027&gt;=200), "VIP",  IF(AND(I1027&lt;=60, D1027&gt;=5, E1027&gt;=100), "Loyal", IF(AND(I1027&lt;=90, D1027&gt;=3), "Regular", IF(I1027&lt;=30, "Recent", IF(D1027&gt;=3, "Occasional", "At Risk")))))</f>
        <v>At Risk</v>
      </c>
      <c r="K1027" t="str">
        <f t="array" ref="K1027">IF(OR(J1027="VIP", J1027="Loyal"), "HIGH",IF(OR(J1027="Regular", J1027="Recent"), "MEDIUM","LOW"))</f>
        <v>LOW</v>
      </c>
    </row>
    <row r="1028" spans="1:11">
      <c r="A1028" t="s">
        <v>1041</v>
      </c>
      <c r="B1028" s="14">
        <f>_xlfn.MINIFS('working sheet'!$B$2:$B$3548, 'working sheet'!$D$2:$D$3548, A1028)</f>
        <v>45647.665359050923</v>
      </c>
      <c r="C1028" s="17">
        <f>_xlfn.MAXIFS('working sheet'!$B$1:$B$3548,'working sheet'!$D$1:$D$3548,'Customer Portfolio'!A1028)</f>
        <v>45647.665359050923</v>
      </c>
      <c r="D1028">
        <f>COUNTIFS('working sheet'!$D$1:$D$3548,'Customer Portfolio'!A1028)</f>
        <v>1</v>
      </c>
      <c r="E1028" s="5">
        <f>SUMIFS('working sheet'!$E$2:$E$3548,'working sheet'!$D$2:$D$3548,'Customer Portfolio'!A1028)</f>
        <v>35.76</v>
      </c>
      <c r="F1028" s="6">
        <f t="shared" si="32"/>
        <v>35.76</v>
      </c>
      <c r="G1028" t="str">
        <f t="array" ref="G1028">IFERROR(INDEX('working sheet'!$F$2:$F$3548, MODE(IF('working sheet'!$D$2:$D$3548=A1028, MATCH('working sheet'!$F$2:$F$3548, 'working sheet'!$F$2:$F$3548, 0)))),
         INDEX('working sheet'!$F$2:$F$3548, MATCH(A1028, 'working sheet'!$D$2:$D$3548, 0)))</f>
        <v>Latte</v>
      </c>
      <c r="H1028" s="7">
        <f t="shared" si="33"/>
        <v>1</v>
      </c>
      <c r="I1028" s="7">
        <f>MAX('working sheet'!$B$2:$B$3548)-C1028</f>
        <v>92.092727002316678</v>
      </c>
      <c r="J1028" s="4" t="str">
        <f t="array" ref="J1028">IF(AND(I1028&lt;=30, D1028&gt;=10, E1028&gt;=200), "VIP",  IF(AND(I1028&lt;=60, D1028&gt;=5, E1028&gt;=100), "Loyal", IF(AND(I1028&lt;=90, D1028&gt;=3), "Regular", IF(I1028&lt;=30, "Recent", IF(D1028&gt;=3, "Occasional", "At Risk")))))</f>
        <v>At Risk</v>
      </c>
      <c r="K1028" t="str">
        <f t="array" ref="K1028">IF(OR(J1028="VIP", J1028="Loyal"), "HIGH",IF(OR(J1028="Regular", J1028="Recent"), "MEDIUM","LOW"))</f>
        <v>LOW</v>
      </c>
    </row>
    <row r="1029" spans="1:11">
      <c r="A1029" t="s">
        <v>1042</v>
      </c>
      <c r="B1029" s="14">
        <f>_xlfn.MINIFS('working sheet'!$B$2:$B$3548, 'working sheet'!$D$2:$D$3548, A1029)</f>
        <v>45647.751815613425</v>
      </c>
      <c r="C1029" s="17">
        <f>_xlfn.MAXIFS('working sheet'!$B$1:$B$3548,'working sheet'!$D$1:$D$3548,'Customer Portfolio'!A1029)</f>
        <v>45647.751815613425</v>
      </c>
      <c r="D1029">
        <f>COUNTIFS('working sheet'!$D$1:$D$3548,'Customer Portfolio'!A1029)</f>
        <v>1</v>
      </c>
      <c r="E1029" s="5">
        <f>SUMIFS('working sheet'!$E$2:$E$3548,'working sheet'!$D$2:$D$3548,'Customer Portfolio'!A1029)</f>
        <v>35.76</v>
      </c>
      <c r="F1029" s="6">
        <f t="shared" si="32"/>
        <v>35.76</v>
      </c>
      <c r="G1029" t="str">
        <f t="array" ref="G1029">IFERROR(INDEX('working sheet'!$F$2:$F$3548, MODE(IF('working sheet'!$D$2:$D$3548=A1029, MATCH('working sheet'!$F$2:$F$3548, 'working sheet'!$F$2:$F$3548, 0)))),
         INDEX('working sheet'!$F$2:$F$3548, MATCH(A1029, 'working sheet'!$D$2:$D$3548, 0)))</f>
        <v>Hot Chocolate</v>
      </c>
      <c r="H1029" s="7">
        <f t="shared" si="33"/>
        <v>1</v>
      </c>
      <c r="I1029" s="7">
        <f>MAX('working sheet'!$B$2:$B$3548)-C1029</f>
        <v>92.006270439815125</v>
      </c>
      <c r="J1029" s="4" t="str">
        <f t="array" ref="J1029">IF(AND(I1029&lt;=30, D1029&gt;=10, E1029&gt;=200), "VIP",  IF(AND(I1029&lt;=60, D1029&gt;=5, E1029&gt;=100), "Loyal", IF(AND(I1029&lt;=90, D1029&gt;=3), "Regular", IF(I1029&lt;=30, "Recent", IF(D1029&gt;=3, "Occasional", "At Risk")))))</f>
        <v>At Risk</v>
      </c>
      <c r="K1029" t="str">
        <f t="array" ref="K1029">IF(OR(J1029="VIP", J1029="Loyal"), "HIGH",IF(OR(J1029="Regular", J1029="Recent"), "MEDIUM","LOW"))</f>
        <v>LOW</v>
      </c>
    </row>
    <row r="1030" spans="1:11">
      <c r="A1030" t="s">
        <v>1043</v>
      </c>
      <c r="B1030" s="14">
        <f>_xlfn.MINIFS('working sheet'!$B$2:$B$3548, 'working sheet'!$D$2:$D$3548, A1030)</f>
        <v>45647.755754270831</v>
      </c>
      <c r="C1030" s="17">
        <f>_xlfn.MAXIFS('working sheet'!$B$1:$B$3548,'working sheet'!$D$1:$D$3548,'Customer Portfolio'!A1030)</f>
        <v>45671.412301064818</v>
      </c>
      <c r="D1030">
        <f>COUNTIFS('working sheet'!$D$1:$D$3548,'Customer Portfolio'!A1030)</f>
        <v>15</v>
      </c>
      <c r="E1030" s="5">
        <f>SUMIFS('working sheet'!$E$2:$E$3548,'working sheet'!$D$2:$D$3548,'Customer Portfolio'!A1030)</f>
        <v>389.39999999999992</v>
      </c>
      <c r="F1030" s="6">
        <f t="shared" si="32"/>
        <v>25.959999999999994</v>
      </c>
      <c r="G1030" t="str">
        <f t="array" ref="G1030">IFERROR(INDEX('working sheet'!$F$2:$F$3548, MODE(IF('working sheet'!$D$2:$D$3548=A1030, MATCH('working sheet'!$F$2:$F$3548, 'working sheet'!$F$2:$F$3548, 0)))),
         INDEX('working sheet'!$F$2:$F$3548, MATCH(A1030, 'working sheet'!$D$2:$D$3548, 0)))</f>
        <v>Cortado</v>
      </c>
      <c r="H1030" s="7">
        <f t="shared" si="33"/>
        <v>24.656546793987218</v>
      </c>
      <c r="I1030" s="7">
        <f>MAX('working sheet'!$B$2:$B$3548)-C1030</f>
        <v>68.345784988421656</v>
      </c>
      <c r="J1030" s="4" t="str">
        <f t="array" ref="J1030">IF(AND(I1030&lt;=30, D1030&gt;=10, E1030&gt;=200), "VIP",  IF(AND(I1030&lt;=60, D1030&gt;=5, E1030&gt;=100), "Loyal", IF(AND(I1030&lt;=90, D1030&gt;=3), "Regular", IF(I1030&lt;=30, "Recent", IF(D1030&gt;=3, "Occasional", "At Risk")))))</f>
        <v>Regular</v>
      </c>
      <c r="K1030" t="str">
        <f t="array" ref="K1030">IF(OR(J1030="VIP", J1030="Loyal"), "HIGH",IF(OR(J1030="Regular", J1030="Recent"), "MEDIUM","LOW"))</f>
        <v>MEDIUM</v>
      </c>
    </row>
    <row r="1031" spans="1:11">
      <c r="A1031" t="s">
        <v>1044</v>
      </c>
      <c r="B1031" s="14">
        <f>_xlfn.MINIFS('working sheet'!$B$2:$B$3548, 'working sheet'!$D$2:$D$3548, A1031)</f>
        <v>45647.82515571759</v>
      </c>
      <c r="C1031" s="17">
        <f>_xlfn.MAXIFS('working sheet'!$B$1:$B$3548,'working sheet'!$D$1:$D$3548,'Customer Portfolio'!A1031)</f>
        <v>45647.826224178243</v>
      </c>
      <c r="D1031">
        <f>COUNTIFS('working sheet'!$D$1:$D$3548,'Customer Portfolio'!A1031)</f>
        <v>2</v>
      </c>
      <c r="E1031" s="5">
        <f>SUMIFS('working sheet'!$E$2:$E$3548,'working sheet'!$D$2:$D$3548,'Customer Portfolio'!A1031)</f>
        <v>56.82</v>
      </c>
      <c r="F1031" s="6">
        <f t="shared" si="32"/>
        <v>28.41</v>
      </c>
      <c r="G1031" t="str">
        <f t="array" ref="G1031">IFERROR(INDEX('working sheet'!$F$2:$F$3548, MODE(IF('working sheet'!$D$2:$D$3548=A1031, MATCH('working sheet'!$F$2:$F$3548, 'working sheet'!$F$2:$F$3548, 0)))),
         INDEX('working sheet'!$F$2:$F$3548, MATCH(A1031, 'working sheet'!$D$2:$D$3548, 0)))</f>
        <v>Americano with Milk</v>
      </c>
      <c r="H1031" s="7">
        <f t="shared" si="33"/>
        <v>1.0010684606531868</v>
      </c>
      <c r="I1031" s="7">
        <f>MAX('working sheet'!$B$2:$B$3548)-C1031</f>
        <v>91.931861874996684</v>
      </c>
      <c r="J1031" s="4" t="str">
        <f t="array" ref="J1031">IF(AND(I1031&lt;=30, D1031&gt;=10, E1031&gt;=200), "VIP",  IF(AND(I1031&lt;=60, D1031&gt;=5, E1031&gt;=100), "Loyal", IF(AND(I1031&lt;=90, D1031&gt;=3), "Regular", IF(I1031&lt;=30, "Recent", IF(D1031&gt;=3, "Occasional", "At Risk")))))</f>
        <v>At Risk</v>
      </c>
      <c r="K1031" t="str">
        <f t="array" ref="K1031">IF(OR(J1031="VIP", J1031="Loyal"), "HIGH",IF(OR(J1031="Regular", J1031="Recent"), "MEDIUM","LOW"))</f>
        <v>LOW</v>
      </c>
    </row>
    <row r="1032" spans="1:11">
      <c r="A1032" t="s">
        <v>1045</v>
      </c>
      <c r="B1032" s="14">
        <f>_xlfn.MINIFS('working sheet'!$B$2:$B$3548, 'working sheet'!$D$2:$D$3548, A1032)</f>
        <v>45647.915842060182</v>
      </c>
      <c r="C1032" s="17">
        <f>_xlfn.MAXIFS('working sheet'!$B$1:$B$3548,'working sheet'!$D$1:$D$3548,'Customer Portfolio'!A1032)</f>
        <v>45647.915842060182</v>
      </c>
      <c r="D1032">
        <f>COUNTIFS('working sheet'!$D$1:$D$3548,'Customer Portfolio'!A1032)</f>
        <v>1</v>
      </c>
      <c r="E1032" s="5">
        <f>SUMIFS('working sheet'!$E$2:$E$3548,'working sheet'!$D$2:$D$3548,'Customer Portfolio'!A1032)</f>
        <v>35.76</v>
      </c>
      <c r="F1032" s="6">
        <f t="shared" si="32"/>
        <v>35.76</v>
      </c>
      <c r="G1032" t="str">
        <f t="array" ref="G1032">IFERROR(INDEX('working sheet'!$F$2:$F$3548, MODE(IF('working sheet'!$D$2:$D$3548=A1032, MATCH('working sheet'!$F$2:$F$3548, 'working sheet'!$F$2:$F$3548, 0)))),
         INDEX('working sheet'!$F$2:$F$3548, MATCH(A1032, 'working sheet'!$D$2:$D$3548, 0)))</f>
        <v>Latte</v>
      </c>
      <c r="H1032" s="7">
        <f t="shared" si="33"/>
        <v>1</v>
      </c>
      <c r="I1032" s="7">
        <f>MAX('working sheet'!$B$2:$B$3548)-C1032</f>
        <v>91.842243993058219</v>
      </c>
      <c r="J1032" s="4" t="str">
        <f t="array" ref="J1032">IF(AND(I1032&lt;=30, D1032&gt;=10, E1032&gt;=200), "VIP",  IF(AND(I1032&lt;=60, D1032&gt;=5, E1032&gt;=100), "Loyal", IF(AND(I1032&lt;=90, D1032&gt;=3), "Regular", IF(I1032&lt;=30, "Recent", IF(D1032&gt;=3, "Occasional", "At Risk")))))</f>
        <v>At Risk</v>
      </c>
      <c r="K1032" t="str">
        <f t="array" ref="K1032">IF(OR(J1032="VIP", J1032="Loyal"), "HIGH",IF(OR(J1032="Regular", J1032="Recent"), "MEDIUM","LOW"))</f>
        <v>LOW</v>
      </c>
    </row>
    <row r="1033" spans="1:11">
      <c r="A1033" t="s">
        <v>1046</v>
      </c>
      <c r="B1033" s="14">
        <f>_xlfn.MINIFS('working sheet'!$B$2:$B$3548, 'working sheet'!$D$2:$D$3548, A1033)</f>
        <v>45648.816502870373</v>
      </c>
      <c r="C1033" s="17">
        <f>_xlfn.MAXIFS('working sheet'!$B$1:$B$3548,'working sheet'!$D$1:$D$3548,'Customer Portfolio'!A1033)</f>
        <v>45648.81701230324</v>
      </c>
      <c r="D1033">
        <f>COUNTIFS('working sheet'!$D$1:$D$3548,'Customer Portfolio'!A1033)</f>
        <v>2</v>
      </c>
      <c r="E1033" s="5">
        <f>SUMIFS('working sheet'!$E$2:$E$3548,'working sheet'!$D$2:$D$3548,'Customer Portfolio'!A1033)</f>
        <v>71.52</v>
      </c>
      <c r="F1033" s="6">
        <f t="shared" si="32"/>
        <v>35.76</v>
      </c>
      <c r="G1033" t="str">
        <f t="array" ref="G1033">IFERROR(INDEX('working sheet'!$F$2:$F$3548, MODE(IF('working sheet'!$D$2:$D$3548=A1033, MATCH('working sheet'!$F$2:$F$3548, 'working sheet'!$F$2:$F$3548, 0)))),
         INDEX('working sheet'!$F$2:$F$3548, MATCH(A1033, 'working sheet'!$D$2:$D$3548, 0)))</f>
        <v>Hot Chocolate</v>
      </c>
      <c r="H1033" s="7">
        <f t="shared" si="33"/>
        <v>1.0005094328662381</v>
      </c>
      <c r="I1033" s="7">
        <f>MAX('working sheet'!$B$2:$B$3548)-C1033</f>
        <v>90.941073750000214</v>
      </c>
      <c r="J1033" s="4" t="str">
        <f t="array" ref="J1033">IF(AND(I1033&lt;=30, D1033&gt;=10, E1033&gt;=200), "VIP",  IF(AND(I1033&lt;=60, D1033&gt;=5, E1033&gt;=100), "Loyal", IF(AND(I1033&lt;=90, D1033&gt;=3), "Regular", IF(I1033&lt;=30, "Recent", IF(D1033&gt;=3, "Occasional", "At Risk")))))</f>
        <v>At Risk</v>
      </c>
      <c r="K1033" t="str">
        <f t="array" ref="K1033">IF(OR(J1033="VIP", J1033="Loyal"), "HIGH",IF(OR(J1033="Regular", J1033="Recent"), "MEDIUM","LOW"))</f>
        <v>LOW</v>
      </c>
    </row>
    <row r="1034" spans="1:11">
      <c r="A1034" t="s">
        <v>1047</v>
      </c>
      <c r="B1034" s="14">
        <f>_xlfn.MINIFS('working sheet'!$B$2:$B$3548, 'working sheet'!$D$2:$D$3548, A1034)</f>
        <v>45648.913411504633</v>
      </c>
      <c r="C1034" s="17">
        <f>_xlfn.MAXIFS('working sheet'!$B$1:$B$3548,'working sheet'!$D$1:$D$3548,'Customer Portfolio'!A1034)</f>
        <v>45648.913411504633</v>
      </c>
      <c r="D1034">
        <f>COUNTIFS('working sheet'!$D$1:$D$3548,'Customer Portfolio'!A1034)</f>
        <v>1</v>
      </c>
      <c r="E1034" s="5">
        <f>SUMIFS('working sheet'!$E$2:$E$3548,'working sheet'!$D$2:$D$3548,'Customer Portfolio'!A1034)</f>
        <v>35.76</v>
      </c>
      <c r="F1034" s="6">
        <f t="shared" si="32"/>
        <v>35.76</v>
      </c>
      <c r="G1034" t="str">
        <f t="array" ref="G1034">IFERROR(INDEX('working sheet'!$F$2:$F$3548, MODE(IF('working sheet'!$D$2:$D$3548=A1034, MATCH('working sheet'!$F$2:$F$3548, 'working sheet'!$F$2:$F$3548, 0)))),
         INDEX('working sheet'!$F$2:$F$3548, MATCH(A1034, 'working sheet'!$D$2:$D$3548, 0)))</f>
        <v>Cocoa</v>
      </c>
      <c r="H1034" s="7">
        <f t="shared" si="33"/>
        <v>1</v>
      </c>
      <c r="I1034" s="7">
        <f>MAX('working sheet'!$B$2:$B$3548)-C1034</f>
        <v>90.844674548607145</v>
      </c>
      <c r="J1034" s="4" t="str">
        <f t="array" ref="J1034">IF(AND(I1034&lt;=30, D1034&gt;=10, E1034&gt;=200), "VIP",  IF(AND(I1034&lt;=60, D1034&gt;=5, E1034&gt;=100), "Loyal", IF(AND(I1034&lt;=90, D1034&gt;=3), "Regular", IF(I1034&lt;=30, "Recent", IF(D1034&gt;=3, "Occasional", "At Risk")))))</f>
        <v>At Risk</v>
      </c>
      <c r="K1034" t="str">
        <f t="array" ref="K1034">IF(OR(J1034="VIP", J1034="Loyal"), "HIGH",IF(OR(J1034="Regular", J1034="Recent"), "MEDIUM","LOW"))</f>
        <v>LOW</v>
      </c>
    </row>
    <row r="1035" spans="1:11">
      <c r="A1035" t="s">
        <v>1048</v>
      </c>
      <c r="B1035" s="14">
        <f>_xlfn.MINIFS('working sheet'!$B$2:$B$3548, 'working sheet'!$D$2:$D$3548, A1035)</f>
        <v>45648.91454046296</v>
      </c>
      <c r="C1035" s="17">
        <f>_xlfn.MAXIFS('working sheet'!$B$1:$B$3548,'working sheet'!$D$1:$D$3548,'Customer Portfolio'!A1035)</f>
        <v>45681.571962789349</v>
      </c>
      <c r="D1035">
        <f>COUNTIFS('working sheet'!$D$1:$D$3548,'Customer Portfolio'!A1035)</f>
        <v>11</v>
      </c>
      <c r="E1035" s="5">
        <f>SUMIFS('working sheet'!$E$2:$E$3548,'working sheet'!$D$2:$D$3548,'Customer Portfolio'!A1035)</f>
        <v>329.65999999999997</v>
      </c>
      <c r="F1035" s="6">
        <f t="shared" si="32"/>
        <v>29.969090909090905</v>
      </c>
      <c r="G1035" t="str">
        <f t="array" ref="G1035">IFERROR(INDEX('working sheet'!$F$2:$F$3548, MODE(IF('working sheet'!$D$2:$D$3548=A1035, MATCH('working sheet'!$F$2:$F$3548, 'working sheet'!$F$2:$F$3548, 0)))),
         INDEX('working sheet'!$F$2:$F$3548, MATCH(A1035, 'working sheet'!$D$2:$D$3548, 0)))</f>
        <v>Cortado</v>
      </c>
      <c r="H1035" s="7">
        <f t="shared" si="33"/>
        <v>33.657422326388769</v>
      </c>
      <c r="I1035" s="7">
        <f>MAX('working sheet'!$B$2:$B$3548)-C1035</f>
        <v>58.186123263891204</v>
      </c>
      <c r="J1035" s="4" t="str">
        <f t="array" ref="J1035">IF(AND(I1035&lt;=30, D1035&gt;=10, E1035&gt;=200), "VIP",  IF(AND(I1035&lt;=60, D1035&gt;=5, E1035&gt;=100), "Loyal", IF(AND(I1035&lt;=90, D1035&gt;=3), "Regular", IF(I1035&lt;=30, "Recent", IF(D1035&gt;=3, "Occasional", "At Risk")))))</f>
        <v>Loyal</v>
      </c>
      <c r="K1035" t="str">
        <f t="array" ref="K1035">IF(OR(J1035="VIP", J1035="Loyal"), "HIGH",IF(OR(J1035="Regular", J1035="Recent"), "MEDIUM","LOW"))</f>
        <v>HIGH</v>
      </c>
    </row>
    <row r="1036" spans="1:11">
      <c r="A1036" t="s">
        <v>1049</v>
      </c>
      <c r="B1036" s="14">
        <f>_xlfn.MINIFS('working sheet'!$B$2:$B$3548, 'working sheet'!$D$2:$D$3548, A1036)</f>
        <v>45649.587172858795</v>
      </c>
      <c r="C1036" s="17">
        <f>_xlfn.MAXIFS('working sheet'!$B$1:$B$3548,'working sheet'!$D$1:$D$3548,'Customer Portfolio'!A1036)</f>
        <v>45649.587172858795</v>
      </c>
      <c r="D1036">
        <f>COUNTIFS('working sheet'!$D$1:$D$3548,'Customer Portfolio'!A1036)</f>
        <v>1</v>
      </c>
      <c r="E1036" s="5">
        <f>SUMIFS('working sheet'!$E$2:$E$3548,'working sheet'!$D$2:$D$3548,'Customer Portfolio'!A1036)</f>
        <v>35.76</v>
      </c>
      <c r="F1036" s="6">
        <f t="shared" si="32"/>
        <v>35.76</v>
      </c>
      <c r="G1036" t="str">
        <f t="array" ref="G1036">IFERROR(INDEX('working sheet'!$F$2:$F$3548, MODE(IF('working sheet'!$D$2:$D$3548=A1036, MATCH('working sheet'!$F$2:$F$3548, 'working sheet'!$F$2:$F$3548, 0)))),
         INDEX('working sheet'!$F$2:$F$3548, MATCH(A1036, 'working sheet'!$D$2:$D$3548, 0)))</f>
        <v>Latte</v>
      </c>
      <c r="H1036" s="7">
        <f t="shared" si="33"/>
        <v>1</v>
      </c>
      <c r="I1036" s="7">
        <f>MAX('working sheet'!$B$2:$B$3548)-C1036</f>
        <v>90.170913194444438</v>
      </c>
      <c r="J1036" s="4" t="str">
        <f t="array" ref="J1036">IF(AND(I1036&lt;=30, D1036&gt;=10, E1036&gt;=200), "VIP",  IF(AND(I1036&lt;=60, D1036&gt;=5, E1036&gt;=100), "Loyal", IF(AND(I1036&lt;=90, D1036&gt;=3), "Regular", IF(I1036&lt;=30, "Recent", IF(D1036&gt;=3, "Occasional", "At Risk")))))</f>
        <v>At Risk</v>
      </c>
      <c r="K1036" t="str">
        <f t="array" ref="K1036">IF(OR(J1036="VIP", J1036="Loyal"), "HIGH",IF(OR(J1036="Regular", J1036="Recent"), "MEDIUM","LOW"))</f>
        <v>LOW</v>
      </c>
    </row>
    <row r="1037" spans="1:11">
      <c r="A1037" t="s">
        <v>1050</v>
      </c>
      <c r="B1037" s="14">
        <f>_xlfn.MINIFS('working sheet'!$B$2:$B$3548, 'working sheet'!$D$2:$D$3548, A1037)</f>
        <v>45649.625274062499</v>
      </c>
      <c r="C1037" s="17">
        <f>_xlfn.MAXIFS('working sheet'!$B$1:$B$3548,'working sheet'!$D$1:$D$3548,'Customer Portfolio'!A1037)</f>
        <v>45649.625274062499</v>
      </c>
      <c r="D1037">
        <f>COUNTIFS('working sheet'!$D$1:$D$3548,'Customer Portfolio'!A1037)</f>
        <v>1</v>
      </c>
      <c r="E1037" s="5">
        <f>SUMIFS('working sheet'!$E$2:$E$3548,'working sheet'!$D$2:$D$3548,'Customer Portfolio'!A1037)</f>
        <v>30.86</v>
      </c>
      <c r="F1037" s="6">
        <f t="shared" si="32"/>
        <v>30.86</v>
      </c>
      <c r="G1037" t="str">
        <f t="array" ref="G1037">IFERROR(INDEX('working sheet'!$F$2:$F$3548, MODE(IF('working sheet'!$D$2:$D$3548=A1037, MATCH('working sheet'!$F$2:$F$3548, 'working sheet'!$F$2:$F$3548, 0)))),
         INDEX('working sheet'!$F$2:$F$3548, MATCH(A1037, 'working sheet'!$D$2:$D$3548, 0)))</f>
        <v>Americano with Milk</v>
      </c>
      <c r="H1037" s="7">
        <f t="shared" si="33"/>
        <v>1</v>
      </c>
      <c r="I1037" s="7">
        <f>MAX('working sheet'!$B$2:$B$3548)-C1037</f>
        <v>90.132811990741175</v>
      </c>
      <c r="J1037" s="4" t="str">
        <f t="array" ref="J1037">IF(AND(I1037&lt;=30, D1037&gt;=10, E1037&gt;=200), "VIP",  IF(AND(I1037&lt;=60, D1037&gt;=5, E1037&gt;=100), "Loyal", IF(AND(I1037&lt;=90, D1037&gt;=3), "Regular", IF(I1037&lt;=30, "Recent", IF(D1037&gt;=3, "Occasional", "At Risk")))))</f>
        <v>At Risk</v>
      </c>
      <c r="K1037" t="str">
        <f t="array" ref="K1037">IF(OR(J1037="VIP", J1037="Loyal"), "HIGH",IF(OR(J1037="Regular", J1037="Recent"), "MEDIUM","LOW"))</f>
        <v>LOW</v>
      </c>
    </row>
    <row r="1038" spans="1:11">
      <c r="A1038" t="s">
        <v>1051</v>
      </c>
      <c r="B1038" s="14">
        <f>_xlfn.MINIFS('working sheet'!$B$2:$B$3548, 'working sheet'!$D$2:$D$3548, A1038)</f>
        <v>45649.723153877312</v>
      </c>
      <c r="C1038" s="17">
        <f>_xlfn.MAXIFS('working sheet'!$B$1:$B$3548,'working sheet'!$D$1:$D$3548,'Customer Portfolio'!A1038)</f>
        <v>45649.724077511572</v>
      </c>
      <c r="D1038">
        <f>COUNTIFS('working sheet'!$D$1:$D$3548,'Customer Portfolio'!A1038)</f>
        <v>2</v>
      </c>
      <c r="E1038" s="5">
        <f>SUMIFS('working sheet'!$E$2:$E$3548,'working sheet'!$D$2:$D$3548,'Customer Portfolio'!A1038)</f>
        <v>61.72</v>
      </c>
      <c r="F1038" s="6">
        <f t="shared" si="32"/>
        <v>30.86</v>
      </c>
      <c r="G1038" t="str">
        <f t="array" ref="G1038">IFERROR(INDEX('working sheet'!$F$2:$F$3548, MODE(IF('working sheet'!$D$2:$D$3548=A1038, MATCH('working sheet'!$F$2:$F$3548, 'working sheet'!$F$2:$F$3548, 0)))),
         INDEX('working sheet'!$F$2:$F$3548, MATCH(A1038, 'working sheet'!$D$2:$D$3548, 0)))</f>
        <v>Cortado</v>
      </c>
      <c r="H1038" s="7">
        <f t="shared" si="33"/>
        <v>1.0009236342593795</v>
      </c>
      <c r="I1038" s="7">
        <f>MAX('working sheet'!$B$2:$B$3548)-C1038</f>
        <v>90.0340085416683</v>
      </c>
      <c r="J1038" s="4" t="str">
        <f t="array" ref="J1038">IF(AND(I1038&lt;=30, D1038&gt;=10, E1038&gt;=200), "VIP",  IF(AND(I1038&lt;=60, D1038&gt;=5, E1038&gt;=100), "Loyal", IF(AND(I1038&lt;=90, D1038&gt;=3), "Regular", IF(I1038&lt;=30, "Recent", IF(D1038&gt;=3, "Occasional", "At Risk")))))</f>
        <v>At Risk</v>
      </c>
      <c r="K1038" t="str">
        <f t="array" ref="K1038">IF(OR(J1038="VIP", J1038="Loyal"), "HIGH",IF(OR(J1038="Regular", J1038="Recent"), "MEDIUM","LOW"))</f>
        <v>LOW</v>
      </c>
    </row>
    <row r="1039" spans="1:11">
      <c r="A1039" t="s">
        <v>1052</v>
      </c>
      <c r="B1039" s="14">
        <f>_xlfn.MINIFS('working sheet'!$B$2:$B$3548, 'working sheet'!$D$2:$D$3548, A1039)</f>
        <v>45650.632447002317</v>
      </c>
      <c r="C1039" s="17">
        <f>_xlfn.MAXIFS('working sheet'!$B$1:$B$3548,'working sheet'!$D$1:$D$3548,'Customer Portfolio'!A1039)</f>
        <v>45650.632447002317</v>
      </c>
      <c r="D1039">
        <f>COUNTIFS('working sheet'!$D$1:$D$3548,'Customer Portfolio'!A1039)</f>
        <v>1</v>
      </c>
      <c r="E1039" s="5">
        <f>SUMIFS('working sheet'!$E$2:$E$3548,'working sheet'!$D$2:$D$3548,'Customer Portfolio'!A1039)</f>
        <v>30.86</v>
      </c>
      <c r="F1039" s="6">
        <f t="shared" si="32"/>
        <v>30.86</v>
      </c>
      <c r="G1039" t="str">
        <f t="array" ref="G1039">IFERROR(INDEX('working sheet'!$F$2:$F$3548, MODE(IF('working sheet'!$D$2:$D$3548=A1039, MATCH('working sheet'!$F$2:$F$3548, 'working sheet'!$F$2:$F$3548, 0)))),
         INDEX('working sheet'!$F$2:$F$3548, MATCH(A1039, 'working sheet'!$D$2:$D$3548, 0)))</f>
        <v>Americano with Milk</v>
      </c>
      <c r="H1039" s="7">
        <f t="shared" si="33"/>
        <v>1</v>
      </c>
      <c r="I1039" s="7">
        <f>MAX('working sheet'!$B$2:$B$3548)-C1039</f>
        <v>89.125639050922473</v>
      </c>
      <c r="J1039" s="4" t="str">
        <f t="array" ref="J1039">IF(AND(I1039&lt;=30, D1039&gt;=10, E1039&gt;=200), "VIP",  IF(AND(I1039&lt;=60, D1039&gt;=5, E1039&gt;=100), "Loyal", IF(AND(I1039&lt;=90, D1039&gt;=3), "Regular", IF(I1039&lt;=30, "Recent", IF(D1039&gt;=3, "Occasional", "At Risk")))))</f>
        <v>At Risk</v>
      </c>
      <c r="K1039" t="str">
        <f t="array" ref="K1039">IF(OR(J1039="VIP", J1039="Loyal"), "HIGH",IF(OR(J1039="Regular", J1039="Recent"), "MEDIUM","LOW"))</f>
        <v>LOW</v>
      </c>
    </row>
    <row r="1040" spans="1:11">
      <c r="A1040" t="s">
        <v>1053</v>
      </c>
      <c r="B1040" s="14">
        <f>_xlfn.MINIFS('working sheet'!$B$2:$B$3548, 'working sheet'!$D$2:$D$3548, A1040)</f>
        <v>45650.672663541663</v>
      </c>
      <c r="C1040" s="17">
        <f>_xlfn.MAXIFS('working sheet'!$B$1:$B$3548,'working sheet'!$D$1:$D$3548,'Customer Portfolio'!A1040)</f>
        <v>45650.800404884256</v>
      </c>
      <c r="D1040">
        <f>COUNTIFS('working sheet'!$D$1:$D$3548,'Customer Portfolio'!A1040)</f>
        <v>3</v>
      </c>
      <c r="E1040" s="5">
        <f>SUMIFS('working sheet'!$E$2:$E$3548,'working sheet'!$D$2:$D$3548,'Customer Portfolio'!A1040)</f>
        <v>92.58</v>
      </c>
      <c r="F1040" s="6">
        <f t="shared" si="32"/>
        <v>30.86</v>
      </c>
      <c r="G1040" t="str">
        <f t="array" ref="G1040">IFERROR(INDEX('working sheet'!$F$2:$F$3548, MODE(IF('working sheet'!$D$2:$D$3548=A1040, MATCH('working sheet'!$F$2:$F$3548, 'working sheet'!$F$2:$F$3548, 0)))),
         INDEX('working sheet'!$F$2:$F$3548, MATCH(A1040, 'working sheet'!$D$2:$D$3548, 0)))</f>
        <v>Hot Chocolate</v>
      </c>
      <c r="H1040" s="7">
        <f t="shared" si="33"/>
        <v>1.1277413425923442</v>
      </c>
      <c r="I1040" s="7">
        <f>MAX('working sheet'!$B$2:$B$3548)-C1040</f>
        <v>88.957681168983981</v>
      </c>
      <c r="J1040" s="4" t="str">
        <f t="array" ref="J1040">IF(AND(I1040&lt;=30, D1040&gt;=10, E1040&gt;=200), "VIP",  IF(AND(I1040&lt;=60, D1040&gt;=5, E1040&gt;=100), "Loyal", IF(AND(I1040&lt;=90, D1040&gt;=3), "Regular", IF(I1040&lt;=30, "Recent", IF(D1040&gt;=3, "Occasional", "At Risk")))))</f>
        <v>Regular</v>
      </c>
      <c r="K1040" t="str">
        <f t="array" ref="K1040">IF(OR(J1040="VIP", J1040="Loyal"), "HIGH",IF(OR(J1040="Regular", J1040="Recent"), "MEDIUM","LOW"))</f>
        <v>MEDIUM</v>
      </c>
    </row>
    <row r="1041" spans="1:11">
      <c r="A1041" t="s">
        <v>1054</v>
      </c>
      <c r="B1041" s="14">
        <f>_xlfn.MINIFS('working sheet'!$B$2:$B$3548, 'working sheet'!$D$2:$D$3548, A1041)</f>
        <v>45650.799732222222</v>
      </c>
      <c r="C1041" s="17">
        <f>_xlfn.MAXIFS('working sheet'!$B$1:$B$3548,'working sheet'!$D$1:$D$3548,'Customer Portfolio'!A1041)</f>
        <v>45650.799732222222</v>
      </c>
      <c r="D1041">
        <f>COUNTIFS('working sheet'!$D$1:$D$3548,'Customer Portfolio'!A1041)</f>
        <v>1</v>
      </c>
      <c r="E1041" s="5">
        <f>SUMIFS('working sheet'!$E$2:$E$3548,'working sheet'!$D$2:$D$3548,'Customer Portfolio'!A1041)</f>
        <v>35.76</v>
      </c>
      <c r="F1041" s="6">
        <f t="shared" si="32"/>
        <v>35.76</v>
      </c>
      <c r="G1041" t="str">
        <f t="array" ref="G1041">IFERROR(INDEX('working sheet'!$F$2:$F$3548, MODE(IF('working sheet'!$D$2:$D$3548=A1041, MATCH('working sheet'!$F$2:$F$3548, 'working sheet'!$F$2:$F$3548, 0)))),
         INDEX('working sheet'!$F$2:$F$3548, MATCH(A1041, 'working sheet'!$D$2:$D$3548, 0)))</f>
        <v>Latte</v>
      </c>
      <c r="H1041" s="7">
        <f t="shared" si="33"/>
        <v>1</v>
      </c>
      <c r="I1041" s="7">
        <f>MAX('working sheet'!$B$2:$B$3548)-C1041</f>
        <v>88.95835383101803</v>
      </c>
      <c r="J1041" s="4" t="str">
        <f t="array" ref="J1041">IF(AND(I1041&lt;=30, D1041&gt;=10, E1041&gt;=200), "VIP",  IF(AND(I1041&lt;=60, D1041&gt;=5, E1041&gt;=100), "Loyal", IF(AND(I1041&lt;=90, D1041&gt;=3), "Regular", IF(I1041&lt;=30, "Recent", IF(D1041&gt;=3, "Occasional", "At Risk")))))</f>
        <v>At Risk</v>
      </c>
      <c r="K1041" t="str">
        <f t="array" ref="K1041">IF(OR(J1041="VIP", J1041="Loyal"), "HIGH",IF(OR(J1041="Regular", J1041="Recent"), "MEDIUM","LOW"))</f>
        <v>LOW</v>
      </c>
    </row>
    <row r="1042" spans="1:11">
      <c r="A1042" t="s">
        <v>1055</v>
      </c>
      <c r="B1042" s="14">
        <f>_xlfn.MINIFS('working sheet'!$B$2:$B$3548, 'working sheet'!$D$2:$D$3548, A1042)</f>
        <v>45651.447185405093</v>
      </c>
      <c r="C1042" s="17">
        <f>_xlfn.MAXIFS('working sheet'!$B$1:$B$3548,'working sheet'!$D$1:$D$3548,'Customer Portfolio'!A1042)</f>
        <v>45651.44794421296</v>
      </c>
      <c r="D1042">
        <f>COUNTIFS('working sheet'!$D$1:$D$3548,'Customer Portfolio'!A1042)</f>
        <v>2</v>
      </c>
      <c r="E1042" s="5">
        <f>SUMIFS('working sheet'!$E$2:$E$3548,'working sheet'!$D$2:$D$3548,'Customer Portfolio'!A1042)</f>
        <v>71.52</v>
      </c>
      <c r="F1042" s="6">
        <f t="shared" si="32"/>
        <v>35.76</v>
      </c>
      <c r="G1042" t="str">
        <f t="array" ref="G1042">IFERROR(INDEX('working sheet'!$F$2:$F$3548, MODE(IF('working sheet'!$D$2:$D$3548=A1042, MATCH('working sheet'!$F$2:$F$3548, 'working sheet'!$F$2:$F$3548, 0)))),
         INDEX('working sheet'!$F$2:$F$3548, MATCH(A1042, 'working sheet'!$D$2:$D$3548, 0)))</f>
        <v>Latte</v>
      </c>
      <c r="H1042" s="7">
        <f t="shared" si="33"/>
        <v>1.0007588078660774</v>
      </c>
      <c r="I1042" s="7">
        <f>MAX('working sheet'!$B$2:$B$3548)-C1042</f>
        <v>88.310141840280266</v>
      </c>
      <c r="J1042" s="4" t="str">
        <f t="array" ref="J1042">IF(AND(I1042&lt;=30, D1042&gt;=10, E1042&gt;=200), "VIP",  IF(AND(I1042&lt;=60, D1042&gt;=5, E1042&gt;=100), "Loyal", IF(AND(I1042&lt;=90, D1042&gt;=3), "Regular", IF(I1042&lt;=30, "Recent", IF(D1042&gt;=3, "Occasional", "At Risk")))))</f>
        <v>At Risk</v>
      </c>
      <c r="K1042" t="str">
        <f t="array" ref="K1042">IF(OR(J1042="VIP", J1042="Loyal"), "HIGH",IF(OR(J1042="Regular", J1042="Recent"), "MEDIUM","LOW"))</f>
        <v>LOW</v>
      </c>
    </row>
    <row r="1043" spans="1:11">
      <c r="A1043" t="s">
        <v>1056</v>
      </c>
      <c r="B1043" s="14">
        <f>_xlfn.MINIFS('working sheet'!$B$2:$B$3548, 'working sheet'!$D$2:$D$3548, A1043)</f>
        <v>45651.524343576391</v>
      </c>
      <c r="C1043" s="17">
        <f>_xlfn.MAXIFS('working sheet'!$B$1:$B$3548,'working sheet'!$D$1:$D$3548,'Customer Portfolio'!A1043)</f>
        <v>45651.525000914349</v>
      </c>
      <c r="D1043">
        <f>COUNTIFS('working sheet'!$D$1:$D$3548,'Customer Portfolio'!A1043)</f>
        <v>2</v>
      </c>
      <c r="E1043" s="5">
        <f>SUMIFS('working sheet'!$E$2:$E$3548,'working sheet'!$D$2:$D$3548,'Customer Portfolio'!A1043)</f>
        <v>56.82</v>
      </c>
      <c r="F1043" s="6">
        <f t="shared" si="32"/>
        <v>28.41</v>
      </c>
      <c r="G1043" t="str">
        <f t="array" ref="G1043">IFERROR(INDEX('working sheet'!$F$2:$F$3548, MODE(IF('working sheet'!$D$2:$D$3548=A1043, MATCH('working sheet'!$F$2:$F$3548, 'working sheet'!$F$2:$F$3548, 0)))),
         INDEX('working sheet'!$F$2:$F$3548, MATCH(A1043, 'working sheet'!$D$2:$D$3548, 0)))</f>
        <v>Americano with Milk</v>
      </c>
      <c r="H1043" s="7">
        <f t="shared" si="33"/>
        <v>1.0006573379578185</v>
      </c>
      <c r="I1043" s="7">
        <f>MAX('working sheet'!$B$2:$B$3548)-C1043</f>
        <v>88.233085138890601</v>
      </c>
      <c r="J1043" s="4" t="str">
        <f t="array" ref="J1043">IF(AND(I1043&lt;=30, D1043&gt;=10, E1043&gt;=200), "VIP",  IF(AND(I1043&lt;=60, D1043&gt;=5, E1043&gt;=100), "Loyal", IF(AND(I1043&lt;=90, D1043&gt;=3), "Regular", IF(I1043&lt;=30, "Recent", IF(D1043&gt;=3, "Occasional", "At Risk")))))</f>
        <v>At Risk</v>
      </c>
      <c r="K1043" t="str">
        <f t="array" ref="K1043">IF(OR(J1043="VIP", J1043="Loyal"), "HIGH",IF(OR(J1043="Regular", J1043="Recent"), "MEDIUM","LOW"))</f>
        <v>LOW</v>
      </c>
    </row>
    <row r="1044" spans="1:11">
      <c r="A1044" t="s">
        <v>1057</v>
      </c>
      <c r="B1044" s="14">
        <f>_xlfn.MINIFS('working sheet'!$B$2:$B$3548, 'working sheet'!$D$2:$D$3548, A1044)</f>
        <v>45651.553604155095</v>
      </c>
      <c r="C1044" s="17">
        <f>_xlfn.MAXIFS('working sheet'!$B$1:$B$3548,'working sheet'!$D$1:$D$3548,'Customer Portfolio'!A1044)</f>
        <v>45651.553604155095</v>
      </c>
      <c r="D1044">
        <f>COUNTIFS('working sheet'!$D$1:$D$3548,'Customer Portfolio'!A1044)</f>
        <v>1</v>
      </c>
      <c r="E1044" s="5">
        <f>SUMIFS('working sheet'!$E$2:$E$3548,'working sheet'!$D$2:$D$3548,'Customer Portfolio'!A1044)</f>
        <v>30.86</v>
      </c>
      <c r="F1044" s="6">
        <f t="shared" si="32"/>
        <v>30.86</v>
      </c>
      <c r="G1044" t="str">
        <f t="array" ref="G1044">IFERROR(INDEX('working sheet'!$F$2:$F$3548, MODE(IF('working sheet'!$D$2:$D$3548=A1044, MATCH('working sheet'!$F$2:$F$3548, 'working sheet'!$F$2:$F$3548, 0)))),
         INDEX('working sheet'!$F$2:$F$3548, MATCH(A1044, 'working sheet'!$D$2:$D$3548, 0)))</f>
        <v>Americano with Milk</v>
      </c>
      <c r="H1044" s="7">
        <f t="shared" si="33"/>
        <v>1</v>
      </c>
      <c r="I1044" s="7">
        <f>MAX('working sheet'!$B$2:$B$3548)-C1044</f>
        <v>88.204481898144877</v>
      </c>
      <c r="J1044" s="4" t="str">
        <f t="array" ref="J1044">IF(AND(I1044&lt;=30, D1044&gt;=10, E1044&gt;=200), "VIP",  IF(AND(I1044&lt;=60, D1044&gt;=5, E1044&gt;=100), "Loyal", IF(AND(I1044&lt;=90, D1044&gt;=3), "Regular", IF(I1044&lt;=30, "Recent", IF(D1044&gt;=3, "Occasional", "At Risk")))))</f>
        <v>At Risk</v>
      </c>
      <c r="K1044" t="str">
        <f t="array" ref="K1044">IF(OR(J1044="VIP", J1044="Loyal"), "HIGH",IF(OR(J1044="Regular", J1044="Recent"), "MEDIUM","LOW"))</f>
        <v>LOW</v>
      </c>
    </row>
    <row r="1045" spans="1:11">
      <c r="A1045" t="s">
        <v>1058</v>
      </c>
      <c r="B1045" s="14">
        <f>_xlfn.MINIFS('working sheet'!$B$2:$B$3548, 'working sheet'!$D$2:$D$3548, A1045)</f>
        <v>45651.564439178241</v>
      </c>
      <c r="C1045" s="17">
        <f>_xlfn.MAXIFS('working sheet'!$B$1:$B$3548,'working sheet'!$D$1:$D$3548,'Customer Portfolio'!A1045)</f>
        <v>45651.564439178241</v>
      </c>
      <c r="D1045">
        <f>COUNTIFS('working sheet'!$D$1:$D$3548,'Customer Portfolio'!A1045)</f>
        <v>1</v>
      </c>
      <c r="E1045" s="5">
        <f>SUMIFS('working sheet'!$E$2:$E$3548,'working sheet'!$D$2:$D$3548,'Customer Portfolio'!A1045)</f>
        <v>25.96</v>
      </c>
      <c r="F1045" s="6">
        <f t="shared" si="32"/>
        <v>25.96</v>
      </c>
      <c r="G1045" t="str">
        <f t="array" ref="G1045">IFERROR(INDEX('working sheet'!$F$2:$F$3548, MODE(IF('working sheet'!$D$2:$D$3548=A1045, MATCH('working sheet'!$F$2:$F$3548, 'working sheet'!$F$2:$F$3548, 0)))),
         INDEX('working sheet'!$F$2:$F$3548, MATCH(A1045, 'working sheet'!$D$2:$D$3548, 0)))</f>
        <v>Americano</v>
      </c>
      <c r="H1045" s="7">
        <f t="shared" si="33"/>
        <v>1</v>
      </c>
      <c r="I1045" s="7">
        <f>MAX('working sheet'!$B$2:$B$3548)-C1045</f>
        <v>88.193646874999104</v>
      </c>
      <c r="J1045" s="4" t="str">
        <f t="array" ref="J1045">IF(AND(I1045&lt;=30, D1045&gt;=10, E1045&gt;=200), "VIP",  IF(AND(I1045&lt;=60, D1045&gt;=5, E1045&gt;=100), "Loyal", IF(AND(I1045&lt;=90, D1045&gt;=3), "Regular", IF(I1045&lt;=30, "Recent", IF(D1045&gt;=3, "Occasional", "At Risk")))))</f>
        <v>At Risk</v>
      </c>
      <c r="K1045" t="str">
        <f t="array" ref="K1045">IF(OR(J1045="VIP", J1045="Loyal"), "HIGH",IF(OR(J1045="Regular", J1045="Recent"), "MEDIUM","LOW"))</f>
        <v>LOW</v>
      </c>
    </row>
    <row r="1046" spans="1:11">
      <c r="A1046" t="s">
        <v>1059</v>
      </c>
      <c r="B1046" s="14">
        <f>_xlfn.MINIFS('working sheet'!$B$2:$B$3548, 'working sheet'!$D$2:$D$3548, A1046)</f>
        <v>45651.888076898147</v>
      </c>
      <c r="C1046" s="17">
        <f>_xlfn.MAXIFS('working sheet'!$B$1:$B$3548,'working sheet'!$D$1:$D$3548,'Customer Portfolio'!A1046)</f>
        <v>45681.886417187503</v>
      </c>
      <c r="D1046">
        <f>COUNTIFS('working sheet'!$D$1:$D$3548,'Customer Portfolio'!A1046)</f>
        <v>6</v>
      </c>
      <c r="E1046" s="5">
        <f>SUMIFS('working sheet'!$E$2:$E$3548,'working sheet'!$D$2:$D$3548,'Customer Portfolio'!A1046)</f>
        <v>214.55999999999997</v>
      </c>
      <c r="F1046" s="6">
        <f t="shared" si="32"/>
        <v>35.76</v>
      </c>
      <c r="G1046" t="str">
        <f t="array" ref="G1046">IFERROR(INDEX('working sheet'!$F$2:$F$3548, MODE(IF('working sheet'!$D$2:$D$3548=A1046, MATCH('working sheet'!$F$2:$F$3548, 'working sheet'!$F$2:$F$3548, 0)))),
         INDEX('working sheet'!$F$2:$F$3548, MATCH(A1046, 'working sheet'!$D$2:$D$3548, 0)))</f>
        <v>Cocoa</v>
      </c>
      <c r="H1046" s="7">
        <f t="shared" si="33"/>
        <v>30.998340289355838</v>
      </c>
      <c r="I1046" s="7">
        <f>MAX('working sheet'!$B$2:$B$3548)-C1046</f>
        <v>57.871668865736865</v>
      </c>
      <c r="J1046" s="4" t="str">
        <f t="array" ref="J1046">IF(AND(I1046&lt;=30, D1046&gt;=10, E1046&gt;=200), "VIP",  IF(AND(I1046&lt;=60, D1046&gt;=5, E1046&gt;=100), "Loyal", IF(AND(I1046&lt;=90, D1046&gt;=3), "Regular", IF(I1046&lt;=30, "Recent", IF(D1046&gt;=3, "Occasional", "At Risk")))))</f>
        <v>Loyal</v>
      </c>
      <c r="K1046" t="str">
        <f t="array" ref="K1046">IF(OR(J1046="VIP", J1046="Loyal"), "HIGH",IF(OR(J1046="Regular", J1046="Recent"), "MEDIUM","LOW"))</f>
        <v>HIGH</v>
      </c>
    </row>
    <row r="1047" spans="1:11">
      <c r="A1047" t="s">
        <v>1060</v>
      </c>
      <c r="B1047" s="14">
        <f>_xlfn.MINIFS('working sheet'!$B$2:$B$3548, 'working sheet'!$D$2:$D$3548, A1047)</f>
        <v>45651.914933680557</v>
      </c>
      <c r="C1047" s="17">
        <f>_xlfn.MAXIFS('working sheet'!$B$1:$B$3548,'working sheet'!$D$1:$D$3548,'Customer Portfolio'!A1047)</f>
        <v>45651.914933680557</v>
      </c>
      <c r="D1047">
        <f>COUNTIFS('working sheet'!$D$1:$D$3548,'Customer Portfolio'!A1047)</f>
        <v>1</v>
      </c>
      <c r="E1047" s="5">
        <f>SUMIFS('working sheet'!$E$2:$E$3548,'working sheet'!$D$2:$D$3548,'Customer Portfolio'!A1047)</f>
        <v>35.76</v>
      </c>
      <c r="F1047" s="6">
        <f t="shared" si="32"/>
        <v>35.76</v>
      </c>
      <c r="G1047" t="str">
        <f t="array" ref="G1047">IFERROR(INDEX('working sheet'!$F$2:$F$3548, MODE(IF('working sheet'!$D$2:$D$3548=A1047, MATCH('working sheet'!$F$2:$F$3548, 'working sheet'!$F$2:$F$3548, 0)))),
         INDEX('working sheet'!$F$2:$F$3548, MATCH(A1047, 'working sheet'!$D$2:$D$3548, 0)))</f>
        <v>Latte</v>
      </c>
      <c r="H1047" s="7">
        <f t="shared" si="33"/>
        <v>1</v>
      </c>
      <c r="I1047" s="7">
        <f>MAX('working sheet'!$B$2:$B$3548)-C1047</f>
        <v>87.843152372683107</v>
      </c>
      <c r="J1047" s="4" t="str">
        <f t="array" ref="J1047">IF(AND(I1047&lt;=30, D1047&gt;=10, E1047&gt;=200), "VIP",  IF(AND(I1047&lt;=60, D1047&gt;=5, E1047&gt;=100), "Loyal", IF(AND(I1047&lt;=90, D1047&gt;=3), "Regular", IF(I1047&lt;=30, "Recent", IF(D1047&gt;=3, "Occasional", "At Risk")))))</f>
        <v>At Risk</v>
      </c>
      <c r="K1047" t="str">
        <f t="array" ref="K1047">IF(OR(J1047="VIP", J1047="Loyal"), "HIGH",IF(OR(J1047="Regular", J1047="Recent"), "MEDIUM","LOW"))</f>
        <v>LOW</v>
      </c>
    </row>
    <row r="1048" spans="1:11">
      <c r="A1048" t="s">
        <v>1061</v>
      </c>
      <c r="B1048" s="14">
        <f>_xlfn.MINIFS('working sheet'!$B$2:$B$3548, 'working sheet'!$D$2:$D$3548, A1048)</f>
        <v>45652.550439120372</v>
      </c>
      <c r="C1048" s="17">
        <f>_xlfn.MAXIFS('working sheet'!$B$1:$B$3548,'working sheet'!$D$1:$D$3548,'Customer Portfolio'!A1048)</f>
        <v>45652.550439120372</v>
      </c>
      <c r="D1048">
        <f>COUNTIFS('working sheet'!$D$1:$D$3548,'Customer Portfolio'!A1048)</f>
        <v>1</v>
      </c>
      <c r="E1048" s="5">
        <f>SUMIFS('working sheet'!$E$2:$E$3548,'working sheet'!$D$2:$D$3548,'Customer Portfolio'!A1048)</f>
        <v>35.76</v>
      </c>
      <c r="F1048" s="6">
        <f t="shared" si="32"/>
        <v>35.76</v>
      </c>
      <c r="G1048" t="str">
        <f t="array" ref="G1048">IFERROR(INDEX('working sheet'!$F$2:$F$3548, MODE(IF('working sheet'!$D$2:$D$3548=A1048, MATCH('working sheet'!$F$2:$F$3548, 'working sheet'!$F$2:$F$3548, 0)))),
         INDEX('working sheet'!$F$2:$F$3548, MATCH(A1048, 'working sheet'!$D$2:$D$3548, 0)))</f>
        <v>Cappuccino</v>
      </c>
      <c r="H1048" s="7">
        <f t="shared" si="33"/>
        <v>1</v>
      </c>
      <c r="I1048" s="7">
        <f>MAX('working sheet'!$B$2:$B$3548)-C1048</f>
        <v>87.207646932867647</v>
      </c>
      <c r="J1048" s="4" t="str">
        <f t="array" ref="J1048">IF(AND(I1048&lt;=30, D1048&gt;=10, E1048&gt;=200), "VIP",  IF(AND(I1048&lt;=60, D1048&gt;=5, E1048&gt;=100), "Loyal", IF(AND(I1048&lt;=90, D1048&gt;=3), "Regular", IF(I1048&lt;=30, "Recent", IF(D1048&gt;=3, "Occasional", "At Risk")))))</f>
        <v>At Risk</v>
      </c>
      <c r="K1048" t="str">
        <f t="array" ref="K1048">IF(OR(J1048="VIP", J1048="Loyal"), "HIGH",IF(OR(J1048="Regular", J1048="Recent"), "MEDIUM","LOW"))</f>
        <v>LOW</v>
      </c>
    </row>
    <row r="1049" spans="1:11">
      <c r="A1049" t="s">
        <v>1062</v>
      </c>
      <c r="B1049" s="14">
        <f>_xlfn.MINIFS('working sheet'!$B$2:$B$3548, 'working sheet'!$D$2:$D$3548, A1049)</f>
        <v>45652.628176747683</v>
      </c>
      <c r="C1049" s="17">
        <f>_xlfn.MAXIFS('working sheet'!$B$1:$B$3548,'working sheet'!$D$1:$D$3548,'Customer Portfolio'!A1049)</f>
        <v>45652.628176747683</v>
      </c>
      <c r="D1049">
        <f>COUNTIFS('working sheet'!$D$1:$D$3548,'Customer Portfolio'!A1049)</f>
        <v>1</v>
      </c>
      <c r="E1049" s="5">
        <f>SUMIFS('working sheet'!$E$2:$E$3548,'working sheet'!$D$2:$D$3548,'Customer Portfolio'!A1049)</f>
        <v>21.06</v>
      </c>
      <c r="F1049" s="6">
        <f t="shared" si="32"/>
        <v>21.06</v>
      </c>
      <c r="G1049" t="str">
        <f t="array" ref="G1049">IFERROR(INDEX('working sheet'!$F$2:$F$3548, MODE(IF('working sheet'!$D$2:$D$3548=A1049, MATCH('working sheet'!$F$2:$F$3548, 'working sheet'!$F$2:$F$3548, 0)))),
         INDEX('working sheet'!$F$2:$F$3548, MATCH(A1049, 'working sheet'!$D$2:$D$3548, 0)))</f>
        <v>Espresso</v>
      </c>
      <c r="H1049" s="7">
        <f t="shared" si="33"/>
        <v>1</v>
      </c>
      <c r="I1049" s="7">
        <f>MAX('working sheet'!$B$2:$B$3548)-C1049</f>
        <v>87.129909305556794</v>
      </c>
      <c r="J1049" s="4" t="str">
        <f t="array" ref="J1049">IF(AND(I1049&lt;=30, D1049&gt;=10, E1049&gt;=200), "VIP",  IF(AND(I1049&lt;=60, D1049&gt;=5, E1049&gt;=100), "Loyal", IF(AND(I1049&lt;=90, D1049&gt;=3), "Regular", IF(I1049&lt;=30, "Recent", IF(D1049&gt;=3, "Occasional", "At Risk")))))</f>
        <v>At Risk</v>
      </c>
      <c r="K1049" t="str">
        <f t="array" ref="K1049">IF(OR(J1049="VIP", J1049="Loyal"), "HIGH",IF(OR(J1049="Regular", J1049="Recent"), "MEDIUM","LOW"))</f>
        <v>LOW</v>
      </c>
    </row>
    <row r="1050" spans="1:11">
      <c r="A1050" t="s">
        <v>1063</v>
      </c>
      <c r="B1050" s="14">
        <f>_xlfn.MINIFS('working sheet'!$B$2:$B$3548, 'working sheet'!$D$2:$D$3548, A1050)</f>
        <v>45653.326628599534</v>
      </c>
      <c r="C1050" s="17">
        <f>_xlfn.MAXIFS('working sheet'!$B$1:$B$3548,'working sheet'!$D$1:$D$3548,'Customer Portfolio'!A1050)</f>
        <v>45653.326628599534</v>
      </c>
      <c r="D1050">
        <f>COUNTIFS('working sheet'!$D$1:$D$3548,'Customer Portfolio'!A1050)</f>
        <v>1</v>
      </c>
      <c r="E1050" s="5">
        <f>SUMIFS('working sheet'!$E$2:$E$3548,'working sheet'!$D$2:$D$3548,'Customer Portfolio'!A1050)</f>
        <v>25.96</v>
      </c>
      <c r="F1050" s="6">
        <f t="shared" si="32"/>
        <v>25.96</v>
      </c>
      <c r="G1050" t="str">
        <f t="array" ref="G1050">IFERROR(INDEX('working sheet'!$F$2:$F$3548, MODE(IF('working sheet'!$D$2:$D$3548=A1050, MATCH('working sheet'!$F$2:$F$3548, 'working sheet'!$F$2:$F$3548, 0)))),
         INDEX('working sheet'!$F$2:$F$3548, MATCH(A1050, 'working sheet'!$D$2:$D$3548, 0)))</f>
        <v>Americano</v>
      </c>
      <c r="H1050" s="7">
        <f t="shared" si="33"/>
        <v>1</v>
      </c>
      <c r="I1050" s="7">
        <f>MAX('working sheet'!$B$2:$B$3548)-C1050</f>
        <v>86.431457453705661</v>
      </c>
      <c r="J1050" s="4" t="str">
        <f t="array" ref="J1050">IF(AND(I1050&lt;=30, D1050&gt;=10, E1050&gt;=200), "VIP",  IF(AND(I1050&lt;=60, D1050&gt;=5, E1050&gt;=100), "Loyal", IF(AND(I1050&lt;=90, D1050&gt;=3), "Regular", IF(I1050&lt;=30, "Recent", IF(D1050&gt;=3, "Occasional", "At Risk")))))</f>
        <v>At Risk</v>
      </c>
      <c r="K1050" t="str">
        <f t="array" ref="K1050">IF(OR(J1050="VIP", J1050="Loyal"), "HIGH",IF(OR(J1050="Regular", J1050="Recent"), "MEDIUM","LOW"))</f>
        <v>LOW</v>
      </c>
    </row>
    <row r="1051" spans="1:11">
      <c r="A1051" t="s">
        <v>1064</v>
      </c>
      <c r="B1051" s="14">
        <f>_xlfn.MINIFS('working sheet'!$B$2:$B$3548, 'working sheet'!$D$2:$D$3548, A1051)</f>
        <v>45653.716720381941</v>
      </c>
      <c r="C1051" s="17">
        <f>_xlfn.MAXIFS('working sheet'!$B$1:$B$3548,'working sheet'!$D$1:$D$3548,'Customer Portfolio'!A1051)</f>
        <v>45653.716720381941</v>
      </c>
      <c r="D1051">
        <f>COUNTIFS('working sheet'!$D$1:$D$3548,'Customer Portfolio'!A1051)</f>
        <v>1</v>
      </c>
      <c r="E1051" s="5">
        <f>SUMIFS('working sheet'!$E$2:$E$3548,'working sheet'!$D$2:$D$3548,'Customer Portfolio'!A1051)</f>
        <v>35.76</v>
      </c>
      <c r="F1051" s="6">
        <f t="shared" si="32"/>
        <v>35.76</v>
      </c>
      <c r="G1051" t="str">
        <f t="array" ref="G1051">IFERROR(INDEX('working sheet'!$F$2:$F$3548, MODE(IF('working sheet'!$D$2:$D$3548=A1051, MATCH('working sheet'!$F$2:$F$3548, 'working sheet'!$F$2:$F$3548, 0)))),
         INDEX('working sheet'!$F$2:$F$3548, MATCH(A1051, 'working sheet'!$D$2:$D$3548, 0)))</f>
        <v>Latte</v>
      </c>
      <c r="H1051" s="7">
        <f t="shared" si="33"/>
        <v>1</v>
      </c>
      <c r="I1051" s="7">
        <f>MAX('working sheet'!$B$2:$B$3548)-C1051</f>
        <v>86.04136567129899</v>
      </c>
      <c r="J1051" s="4" t="str">
        <f t="array" ref="J1051">IF(AND(I1051&lt;=30, D1051&gt;=10, E1051&gt;=200), "VIP",  IF(AND(I1051&lt;=60, D1051&gt;=5, E1051&gt;=100), "Loyal", IF(AND(I1051&lt;=90, D1051&gt;=3), "Regular", IF(I1051&lt;=30, "Recent", IF(D1051&gt;=3, "Occasional", "At Risk")))))</f>
        <v>At Risk</v>
      </c>
      <c r="K1051" t="str">
        <f t="array" ref="K1051">IF(OR(J1051="VIP", J1051="Loyal"), "HIGH",IF(OR(J1051="Regular", J1051="Recent"), "MEDIUM","LOW"))</f>
        <v>LOW</v>
      </c>
    </row>
    <row r="1052" spans="1:11">
      <c r="A1052" t="s">
        <v>1065</v>
      </c>
      <c r="B1052" s="14">
        <f>_xlfn.MINIFS('working sheet'!$B$2:$B$3548, 'working sheet'!$D$2:$D$3548, A1052)</f>
        <v>45653.824627951391</v>
      </c>
      <c r="C1052" s="17">
        <f>_xlfn.MAXIFS('working sheet'!$B$1:$B$3548,'working sheet'!$D$1:$D$3548,'Customer Portfolio'!A1052)</f>
        <v>45679.799573194447</v>
      </c>
      <c r="D1052">
        <f>COUNTIFS('working sheet'!$D$1:$D$3548,'Customer Portfolio'!A1052)</f>
        <v>4</v>
      </c>
      <c r="E1052" s="5">
        <f>SUMIFS('working sheet'!$E$2:$E$3548,'working sheet'!$D$2:$D$3548,'Customer Portfolio'!A1052)</f>
        <v>123.44</v>
      </c>
      <c r="F1052" s="6">
        <f t="shared" si="32"/>
        <v>30.86</v>
      </c>
      <c r="G1052" t="str">
        <f t="array" ref="G1052">IFERROR(INDEX('working sheet'!$F$2:$F$3548, MODE(IF('working sheet'!$D$2:$D$3548=A1052, MATCH('working sheet'!$F$2:$F$3548, 'working sheet'!$F$2:$F$3548, 0)))),
         INDEX('working sheet'!$F$2:$F$3548, MATCH(A1052, 'working sheet'!$D$2:$D$3548, 0)))</f>
        <v>Americano with Milk</v>
      </c>
      <c r="H1052" s="7">
        <f t="shared" si="33"/>
        <v>26.974945243055117</v>
      </c>
      <c r="I1052" s="7">
        <f>MAX('working sheet'!$B$2:$B$3548)-C1052</f>
        <v>59.958512858793256</v>
      </c>
      <c r="J1052" s="4" t="str">
        <f t="array" ref="J1052">IF(AND(I1052&lt;=30, D1052&gt;=10, E1052&gt;=200), "VIP",  IF(AND(I1052&lt;=60, D1052&gt;=5, E1052&gt;=100), "Loyal", IF(AND(I1052&lt;=90, D1052&gt;=3), "Regular", IF(I1052&lt;=30, "Recent", IF(D1052&gt;=3, "Occasional", "At Risk")))))</f>
        <v>Regular</v>
      </c>
      <c r="K1052" t="str">
        <f t="array" ref="K1052">IF(OR(J1052="VIP", J1052="Loyal"), "HIGH",IF(OR(J1052="Regular", J1052="Recent"), "MEDIUM","LOW"))</f>
        <v>MEDIUM</v>
      </c>
    </row>
    <row r="1053" spans="1:11">
      <c r="A1053" t="s">
        <v>1066</v>
      </c>
      <c r="B1053" s="14">
        <f>_xlfn.MINIFS('working sheet'!$B$2:$B$3548, 'working sheet'!$D$2:$D$3548, A1053)</f>
        <v>45654.59029266204</v>
      </c>
      <c r="C1053" s="17">
        <f>_xlfn.MAXIFS('working sheet'!$B$1:$B$3548,'working sheet'!$D$1:$D$3548,'Customer Portfolio'!A1053)</f>
        <v>45654.59029266204</v>
      </c>
      <c r="D1053">
        <f>COUNTIFS('working sheet'!$D$1:$D$3548,'Customer Portfolio'!A1053)</f>
        <v>1</v>
      </c>
      <c r="E1053" s="5">
        <f>SUMIFS('working sheet'!$E$2:$E$3548,'working sheet'!$D$2:$D$3548,'Customer Portfolio'!A1053)</f>
        <v>35.76</v>
      </c>
      <c r="F1053" s="6">
        <f t="shared" si="32"/>
        <v>35.76</v>
      </c>
      <c r="G1053" t="str">
        <f t="array" ref="G1053">IFERROR(INDEX('working sheet'!$F$2:$F$3548, MODE(IF('working sheet'!$D$2:$D$3548=A1053, MATCH('working sheet'!$F$2:$F$3548, 'working sheet'!$F$2:$F$3548, 0)))),
         INDEX('working sheet'!$F$2:$F$3548, MATCH(A1053, 'working sheet'!$D$2:$D$3548, 0)))</f>
        <v>Cappuccino</v>
      </c>
      <c r="H1053" s="7">
        <f t="shared" si="33"/>
        <v>1</v>
      </c>
      <c r="I1053" s="7">
        <f>MAX('working sheet'!$B$2:$B$3548)-C1053</f>
        <v>85.167793391199666</v>
      </c>
      <c r="J1053" s="4" t="str">
        <f t="array" ref="J1053">IF(AND(I1053&lt;=30, D1053&gt;=10, E1053&gt;=200), "VIP",  IF(AND(I1053&lt;=60, D1053&gt;=5, E1053&gt;=100), "Loyal", IF(AND(I1053&lt;=90, D1053&gt;=3), "Regular", IF(I1053&lt;=30, "Recent", IF(D1053&gt;=3, "Occasional", "At Risk")))))</f>
        <v>At Risk</v>
      </c>
      <c r="K1053" t="str">
        <f t="array" ref="K1053">IF(OR(J1053="VIP", J1053="Loyal"), "HIGH",IF(OR(J1053="Regular", J1053="Recent"), "MEDIUM","LOW"))</f>
        <v>LOW</v>
      </c>
    </row>
    <row r="1054" spans="1:11">
      <c r="A1054" t="s">
        <v>1067</v>
      </c>
      <c r="B1054" s="14">
        <f>_xlfn.MINIFS('working sheet'!$B$2:$B$3548, 'working sheet'!$D$2:$D$3548, A1054)</f>
        <v>45654.592562025464</v>
      </c>
      <c r="C1054" s="17">
        <f>_xlfn.MAXIFS('working sheet'!$B$1:$B$3548,'working sheet'!$D$1:$D$3548,'Customer Portfolio'!A1054)</f>
        <v>45654.592562025464</v>
      </c>
      <c r="D1054">
        <f>COUNTIFS('working sheet'!$D$1:$D$3548,'Customer Portfolio'!A1054)</f>
        <v>1</v>
      </c>
      <c r="E1054" s="5">
        <f>SUMIFS('working sheet'!$E$2:$E$3548,'working sheet'!$D$2:$D$3548,'Customer Portfolio'!A1054)</f>
        <v>35.76</v>
      </c>
      <c r="F1054" s="6">
        <f t="shared" si="32"/>
        <v>35.76</v>
      </c>
      <c r="G1054" t="str">
        <f t="array" ref="G1054">IFERROR(INDEX('working sheet'!$F$2:$F$3548, MODE(IF('working sheet'!$D$2:$D$3548=A1054, MATCH('working sheet'!$F$2:$F$3548, 'working sheet'!$F$2:$F$3548, 0)))),
         INDEX('working sheet'!$F$2:$F$3548, MATCH(A1054, 'working sheet'!$D$2:$D$3548, 0)))</f>
        <v>Hot Chocolate</v>
      </c>
      <c r="H1054" s="7">
        <f t="shared" si="33"/>
        <v>1</v>
      </c>
      <c r="I1054" s="7">
        <f>MAX('working sheet'!$B$2:$B$3548)-C1054</f>
        <v>85.165524027775973</v>
      </c>
      <c r="J1054" s="4" t="str">
        <f t="array" ref="J1054">IF(AND(I1054&lt;=30, D1054&gt;=10, E1054&gt;=200), "VIP",  IF(AND(I1054&lt;=60, D1054&gt;=5, E1054&gt;=100), "Loyal", IF(AND(I1054&lt;=90, D1054&gt;=3), "Regular", IF(I1054&lt;=30, "Recent", IF(D1054&gt;=3, "Occasional", "At Risk")))))</f>
        <v>At Risk</v>
      </c>
      <c r="K1054" t="str">
        <f t="array" ref="K1054">IF(OR(J1054="VIP", J1054="Loyal"), "HIGH",IF(OR(J1054="Regular", J1054="Recent"), "MEDIUM","LOW"))</f>
        <v>LOW</v>
      </c>
    </row>
    <row r="1055" spans="1:11">
      <c r="A1055" t="s">
        <v>1068</v>
      </c>
      <c r="B1055" s="14">
        <f>_xlfn.MINIFS('working sheet'!$B$2:$B$3548, 'working sheet'!$D$2:$D$3548, A1055)</f>
        <v>45654.924326631946</v>
      </c>
      <c r="C1055" s="17">
        <f>_xlfn.MAXIFS('working sheet'!$B$1:$B$3548,'working sheet'!$D$1:$D$3548,'Customer Portfolio'!A1055)</f>
        <v>45654.924326631946</v>
      </c>
      <c r="D1055">
        <f>COUNTIFS('working sheet'!$D$1:$D$3548,'Customer Portfolio'!A1055)</f>
        <v>1</v>
      </c>
      <c r="E1055" s="5">
        <f>SUMIFS('working sheet'!$E$2:$E$3548,'working sheet'!$D$2:$D$3548,'Customer Portfolio'!A1055)</f>
        <v>35.76</v>
      </c>
      <c r="F1055" s="6">
        <f t="shared" si="32"/>
        <v>35.76</v>
      </c>
      <c r="G1055" t="str">
        <f t="array" ref="G1055">IFERROR(INDEX('working sheet'!$F$2:$F$3548, MODE(IF('working sheet'!$D$2:$D$3548=A1055, MATCH('working sheet'!$F$2:$F$3548, 'working sheet'!$F$2:$F$3548, 0)))),
         INDEX('working sheet'!$F$2:$F$3548, MATCH(A1055, 'working sheet'!$D$2:$D$3548, 0)))</f>
        <v>Cappuccino</v>
      </c>
      <c r="H1055" s="7">
        <f t="shared" si="33"/>
        <v>1</v>
      </c>
      <c r="I1055" s="7">
        <f>MAX('working sheet'!$B$2:$B$3548)-C1055</f>
        <v>84.833759421293507</v>
      </c>
      <c r="J1055" s="4" t="str">
        <f t="array" ref="J1055">IF(AND(I1055&lt;=30, D1055&gt;=10, E1055&gt;=200), "VIP",  IF(AND(I1055&lt;=60, D1055&gt;=5, E1055&gt;=100), "Loyal", IF(AND(I1055&lt;=90, D1055&gt;=3), "Regular", IF(I1055&lt;=30, "Recent", IF(D1055&gt;=3, "Occasional", "At Risk")))))</f>
        <v>At Risk</v>
      </c>
      <c r="K1055" t="str">
        <f t="array" ref="K1055">IF(OR(J1055="VIP", J1055="Loyal"), "HIGH",IF(OR(J1055="Regular", J1055="Recent"), "MEDIUM","LOW"))</f>
        <v>LOW</v>
      </c>
    </row>
    <row r="1056" spans="1:11">
      <c r="A1056" t="s">
        <v>1069</v>
      </c>
      <c r="B1056" s="14">
        <f>_xlfn.MINIFS('working sheet'!$B$2:$B$3548, 'working sheet'!$D$2:$D$3548, A1056)</f>
        <v>45655.628086018522</v>
      </c>
      <c r="C1056" s="17">
        <f>_xlfn.MAXIFS('working sheet'!$B$1:$B$3548,'working sheet'!$D$1:$D$3548,'Customer Portfolio'!A1056)</f>
        <v>45655.628661145834</v>
      </c>
      <c r="D1056">
        <f>COUNTIFS('working sheet'!$D$1:$D$3548,'Customer Portfolio'!A1056)</f>
        <v>2</v>
      </c>
      <c r="E1056" s="5">
        <f>SUMIFS('working sheet'!$E$2:$E$3548,'working sheet'!$D$2:$D$3548,'Customer Portfolio'!A1056)</f>
        <v>47.019999999999996</v>
      </c>
      <c r="F1056" s="6">
        <f t="shared" si="32"/>
        <v>23.509999999999998</v>
      </c>
      <c r="G1056" t="str">
        <f t="array" ref="G1056">IFERROR(INDEX('working sheet'!$F$2:$F$3548, MODE(IF('working sheet'!$D$2:$D$3548=A1056, MATCH('working sheet'!$F$2:$F$3548, 'working sheet'!$F$2:$F$3548, 0)))),
         INDEX('working sheet'!$F$2:$F$3548, MATCH(A1056, 'working sheet'!$D$2:$D$3548, 0)))</f>
        <v>Espresso</v>
      </c>
      <c r="H1056" s="7">
        <f t="shared" si="33"/>
        <v>1.0005751273129135</v>
      </c>
      <c r="I1056" s="7">
        <f>MAX('working sheet'!$B$2:$B$3548)-C1056</f>
        <v>84.129424907405337</v>
      </c>
      <c r="J1056" s="4" t="str">
        <f t="array" ref="J1056">IF(AND(I1056&lt;=30, D1056&gt;=10, E1056&gt;=200), "VIP",  IF(AND(I1056&lt;=60, D1056&gt;=5, E1056&gt;=100), "Loyal", IF(AND(I1056&lt;=90, D1056&gt;=3), "Regular", IF(I1056&lt;=30, "Recent", IF(D1056&gt;=3, "Occasional", "At Risk")))))</f>
        <v>At Risk</v>
      </c>
      <c r="K1056" t="str">
        <f t="array" ref="K1056">IF(OR(J1056="VIP", J1056="Loyal"), "HIGH",IF(OR(J1056="Regular", J1056="Recent"), "MEDIUM","LOW"))</f>
        <v>LOW</v>
      </c>
    </row>
    <row r="1057" spans="1:11">
      <c r="A1057" t="s">
        <v>1070</v>
      </c>
      <c r="B1057" s="14">
        <f>_xlfn.MINIFS('working sheet'!$B$2:$B$3548, 'working sheet'!$D$2:$D$3548, A1057)</f>
        <v>45655.729218900466</v>
      </c>
      <c r="C1057" s="17">
        <f>_xlfn.MAXIFS('working sheet'!$B$1:$B$3548,'working sheet'!$D$1:$D$3548,'Customer Portfolio'!A1057)</f>
        <v>45655.729218900466</v>
      </c>
      <c r="D1057">
        <f>COUNTIFS('working sheet'!$D$1:$D$3548,'Customer Portfolio'!A1057)</f>
        <v>1</v>
      </c>
      <c r="E1057" s="5">
        <f>SUMIFS('working sheet'!$E$2:$E$3548,'working sheet'!$D$2:$D$3548,'Customer Portfolio'!A1057)</f>
        <v>25.96</v>
      </c>
      <c r="F1057" s="6">
        <f t="shared" si="32"/>
        <v>25.96</v>
      </c>
      <c r="G1057" t="str">
        <f t="array" ref="G1057">IFERROR(INDEX('working sheet'!$F$2:$F$3548, MODE(IF('working sheet'!$D$2:$D$3548=A1057, MATCH('working sheet'!$F$2:$F$3548, 'working sheet'!$F$2:$F$3548, 0)))),
         INDEX('working sheet'!$F$2:$F$3548, MATCH(A1057, 'working sheet'!$D$2:$D$3548, 0)))</f>
        <v>Cortado</v>
      </c>
      <c r="H1057" s="7">
        <f t="shared" si="33"/>
        <v>1</v>
      </c>
      <c r="I1057" s="7">
        <f>MAX('working sheet'!$B$2:$B$3548)-C1057</f>
        <v>84.028867152774183</v>
      </c>
      <c r="J1057" s="4" t="str">
        <f t="array" ref="J1057">IF(AND(I1057&lt;=30, D1057&gt;=10, E1057&gt;=200), "VIP",  IF(AND(I1057&lt;=60, D1057&gt;=5, E1057&gt;=100), "Loyal", IF(AND(I1057&lt;=90, D1057&gt;=3), "Regular", IF(I1057&lt;=30, "Recent", IF(D1057&gt;=3, "Occasional", "At Risk")))))</f>
        <v>At Risk</v>
      </c>
      <c r="K1057" t="str">
        <f t="array" ref="K1057">IF(OR(J1057="VIP", J1057="Loyal"), "HIGH",IF(OR(J1057="Regular", J1057="Recent"), "MEDIUM","LOW"))</f>
        <v>LOW</v>
      </c>
    </row>
    <row r="1058" spans="1:11">
      <c r="A1058" t="s">
        <v>1071</v>
      </c>
      <c r="B1058" s="14">
        <f>_xlfn.MINIFS('working sheet'!$B$2:$B$3548, 'working sheet'!$D$2:$D$3548, A1058)</f>
        <v>45655.730401643516</v>
      </c>
      <c r="C1058" s="17">
        <f>_xlfn.MAXIFS('working sheet'!$B$1:$B$3548,'working sheet'!$D$1:$D$3548,'Customer Portfolio'!A1058)</f>
        <v>45655.730401643516</v>
      </c>
      <c r="D1058">
        <f>COUNTIFS('working sheet'!$D$1:$D$3548,'Customer Portfolio'!A1058)</f>
        <v>1</v>
      </c>
      <c r="E1058" s="5">
        <f>SUMIFS('working sheet'!$E$2:$E$3548,'working sheet'!$D$2:$D$3548,'Customer Portfolio'!A1058)</f>
        <v>21.06</v>
      </c>
      <c r="F1058" s="6">
        <f t="shared" si="32"/>
        <v>21.06</v>
      </c>
      <c r="G1058" t="str">
        <f t="array" ref="G1058">IFERROR(INDEX('working sheet'!$F$2:$F$3548, MODE(IF('working sheet'!$D$2:$D$3548=A1058, MATCH('working sheet'!$F$2:$F$3548, 'working sheet'!$F$2:$F$3548, 0)))),
         INDEX('working sheet'!$F$2:$F$3548, MATCH(A1058, 'working sheet'!$D$2:$D$3548, 0)))</f>
        <v>Espresso</v>
      </c>
      <c r="H1058" s="7">
        <f t="shared" si="33"/>
        <v>1</v>
      </c>
      <c r="I1058" s="7">
        <f>MAX('working sheet'!$B$2:$B$3548)-C1058</f>
        <v>84.027684409724316</v>
      </c>
      <c r="J1058" s="4" t="str">
        <f t="array" ref="J1058">IF(AND(I1058&lt;=30, D1058&gt;=10, E1058&gt;=200), "VIP",  IF(AND(I1058&lt;=60, D1058&gt;=5, E1058&gt;=100), "Loyal", IF(AND(I1058&lt;=90, D1058&gt;=3), "Regular", IF(I1058&lt;=30, "Recent", IF(D1058&gt;=3, "Occasional", "At Risk")))))</f>
        <v>At Risk</v>
      </c>
      <c r="K1058" t="str">
        <f t="array" ref="K1058">IF(OR(J1058="VIP", J1058="Loyal"), "HIGH",IF(OR(J1058="Regular", J1058="Recent"), "MEDIUM","LOW"))</f>
        <v>LOW</v>
      </c>
    </row>
    <row r="1059" spans="1:11">
      <c r="A1059" t="s">
        <v>1072</v>
      </c>
      <c r="B1059" s="14">
        <f>_xlfn.MINIFS('working sheet'!$B$2:$B$3548, 'working sheet'!$D$2:$D$3548, A1059)</f>
        <v>45655.851322118055</v>
      </c>
      <c r="C1059" s="17">
        <f>_xlfn.MAXIFS('working sheet'!$B$1:$B$3548,'working sheet'!$D$1:$D$3548,'Customer Portfolio'!A1059)</f>
        <v>45655.851322118055</v>
      </c>
      <c r="D1059">
        <f>COUNTIFS('working sheet'!$D$1:$D$3548,'Customer Portfolio'!A1059)</f>
        <v>1</v>
      </c>
      <c r="E1059" s="5">
        <f>SUMIFS('working sheet'!$E$2:$E$3548,'working sheet'!$D$2:$D$3548,'Customer Portfolio'!A1059)</f>
        <v>35.76</v>
      </c>
      <c r="F1059" s="6">
        <f t="shared" si="32"/>
        <v>35.76</v>
      </c>
      <c r="G1059" t="str">
        <f t="array" ref="G1059">IFERROR(INDEX('working sheet'!$F$2:$F$3548, MODE(IF('working sheet'!$D$2:$D$3548=A1059, MATCH('working sheet'!$F$2:$F$3548, 'working sheet'!$F$2:$F$3548, 0)))),
         INDEX('working sheet'!$F$2:$F$3548, MATCH(A1059, 'working sheet'!$D$2:$D$3548, 0)))</f>
        <v>Hot Chocolate</v>
      </c>
      <c r="H1059" s="7">
        <f t="shared" si="33"/>
        <v>1</v>
      </c>
      <c r="I1059" s="7">
        <f>MAX('working sheet'!$B$2:$B$3548)-C1059</f>
        <v>83.906763935185154</v>
      </c>
      <c r="J1059" s="4" t="str">
        <f t="array" ref="J1059">IF(AND(I1059&lt;=30, D1059&gt;=10, E1059&gt;=200), "VIP",  IF(AND(I1059&lt;=60, D1059&gt;=5, E1059&gt;=100), "Loyal", IF(AND(I1059&lt;=90, D1059&gt;=3), "Regular", IF(I1059&lt;=30, "Recent", IF(D1059&gt;=3, "Occasional", "At Risk")))))</f>
        <v>At Risk</v>
      </c>
      <c r="K1059" t="str">
        <f t="array" ref="K1059">IF(OR(J1059="VIP", J1059="Loyal"), "HIGH",IF(OR(J1059="Regular", J1059="Recent"), "MEDIUM","LOW"))</f>
        <v>LOW</v>
      </c>
    </row>
    <row r="1060" spans="1:11">
      <c r="A1060" t="s">
        <v>1073</v>
      </c>
      <c r="B1060" s="14">
        <f>_xlfn.MINIFS('working sheet'!$B$2:$B$3548, 'working sheet'!$D$2:$D$3548, A1060)</f>
        <v>45656.578140694444</v>
      </c>
      <c r="C1060" s="17">
        <f>_xlfn.MAXIFS('working sheet'!$B$1:$B$3548,'working sheet'!$D$1:$D$3548,'Customer Portfolio'!A1060)</f>
        <v>45656.578926539354</v>
      </c>
      <c r="D1060">
        <f>COUNTIFS('working sheet'!$D$1:$D$3548,'Customer Portfolio'!A1060)</f>
        <v>2</v>
      </c>
      <c r="E1060" s="5">
        <f>SUMIFS('working sheet'!$E$2:$E$3548,'working sheet'!$D$2:$D$3548,'Customer Portfolio'!A1060)</f>
        <v>71.52</v>
      </c>
      <c r="F1060" s="6">
        <f t="shared" si="32"/>
        <v>35.76</v>
      </c>
      <c r="G1060" t="str">
        <f t="array" ref="G1060">IFERROR(INDEX('working sheet'!$F$2:$F$3548, MODE(IF('working sheet'!$D$2:$D$3548=A1060, MATCH('working sheet'!$F$2:$F$3548, 'working sheet'!$F$2:$F$3548, 0)))),
         INDEX('working sheet'!$F$2:$F$3548, MATCH(A1060, 'working sheet'!$D$2:$D$3548, 0)))</f>
        <v>Latte</v>
      </c>
      <c r="H1060" s="7">
        <f t="shared" si="33"/>
        <v>1.0007858449098421</v>
      </c>
      <c r="I1060" s="7">
        <f>MAX('working sheet'!$B$2:$B$3548)-C1060</f>
        <v>83.179159513885679</v>
      </c>
      <c r="J1060" s="4" t="str">
        <f t="array" ref="J1060">IF(AND(I1060&lt;=30, D1060&gt;=10, E1060&gt;=200), "VIP",  IF(AND(I1060&lt;=60, D1060&gt;=5, E1060&gt;=100), "Loyal", IF(AND(I1060&lt;=90, D1060&gt;=3), "Regular", IF(I1060&lt;=30, "Recent", IF(D1060&gt;=3, "Occasional", "At Risk")))))</f>
        <v>At Risk</v>
      </c>
      <c r="K1060" t="str">
        <f t="array" ref="K1060">IF(OR(J1060="VIP", J1060="Loyal"), "HIGH",IF(OR(J1060="Regular", J1060="Recent"), "MEDIUM","LOW"))</f>
        <v>LOW</v>
      </c>
    </row>
    <row r="1061" spans="1:11">
      <c r="A1061" t="s">
        <v>1074</v>
      </c>
      <c r="B1061" s="14">
        <f>_xlfn.MINIFS('working sheet'!$B$2:$B$3548, 'working sheet'!$D$2:$D$3548, A1061)</f>
        <v>45656.68852693287</v>
      </c>
      <c r="C1061" s="17">
        <f>_xlfn.MAXIFS('working sheet'!$B$1:$B$3548,'working sheet'!$D$1:$D$3548,'Customer Portfolio'!A1061)</f>
        <v>45656.68852693287</v>
      </c>
      <c r="D1061">
        <f>COUNTIFS('working sheet'!$D$1:$D$3548,'Customer Portfolio'!A1061)</f>
        <v>1</v>
      </c>
      <c r="E1061" s="5">
        <f>SUMIFS('working sheet'!$E$2:$E$3548,'working sheet'!$D$2:$D$3548,'Customer Portfolio'!A1061)</f>
        <v>25.96</v>
      </c>
      <c r="F1061" s="6">
        <f t="shared" si="32"/>
        <v>25.96</v>
      </c>
      <c r="G1061" t="str">
        <f t="array" ref="G1061">IFERROR(INDEX('working sheet'!$F$2:$F$3548, MODE(IF('working sheet'!$D$2:$D$3548=A1061, MATCH('working sheet'!$F$2:$F$3548, 'working sheet'!$F$2:$F$3548, 0)))),
         INDEX('working sheet'!$F$2:$F$3548, MATCH(A1061, 'working sheet'!$D$2:$D$3548, 0)))</f>
        <v>Americano</v>
      </c>
      <c r="H1061" s="7">
        <f t="shared" si="33"/>
        <v>1</v>
      </c>
      <c r="I1061" s="7">
        <f>MAX('working sheet'!$B$2:$B$3548)-C1061</f>
        <v>83.069559120369377</v>
      </c>
      <c r="J1061" s="4" t="str">
        <f t="array" ref="J1061">IF(AND(I1061&lt;=30, D1061&gt;=10, E1061&gt;=200), "VIP",  IF(AND(I1061&lt;=60, D1061&gt;=5, E1061&gt;=100), "Loyal", IF(AND(I1061&lt;=90, D1061&gt;=3), "Regular", IF(I1061&lt;=30, "Recent", IF(D1061&gt;=3, "Occasional", "At Risk")))))</f>
        <v>At Risk</v>
      </c>
      <c r="K1061" t="str">
        <f t="array" ref="K1061">IF(OR(J1061="VIP", J1061="Loyal"), "HIGH",IF(OR(J1061="Regular", J1061="Recent"), "MEDIUM","LOW"))</f>
        <v>LOW</v>
      </c>
    </row>
    <row r="1062" spans="1:11">
      <c r="A1062" t="s">
        <v>1075</v>
      </c>
      <c r="B1062" s="14">
        <f>_xlfn.MINIFS('working sheet'!$B$2:$B$3548, 'working sheet'!$D$2:$D$3548, A1062)</f>
        <v>45657.406580150462</v>
      </c>
      <c r="C1062" s="17">
        <f>_xlfn.MAXIFS('working sheet'!$B$1:$B$3548,'working sheet'!$D$1:$D$3548,'Customer Portfolio'!A1062)</f>
        <v>45657.406580150462</v>
      </c>
      <c r="D1062">
        <f>COUNTIFS('working sheet'!$D$1:$D$3548,'Customer Portfolio'!A1062)</f>
        <v>1</v>
      </c>
      <c r="E1062" s="5">
        <f>SUMIFS('working sheet'!$E$2:$E$3548,'working sheet'!$D$2:$D$3548,'Customer Portfolio'!A1062)</f>
        <v>35.76</v>
      </c>
      <c r="F1062" s="6">
        <f t="shared" si="32"/>
        <v>35.76</v>
      </c>
      <c r="G1062" t="str">
        <f t="array" ref="G1062">IFERROR(INDEX('working sheet'!$F$2:$F$3548, MODE(IF('working sheet'!$D$2:$D$3548=A1062, MATCH('working sheet'!$F$2:$F$3548, 'working sheet'!$F$2:$F$3548, 0)))),
         INDEX('working sheet'!$F$2:$F$3548, MATCH(A1062, 'working sheet'!$D$2:$D$3548, 0)))</f>
        <v>Cocoa</v>
      </c>
      <c r="H1062" s="7">
        <f t="shared" si="33"/>
        <v>1</v>
      </c>
      <c r="I1062" s="7">
        <f>MAX('working sheet'!$B$2:$B$3548)-C1062</f>
        <v>82.351505902777717</v>
      </c>
      <c r="J1062" s="4" t="str">
        <f t="array" ref="J1062">IF(AND(I1062&lt;=30, D1062&gt;=10, E1062&gt;=200), "VIP",  IF(AND(I1062&lt;=60, D1062&gt;=5, E1062&gt;=100), "Loyal", IF(AND(I1062&lt;=90, D1062&gt;=3), "Regular", IF(I1062&lt;=30, "Recent", IF(D1062&gt;=3, "Occasional", "At Risk")))))</f>
        <v>At Risk</v>
      </c>
      <c r="K1062" t="str">
        <f t="array" ref="K1062">IF(OR(J1062="VIP", J1062="Loyal"), "HIGH",IF(OR(J1062="Regular", J1062="Recent"), "MEDIUM","LOW"))</f>
        <v>LOW</v>
      </c>
    </row>
    <row r="1063" spans="1:11">
      <c r="A1063" t="s">
        <v>1076</v>
      </c>
      <c r="B1063" s="14">
        <f>_xlfn.MINIFS('working sheet'!$B$2:$B$3548, 'working sheet'!$D$2:$D$3548, A1063)</f>
        <v>45657.435335324073</v>
      </c>
      <c r="C1063" s="17">
        <f>_xlfn.MAXIFS('working sheet'!$B$1:$B$3548,'working sheet'!$D$1:$D$3548,'Customer Portfolio'!A1063)</f>
        <v>45657.437132071762</v>
      </c>
      <c r="D1063">
        <f>COUNTIFS('working sheet'!$D$1:$D$3548,'Customer Portfolio'!A1063)</f>
        <v>2</v>
      </c>
      <c r="E1063" s="5">
        <f>SUMIFS('working sheet'!$E$2:$E$3548,'working sheet'!$D$2:$D$3548,'Customer Portfolio'!A1063)</f>
        <v>61.72</v>
      </c>
      <c r="F1063" s="6">
        <f t="shared" si="32"/>
        <v>30.86</v>
      </c>
      <c r="G1063" t="str">
        <f t="array" ref="G1063">IFERROR(INDEX('working sheet'!$F$2:$F$3548, MODE(IF('working sheet'!$D$2:$D$3548=A1063, MATCH('working sheet'!$F$2:$F$3548, 'working sheet'!$F$2:$F$3548, 0)))),
         INDEX('working sheet'!$F$2:$F$3548, MATCH(A1063, 'working sheet'!$D$2:$D$3548, 0)))</f>
        <v>Americano with Milk</v>
      </c>
      <c r="H1063" s="7">
        <f t="shared" si="33"/>
        <v>1.0017967476887861</v>
      </c>
      <c r="I1063" s="7">
        <f>MAX('working sheet'!$B$2:$B$3548)-C1063</f>
        <v>82.320953981477942</v>
      </c>
      <c r="J1063" s="4" t="str">
        <f t="array" ref="J1063">IF(AND(I1063&lt;=30, D1063&gt;=10, E1063&gt;=200), "VIP",  IF(AND(I1063&lt;=60, D1063&gt;=5, E1063&gt;=100), "Loyal", IF(AND(I1063&lt;=90, D1063&gt;=3), "Regular", IF(I1063&lt;=30, "Recent", IF(D1063&gt;=3, "Occasional", "At Risk")))))</f>
        <v>At Risk</v>
      </c>
      <c r="K1063" t="str">
        <f t="array" ref="K1063">IF(OR(J1063="VIP", J1063="Loyal"), "HIGH",IF(OR(J1063="Regular", J1063="Recent"), "MEDIUM","LOW"))</f>
        <v>LOW</v>
      </c>
    </row>
    <row r="1064" spans="1:11">
      <c r="A1064" t="s">
        <v>1077</v>
      </c>
      <c r="B1064" s="14">
        <f>_xlfn.MINIFS('working sheet'!$B$2:$B$3548, 'working sheet'!$D$2:$D$3548, A1064)</f>
        <v>45657.67174633102</v>
      </c>
      <c r="C1064" s="17">
        <f>_xlfn.MAXIFS('working sheet'!$B$1:$B$3548,'working sheet'!$D$1:$D$3548,'Customer Portfolio'!A1064)</f>
        <v>45657.67174633102</v>
      </c>
      <c r="D1064">
        <f>COUNTIFS('working sheet'!$D$1:$D$3548,'Customer Portfolio'!A1064)</f>
        <v>1</v>
      </c>
      <c r="E1064" s="5">
        <f>SUMIFS('working sheet'!$E$2:$E$3548,'working sheet'!$D$2:$D$3548,'Customer Portfolio'!A1064)</f>
        <v>35.76</v>
      </c>
      <c r="F1064" s="6">
        <f t="shared" si="32"/>
        <v>35.76</v>
      </c>
      <c r="G1064" t="str">
        <f t="array" ref="G1064">IFERROR(INDEX('working sheet'!$F$2:$F$3548, MODE(IF('working sheet'!$D$2:$D$3548=A1064, MATCH('working sheet'!$F$2:$F$3548, 'working sheet'!$F$2:$F$3548, 0)))),
         INDEX('working sheet'!$F$2:$F$3548, MATCH(A1064, 'working sheet'!$D$2:$D$3548, 0)))</f>
        <v>Cappuccino</v>
      </c>
      <c r="H1064" s="7">
        <f t="shared" si="33"/>
        <v>1</v>
      </c>
      <c r="I1064" s="7">
        <f>MAX('working sheet'!$B$2:$B$3548)-C1064</f>
        <v>82.086339722220146</v>
      </c>
      <c r="J1064" s="4" t="str">
        <f t="array" ref="J1064">IF(AND(I1064&lt;=30, D1064&gt;=10, E1064&gt;=200), "VIP",  IF(AND(I1064&lt;=60, D1064&gt;=5, E1064&gt;=100), "Loyal", IF(AND(I1064&lt;=90, D1064&gt;=3), "Regular", IF(I1064&lt;=30, "Recent", IF(D1064&gt;=3, "Occasional", "At Risk")))))</f>
        <v>At Risk</v>
      </c>
      <c r="K1064" t="str">
        <f t="array" ref="K1064">IF(OR(J1064="VIP", J1064="Loyal"), "HIGH",IF(OR(J1064="Regular", J1064="Recent"), "MEDIUM","LOW"))</f>
        <v>LOW</v>
      </c>
    </row>
    <row r="1065" spans="1:11">
      <c r="A1065" t="s">
        <v>1078</v>
      </c>
      <c r="B1065" s="14">
        <f>_xlfn.MINIFS('working sheet'!$B$2:$B$3548, 'working sheet'!$D$2:$D$3548, A1065)</f>
        <v>45657.729777604167</v>
      </c>
      <c r="C1065" s="17">
        <f>_xlfn.MAXIFS('working sheet'!$B$1:$B$3548,'working sheet'!$D$1:$D$3548,'Customer Portfolio'!A1065)</f>
        <v>45657.729777604167</v>
      </c>
      <c r="D1065">
        <f>COUNTIFS('working sheet'!$D$1:$D$3548,'Customer Portfolio'!A1065)</f>
        <v>1</v>
      </c>
      <c r="E1065" s="5">
        <f>SUMIFS('working sheet'!$E$2:$E$3548,'working sheet'!$D$2:$D$3548,'Customer Portfolio'!A1065)</f>
        <v>30.86</v>
      </c>
      <c r="F1065" s="6">
        <f t="shared" si="32"/>
        <v>30.86</v>
      </c>
      <c r="G1065" t="str">
        <f t="array" ref="G1065">IFERROR(INDEX('working sheet'!$F$2:$F$3548, MODE(IF('working sheet'!$D$2:$D$3548=A1065, MATCH('working sheet'!$F$2:$F$3548, 'working sheet'!$F$2:$F$3548, 0)))),
         INDEX('working sheet'!$F$2:$F$3548, MATCH(A1065, 'working sheet'!$D$2:$D$3548, 0)))</f>
        <v>Americano with Milk</v>
      </c>
      <c r="H1065" s="7">
        <f t="shared" si="33"/>
        <v>1</v>
      </c>
      <c r="I1065" s="7">
        <f>MAX('working sheet'!$B$2:$B$3548)-C1065</f>
        <v>82.028308449072938</v>
      </c>
      <c r="J1065" s="4" t="str">
        <f t="array" ref="J1065">IF(AND(I1065&lt;=30, D1065&gt;=10, E1065&gt;=200), "VIP",  IF(AND(I1065&lt;=60, D1065&gt;=5, E1065&gt;=100), "Loyal", IF(AND(I1065&lt;=90, D1065&gt;=3), "Regular", IF(I1065&lt;=30, "Recent", IF(D1065&gt;=3, "Occasional", "At Risk")))))</f>
        <v>At Risk</v>
      </c>
      <c r="K1065" t="str">
        <f t="array" ref="K1065">IF(OR(J1065="VIP", J1065="Loyal"), "HIGH",IF(OR(J1065="Regular", J1065="Recent"), "MEDIUM","LOW"))</f>
        <v>LOW</v>
      </c>
    </row>
    <row r="1066" spans="1:11">
      <c r="A1066" t="s">
        <v>1079</v>
      </c>
      <c r="B1066" s="14">
        <f>_xlfn.MINIFS('working sheet'!$B$2:$B$3548, 'working sheet'!$D$2:$D$3548, A1066)</f>
        <v>45657.73042295139</v>
      </c>
      <c r="C1066" s="17">
        <f>_xlfn.MAXIFS('working sheet'!$B$1:$B$3548,'working sheet'!$D$1:$D$3548,'Customer Portfolio'!A1066)</f>
        <v>45657.73042295139</v>
      </c>
      <c r="D1066">
        <f>COUNTIFS('working sheet'!$D$1:$D$3548,'Customer Portfolio'!A1066)</f>
        <v>1</v>
      </c>
      <c r="E1066" s="5">
        <f>SUMIFS('working sheet'!$E$2:$E$3548,'working sheet'!$D$2:$D$3548,'Customer Portfolio'!A1066)</f>
        <v>35.76</v>
      </c>
      <c r="F1066" s="6">
        <f t="shared" si="32"/>
        <v>35.76</v>
      </c>
      <c r="G1066" t="str">
        <f t="array" ref="G1066">IFERROR(INDEX('working sheet'!$F$2:$F$3548, MODE(IF('working sheet'!$D$2:$D$3548=A1066, MATCH('working sheet'!$F$2:$F$3548, 'working sheet'!$F$2:$F$3548, 0)))),
         INDEX('working sheet'!$F$2:$F$3548, MATCH(A1066, 'working sheet'!$D$2:$D$3548, 0)))</f>
        <v>Cappuccino</v>
      </c>
      <c r="H1066" s="7">
        <f t="shared" si="33"/>
        <v>1</v>
      </c>
      <c r="I1066" s="7">
        <f>MAX('working sheet'!$B$2:$B$3548)-C1066</f>
        <v>82.027663101849612</v>
      </c>
      <c r="J1066" s="4" t="str">
        <f t="array" ref="J1066">IF(AND(I1066&lt;=30, D1066&gt;=10, E1066&gt;=200), "VIP",  IF(AND(I1066&lt;=60, D1066&gt;=5, E1066&gt;=100), "Loyal", IF(AND(I1066&lt;=90, D1066&gt;=3), "Regular", IF(I1066&lt;=30, "Recent", IF(D1066&gt;=3, "Occasional", "At Risk")))))</f>
        <v>At Risk</v>
      </c>
      <c r="K1066" t="str">
        <f t="array" ref="K1066">IF(OR(J1066="VIP", J1066="Loyal"), "HIGH",IF(OR(J1066="Regular", J1066="Recent"), "MEDIUM","LOW"))</f>
        <v>LOW</v>
      </c>
    </row>
    <row r="1067" spans="1:11">
      <c r="A1067" t="s">
        <v>1080</v>
      </c>
      <c r="B1067" s="14">
        <f>_xlfn.MINIFS('working sheet'!$B$2:$B$3548, 'working sheet'!$D$2:$D$3548, A1067)</f>
        <v>45657.796821909724</v>
      </c>
      <c r="C1067" s="17">
        <f>_xlfn.MAXIFS('working sheet'!$B$1:$B$3548,'working sheet'!$D$1:$D$3548,'Customer Portfolio'!A1067)</f>
        <v>45657.797672442131</v>
      </c>
      <c r="D1067">
        <f>COUNTIFS('working sheet'!$D$1:$D$3548,'Customer Portfolio'!A1067)</f>
        <v>2</v>
      </c>
      <c r="E1067" s="5">
        <f>SUMIFS('working sheet'!$E$2:$E$3548,'working sheet'!$D$2:$D$3548,'Customer Portfolio'!A1067)</f>
        <v>71.52</v>
      </c>
      <c r="F1067" s="6">
        <f t="shared" si="32"/>
        <v>35.76</v>
      </c>
      <c r="G1067" t="str">
        <f t="array" ref="G1067">IFERROR(INDEX('working sheet'!$F$2:$F$3548, MODE(IF('working sheet'!$D$2:$D$3548=A1067, MATCH('working sheet'!$F$2:$F$3548, 'working sheet'!$F$2:$F$3548, 0)))),
         INDEX('working sheet'!$F$2:$F$3548, MATCH(A1067, 'working sheet'!$D$2:$D$3548, 0)))</f>
        <v>Latte</v>
      </c>
      <c r="H1067" s="7">
        <f t="shared" si="33"/>
        <v>1.0008505324076395</v>
      </c>
      <c r="I1067" s="7">
        <f>MAX('working sheet'!$B$2:$B$3548)-C1067</f>
        <v>81.960413611108379</v>
      </c>
      <c r="J1067" s="4" t="str">
        <f t="array" ref="J1067">IF(AND(I1067&lt;=30, D1067&gt;=10, E1067&gt;=200), "VIP",  IF(AND(I1067&lt;=60, D1067&gt;=5, E1067&gt;=100), "Loyal", IF(AND(I1067&lt;=90, D1067&gt;=3), "Regular", IF(I1067&lt;=30, "Recent", IF(D1067&gt;=3, "Occasional", "At Risk")))))</f>
        <v>At Risk</v>
      </c>
      <c r="K1067" t="str">
        <f t="array" ref="K1067">IF(OR(J1067="VIP", J1067="Loyal"), "HIGH",IF(OR(J1067="Regular", J1067="Recent"), "MEDIUM","LOW"))</f>
        <v>LOW</v>
      </c>
    </row>
    <row r="1068" spans="1:11">
      <c r="A1068" t="s">
        <v>1081</v>
      </c>
      <c r="B1068" s="14">
        <f>_xlfn.MINIFS('working sheet'!$B$2:$B$3548, 'working sheet'!$D$2:$D$3548, A1068)</f>
        <v>45659.562270000002</v>
      </c>
      <c r="C1068" s="17">
        <f>_xlfn.MAXIFS('working sheet'!$B$1:$B$3548,'working sheet'!$D$1:$D$3548,'Customer Portfolio'!A1068)</f>
        <v>45659.562948148145</v>
      </c>
      <c r="D1068">
        <f>COUNTIFS('working sheet'!$D$1:$D$3548,'Customer Portfolio'!A1068)</f>
        <v>2</v>
      </c>
      <c r="E1068" s="5">
        <f>SUMIFS('working sheet'!$E$2:$E$3548,'working sheet'!$D$2:$D$3548,'Customer Portfolio'!A1068)</f>
        <v>71.52</v>
      </c>
      <c r="F1068" s="6">
        <f t="shared" si="32"/>
        <v>35.76</v>
      </c>
      <c r="G1068" t="str">
        <f t="array" ref="G1068">IFERROR(INDEX('working sheet'!$F$2:$F$3548, MODE(IF('working sheet'!$D$2:$D$3548=A1068, MATCH('working sheet'!$F$2:$F$3548, 'working sheet'!$F$2:$F$3548, 0)))),
         INDEX('working sheet'!$F$2:$F$3548, MATCH(A1068, 'working sheet'!$D$2:$D$3548, 0)))</f>
        <v>Cocoa</v>
      </c>
      <c r="H1068" s="7">
        <f t="shared" si="33"/>
        <v>1.0006781481424696</v>
      </c>
      <c r="I1068" s="7">
        <f>MAX('working sheet'!$B$2:$B$3548)-C1068</f>
        <v>80.19513790509518</v>
      </c>
      <c r="J1068" s="4" t="str">
        <f t="array" ref="J1068">IF(AND(I1068&lt;=30, D1068&gt;=10, E1068&gt;=200), "VIP",  IF(AND(I1068&lt;=60, D1068&gt;=5, E1068&gt;=100), "Loyal", IF(AND(I1068&lt;=90, D1068&gt;=3), "Regular", IF(I1068&lt;=30, "Recent", IF(D1068&gt;=3, "Occasional", "At Risk")))))</f>
        <v>At Risk</v>
      </c>
      <c r="K1068" t="str">
        <f t="array" ref="K1068">IF(OR(J1068="VIP", J1068="Loyal"), "HIGH",IF(OR(J1068="Regular", J1068="Recent"), "MEDIUM","LOW"))</f>
        <v>LOW</v>
      </c>
    </row>
    <row r="1069" spans="1:11">
      <c r="A1069" t="s">
        <v>1082</v>
      </c>
      <c r="B1069" s="14">
        <f>_xlfn.MINIFS('working sheet'!$B$2:$B$3548, 'working sheet'!$D$2:$D$3548, A1069)</f>
        <v>45659.611928171296</v>
      </c>
      <c r="C1069" s="17">
        <f>_xlfn.MAXIFS('working sheet'!$B$1:$B$3548,'working sheet'!$D$1:$D$3548,'Customer Portfolio'!A1069)</f>
        <v>45659.613030636574</v>
      </c>
      <c r="D1069">
        <f>COUNTIFS('working sheet'!$D$1:$D$3548,'Customer Portfolio'!A1069)</f>
        <v>2</v>
      </c>
      <c r="E1069" s="5">
        <f>SUMIFS('working sheet'!$E$2:$E$3548,'working sheet'!$D$2:$D$3548,'Customer Portfolio'!A1069)</f>
        <v>51.92</v>
      </c>
      <c r="F1069" s="6">
        <f t="shared" si="32"/>
        <v>25.96</v>
      </c>
      <c r="G1069" t="str">
        <f t="array" ref="G1069">IFERROR(INDEX('working sheet'!$F$2:$F$3548, MODE(IF('working sheet'!$D$2:$D$3548=A1069, MATCH('working sheet'!$F$2:$F$3548, 'working sheet'!$F$2:$F$3548, 0)))),
         INDEX('working sheet'!$F$2:$F$3548, MATCH(A1069, 'working sheet'!$D$2:$D$3548, 0)))</f>
        <v>Cortado</v>
      </c>
      <c r="H1069" s="7">
        <f t="shared" si="33"/>
        <v>1.0011024652776541</v>
      </c>
      <c r="I1069" s="7">
        <f>MAX('working sheet'!$B$2:$B$3548)-C1069</f>
        <v>80.145055416665855</v>
      </c>
      <c r="J1069" s="4" t="str">
        <f t="array" ref="J1069">IF(AND(I1069&lt;=30, D1069&gt;=10, E1069&gt;=200), "VIP",  IF(AND(I1069&lt;=60, D1069&gt;=5, E1069&gt;=100), "Loyal", IF(AND(I1069&lt;=90, D1069&gt;=3), "Regular", IF(I1069&lt;=30, "Recent", IF(D1069&gt;=3, "Occasional", "At Risk")))))</f>
        <v>At Risk</v>
      </c>
      <c r="K1069" t="str">
        <f t="array" ref="K1069">IF(OR(J1069="VIP", J1069="Loyal"), "HIGH",IF(OR(J1069="Regular", J1069="Recent"), "MEDIUM","LOW"))</f>
        <v>LOW</v>
      </c>
    </row>
    <row r="1070" spans="1:11">
      <c r="A1070" t="s">
        <v>1083</v>
      </c>
      <c r="B1070" s="14">
        <f>_xlfn.MINIFS('working sheet'!$B$2:$B$3548, 'working sheet'!$D$2:$D$3548, A1070)</f>
        <v>45659.682319293985</v>
      </c>
      <c r="C1070" s="17">
        <f>_xlfn.MAXIFS('working sheet'!$B$1:$B$3548,'working sheet'!$D$1:$D$3548,'Customer Portfolio'!A1070)</f>
        <v>45689.659710081018</v>
      </c>
      <c r="D1070">
        <f>COUNTIFS('working sheet'!$D$1:$D$3548,'Customer Portfolio'!A1070)</f>
        <v>4</v>
      </c>
      <c r="E1070" s="5">
        <f>SUMIFS('working sheet'!$E$2:$E$3548,'working sheet'!$D$2:$D$3548,'Customer Portfolio'!A1070)</f>
        <v>118.53999999999999</v>
      </c>
      <c r="F1070" s="6">
        <f t="shared" si="32"/>
        <v>29.634999999999998</v>
      </c>
      <c r="G1070" t="str">
        <f t="array" ref="G1070">IFERROR(INDEX('working sheet'!$F$2:$F$3548, MODE(IF('working sheet'!$D$2:$D$3548=A1070, MATCH('working sheet'!$F$2:$F$3548, 'working sheet'!$F$2:$F$3548, 0)))),
         INDEX('working sheet'!$F$2:$F$3548, MATCH(A1070, 'working sheet'!$D$2:$D$3548, 0)))</f>
        <v>Americano</v>
      </c>
      <c r="H1070" s="7">
        <f t="shared" si="33"/>
        <v>30.977390787033073</v>
      </c>
      <c r="I1070" s="7">
        <f>MAX('working sheet'!$B$2:$B$3548)-C1070</f>
        <v>50.098375972222129</v>
      </c>
      <c r="J1070" s="4" t="str">
        <f t="array" ref="J1070">IF(AND(I1070&lt;=30, D1070&gt;=10, E1070&gt;=200), "VIP",  IF(AND(I1070&lt;=60, D1070&gt;=5, E1070&gt;=100), "Loyal", IF(AND(I1070&lt;=90, D1070&gt;=3), "Regular", IF(I1070&lt;=30, "Recent", IF(D1070&gt;=3, "Occasional", "At Risk")))))</f>
        <v>Regular</v>
      </c>
      <c r="K1070" t="str">
        <f t="array" ref="K1070">IF(OR(J1070="VIP", J1070="Loyal"), "HIGH",IF(OR(J1070="Regular", J1070="Recent"), "MEDIUM","LOW"))</f>
        <v>MEDIUM</v>
      </c>
    </row>
    <row r="1071" spans="1:11">
      <c r="A1071" t="s">
        <v>1084</v>
      </c>
      <c r="B1071" s="14">
        <f>_xlfn.MINIFS('working sheet'!$B$2:$B$3548, 'working sheet'!$D$2:$D$3548, A1071)</f>
        <v>45660.707053472222</v>
      </c>
      <c r="C1071" s="17">
        <f>_xlfn.MAXIFS('working sheet'!$B$1:$B$3548,'working sheet'!$D$1:$D$3548,'Customer Portfolio'!A1071)</f>
        <v>45660.707053472222</v>
      </c>
      <c r="D1071">
        <f>COUNTIFS('working sheet'!$D$1:$D$3548,'Customer Portfolio'!A1071)</f>
        <v>1</v>
      </c>
      <c r="E1071" s="5">
        <f>SUMIFS('working sheet'!$E$2:$E$3548,'working sheet'!$D$2:$D$3548,'Customer Portfolio'!A1071)</f>
        <v>30.86</v>
      </c>
      <c r="F1071" s="6">
        <f t="shared" si="32"/>
        <v>30.86</v>
      </c>
      <c r="G1071" t="str">
        <f t="array" ref="G1071">IFERROR(INDEX('working sheet'!$F$2:$F$3548, MODE(IF('working sheet'!$D$2:$D$3548=A1071, MATCH('working sheet'!$F$2:$F$3548, 'working sheet'!$F$2:$F$3548, 0)))),
         INDEX('working sheet'!$F$2:$F$3548, MATCH(A1071, 'working sheet'!$D$2:$D$3548, 0)))</f>
        <v>Americano with Milk</v>
      </c>
      <c r="H1071" s="7">
        <f t="shared" si="33"/>
        <v>1</v>
      </c>
      <c r="I1071" s="7">
        <f>MAX('working sheet'!$B$2:$B$3548)-C1071</f>
        <v>79.051032581017353</v>
      </c>
      <c r="J1071" s="4" t="str">
        <f t="array" ref="J1071">IF(AND(I1071&lt;=30, D1071&gt;=10, E1071&gt;=200), "VIP",  IF(AND(I1071&lt;=60, D1071&gt;=5, E1071&gt;=100), "Loyal", IF(AND(I1071&lt;=90, D1071&gt;=3), "Regular", IF(I1071&lt;=30, "Recent", IF(D1071&gt;=3, "Occasional", "At Risk")))))</f>
        <v>At Risk</v>
      </c>
      <c r="K1071" t="str">
        <f t="array" ref="K1071">IF(OR(J1071="VIP", J1071="Loyal"), "HIGH",IF(OR(J1071="Regular", J1071="Recent"), "MEDIUM","LOW"))</f>
        <v>LOW</v>
      </c>
    </row>
    <row r="1072" spans="1:11">
      <c r="A1072" t="s">
        <v>1085</v>
      </c>
      <c r="B1072" s="14">
        <f>_xlfn.MINIFS('working sheet'!$B$2:$B$3548, 'working sheet'!$D$2:$D$3548, A1072)</f>
        <v>45660.929402303242</v>
      </c>
      <c r="C1072" s="17">
        <f>_xlfn.MAXIFS('working sheet'!$B$1:$B$3548,'working sheet'!$D$1:$D$3548,'Customer Portfolio'!A1072)</f>
        <v>45660.929402303242</v>
      </c>
      <c r="D1072">
        <f>COUNTIFS('working sheet'!$D$1:$D$3548,'Customer Portfolio'!A1072)</f>
        <v>1</v>
      </c>
      <c r="E1072" s="5">
        <f>SUMIFS('working sheet'!$E$2:$E$3548,'working sheet'!$D$2:$D$3548,'Customer Portfolio'!A1072)</f>
        <v>25.96</v>
      </c>
      <c r="F1072" s="6">
        <f t="shared" si="32"/>
        <v>25.96</v>
      </c>
      <c r="G1072" t="str">
        <f t="array" ref="G1072">IFERROR(INDEX('working sheet'!$F$2:$F$3548, MODE(IF('working sheet'!$D$2:$D$3548=A1072, MATCH('working sheet'!$F$2:$F$3548, 'working sheet'!$F$2:$F$3548, 0)))),
         INDEX('working sheet'!$F$2:$F$3548, MATCH(A1072, 'working sheet'!$D$2:$D$3548, 0)))</f>
        <v>Americano</v>
      </c>
      <c r="H1072" s="7">
        <f t="shared" si="33"/>
        <v>1</v>
      </c>
      <c r="I1072" s="7">
        <f>MAX('working sheet'!$B$2:$B$3548)-C1072</f>
        <v>78.828683749998163</v>
      </c>
      <c r="J1072" s="4" t="str">
        <f t="array" ref="J1072">IF(AND(I1072&lt;=30, D1072&gt;=10, E1072&gt;=200), "VIP",  IF(AND(I1072&lt;=60, D1072&gt;=5, E1072&gt;=100), "Loyal", IF(AND(I1072&lt;=90, D1072&gt;=3), "Regular", IF(I1072&lt;=30, "Recent", IF(D1072&gt;=3, "Occasional", "At Risk")))))</f>
        <v>At Risk</v>
      </c>
      <c r="K1072" t="str">
        <f t="array" ref="K1072">IF(OR(J1072="VIP", J1072="Loyal"), "HIGH",IF(OR(J1072="Regular", J1072="Recent"), "MEDIUM","LOW"))</f>
        <v>LOW</v>
      </c>
    </row>
    <row r="1073" spans="1:11">
      <c r="A1073" t="s">
        <v>1086</v>
      </c>
      <c r="B1073" s="14">
        <f>_xlfn.MINIFS('working sheet'!$B$2:$B$3548, 'working sheet'!$D$2:$D$3548, A1073)</f>
        <v>45660.930027245369</v>
      </c>
      <c r="C1073" s="17">
        <f>_xlfn.MAXIFS('working sheet'!$B$1:$B$3548,'working sheet'!$D$1:$D$3548,'Customer Portfolio'!A1073)</f>
        <v>45660.930027245369</v>
      </c>
      <c r="D1073">
        <f>COUNTIFS('working sheet'!$D$1:$D$3548,'Customer Portfolio'!A1073)</f>
        <v>1</v>
      </c>
      <c r="E1073" s="5">
        <f>SUMIFS('working sheet'!$E$2:$E$3548,'working sheet'!$D$2:$D$3548,'Customer Portfolio'!A1073)</f>
        <v>25.96</v>
      </c>
      <c r="F1073" s="6">
        <f t="shared" si="32"/>
        <v>25.96</v>
      </c>
      <c r="G1073" t="str">
        <f t="array" ref="G1073">IFERROR(INDEX('working sheet'!$F$2:$F$3548, MODE(IF('working sheet'!$D$2:$D$3548=A1073, MATCH('working sheet'!$F$2:$F$3548, 'working sheet'!$F$2:$F$3548, 0)))),
         INDEX('working sheet'!$F$2:$F$3548, MATCH(A1073, 'working sheet'!$D$2:$D$3548, 0)))</f>
        <v>Americano</v>
      </c>
      <c r="H1073" s="7">
        <f t="shared" si="33"/>
        <v>1</v>
      </c>
      <c r="I1073" s="7">
        <f>MAX('working sheet'!$B$2:$B$3548)-C1073</f>
        <v>78.828058807870548</v>
      </c>
      <c r="J1073" s="4" t="str">
        <f t="array" ref="J1073">IF(AND(I1073&lt;=30, D1073&gt;=10, E1073&gt;=200), "VIP",  IF(AND(I1073&lt;=60, D1073&gt;=5, E1073&gt;=100), "Loyal", IF(AND(I1073&lt;=90, D1073&gt;=3), "Regular", IF(I1073&lt;=30, "Recent", IF(D1073&gt;=3, "Occasional", "At Risk")))))</f>
        <v>At Risk</v>
      </c>
      <c r="K1073" t="str">
        <f t="array" ref="K1073">IF(OR(J1073="VIP", J1073="Loyal"), "HIGH",IF(OR(J1073="Regular", J1073="Recent"), "MEDIUM","LOW"))</f>
        <v>LOW</v>
      </c>
    </row>
    <row r="1074" spans="1:11">
      <c r="A1074" t="s">
        <v>1087</v>
      </c>
      <c r="B1074" s="14">
        <f>_xlfn.MINIFS('working sheet'!$B$2:$B$3548, 'working sheet'!$D$2:$D$3548, A1074)</f>
        <v>45661.416293796297</v>
      </c>
      <c r="C1074" s="17">
        <f>_xlfn.MAXIFS('working sheet'!$B$1:$B$3548,'working sheet'!$D$1:$D$3548,'Customer Portfolio'!A1074)</f>
        <v>45661.416293796297</v>
      </c>
      <c r="D1074">
        <f>COUNTIFS('working sheet'!$D$1:$D$3548,'Customer Portfolio'!A1074)</f>
        <v>1</v>
      </c>
      <c r="E1074" s="5">
        <f>SUMIFS('working sheet'!$E$2:$E$3548,'working sheet'!$D$2:$D$3548,'Customer Portfolio'!A1074)</f>
        <v>25.96</v>
      </c>
      <c r="F1074" s="6">
        <f t="shared" si="32"/>
        <v>25.96</v>
      </c>
      <c r="G1074" t="str">
        <f t="array" ref="G1074">IFERROR(INDEX('working sheet'!$F$2:$F$3548, MODE(IF('working sheet'!$D$2:$D$3548=A1074, MATCH('working sheet'!$F$2:$F$3548, 'working sheet'!$F$2:$F$3548, 0)))),
         INDEX('working sheet'!$F$2:$F$3548, MATCH(A1074, 'working sheet'!$D$2:$D$3548, 0)))</f>
        <v>Americano</v>
      </c>
      <c r="H1074" s="7">
        <f t="shared" si="33"/>
        <v>1</v>
      </c>
      <c r="I1074" s="7">
        <f>MAX('working sheet'!$B$2:$B$3548)-C1074</f>
        <v>78.341792256942426</v>
      </c>
      <c r="J1074" s="4" t="str">
        <f t="array" ref="J1074">IF(AND(I1074&lt;=30, D1074&gt;=10, E1074&gt;=200), "VIP",  IF(AND(I1074&lt;=60, D1074&gt;=5, E1074&gt;=100), "Loyal", IF(AND(I1074&lt;=90, D1074&gt;=3), "Regular", IF(I1074&lt;=30, "Recent", IF(D1074&gt;=3, "Occasional", "At Risk")))))</f>
        <v>At Risk</v>
      </c>
      <c r="K1074" t="str">
        <f t="array" ref="K1074">IF(OR(J1074="VIP", J1074="Loyal"), "HIGH",IF(OR(J1074="Regular", J1074="Recent"), "MEDIUM","LOW"))</f>
        <v>LOW</v>
      </c>
    </row>
    <row r="1075" spans="1:11">
      <c r="A1075" t="s">
        <v>1088</v>
      </c>
      <c r="B1075" s="14">
        <f>_xlfn.MINIFS('working sheet'!$B$2:$B$3548, 'working sheet'!$D$2:$D$3548, A1075)</f>
        <v>45661.569447754628</v>
      </c>
      <c r="C1075" s="17">
        <f>_xlfn.MAXIFS('working sheet'!$B$1:$B$3548,'working sheet'!$D$1:$D$3548,'Customer Portfolio'!A1075)</f>
        <v>45661.569447754628</v>
      </c>
      <c r="D1075">
        <f>COUNTIFS('working sheet'!$D$1:$D$3548,'Customer Portfolio'!A1075)</f>
        <v>1</v>
      </c>
      <c r="E1075" s="5">
        <f>SUMIFS('working sheet'!$E$2:$E$3548,'working sheet'!$D$2:$D$3548,'Customer Portfolio'!A1075)</f>
        <v>35.76</v>
      </c>
      <c r="F1075" s="6">
        <f t="shared" si="32"/>
        <v>35.76</v>
      </c>
      <c r="G1075" t="str">
        <f t="array" ref="G1075">IFERROR(INDEX('working sheet'!$F$2:$F$3548, MODE(IF('working sheet'!$D$2:$D$3548=A1075, MATCH('working sheet'!$F$2:$F$3548, 'working sheet'!$F$2:$F$3548, 0)))),
         INDEX('working sheet'!$F$2:$F$3548, MATCH(A1075, 'working sheet'!$D$2:$D$3548, 0)))</f>
        <v>Cappuccino</v>
      </c>
      <c r="H1075" s="7">
        <f t="shared" si="33"/>
        <v>1</v>
      </c>
      <c r="I1075" s="7">
        <f>MAX('working sheet'!$B$2:$B$3548)-C1075</f>
        <v>78.188638298612204</v>
      </c>
      <c r="J1075" s="4" t="str">
        <f t="array" ref="J1075">IF(AND(I1075&lt;=30, D1075&gt;=10, E1075&gt;=200), "VIP",  IF(AND(I1075&lt;=60, D1075&gt;=5, E1075&gt;=100), "Loyal", IF(AND(I1075&lt;=90, D1075&gt;=3), "Regular", IF(I1075&lt;=30, "Recent", IF(D1075&gt;=3, "Occasional", "At Risk")))))</f>
        <v>At Risk</v>
      </c>
      <c r="K1075" t="str">
        <f t="array" ref="K1075">IF(OR(J1075="VIP", J1075="Loyal"), "HIGH",IF(OR(J1075="Regular", J1075="Recent"), "MEDIUM","LOW"))</f>
        <v>LOW</v>
      </c>
    </row>
    <row r="1076" spans="1:11">
      <c r="A1076" t="s">
        <v>1089</v>
      </c>
      <c r="B1076" s="14">
        <f>_xlfn.MINIFS('working sheet'!$B$2:$B$3548, 'working sheet'!$D$2:$D$3548, A1076)</f>
        <v>45661.758093263888</v>
      </c>
      <c r="C1076" s="17">
        <f>_xlfn.MAXIFS('working sheet'!$B$1:$B$3548,'working sheet'!$D$1:$D$3548,'Customer Portfolio'!A1076)</f>
        <v>45661.758093263888</v>
      </c>
      <c r="D1076">
        <f>COUNTIFS('working sheet'!$D$1:$D$3548,'Customer Portfolio'!A1076)</f>
        <v>1</v>
      </c>
      <c r="E1076" s="5">
        <f>SUMIFS('working sheet'!$E$2:$E$3548,'working sheet'!$D$2:$D$3548,'Customer Portfolio'!A1076)</f>
        <v>25.96</v>
      </c>
      <c r="F1076" s="6">
        <f t="shared" si="32"/>
        <v>25.96</v>
      </c>
      <c r="G1076" t="str">
        <f t="array" ref="G1076">IFERROR(INDEX('working sheet'!$F$2:$F$3548, MODE(IF('working sheet'!$D$2:$D$3548=A1076, MATCH('working sheet'!$F$2:$F$3548, 'working sheet'!$F$2:$F$3548, 0)))),
         INDEX('working sheet'!$F$2:$F$3548, MATCH(A1076, 'working sheet'!$D$2:$D$3548, 0)))</f>
        <v>Americano</v>
      </c>
      <c r="H1076" s="7">
        <f t="shared" si="33"/>
        <v>1</v>
      </c>
      <c r="I1076" s="7">
        <f>MAX('working sheet'!$B$2:$B$3548)-C1076</f>
        <v>77.999992789351381</v>
      </c>
      <c r="J1076" s="4" t="str">
        <f t="array" ref="J1076">IF(AND(I1076&lt;=30, D1076&gt;=10, E1076&gt;=200), "VIP",  IF(AND(I1076&lt;=60, D1076&gt;=5, E1076&gt;=100), "Loyal", IF(AND(I1076&lt;=90, D1076&gt;=3), "Regular", IF(I1076&lt;=30, "Recent", IF(D1076&gt;=3, "Occasional", "At Risk")))))</f>
        <v>At Risk</v>
      </c>
      <c r="K1076" t="str">
        <f t="array" ref="K1076">IF(OR(J1076="VIP", J1076="Loyal"), "HIGH",IF(OR(J1076="Regular", J1076="Recent"), "MEDIUM","LOW"))</f>
        <v>LOW</v>
      </c>
    </row>
    <row r="1077" spans="1:11">
      <c r="A1077" t="s">
        <v>1090</v>
      </c>
      <c r="B1077" s="14">
        <f>_xlfn.MINIFS('working sheet'!$B$2:$B$3548, 'working sheet'!$D$2:$D$3548, A1077)</f>
        <v>45662.406918726854</v>
      </c>
      <c r="C1077" s="17">
        <f>_xlfn.MAXIFS('working sheet'!$B$1:$B$3548,'working sheet'!$D$1:$D$3548,'Customer Portfolio'!A1077)</f>
        <v>45662.406918726854</v>
      </c>
      <c r="D1077">
        <f>COUNTIFS('working sheet'!$D$1:$D$3548,'Customer Portfolio'!A1077)</f>
        <v>1</v>
      </c>
      <c r="E1077" s="5">
        <f>SUMIFS('working sheet'!$E$2:$E$3548,'working sheet'!$D$2:$D$3548,'Customer Portfolio'!A1077)</f>
        <v>30.86</v>
      </c>
      <c r="F1077" s="6">
        <f t="shared" si="32"/>
        <v>30.86</v>
      </c>
      <c r="G1077" t="str">
        <f t="array" ref="G1077">IFERROR(INDEX('working sheet'!$F$2:$F$3548, MODE(IF('working sheet'!$D$2:$D$3548=A1077, MATCH('working sheet'!$F$2:$F$3548, 'working sheet'!$F$2:$F$3548, 0)))),
         INDEX('working sheet'!$F$2:$F$3548, MATCH(A1077, 'working sheet'!$D$2:$D$3548, 0)))</f>
        <v>Americano with Milk</v>
      </c>
      <c r="H1077" s="7">
        <f t="shared" si="33"/>
        <v>1</v>
      </c>
      <c r="I1077" s="7">
        <f>MAX('working sheet'!$B$2:$B$3548)-C1077</f>
        <v>77.351167326385621</v>
      </c>
      <c r="J1077" s="4" t="str">
        <f t="array" ref="J1077">IF(AND(I1077&lt;=30, D1077&gt;=10, E1077&gt;=200), "VIP",  IF(AND(I1077&lt;=60, D1077&gt;=5, E1077&gt;=100), "Loyal", IF(AND(I1077&lt;=90, D1077&gt;=3), "Regular", IF(I1077&lt;=30, "Recent", IF(D1077&gt;=3, "Occasional", "At Risk")))))</f>
        <v>At Risk</v>
      </c>
      <c r="K1077" t="str">
        <f t="array" ref="K1077">IF(OR(J1077="VIP", J1077="Loyal"), "HIGH",IF(OR(J1077="Regular", J1077="Recent"), "MEDIUM","LOW"))</f>
        <v>LOW</v>
      </c>
    </row>
    <row r="1078" spans="1:11">
      <c r="A1078" t="s">
        <v>1091</v>
      </c>
      <c r="B1078" s="14">
        <f>_xlfn.MINIFS('working sheet'!$B$2:$B$3548, 'working sheet'!$D$2:$D$3548, A1078)</f>
        <v>45662.45348196759</v>
      </c>
      <c r="C1078" s="17">
        <f>_xlfn.MAXIFS('working sheet'!$B$1:$B$3548,'working sheet'!$D$1:$D$3548,'Customer Portfolio'!A1078)</f>
        <v>45662.45348196759</v>
      </c>
      <c r="D1078">
        <f>COUNTIFS('working sheet'!$D$1:$D$3548,'Customer Portfolio'!A1078)</f>
        <v>1</v>
      </c>
      <c r="E1078" s="5">
        <f>SUMIFS('working sheet'!$E$2:$E$3548,'working sheet'!$D$2:$D$3548,'Customer Portfolio'!A1078)</f>
        <v>35.76</v>
      </c>
      <c r="F1078" s="6">
        <f t="shared" si="32"/>
        <v>35.76</v>
      </c>
      <c r="G1078" t="str">
        <f t="array" ref="G1078">IFERROR(INDEX('working sheet'!$F$2:$F$3548, MODE(IF('working sheet'!$D$2:$D$3548=A1078, MATCH('working sheet'!$F$2:$F$3548, 'working sheet'!$F$2:$F$3548, 0)))),
         INDEX('working sheet'!$F$2:$F$3548, MATCH(A1078, 'working sheet'!$D$2:$D$3548, 0)))</f>
        <v>Latte</v>
      </c>
      <c r="H1078" s="7">
        <f t="shared" si="33"/>
        <v>1</v>
      </c>
      <c r="I1078" s="7">
        <f>MAX('working sheet'!$B$2:$B$3548)-C1078</f>
        <v>77.304604085649771</v>
      </c>
      <c r="J1078" s="4" t="str">
        <f t="array" ref="J1078">IF(AND(I1078&lt;=30, D1078&gt;=10, E1078&gt;=200), "VIP",  IF(AND(I1078&lt;=60, D1078&gt;=5, E1078&gt;=100), "Loyal", IF(AND(I1078&lt;=90, D1078&gt;=3), "Regular", IF(I1078&lt;=30, "Recent", IF(D1078&gt;=3, "Occasional", "At Risk")))))</f>
        <v>At Risk</v>
      </c>
      <c r="K1078" t="str">
        <f t="array" ref="K1078">IF(OR(J1078="VIP", J1078="Loyal"), "HIGH",IF(OR(J1078="Regular", J1078="Recent"), "MEDIUM","LOW"))</f>
        <v>LOW</v>
      </c>
    </row>
    <row r="1079" spans="1:11">
      <c r="A1079" t="s">
        <v>1092</v>
      </c>
      <c r="B1079" s="14">
        <f>_xlfn.MINIFS('working sheet'!$B$2:$B$3548, 'working sheet'!$D$2:$D$3548, A1079)</f>
        <v>45662.921718460646</v>
      </c>
      <c r="C1079" s="17">
        <f>_xlfn.MAXIFS('working sheet'!$B$1:$B$3548,'working sheet'!$D$1:$D$3548,'Customer Portfolio'!A1079)</f>
        <v>45662.921718460646</v>
      </c>
      <c r="D1079">
        <f>COUNTIFS('working sheet'!$D$1:$D$3548,'Customer Portfolio'!A1079)</f>
        <v>1</v>
      </c>
      <c r="E1079" s="5">
        <f>SUMIFS('working sheet'!$E$2:$E$3548,'working sheet'!$D$2:$D$3548,'Customer Portfolio'!A1079)</f>
        <v>30.86</v>
      </c>
      <c r="F1079" s="6">
        <f t="shared" si="32"/>
        <v>30.86</v>
      </c>
      <c r="G1079" t="str">
        <f t="array" ref="G1079">IFERROR(INDEX('working sheet'!$F$2:$F$3548, MODE(IF('working sheet'!$D$2:$D$3548=A1079, MATCH('working sheet'!$F$2:$F$3548, 'working sheet'!$F$2:$F$3548, 0)))),
         INDEX('working sheet'!$F$2:$F$3548, MATCH(A1079, 'working sheet'!$D$2:$D$3548, 0)))</f>
        <v>Americano with Milk</v>
      </c>
      <c r="H1079" s="7">
        <f t="shared" si="33"/>
        <v>1</v>
      </c>
      <c r="I1079" s="7">
        <f>MAX('working sheet'!$B$2:$B$3548)-C1079</f>
        <v>76.836367592593888</v>
      </c>
      <c r="J1079" s="4" t="str">
        <f t="array" ref="J1079">IF(AND(I1079&lt;=30, D1079&gt;=10, E1079&gt;=200), "VIP",  IF(AND(I1079&lt;=60, D1079&gt;=5, E1079&gt;=100), "Loyal", IF(AND(I1079&lt;=90, D1079&gt;=3), "Regular", IF(I1079&lt;=30, "Recent", IF(D1079&gt;=3, "Occasional", "At Risk")))))</f>
        <v>At Risk</v>
      </c>
      <c r="K1079" t="str">
        <f t="array" ref="K1079">IF(OR(J1079="VIP", J1079="Loyal"), "HIGH",IF(OR(J1079="Regular", J1079="Recent"), "MEDIUM","LOW"))</f>
        <v>LOW</v>
      </c>
    </row>
    <row r="1080" spans="1:11">
      <c r="A1080" t="s">
        <v>1093</v>
      </c>
      <c r="B1080" s="14">
        <f>_xlfn.MINIFS('working sheet'!$B$2:$B$3548, 'working sheet'!$D$2:$D$3548, A1080)</f>
        <v>45663.832531111111</v>
      </c>
      <c r="C1080" s="17">
        <f>_xlfn.MAXIFS('working sheet'!$B$1:$B$3548,'working sheet'!$D$1:$D$3548,'Customer Portfolio'!A1080)</f>
        <v>45663.832531111111</v>
      </c>
      <c r="D1080">
        <f>COUNTIFS('working sheet'!$D$1:$D$3548,'Customer Portfolio'!A1080)</f>
        <v>1</v>
      </c>
      <c r="E1080" s="5">
        <f>SUMIFS('working sheet'!$E$2:$E$3548,'working sheet'!$D$2:$D$3548,'Customer Portfolio'!A1080)</f>
        <v>25.96</v>
      </c>
      <c r="F1080" s="6">
        <f t="shared" si="32"/>
        <v>25.96</v>
      </c>
      <c r="G1080" t="str">
        <f t="array" ref="G1080">IFERROR(INDEX('working sheet'!$F$2:$F$3548, MODE(IF('working sheet'!$D$2:$D$3548=A1080, MATCH('working sheet'!$F$2:$F$3548, 'working sheet'!$F$2:$F$3548, 0)))),
         INDEX('working sheet'!$F$2:$F$3548, MATCH(A1080, 'working sheet'!$D$2:$D$3548, 0)))</f>
        <v>Americano</v>
      </c>
      <c r="H1080" s="7">
        <f t="shared" si="33"/>
        <v>1</v>
      </c>
      <c r="I1080" s="7">
        <f>MAX('working sheet'!$B$2:$B$3548)-C1080</f>
        <v>75.925554942128656</v>
      </c>
      <c r="J1080" s="4" t="str">
        <f t="array" ref="J1080">IF(AND(I1080&lt;=30, D1080&gt;=10, E1080&gt;=200), "VIP",  IF(AND(I1080&lt;=60, D1080&gt;=5, E1080&gt;=100), "Loyal", IF(AND(I1080&lt;=90, D1080&gt;=3), "Regular", IF(I1080&lt;=30, "Recent", IF(D1080&gt;=3, "Occasional", "At Risk")))))</f>
        <v>At Risk</v>
      </c>
      <c r="K1080" t="str">
        <f t="array" ref="K1080">IF(OR(J1080="VIP", J1080="Loyal"), "HIGH",IF(OR(J1080="Regular", J1080="Recent"), "MEDIUM","LOW"))</f>
        <v>LOW</v>
      </c>
    </row>
    <row r="1081" spans="1:11">
      <c r="A1081" t="s">
        <v>1094</v>
      </c>
      <c r="B1081" s="14">
        <f>_xlfn.MINIFS('working sheet'!$B$2:$B$3548, 'working sheet'!$D$2:$D$3548, A1081)</f>
        <v>45664.561837835645</v>
      </c>
      <c r="C1081" s="17">
        <f>_xlfn.MAXIFS('working sheet'!$B$1:$B$3548,'working sheet'!$D$1:$D$3548,'Customer Portfolio'!A1081)</f>
        <v>45664.561837835645</v>
      </c>
      <c r="D1081">
        <f>COUNTIFS('working sheet'!$D$1:$D$3548,'Customer Portfolio'!A1081)</f>
        <v>1</v>
      </c>
      <c r="E1081" s="5">
        <f>SUMIFS('working sheet'!$E$2:$E$3548,'working sheet'!$D$2:$D$3548,'Customer Portfolio'!A1081)</f>
        <v>35.76</v>
      </c>
      <c r="F1081" s="6">
        <f t="shared" si="32"/>
        <v>35.76</v>
      </c>
      <c r="G1081" t="str">
        <f t="array" ref="G1081">IFERROR(INDEX('working sheet'!$F$2:$F$3548, MODE(IF('working sheet'!$D$2:$D$3548=A1081, MATCH('working sheet'!$F$2:$F$3548, 'working sheet'!$F$2:$F$3548, 0)))),
         INDEX('working sheet'!$F$2:$F$3548, MATCH(A1081, 'working sheet'!$D$2:$D$3548, 0)))</f>
        <v>Cappuccino</v>
      </c>
      <c r="H1081" s="7">
        <f t="shared" si="33"/>
        <v>1</v>
      </c>
      <c r="I1081" s="7">
        <f>MAX('working sheet'!$B$2:$B$3548)-C1081</f>
        <v>75.196248217594984</v>
      </c>
      <c r="J1081" s="4" t="str">
        <f t="array" ref="J1081">IF(AND(I1081&lt;=30, D1081&gt;=10, E1081&gt;=200), "VIP",  IF(AND(I1081&lt;=60, D1081&gt;=5, E1081&gt;=100), "Loyal", IF(AND(I1081&lt;=90, D1081&gt;=3), "Regular", IF(I1081&lt;=30, "Recent", IF(D1081&gt;=3, "Occasional", "At Risk")))))</f>
        <v>At Risk</v>
      </c>
      <c r="K1081" t="str">
        <f t="array" ref="K1081">IF(OR(J1081="VIP", J1081="Loyal"), "HIGH",IF(OR(J1081="Regular", J1081="Recent"), "MEDIUM","LOW"))</f>
        <v>LOW</v>
      </c>
    </row>
    <row r="1082" spans="1:11">
      <c r="A1082" t="s">
        <v>1095</v>
      </c>
      <c r="B1082" s="14">
        <f>_xlfn.MINIFS('working sheet'!$B$2:$B$3548, 'working sheet'!$D$2:$D$3548, A1082)</f>
        <v>45664.939410706022</v>
      </c>
      <c r="C1082" s="17">
        <f>_xlfn.MAXIFS('working sheet'!$B$1:$B$3548,'working sheet'!$D$1:$D$3548,'Customer Portfolio'!A1082)</f>
        <v>45664.940264884259</v>
      </c>
      <c r="D1082">
        <f>COUNTIFS('working sheet'!$D$1:$D$3548,'Customer Portfolio'!A1082)</f>
        <v>2</v>
      </c>
      <c r="E1082" s="5">
        <f>SUMIFS('working sheet'!$E$2:$E$3548,'working sheet'!$D$2:$D$3548,'Customer Portfolio'!A1082)</f>
        <v>71.52</v>
      </c>
      <c r="F1082" s="6">
        <f t="shared" si="32"/>
        <v>35.76</v>
      </c>
      <c r="G1082" t="str">
        <f t="array" ref="G1082">IFERROR(INDEX('working sheet'!$F$2:$F$3548, MODE(IF('working sheet'!$D$2:$D$3548=A1082, MATCH('working sheet'!$F$2:$F$3548, 'working sheet'!$F$2:$F$3548, 0)))),
         INDEX('working sheet'!$F$2:$F$3548, MATCH(A1082, 'working sheet'!$D$2:$D$3548, 0)))</f>
        <v>Cocoa</v>
      </c>
      <c r="H1082" s="7">
        <f t="shared" si="33"/>
        <v>1.0008541782372049</v>
      </c>
      <c r="I1082" s="7">
        <f>MAX('working sheet'!$B$2:$B$3548)-C1082</f>
        <v>74.817821168981027</v>
      </c>
      <c r="J1082" s="4" t="str">
        <f t="array" ref="J1082">IF(AND(I1082&lt;=30, D1082&gt;=10, E1082&gt;=200), "VIP",  IF(AND(I1082&lt;=60, D1082&gt;=5, E1082&gt;=100), "Loyal", IF(AND(I1082&lt;=90, D1082&gt;=3), "Regular", IF(I1082&lt;=30, "Recent", IF(D1082&gt;=3, "Occasional", "At Risk")))))</f>
        <v>At Risk</v>
      </c>
      <c r="K1082" t="str">
        <f t="array" ref="K1082">IF(OR(J1082="VIP", J1082="Loyal"), "HIGH",IF(OR(J1082="Regular", J1082="Recent"), "MEDIUM","LOW"))</f>
        <v>LOW</v>
      </c>
    </row>
    <row r="1083" spans="1:11">
      <c r="A1083" t="s">
        <v>1096</v>
      </c>
      <c r="B1083" s="14">
        <f>_xlfn.MINIFS('working sheet'!$B$2:$B$3548, 'working sheet'!$D$2:$D$3548, A1083)</f>
        <v>45665.312523368055</v>
      </c>
      <c r="C1083" s="17">
        <f>_xlfn.MAXIFS('working sheet'!$B$1:$B$3548,'working sheet'!$D$1:$D$3548,'Customer Portfolio'!A1083)</f>
        <v>45678.346855046293</v>
      </c>
      <c r="D1083">
        <f>COUNTIFS('working sheet'!$D$1:$D$3548,'Customer Portfolio'!A1083)</f>
        <v>3</v>
      </c>
      <c r="E1083" s="5">
        <f>SUMIFS('working sheet'!$E$2:$E$3548,'working sheet'!$D$2:$D$3548,'Customer Portfolio'!A1083)</f>
        <v>92.58</v>
      </c>
      <c r="F1083" s="6">
        <f t="shared" si="32"/>
        <v>30.86</v>
      </c>
      <c r="G1083" t="str">
        <f t="array" ref="G1083">IFERROR(INDEX('working sheet'!$F$2:$F$3548, MODE(IF('working sheet'!$D$2:$D$3548=A1083, MATCH('working sheet'!$F$2:$F$3548, 'working sheet'!$F$2:$F$3548, 0)))),
         INDEX('working sheet'!$F$2:$F$3548, MATCH(A1083, 'working sheet'!$D$2:$D$3548, 0)))</f>
        <v>Americano with Milk</v>
      </c>
      <c r="H1083" s="7">
        <f t="shared" si="33"/>
        <v>14.034331678238232</v>
      </c>
      <c r="I1083" s="7">
        <f>MAX('working sheet'!$B$2:$B$3548)-C1083</f>
        <v>61.411231006946764</v>
      </c>
      <c r="J1083" s="4" t="str">
        <f t="array" ref="J1083">IF(AND(I1083&lt;=30, D1083&gt;=10, E1083&gt;=200), "VIP",  IF(AND(I1083&lt;=60, D1083&gt;=5, E1083&gt;=100), "Loyal", IF(AND(I1083&lt;=90, D1083&gt;=3), "Regular", IF(I1083&lt;=30, "Recent", IF(D1083&gt;=3, "Occasional", "At Risk")))))</f>
        <v>Regular</v>
      </c>
      <c r="K1083" t="str">
        <f t="array" ref="K1083">IF(OR(J1083="VIP", J1083="Loyal"), "HIGH",IF(OR(J1083="Regular", J1083="Recent"), "MEDIUM","LOW"))</f>
        <v>MEDIUM</v>
      </c>
    </row>
    <row r="1084" spans="1:11">
      <c r="A1084" t="s">
        <v>1097</v>
      </c>
      <c r="B1084" s="14">
        <f>_xlfn.MINIFS('working sheet'!$B$2:$B$3548, 'working sheet'!$D$2:$D$3548, A1084)</f>
        <v>45665.382814143515</v>
      </c>
      <c r="C1084" s="17">
        <f>_xlfn.MAXIFS('working sheet'!$B$1:$B$3548,'working sheet'!$D$1:$D$3548,'Customer Portfolio'!A1084)</f>
        <v>45665.382814143515</v>
      </c>
      <c r="D1084">
        <f>COUNTIFS('working sheet'!$D$1:$D$3548,'Customer Portfolio'!A1084)</f>
        <v>1</v>
      </c>
      <c r="E1084" s="5">
        <f>SUMIFS('working sheet'!$E$2:$E$3548,'working sheet'!$D$2:$D$3548,'Customer Portfolio'!A1084)</f>
        <v>35.76</v>
      </c>
      <c r="F1084" s="6">
        <f t="shared" si="32"/>
        <v>35.76</v>
      </c>
      <c r="G1084" t="str">
        <f t="array" ref="G1084">IFERROR(INDEX('working sheet'!$F$2:$F$3548, MODE(IF('working sheet'!$D$2:$D$3548=A1084, MATCH('working sheet'!$F$2:$F$3548, 'working sheet'!$F$2:$F$3548, 0)))),
         INDEX('working sheet'!$F$2:$F$3548, MATCH(A1084, 'working sheet'!$D$2:$D$3548, 0)))</f>
        <v>Latte</v>
      </c>
      <c r="H1084" s="7">
        <f t="shared" si="33"/>
        <v>1</v>
      </c>
      <c r="I1084" s="7">
        <f>MAX('working sheet'!$B$2:$B$3548)-C1084</f>
        <v>74.375271909724688</v>
      </c>
      <c r="J1084" s="4" t="str">
        <f t="array" ref="J1084">IF(AND(I1084&lt;=30, D1084&gt;=10, E1084&gt;=200), "VIP",  IF(AND(I1084&lt;=60, D1084&gt;=5, E1084&gt;=100), "Loyal", IF(AND(I1084&lt;=90, D1084&gt;=3), "Regular", IF(I1084&lt;=30, "Recent", IF(D1084&gt;=3, "Occasional", "At Risk")))))</f>
        <v>At Risk</v>
      </c>
      <c r="K1084" t="str">
        <f t="array" ref="K1084">IF(OR(J1084="VIP", J1084="Loyal"), "HIGH",IF(OR(J1084="Regular", J1084="Recent"), "MEDIUM","LOW"))</f>
        <v>LOW</v>
      </c>
    </row>
    <row r="1085" spans="1:11">
      <c r="A1085" t="s">
        <v>1098</v>
      </c>
      <c r="B1085" s="14">
        <f>_xlfn.MINIFS('working sheet'!$B$2:$B$3548, 'working sheet'!$D$2:$D$3548, A1085)</f>
        <v>45666.338282222219</v>
      </c>
      <c r="C1085" s="17">
        <f>_xlfn.MAXIFS('working sheet'!$B$1:$B$3548,'working sheet'!$D$1:$D$3548,'Customer Portfolio'!A1085)</f>
        <v>45666.338282222219</v>
      </c>
      <c r="D1085">
        <f>COUNTIFS('working sheet'!$D$1:$D$3548,'Customer Portfolio'!A1085)</f>
        <v>1</v>
      </c>
      <c r="E1085" s="5">
        <f>SUMIFS('working sheet'!$E$2:$E$3548,'working sheet'!$D$2:$D$3548,'Customer Portfolio'!A1085)</f>
        <v>25.96</v>
      </c>
      <c r="F1085" s="6">
        <f t="shared" si="32"/>
        <v>25.96</v>
      </c>
      <c r="G1085" t="str">
        <f t="array" ref="G1085">IFERROR(INDEX('working sheet'!$F$2:$F$3548, MODE(IF('working sheet'!$D$2:$D$3548=A1085, MATCH('working sheet'!$F$2:$F$3548, 'working sheet'!$F$2:$F$3548, 0)))),
         INDEX('working sheet'!$F$2:$F$3548, MATCH(A1085, 'working sheet'!$D$2:$D$3548, 0)))</f>
        <v>Americano</v>
      </c>
      <c r="H1085" s="7">
        <f t="shared" si="33"/>
        <v>1</v>
      </c>
      <c r="I1085" s="7">
        <f>MAX('working sheet'!$B$2:$B$3548)-C1085</f>
        <v>73.419803831020545</v>
      </c>
      <c r="J1085" s="4" t="str">
        <f t="array" ref="J1085">IF(AND(I1085&lt;=30, D1085&gt;=10, E1085&gt;=200), "VIP",  IF(AND(I1085&lt;=60, D1085&gt;=5, E1085&gt;=100), "Loyal", IF(AND(I1085&lt;=90, D1085&gt;=3), "Regular", IF(I1085&lt;=30, "Recent", IF(D1085&gt;=3, "Occasional", "At Risk")))))</f>
        <v>At Risk</v>
      </c>
      <c r="K1085" t="str">
        <f t="array" ref="K1085">IF(OR(J1085="VIP", J1085="Loyal"), "HIGH",IF(OR(J1085="Regular", J1085="Recent"), "MEDIUM","LOW"))</f>
        <v>LOW</v>
      </c>
    </row>
    <row r="1086" spans="1:11">
      <c r="A1086" t="s">
        <v>1099</v>
      </c>
      <c r="B1086" s="14">
        <f>_xlfn.MINIFS('working sheet'!$B$2:$B$3548, 'working sheet'!$D$2:$D$3548, A1086)</f>
        <v>45666.650679155093</v>
      </c>
      <c r="C1086" s="17">
        <f>_xlfn.MAXIFS('working sheet'!$B$1:$B$3548,'working sheet'!$D$1:$D$3548,'Customer Portfolio'!A1086)</f>
        <v>45666.650679155093</v>
      </c>
      <c r="D1086">
        <f>COUNTIFS('working sheet'!$D$1:$D$3548,'Customer Portfolio'!A1086)</f>
        <v>1</v>
      </c>
      <c r="E1086" s="5">
        <f>SUMIFS('working sheet'!$E$2:$E$3548,'working sheet'!$D$2:$D$3548,'Customer Portfolio'!A1086)</f>
        <v>35.76</v>
      </c>
      <c r="F1086" s="6">
        <f t="shared" si="32"/>
        <v>35.76</v>
      </c>
      <c r="G1086" t="str">
        <f t="array" ref="G1086">IFERROR(INDEX('working sheet'!$F$2:$F$3548, MODE(IF('working sheet'!$D$2:$D$3548=A1086, MATCH('working sheet'!$F$2:$F$3548, 'working sheet'!$F$2:$F$3548, 0)))),
         INDEX('working sheet'!$F$2:$F$3548, MATCH(A1086, 'working sheet'!$D$2:$D$3548, 0)))</f>
        <v>Latte</v>
      </c>
      <c r="H1086" s="7">
        <f t="shared" si="33"/>
        <v>1</v>
      </c>
      <c r="I1086" s="7">
        <f>MAX('working sheet'!$B$2:$B$3548)-C1086</f>
        <v>73.107406898147019</v>
      </c>
      <c r="J1086" s="4" t="str">
        <f t="array" ref="J1086">IF(AND(I1086&lt;=30, D1086&gt;=10, E1086&gt;=200), "VIP",  IF(AND(I1086&lt;=60, D1086&gt;=5, E1086&gt;=100), "Loyal", IF(AND(I1086&lt;=90, D1086&gt;=3), "Regular", IF(I1086&lt;=30, "Recent", IF(D1086&gt;=3, "Occasional", "At Risk")))))</f>
        <v>At Risk</v>
      </c>
      <c r="K1086" t="str">
        <f t="array" ref="K1086">IF(OR(J1086="VIP", J1086="Loyal"), "HIGH",IF(OR(J1086="Regular", J1086="Recent"), "MEDIUM","LOW"))</f>
        <v>LOW</v>
      </c>
    </row>
    <row r="1087" spans="1:11">
      <c r="A1087" t="s">
        <v>1100</v>
      </c>
      <c r="B1087" s="14">
        <f>_xlfn.MINIFS('working sheet'!$B$2:$B$3548, 'working sheet'!$D$2:$D$3548, A1087)</f>
        <v>45667.743967256945</v>
      </c>
      <c r="C1087" s="17">
        <f>_xlfn.MAXIFS('working sheet'!$B$1:$B$3548,'working sheet'!$D$1:$D$3548,'Customer Portfolio'!A1087)</f>
        <v>45667.743967256945</v>
      </c>
      <c r="D1087">
        <f>COUNTIFS('working sheet'!$D$1:$D$3548,'Customer Portfolio'!A1087)</f>
        <v>1</v>
      </c>
      <c r="E1087" s="5">
        <f>SUMIFS('working sheet'!$E$2:$E$3548,'working sheet'!$D$2:$D$3548,'Customer Portfolio'!A1087)</f>
        <v>35.76</v>
      </c>
      <c r="F1087" s="6">
        <f t="shared" si="32"/>
        <v>35.76</v>
      </c>
      <c r="G1087" t="str">
        <f t="array" ref="G1087">IFERROR(INDEX('working sheet'!$F$2:$F$3548, MODE(IF('working sheet'!$D$2:$D$3548=A1087, MATCH('working sheet'!$F$2:$F$3548, 'working sheet'!$F$2:$F$3548, 0)))),
         INDEX('working sheet'!$F$2:$F$3548, MATCH(A1087, 'working sheet'!$D$2:$D$3548, 0)))</f>
        <v>Cappuccino</v>
      </c>
      <c r="H1087" s="7">
        <f t="shared" si="33"/>
        <v>1</v>
      </c>
      <c r="I1087" s="7">
        <f>MAX('working sheet'!$B$2:$B$3548)-C1087</f>
        <v>72.014118796294497</v>
      </c>
      <c r="J1087" s="4" t="str">
        <f t="array" ref="J1087">IF(AND(I1087&lt;=30, D1087&gt;=10, E1087&gt;=200), "VIP",  IF(AND(I1087&lt;=60, D1087&gt;=5, E1087&gt;=100), "Loyal", IF(AND(I1087&lt;=90, D1087&gt;=3), "Regular", IF(I1087&lt;=30, "Recent", IF(D1087&gt;=3, "Occasional", "At Risk")))))</f>
        <v>At Risk</v>
      </c>
      <c r="K1087" t="str">
        <f t="array" ref="K1087">IF(OR(J1087="VIP", J1087="Loyal"), "HIGH",IF(OR(J1087="Regular", J1087="Recent"), "MEDIUM","LOW"))</f>
        <v>LOW</v>
      </c>
    </row>
    <row r="1088" spans="1:11">
      <c r="A1088" t="s">
        <v>1101</v>
      </c>
      <c r="B1088" s="14">
        <f>_xlfn.MINIFS('working sheet'!$B$2:$B$3548, 'working sheet'!$D$2:$D$3548, A1088)</f>
        <v>45668.451172349538</v>
      </c>
      <c r="C1088" s="17">
        <f>_xlfn.MAXIFS('working sheet'!$B$1:$B$3548,'working sheet'!$D$1:$D$3548,'Customer Portfolio'!A1088)</f>
        <v>45668.451172349538</v>
      </c>
      <c r="D1088">
        <f>COUNTIFS('working sheet'!$D$1:$D$3548,'Customer Portfolio'!A1088)</f>
        <v>1</v>
      </c>
      <c r="E1088" s="5">
        <f>SUMIFS('working sheet'!$E$2:$E$3548,'working sheet'!$D$2:$D$3548,'Customer Portfolio'!A1088)</f>
        <v>35.76</v>
      </c>
      <c r="F1088" s="6">
        <f t="shared" si="32"/>
        <v>35.76</v>
      </c>
      <c r="G1088" t="str">
        <f t="array" ref="G1088">IFERROR(INDEX('working sheet'!$F$2:$F$3548, MODE(IF('working sheet'!$D$2:$D$3548=A1088, MATCH('working sheet'!$F$2:$F$3548, 'working sheet'!$F$2:$F$3548, 0)))),
         INDEX('working sheet'!$F$2:$F$3548, MATCH(A1088, 'working sheet'!$D$2:$D$3548, 0)))</f>
        <v>Hot Chocolate</v>
      </c>
      <c r="H1088" s="7">
        <f t="shared" si="33"/>
        <v>1</v>
      </c>
      <c r="I1088" s="7">
        <f>MAX('working sheet'!$B$2:$B$3548)-C1088</f>
        <v>71.306913703701866</v>
      </c>
      <c r="J1088" s="4" t="str">
        <f t="array" ref="J1088">IF(AND(I1088&lt;=30, D1088&gt;=10, E1088&gt;=200), "VIP",  IF(AND(I1088&lt;=60, D1088&gt;=5, E1088&gt;=100), "Loyal", IF(AND(I1088&lt;=90, D1088&gt;=3), "Regular", IF(I1088&lt;=30, "Recent", IF(D1088&gt;=3, "Occasional", "At Risk")))))</f>
        <v>At Risk</v>
      </c>
      <c r="K1088" t="str">
        <f t="array" ref="K1088">IF(OR(J1088="VIP", J1088="Loyal"), "HIGH",IF(OR(J1088="Regular", J1088="Recent"), "MEDIUM","LOW"))</f>
        <v>LOW</v>
      </c>
    </row>
    <row r="1089" spans="1:11">
      <c r="A1089" t="s">
        <v>1102</v>
      </c>
      <c r="B1089" s="14">
        <f>_xlfn.MINIFS('working sheet'!$B$2:$B$3548, 'working sheet'!$D$2:$D$3548, A1089)</f>
        <v>45668.467984560186</v>
      </c>
      <c r="C1089" s="17">
        <f>_xlfn.MAXIFS('working sheet'!$B$1:$B$3548,'working sheet'!$D$1:$D$3548,'Customer Portfolio'!A1089)</f>
        <v>45668.467984560186</v>
      </c>
      <c r="D1089">
        <f>COUNTIFS('working sheet'!$D$1:$D$3548,'Customer Portfolio'!A1089)</f>
        <v>1</v>
      </c>
      <c r="E1089" s="5">
        <f>SUMIFS('working sheet'!$E$2:$E$3548,'working sheet'!$D$2:$D$3548,'Customer Portfolio'!A1089)</f>
        <v>25.96</v>
      </c>
      <c r="F1089" s="6">
        <f t="shared" si="32"/>
        <v>25.96</v>
      </c>
      <c r="G1089" t="str">
        <f t="array" ref="G1089">IFERROR(INDEX('working sheet'!$F$2:$F$3548, MODE(IF('working sheet'!$D$2:$D$3548=A1089, MATCH('working sheet'!$F$2:$F$3548, 'working sheet'!$F$2:$F$3548, 0)))),
         INDEX('working sheet'!$F$2:$F$3548, MATCH(A1089, 'working sheet'!$D$2:$D$3548, 0)))</f>
        <v>Americano</v>
      </c>
      <c r="H1089" s="7">
        <f t="shared" si="33"/>
        <v>1</v>
      </c>
      <c r="I1089" s="7">
        <f>MAX('working sheet'!$B$2:$B$3548)-C1089</f>
        <v>71.290101493053953</v>
      </c>
      <c r="J1089" s="4" t="str">
        <f t="array" ref="J1089">IF(AND(I1089&lt;=30, D1089&gt;=10, E1089&gt;=200), "VIP",  IF(AND(I1089&lt;=60, D1089&gt;=5, E1089&gt;=100), "Loyal", IF(AND(I1089&lt;=90, D1089&gt;=3), "Regular", IF(I1089&lt;=30, "Recent", IF(D1089&gt;=3, "Occasional", "At Risk")))))</f>
        <v>At Risk</v>
      </c>
      <c r="K1089" t="str">
        <f t="array" ref="K1089">IF(OR(J1089="VIP", J1089="Loyal"), "HIGH",IF(OR(J1089="Regular", J1089="Recent"), "MEDIUM","LOW"))</f>
        <v>LOW</v>
      </c>
    </row>
    <row r="1090" spans="1:11">
      <c r="A1090" t="s">
        <v>1103</v>
      </c>
      <c r="B1090" s="14">
        <f>_xlfn.MINIFS('working sheet'!$B$2:$B$3548, 'working sheet'!$D$2:$D$3548, A1090)</f>
        <v>45668.472426064814</v>
      </c>
      <c r="C1090" s="17">
        <f>_xlfn.MAXIFS('working sheet'!$B$1:$B$3548,'working sheet'!$D$1:$D$3548,'Customer Portfolio'!A1090)</f>
        <v>45668.509314629628</v>
      </c>
      <c r="D1090">
        <f>COUNTIFS('working sheet'!$D$1:$D$3548,'Customer Portfolio'!A1090)</f>
        <v>4</v>
      </c>
      <c r="E1090" s="5">
        <f>SUMIFS('working sheet'!$E$2:$E$3548,'working sheet'!$D$2:$D$3548,'Customer Portfolio'!A1090)</f>
        <v>143.04</v>
      </c>
      <c r="F1090" s="6">
        <f t="shared" si="32"/>
        <v>35.76</v>
      </c>
      <c r="G1090" t="str">
        <f t="array" ref="G1090">IFERROR(INDEX('working sheet'!$F$2:$F$3548, MODE(IF('working sheet'!$D$2:$D$3548=A1090, MATCH('working sheet'!$F$2:$F$3548, 'working sheet'!$F$2:$F$3548, 0)))),
         INDEX('working sheet'!$F$2:$F$3548, MATCH(A1090, 'working sheet'!$D$2:$D$3548, 0)))</f>
        <v>Latte</v>
      </c>
      <c r="H1090" s="7">
        <f t="shared" si="33"/>
        <v>1.0368885648131254</v>
      </c>
      <c r="I1090" s="7">
        <f>MAX('working sheet'!$B$2:$B$3548)-C1090</f>
        <v>71.248771423612197</v>
      </c>
      <c r="J1090" s="4" t="str">
        <f t="array" ref="J1090">IF(AND(I1090&lt;=30, D1090&gt;=10, E1090&gt;=200), "VIP",  IF(AND(I1090&lt;=60, D1090&gt;=5, E1090&gt;=100), "Loyal", IF(AND(I1090&lt;=90, D1090&gt;=3), "Regular", IF(I1090&lt;=30, "Recent", IF(D1090&gt;=3, "Occasional", "At Risk")))))</f>
        <v>Regular</v>
      </c>
      <c r="K1090" t="str">
        <f t="array" ref="K1090">IF(OR(J1090="VIP", J1090="Loyal"), "HIGH",IF(OR(J1090="Regular", J1090="Recent"), "MEDIUM","LOW"))</f>
        <v>MEDIUM</v>
      </c>
    </row>
    <row r="1091" spans="1:11">
      <c r="A1091" t="s">
        <v>1104</v>
      </c>
      <c r="B1091" s="14">
        <f>_xlfn.MINIFS('working sheet'!$B$2:$B$3548, 'working sheet'!$D$2:$D$3548, A1091)</f>
        <v>45668.592301435187</v>
      </c>
      <c r="C1091" s="17">
        <f>_xlfn.MAXIFS('working sheet'!$B$1:$B$3548,'working sheet'!$D$1:$D$3548,'Customer Portfolio'!A1091)</f>
        <v>45668.592301435187</v>
      </c>
      <c r="D1091">
        <f>COUNTIFS('working sheet'!$D$1:$D$3548,'Customer Portfolio'!A1091)</f>
        <v>1</v>
      </c>
      <c r="E1091" s="5">
        <f>SUMIFS('working sheet'!$E$2:$E$3548,'working sheet'!$D$2:$D$3548,'Customer Portfolio'!A1091)</f>
        <v>30.86</v>
      </c>
      <c r="F1091" s="6">
        <f t="shared" ref="F1091:F1154" si="34">E1091/D1091</f>
        <v>30.86</v>
      </c>
      <c r="G1091" t="str">
        <f t="array" ref="G1091">IFERROR(INDEX('working sheet'!$F$2:$F$3548, MODE(IF('working sheet'!$D$2:$D$3548=A1091, MATCH('working sheet'!$F$2:$F$3548, 'working sheet'!$F$2:$F$3548, 0)))),
         INDEX('working sheet'!$F$2:$F$3548, MATCH(A1091, 'working sheet'!$D$2:$D$3548, 0)))</f>
        <v>Americano with Milk</v>
      </c>
      <c r="H1091" s="7">
        <f t="shared" ref="H1091:H1154" si="35">C1091-B1091+1</f>
        <v>1</v>
      </c>
      <c r="I1091" s="7">
        <f>MAX('working sheet'!$B$2:$B$3548)-C1091</f>
        <v>71.165784618053294</v>
      </c>
      <c r="J1091" s="4" t="str">
        <f t="array" ref="J1091">IF(AND(I1091&lt;=30, D1091&gt;=10, E1091&gt;=200), "VIP",  IF(AND(I1091&lt;=60, D1091&gt;=5, E1091&gt;=100), "Loyal", IF(AND(I1091&lt;=90, D1091&gt;=3), "Regular", IF(I1091&lt;=30, "Recent", IF(D1091&gt;=3, "Occasional", "At Risk")))))</f>
        <v>At Risk</v>
      </c>
      <c r="K1091" t="str">
        <f t="array" ref="K1091">IF(OR(J1091="VIP", J1091="Loyal"), "HIGH",IF(OR(J1091="Regular", J1091="Recent"), "MEDIUM","LOW"))</f>
        <v>LOW</v>
      </c>
    </row>
    <row r="1092" spans="1:11">
      <c r="A1092" t="s">
        <v>1105</v>
      </c>
      <c r="B1092" s="14">
        <f>_xlfn.MINIFS('working sheet'!$B$2:$B$3548, 'working sheet'!$D$2:$D$3548, A1092)</f>
        <v>45668.59419142361</v>
      </c>
      <c r="C1092" s="17">
        <f>_xlfn.MAXIFS('working sheet'!$B$1:$B$3548,'working sheet'!$D$1:$D$3548,'Customer Portfolio'!A1092)</f>
        <v>45668.594953020831</v>
      </c>
      <c r="D1092">
        <f>COUNTIFS('working sheet'!$D$1:$D$3548,'Customer Portfolio'!A1092)</f>
        <v>2</v>
      </c>
      <c r="E1092" s="5">
        <f>SUMIFS('working sheet'!$E$2:$E$3548,'working sheet'!$D$2:$D$3548,'Customer Portfolio'!A1092)</f>
        <v>66.62</v>
      </c>
      <c r="F1092" s="6">
        <f t="shared" si="34"/>
        <v>33.31</v>
      </c>
      <c r="G1092" t="str">
        <f t="array" ref="G1092">IFERROR(INDEX('working sheet'!$F$2:$F$3548, MODE(IF('working sheet'!$D$2:$D$3548=A1092, MATCH('working sheet'!$F$2:$F$3548, 'working sheet'!$F$2:$F$3548, 0)))),
         INDEX('working sheet'!$F$2:$F$3548, MATCH(A1092, 'working sheet'!$D$2:$D$3548, 0)))</f>
        <v>Americano with Milk</v>
      </c>
      <c r="H1092" s="7">
        <f t="shared" si="35"/>
        <v>1.0007615972208441</v>
      </c>
      <c r="I1092" s="7">
        <f>MAX('working sheet'!$B$2:$B$3548)-C1092</f>
        <v>71.16313303240895</v>
      </c>
      <c r="J1092" s="4" t="str">
        <f t="array" ref="J1092">IF(AND(I1092&lt;=30, D1092&gt;=10, E1092&gt;=200), "VIP",  IF(AND(I1092&lt;=60, D1092&gt;=5, E1092&gt;=100), "Loyal", IF(AND(I1092&lt;=90, D1092&gt;=3), "Regular", IF(I1092&lt;=30, "Recent", IF(D1092&gt;=3, "Occasional", "At Risk")))))</f>
        <v>At Risk</v>
      </c>
      <c r="K1092" t="str">
        <f t="array" ref="K1092">IF(OR(J1092="VIP", J1092="Loyal"), "HIGH",IF(OR(J1092="Regular", J1092="Recent"), "MEDIUM","LOW"))</f>
        <v>LOW</v>
      </c>
    </row>
    <row r="1093" spans="1:11">
      <c r="A1093" t="s">
        <v>1106</v>
      </c>
      <c r="B1093" s="14">
        <f>_xlfn.MINIFS('working sheet'!$B$2:$B$3548, 'working sheet'!$D$2:$D$3548, A1093)</f>
        <v>45668.616006620374</v>
      </c>
      <c r="C1093" s="17">
        <f>_xlfn.MAXIFS('working sheet'!$B$1:$B$3548,'working sheet'!$D$1:$D$3548,'Customer Portfolio'!A1093)</f>
        <v>45668.616006620374</v>
      </c>
      <c r="D1093">
        <f>COUNTIFS('working sheet'!$D$1:$D$3548,'Customer Portfolio'!A1093)</f>
        <v>1</v>
      </c>
      <c r="E1093" s="5">
        <f>SUMIFS('working sheet'!$E$2:$E$3548,'working sheet'!$D$2:$D$3548,'Customer Portfolio'!A1093)</f>
        <v>35.76</v>
      </c>
      <c r="F1093" s="6">
        <f t="shared" si="34"/>
        <v>35.76</v>
      </c>
      <c r="G1093" t="str">
        <f t="array" ref="G1093">IFERROR(INDEX('working sheet'!$F$2:$F$3548, MODE(IF('working sheet'!$D$2:$D$3548=A1093, MATCH('working sheet'!$F$2:$F$3548, 'working sheet'!$F$2:$F$3548, 0)))),
         INDEX('working sheet'!$F$2:$F$3548, MATCH(A1093, 'working sheet'!$D$2:$D$3548, 0)))</f>
        <v>Latte</v>
      </c>
      <c r="H1093" s="7">
        <f t="shared" si="35"/>
        <v>1</v>
      </c>
      <c r="I1093" s="7">
        <f>MAX('working sheet'!$B$2:$B$3548)-C1093</f>
        <v>71.142079432866012</v>
      </c>
      <c r="J1093" s="4" t="str">
        <f t="array" ref="J1093">IF(AND(I1093&lt;=30, D1093&gt;=10, E1093&gt;=200), "VIP",  IF(AND(I1093&lt;=60, D1093&gt;=5, E1093&gt;=100), "Loyal", IF(AND(I1093&lt;=90, D1093&gt;=3), "Regular", IF(I1093&lt;=30, "Recent", IF(D1093&gt;=3, "Occasional", "At Risk")))))</f>
        <v>At Risk</v>
      </c>
      <c r="K1093" t="str">
        <f t="array" ref="K1093">IF(OR(J1093="VIP", J1093="Loyal"), "HIGH",IF(OR(J1093="Regular", J1093="Recent"), "MEDIUM","LOW"))</f>
        <v>LOW</v>
      </c>
    </row>
    <row r="1094" spans="1:11">
      <c r="A1094" t="s">
        <v>1107</v>
      </c>
      <c r="B1094" s="14">
        <f>_xlfn.MINIFS('working sheet'!$B$2:$B$3548, 'working sheet'!$D$2:$D$3548, A1094)</f>
        <v>45668.721920925927</v>
      </c>
      <c r="C1094" s="17">
        <f>_xlfn.MAXIFS('working sheet'!$B$1:$B$3548,'working sheet'!$D$1:$D$3548,'Customer Portfolio'!A1094)</f>
        <v>45668.723670196756</v>
      </c>
      <c r="D1094">
        <f>COUNTIFS('working sheet'!$D$1:$D$3548,'Customer Portfolio'!A1094)</f>
        <v>2</v>
      </c>
      <c r="E1094" s="5">
        <f>SUMIFS('working sheet'!$E$2:$E$3548,'working sheet'!$D$2:$D$3548,'Customer Portfolio'!A1094)</f>
        <v>51.92</v>
      </c>
      <c r="F1094" s="6">
        <f t="shared" si="34"/>
        <v>25.96</v>
      </c>
      <c r="G1094" t="str">
        <f t="array" ref="G1094">IFERROR(INDEX('working sheet'!$F$2:$F$3548, MODE(IF('working sheet'!$D$2:$D$3548=A1094, MATCH('working sheet'!$F$2:$F$3548, 'working sheet'!$F$2:$F$3548, 0)))),
         INDEX('working sheet'!$F$2:$F$3548, MATCH(A1094, 'working sheet'!$D$2:$D$3548, 0)))</f>
        <v>Cortado</v>
      </c>
      <c r="H1094" s="7">
        <f t="shared" si="35"/>
        <v>1.0017492708284408</v>
      </c>
      <c r="I1094" s="7">
        <f>MAX('working sheet'!$B$2:$B$3548)-C1094</f>
        <v>71.034415856483974</v>
      </c>
      <c r="J1094" s="4" t="str">
        <f t="array" ref="J1094">IF(AND(I1094&lt;=30, D1094&gt;=10, E1094&gt;=200), "VIP",  IF(AND(I1094&lt;=60, D1094&gt;=5, E1094&gt;=100), "Loyal", IF(AND(I1094&lt;=90, D1094&gt;=3), "Regular", IF(I1094&lt;=30, "Recent", IF(D1094&gt;=3, "Occasional", "At Risk")))))</f>
        <v>At Risk</v>
      </c>
      <c r="K1094" t="str">
        <f t="array" ref="K1094">IF(OR(J1094="VIP", J1094="Loyal"), "HIGH",IF(OR(J1094="Regular", J1094="Recent"), "MEDIUM","LOW"))</f>
        <v>LOW</v>
      </c>
    </row>
    <row r="1095" spans="1:11">
      <c r="A1095" t="s">
        <v>1108</v>
      </c>
      <c r="B1095" s="14">
        <f>_xlfn.MINIFS('working sheet'!$B$2:$B$3548, 'working sheet'!$D$2:$D$3548, A1095)</f>
        <v>45668.722879398149</v>
      </c>
      <c r="C1095" s="17">
        <f>_xlfn.MAXIFS('working sheet'!$B$1:$B$3548,'working sheet'!$D$1:$D$3548,'Customer Portfolio'!A1095)</f>
        <v>45668.722879398149</v>
      </c>
      <c r="D1095">
        <f>COUNTIFS('working sheet'!$D$1:$D$3548,'Customer Portfolio'!A1095)</f>
        <v>1</v>
      </c>
      <c r="E1095" s="5">
        <f>SUMIFS('working sheet'!$E$2:$E$3548,'working sheet'!$D$2:$D$3548,'Customer Portfolio'!A1095)</f>
        <v>35.76</v>
      </c>
      <c r="F1095" s="6">
        <f t="shared" si="34"/>
        <v>35.76</v>
      </c>
      <c r="G1095" t="str">
        <f t="array" ref="G1095">IFERROR(INDEX('working sheet'!$F$2:$F$3548, MODE(IF('working sheet'!$D$2:$D$3548=A1095, MATCH('working sheet'!$F$2:$F$3548, 'working sheet'!$F$2:$F$3548, 0)))),
         INDEX('working sheet'!$F$2:$F$3548, MATCH(A1095, 'working sheet'!$D$2:$D$3548, 0)))</f>
        <v>Latte</v>
      </c>
      <c r="H1095" s="7">
        <f t="shared" si="35"/>
        <v>1</v>
      </c>
      <c r="I1095" s="7">
        <f>MAX('working sheet'!$B$2:$B$3548)-C1095</f>
        <v>71.035206655091315</v>
      </c>
      <c r="J1095" s="4" t="str">
        <f t="array" ref="J1095">IF(AND(I1095&lt;=30, D1095&gt;=10, E1095&gt;=200), "VIP",  IF(AND(I1095&lt;=60, D1095&gt;=5, E1095&gt;=100), "Loyal", IF(AND(I1095&lt;=90, D1095&gt;=3), "Regular", IF(I1095&lt;=30, "Recent", IF(D1095&gt;=3, "Occasional", "At Risk")))))</f>
        <v>At Risk</v>
      </c>
      <c r="K1095" t="str">
        <f t="array" ref="K1095">IF(OR(J1095="VIP", J1095="Loyal"), "HIGH",IF(OR(J1095="Regular", J1095="Recent"), "MEDIUM","LOW"))</f>
        <v>LOW</v>
      </c>
    </row>
    <row r="1096" spans="1:11">
      <c r="A1096" t="s">
        <v>1109</v>
      </c>
      <c r="B1096" s="14">
        <f>_xlfn.MINIFS('working sheet'!$B$2:$B$3548, 'working sheet'!$D$2:$D$3548, A1096)</f>
        <v>45668.751024062498</v>
      </c>
      <c r="C1096" s="17">
        <f>_xlfn.MAXIFS('working sheet'!$B$1:$B$3548,'working sheet'!$D$1:$D$3548,'Customer Portfolio'!A1096)</f>
        <v>45668.751024062498</v>
      </c>
      <c r="D1096">
        <f>COUNTIFS('working sheet'!$D$1:$D$3548,'Customer Portfolio'!A1096)</f>
        <v>1</v>
      </c>
      <c r="E1096" s="5">
        <f>SUMIFS('working sheet'!$E$2:$E$3548,'working sheet'!$D$2:$D$3548,'Customer Portfolio'!A1096)</f>
        <v>30.86</v>
      </c>
      <c r="F1096" s="6">
        <f t="shared" si="34"/>
        <v>30.86</v>
      </c>
      <c r="G1096" t="str">
        <f t="array" ref="G1096">IFERROR(INDEX('working sheet'!$F$2:$F$3548, MODE(IF('working sheet'!$D$2:$D$3548=A1096, MATCH('working sheet'!$F$2:$F$3548, 'working sheet'!$F$2:$F$3548, 0)))),
         INDEX('working sheet'!$F$2:$F$3548, MATCH(A1096, 'working sheet'!$D$2:$D$3548, 0)))</f>
        <v>Americano with Milk</v>
      </c>
      <c r="H1096" s="7">
        <f t="shared" si="35"/>
        <v>1</v>
      </c>
      <c r="I1096" s="7">
        <f>MAX('working sheet'!$B$2:$B$3548)-C1096</f>
        <v>71.007061990741931</v>
      </c>
      <c r="J1096" s="4" t="str">
        <f t="array" ref="J1096">IF(AND(I1096&lt;=30, D1096&gt;=10, E1096&gt;=200), "VIP",  IF(AND(I1096&lt;=60, D1096&gt;=5, E1096&gt;=100), "Loyal", IF(AND(I1096&lt;=90, D1096&gt;=3), "Regular", IF(I1096&lt;=30, "Recent", IF(D1096&gt;=3, "Occasional", "At Risk")))))</f>
        <v>At Risk</v>
      </c>
      <c r="K1096" t="str">
        <f t="array" ref="K1096">IF(OR(J1096="VIP", J1096="Loyal"), "HIGH",IF(OR(J1096="Regular", J1096="Recent"), "MEDIUM","LOW"))</f>
        <v>LOW</v>
      </c>
    </row>
    <row r="1097" spans="1:11">
      <c r="A1097" t="s">
        <v>1110</v>
      </c>
      <c r="B1097" s="14">
        <f>_xlfn.MINIFS('working sheet'!$B$2:$B$3548, 'working sheet'!$D$2:$D$3548, A1097)</f>
        <v>45669.677764386572</v>
      </c>
      <c r="C1097" s="17">
        <f>_xlfn.MAXIFS('working sheet'!$B$1:$B$3548,'working sheet'!$D$1:$D$3548,'Customer Portfolio'!A1097)</f>
        <v>45669.677764386572</v>
      </c>
      <c r="D1097">
        <f>COUNTIFS('working sheet'!$D$1:$D$3548,'Customer Portfolio'!A1097)</f>
        <v>1</v>
      </c>
      <c r="E1097" s="5">
        <f>SUMIFS('working sheet'!$E$2:$E$3548,'working sheet'!$D$2:$D$3548,'Customer Portfolio'!A1097)</f>
        <v>35.76</v>
      </c>
      <c r="F1097" s="6">
        <f t="shared" si="34"/>
        <v>35.76</v>
      </c>
      <c r="G1097" t="str">
        <f t="array" ref="G1097">IFERROR(INDEX('working sheet'!$F$2:$F$3548, MODE(IF('working sheet'!$D$2:$D$3548=A1097, MATCH('working sheet'!$F$2:$F$3548, 'working sheet'!$F$2:$F$3548, 0)))),
         INDEX('working sheet'!$F$2:$F$3548, MATCH(A1097, 'working sheet'!$D$2:$D$3548, 0)))</f>
        <v>Hot Chocolate</v>
      </c>
      <c r="H1097" s="7">
        <f t="shared" si="35"/>
        <v>1</v>
      </c>
      <c r="I1097" s="7">
        <f>MAX('working sheet'!$B$2:$B$3548)-C1097</f>
        <v>70.080321666668169</v>
      </c>
      <c r="J1097" s="4" t="str">
        <f t="array" ref="J1097">IF(AND(I1097&lt;=30, D1097&gt;=10, E1097&gt;=200), "VIP",  IF(AND(I1097&lt;=60, D1097&gt;=5, E1097&gt;=100), "Loyal", IF(AND(I1097&lt;=90, D1097&gt;=3), "Regular", IF(I1097&lt;=30, "Recent", IF(D1097&gt;=3, "Occasional", "At Risk")))))</f>
        <v>At Risk</v>
      </c>
      <c r="K1097" t="str">
        <f t="array" ref="K1097">IF(OR(J1097="VIP", J1097="Loyal"), "HIGH",IF(OR(J1097="Regular", J1097="Recent"), "MEDIUM","LOW"))</f>
        <v>LOW</v>
      </c>
    </row>
    <row r="1098" spans="1:11">
      <c r="A1098" t="s">
        <v>1111</v>
      </c>
      <c r="B1098" s="14">
        <f>_xlfn.MINIFS('working sheet'!$B$2:$B$3548, 'working sheet'!$D$2:$D$3548, A1098)</f>
        <v>45669.87227226852</v>
      </c>
      <c r="C1098" s="17">
        <f>_xlfn.MAXIFS('working sheet'!$B$1:$B$3548,'working sheet'!$D$1:$D$3548,'Customer Portfolio'!A1098)</f>
        <v>45673.761081585646</v>
      </c>
      <c r="D1098">
        <f>COUNTIFS('working sheet'!$D$1:$D$3548,'Customer Portfolio'!A1098)</f>
        <v>4</v>
      </c>
      <c r="E1098" s="5">
        <f>SUMIFS('working sheet'!$E$2:$E$3548,'working sheet'!$D$2:$D$3548,'Customer Portfolio'!A1098)</f>
        <v>138.13999999999999</v>
      </c>
      <c r="F1098" s="6">
        <f t="shared" si="34"/>
        <v>34.534999999999997</v>
      </c>
      <c r="G1098" t="str">
        <f t="array" ref="G1098">IFERROR(INDEX('working sheet'!$F$2:$F$3548, MODE(IF('working sheet'!$D$2:$D$3548=A1098, MATCH('working sheet'!$F$2:$F$3548, 'working sheet'!$F$2:$F$3548, 0)))),
         INDEX('working sheet'!$F$2:$F$3548, MATCH(A1098, 'working sheet'!$D$2:$D$3548, 0)))</f>
        <v>Latte</v>
      </c>
      <c r="H1098" s="7">
        <f t="shared" si="35"/>
        <v>4.8888093171262881</v>
      </c>
      <c r="I1098" s="7">
        <f>MAX('working sheet'!$B$2:$B$3548)-C1098</f>
        <v>65.997004467593797</v>
      </c>
      <c r="J1098" s="4" t="str">
        <f t="array" ref="J1098">IF(AND(I1098&lt;=30, D1098&gt;=10, E1098&gt;=200), "VIP",  IF(AND(I1098&lt;=60, D1098&gt;=5, E1098&gt;=100), "Loyal", IF(AND(I1098&lt;=90, D1098&gt;=3), "Regular", IF(I1098&lt;=30, "Recent", IF(D1098&gt;=3, "Occasional", "At Risk")))))</f>
        <v>Regular</v>
      </c>
      <c r="K1098" t="str">
        <f t="array" ref="K1098">IF(OR(J1098="VIP", J1098="Loyal"), "HIGH",IF(OR(J1098="Regular", J1098="Recent"), "MEDIUM","LOW"))</f>
        <v>MEDIUM</v>
      </c>
    </row>
    <row r="1099" spans="1:11">
      <c r="A1099" t="s">
        <v>1112</v>
      </c>
      <c r="B1099" s="14">
        <f>_xlfn.MINIFS('working sheet'!$B$2:$B$3548, 'working sheet'!$D$2:$D$3548, A1099)</f>
        <v>45670.59128857639</v>
      </c>
      <c r="C1099" s="17">
        <f>_xlfn.MAXIFS('working sheet'!$B$1:$B$3548,'working sheet'!$D$1:$D$3548,'Customer Portfolio'!A1099)</f>
        <v>45670.591994675924</v>
      </c>
      <c r="D1099">
        <f>COUNTIFS('working sheet'!$D$1:$D$3548,'Customer Portfolio'!A1099)</f>
        <v>2</v>
      </c>
      <c r="E1099" s="5">
        <f>SUMIFS('working sheet'!$E$2:$E$3548,'working sheet'!$D$2:$D$3548,'Customer Portfolio'!A1099)</f>
        <v>71.52</v>
      </c>
      <c r="F1099" s="6">
        <f t="shared" si="34"/>
        <v>35.76</v>
      </c>
      <c r="G1099" t="str">
        <f t="array" ref="G1099">IFERROR(INDEX('working sheet'!$F$2:$F$3548, MODE(IF('working sheet'!$D$2:$D$3548=A1099, MATCH('working sheet'!$F$2:$F$3548, 'working sheet'!$F$2:$F$3548, 0)))),
         INDEX('working sheet'!$F$2:$F$3548, MATCH(A1099, 'working sheet'!$D$2:$D$3548, 0)))</f>
        <v>Latte</v>
      </c>
      <c r="H1099" s="7">
        <f t="shared" si="35"/>
        <v>1.0007060995339998</v>
      </c>
      <c r="I1099" s="7">
        <f>MAX('working sheet'!$B$2:$B$3548)-C1099</f>
        <v>69.166091377315752</v>
      </c>
      <c r="J1099" s="4" t="str">
        <f t="array" ref="J1099">IF(AND(I1099&lt;=30, D1099&gt;=10, E1099&gt;=200), "VIP",  IF(AND(I1099&lt;=60, D1099&gt;=5, E1099&gt;=100), "Loyal", IF(AND(I1099&lt;=90, D1099&gt;=3), "Regular", IF(I1099&lt;=30, "Recent", IF(D1099&gt;=3, "Occasional", "At Risk")))))</f>
        <v>At Risk</v>
      </c>
      <c r="K1099" t="str">
        <f t="array" ref="K1099">IF(OR(J1099="VIP", J1099="Loyal"), "HIGH",IF(OR(J1099="Regular", J1099="Recent"), "MEDIUM","LOW"))</f>
        <v>LOW</v>
      </c>
    </row>
    <row r="1100" spans="1:11">
      <c r="A1100" t="s">
        <v>1113</v>
      </c>
      <c r="B1100" s="14">
        <f>_xlfn.MINIFS('working sheet'!$B$2:$B$3548, 'working sheet'!$D$2:$D$3548, A1100)</f>
        <v>45670.684448414351</v>
      </c>
      <c r="C1100" s="17">
        <f>_xlfn.MAXIFS('working sheet'!$B$1:$B$3548,'working sheet'!$D$1:$D$3548,'Customer Portfolio'!A1100)</f>
        <v>45670.684448414351</v>
      </c>
      <c r="D1100">
        <f>COUNTIFS('working sheet'!$D$1:$D$3548,'Customer Portfolio'!A1100)</f>
        <v>1</v>
      </c>
      <c r="E1100" s="5">
        <f>SUMIFS('working sheet'!$E$2:$E$3548,'working sheet'!$D$2:$D$3548,'Customer Portfolio'!A1100)</f>
        <v>35.76</v>
      </c>
      <c r="F1100" s="6">
        <f t="shared" si="34"/>
        <v>35.76</v>
      </c>
      <c r="G1100" t="str">
        <f t="array" ref="G1100">IFERROR(INDEX('working sheet'!$F$2:$F$3548, MODE(IF('working sheet'!$D$2:$D$3548=A1100, MATCH('working sheet'!$F$2:$F$3548, 'working sheet'!$F$2:$F$3548, 0)))),
         INDEX('working sheet'!$F$2:$F$3548, MATCH(A1100, 'working sheet'!$D$2:$D$3548, 0)))</f>
        <v>Latte</v>
      </c>
      <c r="H1100" s="7">
        <f t="shared" si="35"/>
        <v>1</v>
      </c>
      <c r="I1100" s="7">
        <f>MAX('working sheet'!$B$2:$B$3548)-C1100</f>
        <v>69.073637638888613</v>
      </c>
      <c r="J1100" s="4" t="str">
        <f t="array" ref="J1100">IF(AND(I1100&lt;=30, D1100&gt;=10, E1100&gt;=200), "VIP",  IF(AND(I1100&lt;=60, D1100&gt;=5, E1100&gt;=100), "Loyal", IF(AND(I1100&lt;=90, D1100&gt;=3), "Regular", IF(I1100&lt;=30, "Recent", IF(D1100&gt;=3, "Occasional", "At Risk")))))</f>
        <v>At Risk</v>
      </c>
      <c r="K1100" t="str">
        <f t="array" ref="K1100">IF(OR(J1100="VIP", J1100="Loyal"), "HIGH",IF(OR(J1100="Regular", J1100="Recent"), "MEDIUM","LOW"))</f>
        <v>LOW</v>
      </c>
    </row>
    <row r="1101" spans="1:11">
      <c r="A1101" t="s">
        <v>1114</v>
      </c>
      <c r="B1101" s="14">
        <f>_xlfn.MINIFS('working sheet'!$B$2:$B$3548, 'working sheet'!$D$2:$D$3548, A1101)</f>
        <v>45671.534193877313</v>
      </c>
      <c r="C1101" s="17">
        <f>_xlfn.MAXIFS('working sheet'!$B$1:$B$3548,'working sheet'!$D$1:$D$3548,'Customer Portfolio'!A1101)</f>
        <v>45671.534193877313</v>
      </c>
      <c r="D1101">
        <f>COUNTIFS('working sheet'!$D$1:$D$3548,'Customer Portfolio'!A1101)</f>
        <v>1</v>
      </c>
      <c r="E1101" s="5">
        <f>SUMIFS('working sheet'!$E$2:$E$3548,'working sheet'!$D$2:$D$3548,'Customer Portfolio'!A1101)</f>
        <v>35.76</v>
      </c>
      <c r="F1101" s="6">
        <f t="shared" si="34"/>
        <v>35.76</v>
      </c>
      <c r="G1101" t="str">
        <f t="array" ref="G1101">IFERROR(INDEX('working sheet'!$F$2:$F$3548, MODE(IF('working sheet'!$D$2:$D$3548=A1101, MATCH('working sheet'!$F$2:$F$3548, 'working sheet'!$F$2:$F$3548, 0)))),
         INDEX('working sheet'!$F$2:$F$3548, MATCH(A1101, 'working sheet'!$D$2:$D$3548, 0)))</f>
        <v>Latte</v>
      </c>
      <c r="H1101" s="7">
        <f t="shared" si="35"/>
        <v>1</v>
      </c>
      <c r="I1101" s="7">
        <f>MAX('working sheet'!$B$2:$B$3548)-C1101</f>
        <v>68.223892175927176</v>
      </c>
      <c r="J1101" s="4" t="str">
        <f t="array" ref="J1101">IF(AND(I1101&lt;=30, D1101&gt;=10, E1101&gt;=200), "VIP",  IF(AND(I1101&lt;=60, D1101&gt;=5, E1101&gt;=100), "Loyal", IF(AND(I1101&lt;=90, D1101&gt;=3), "Regular", IF(I1101&lt;=30, "Recent", IF(D1101&gt;=3, "Occasional", "At Risk")))))</f>
        <v>At Risk</v>
      </c>
      <c r="K1101" t="str">
        <f t="array" ref="K1101">IF(OR(J1101="VIP", J1101="Loyal"), "HIGH",IF(OR(J1101="Regular", J1101="Recent"), "MEDIUM","LOW"))</f>
        <v>LOW</v>
      </c>
    </row>
    <row r="1102" spans="1:11">
      <c r="A1102" t="s">
        <v>1115</v>
      </c>
      <c r="B1102" s="14">
        <f>_xlfn.MINIFS('working sheet'!$B$2:$B$3548, 'working sheet'!$D$2:$D$3548, A1102)</f>
        <v>45671.679389907411</v>
      </c>
      <c r="C1102" s="17">
        <f>_xlfn.MAXIFS('working sheet'!$B$1:$B$3548,'working sheet'!$D$1:$D$3548,'Customer Portfolio'!A1102)</f>
        <v>45671.680168182873</v>
      </c>
      <c r="D1102">
        <f>COUNTIFS('working sheet'!$D$1:$D$3548,'Customer Portfolio'!A1102)</f>
        <v>2</v>
      </c>
      <c r="E1102" s="5">
        <f>SUMIFS('working sheet'!$E$2:$E$3548,'working sheet'!$D$2:$D$3548,'Customer Portfolio'!A1102)</f>
        <v>61.72</v>
      </c>
      <c r="F1102" s="6">
        <f t="shared" si="34"/>
        <v>30.86</v>
      </c>
      <c r="G1102" t="str">
        <f t="array" ref="G1102">IFERROR(INDEX('working sheet'!$F$2:$F$3548, MODE(IF('working sheet'!$D$2:$D$3548=A1102, MATCH('working sheet'!$F$2:$F$3548, 'working sheet'!$F$2:$F$3548, 0)))),
         INDEX('working sheet'!$F$2:$F$3548, MATCH(A1102, 'working sheet'!$D$2:$D$3548, 0)))</f>
        <v>Americano with Milk</v>
      </c>
      <c r="H1102" s="7">
        <f t="shared" si="35"/>
        <v>1.0007782754619257</v>
      </c>
      <c r="I1102" s="7">
        <f>MAX('working sheet'!$B$2:$B$3548)-C1102</f>
        <v>68.077917870366946</v>
      </c>
      <c r="J1102" s="4" t="str">
        <f t="array" ref="J1102">IF(AND(I1102&lt;=30, D1102&gt;=10, E1102&gt;=200), "VIP",  IF(AND(I1102&lt;=60, D1102&gt;=5, E1102&gt;=100), "Loyal", IF(AND(I1102&lt;=90, D1102&gt;=3), "Regular", IF(I1102&lt;=30, "Recent", IF(D1102&gt;=3, "Occasional", "At Risk")))))</f>
        <v>At Risk</v>
      </c>
      <c r="K1102" t="str">
        <f t="array" ref="K1102">IF(OR(J1102="VIP", J1102="Loyal"), "HIGH",IF(OR(J1102="Regular", J1102="Recent"), "MEDIUM","LOW"))</f>
        <v>LOW</v>
      </c>
    </row>
    <row r="1103" spans="1:11">
      <c r="A1103" t="s">
        <v>1116</v>
      </c>
      <c r="B1103" s="14">
        <f>_xlfn.MINIFS('working sheet'!$B$2:$B$3548, 'working sheet'!$D$2:$D$3548, A1103)</f>
        <v>45672.465552141206</v>
      </c>
      <c r="C1103" s="17">
        <f>_xlfn.MAXIFS('working sheet'!$B$1:$B$3548,'working sheet'!$D$1:$D$3548,'Customer Portfolio'!A1103)</f>
        <v>45672.465552141206</v>
      </c>
      <c r="D1103">
        <f>COUNTIFS('working sheet'!$D$1:$D$3548,'Customer Portfolio'!A1103)</f>
        <v>1</v>
      </c>
      <c r="E1103" s="5">
        <f>SUMIFS('working sheet'!$E$2:$E$3548,'working sheet'!$D$2:$D$3548,'Customer Portfolio'!A1103)</f>
        <v>25.96</v>
      </c>
      <c r="F1103" s="6">
        <f t="shared" si="34"/>
        <v>25.96</v>
      </c>
      <c r="G1103" t="str">
        <f t="array" ref="G1103">IFERROR(INDEX('working sheet'!$F$2:$F$3548, MODE(IF('working sheet'!$D$2:$D$3548=A1103, MATCH('working sheet'!$F$2:$F$3548, 'working sheet'!$F$2:$F$3548, 0)))),
         INDEX('working sheet'!$F$2:$F$3548, MATCH(A1103, 'working sheet'!$D$2:$D$3548, 0)))</f>
        <v>Americano</v>
      </c>
      <c r="H1103" s="7">
        <f t="shared" si="35"/>
        <v>1</v>
      </c>
      <c r="I1103" s="7">
        <f>MAX('working sheet'!$B$2:$B$3548)-C1103</f>
        <v>67.292533912033832</v>
      </c>
      <c r="J1103" s="4" t="str">
        <f t="array" ref="J1103">IF(AND(I1103&lt;=30, D1103&gt;=10, E1103&gt;=200), "VIP",  IF(AND(I1103&lt;=60, D1103&gt;=5, E1103&gt;=100), "Loyal", IF(AND(I1103&lt;=90, D1103&gt;=3), "Regular", IF(I1103&lt;=30, "Recent", IF(D1103&gt;=3, "Occasional", "At Risk")))))</f>
        <v>At Risk</v>
      </c>
      <c r="K1103" t="str">
        <f t="array" ref="K1103">IF(OR(J1103="VIP", J1103="Loyal"), "HIGH",IF(OR(J1103="Regular", J1103="Recent"), "MEDIUM","LOW"))</f>
        <v>LOW</v>
      </c>
    </row>
    <row r="1104" spans="1:11">
      <c r="A1104" t="s">
        <v>1117</v>
      </c>
      <c r="B1104" s="14">
        <f>_xlfn.MINIFS('working sheet'!$B$2:$B$3548, 'working sheet'!$D$2:$D$3548, A1104)</f>
        <v>45672.65055489583</v>
      </c>
      <c r="C1104" s="17">
        <f>_xlfn.MAXIFS('working sheet'!$B$1:$B$3548,'working sheet'!$D$1:$D$3548,'Customer Portfolio'!A1104)</f>
        <v>45672.65055489583</v>
      </c>
      <c r="D1104">
        <f>COUNTIFS('working sheet'!$D$1:$D$3548,'Customer Portfolio'!A1104)</f>
        <v>1</v>
      </c>
      <c r="E1104" s="5">
        <f>SUMIFS('working sheet'!$E$2:$E$3548,'working sheet'!$D$2:$D$3548,'Customer Portfolio'!A1104)</f>
        <v>35.76</v>
      </c>
      <c r="F1104" s="6">
        <f t="shared" si="34"/>
        <v>35.76</v>
      </c>
      <c r="G1104" t="str">
        <f t="array" ref="G1104">IFERROR(INDEX('working sheet'!$F$2:$F$3548, MODE(IF('working sheet'!$D$2:$D$3548=A1104, MATCH('working sheet'!$F$2:$F$3548, 'working sheet'!$F$2:$F$3548, 0)))),
         INDEX('working sheet'!$F$2:$F$3548, MATCH(A1104, 'working sheet'!$D$2:$D$3548, 0)))</f>
        <v>Cappuccino</v>
      </c>
      <c r="H1104" s="7">
        <f t="shared" si="35"/>
        <v>1</v>
      </c>
      <c r="I1104" s="7">
        <f>MAX('working sheet'!$B$2:$B$3548)-C1104</f>
        <v>67.107531157409539</v>
      </c>
      <c r="J1104" s="4" t="str">
        <f t="array" ref="J1104">IF(AND(I1104&lt;=30, D1104&gt;=10, E1104&gt;=200), "VIP",  IF(AND(I1104&lt;=60, D1104&gt;=5, E1104&gt;=100), "Loyal", IF(AND(I1104&lt;=90, D1104&gt;=3), "Regular", IF(I1104&lt;=30, "Recent", IF(D1104&gt;=3, "Occasional", "At Risk")))))</f>
        <v>At Risk</v>
      </c>
      <c r="K1104" t="str">
        <f t="array" ref="K1104">IF(OR(J1104="VIP", J1104="Loyal"), "HIGH",IF(OR(J1104="Regular", J1104="Recent"), "MEDIUM","LOW"))</f>
        <v>LOW</v>
      </c>
    </row>
    <row r="1105" spans="1:11">
      <c r="A1105" t="s">
        <v>1118</v>
      </c>
      <c r="B1105" s="14">
        <f>_xlfn.MINIFS('working sheet'!$B$2:$B$3548, 'working sheet'!$D$2:$D$3548, A1105)</f>
        <v>45672.705162326391</v>
      </c>
      <c r="C1105" s="17">
        <f>_xlfn.MAXIFS('working sheet'!$B$1:$B$3548,'working sheet'!$D$1:$D$3548,'Customer Portfolio'!A1105)</f>
        <v>45672.705162326391</v>
      </c>
      <c r="D1105">
        <f>COUNTIFS('working sheet'!$D$1:$D$3548,'Customer Portfolio'!A1105)</f>
        <v>1</v>
      </c>
      <c r="E1105" s="5">
        <f>SUMIFS('working sheet'!$E$2:$E$3548,'working sheet'!$D$2:$D$3548,'Customer Portfolio'!A1105)</f>
        <v>35.76</v>
      </c>
      <c r="F1105" s="6">
        <f t="shared" si="34"/>
        <v>35.76</v>
      </c>
      <c r="G1105" t="str">
        <f t="array" ref="G1105">IFERROR(INDEX('working sheet'!$F$2:$F$3548, MODE(IF('working sheet'!$D$2:$D$3548=A1105, MATCH('working sheet'!$F$2:$F$3548, 'working sheet'!$F$2:$F$3548, 0)))),
         INDEX('working sheet'!$F$2:$F$3548, MATCH(A1105, 'working sheet'!$D$2:$D$3548, 0)))</f>
        <v>Latte</v>
      </c>
      <c r="H1105" s="7">
        <f t="shared" si="35"/>
        <v>1</v>
      </c>
      <c r="I1105" s="7">
        <f>MAX('working sheet'!$B$2:$B$3548)-C1105</f>
        <v>67.052923726849258</v>
      </c>
      <c r="J1105" s="4" t="str">
        <f t="array" ref="J1105">IF(AND(I1105&lt;=30, D1105&gt;=10, E1105&gt;=200), "VIP",  IF(AND(I1105&lt;=60, D1105&gt;=5, E1105&gt;=100), "Loyal", IF(AND(I1105&lt;=90, D1105&gt;=3), "Regular", IF(I1105&lt;=30, "Recent", IF(D1105&gt;=3, "Occasional", "At Risk")))))</f>
        <v>At Risk</v>
      </c>
      <c r="K1105" t="str">
        <f t="array" ref="K1105">IF(OR(J1105="VIP", J1105="Loyal"), "HIGH",IF(OR(J1105="Regular", J1105="Recent"), "MEDIUM","LOW"))</f>
        <v>LOW</v>
      </c>
    </row>
    <row r="1106" spans="1:11">
      <c r="A1106" t="s">
        <v>1119</v>
      </c>
      <c r="B1106" s="14">
        <f>_xlfn.MINIFS('working sheet'!$B$2:$B$3548, 'working sheet'!$D$2:$D$3548, A1106)</f>
        <v>45672.754310405093</v>
      </c>
      <c r="C1106" s="17">
        <f>_xlfn.MAXIFS('working sheet'!$B$1:$B$3548,'working sheet'!$D$1:$D$3548,'Customer Portfolio'!A1106)</f>
        <v>45672.754310405093</v>
      </c>
      <c r="D1106">
        <f>COUNTIFS('working sheet'!$D$1:$D$3548,'Customer Portfolio'!A1106)</f>
        <v>1</v>
      </c>
      <c r="E1106" s="5">
        <f>SUMIFS('working sheet'!$E$2:$E$3548,'working sheet'!$D$2:$D$3548,'Customer Portfolio'!A1106)</f>
        <v>35.76</v>
      </c>
      <c r="F1106" s="6">
        <f t="shared" si="34"/>
        <v>35.76</v>
      </c>
      <c r="G1106" t="str">
        <f t="array" ref="G1106">IFERROR(INDEX('working sheet'!$F$2:$F$3548, MODE(IF('working sheet'!$D$2:$D$3548=A1106, MATCH('working sheet'!$F$2:$F$3548, 'working sheet'!$F$2:$F$3548, 0)))),
         INDEX('working sheet'!$F$2:$F$3548, MATCH(A1106, 'working sheet'!$D$2:$D$3548, 0)))</f>
        <v>Latte</v>
      </c>
      <c r="H1106" s="7">
        <f t="shared" si="35"/>
        <v>1</v>
      </c>
      <c r="I1106" s="7">
        <f>MAX('working sheet'!$B$2:$B$3548)-C1106</f>
        <v>67.003775648146984</v>
      </c>
      <c r="J1106" s="4" t="str">
        <f t="array" ref="J1106">IF(AND(I1106&lt;=30, D1106&gt;=10, E1106&gt;=200), "VIP",  IF(AND(I1106&lt;=60, D1106&gt;=5, E1106&gt;=100), "Loyal", IF(AND(I1106&lt;=90, D1106&gt;=3), "Regular", IF(I1106&lt;=30, "Recent", IF(D1106&gt;=3, "Occasional", "At Risk")))))</f>
        <v>At Risk</v>
      </c>
      <c r="K1106" t="str">
        <f t="array" ref="K1106">IF(OR(J1106="VIP", J1106="Loyal"), "HIGH",IF(OR(J1106="Regular", J1106="Recent"), "MEDIUM","LOW"))</f>
        <v>LOW</v>
      </c>
    </row>
    <row r="1107" spans="1:11">
      <c r="A1107" t="s">
        <v>1120</v>
      </c>
      <c r="B1107" s="14">
        <f>_xlfn.MINIFS('working sheet'!$B$2:$B$3548, 'working sheet'!$D$2:$D$3548, A1107)</f>
        <v>45673.63633321759</v>
      </c>
      <c r="C1107" s="17">
        <f>_xlfn.MAXIFS('working sheet'!$B$1:$B$3548,'working sheet'!$D$1:$D$3548,'Customer Portfolio'!A1107)</f>
        <v>45673.63633321759</v>
      </c>
      <c r="D1107">
        <f>COUNTIFS('working sheet'!$D$1:$D$3548,'Customer Portfolio'!A1107)</f>
        <v>1</v>
      </c>
      <c r="E1107" s="5">
        <f>SUMIFS('working sheet'!$E$2:$E$3548,'working sheet'!$D$2:$D$3548,'Customer Portfolio'!A1107)</f>
        <v>35.76</v>
      </c>
      <c r="F1107" s="6">
        <f t="shared" si="34"/>
        <v>35.76</v>
      </c>
      <c r="G1107" t="str">
        <f t="array" ref="G1107">IFERROR(INDEX('working sheet'!$F$2:$F$3548, MODE(IF('working sheet'!$D$2:$D$3548=A1107, MATCH('working sheet'!$F$2:$F$3548, 'working sheet'!$F$2:$F$3548, 0)))),
         INDEX('working sheet'!$F$2:$F$3548, MATCH(A1107, 'working sheet'!$D$2:$D$3548, 0)))</f>
        <v>Latte</v>
      </c>
      <c r="H1107" s="7">
        <f t="shared" si="35"/>
        <v>1</v>
      </c>
      <c r="I1107" s="7">
        <f>MAX('working sheet'!$B$2:$B$3548)-C1107</f>
        <v>66.121752835650113</v>
      </c>
      <c r="J1107" s="4" t="str">
        <f t="array" ref="J1107">IF(AND(I1107&lt;=30, D1107&gt;=10, E1107&gt;=200), "VIP",  IF(AND(I1107&lt;=60, D1107&gt;=5, E1107&gt;=100), "Loyal", IF(AND(I1107&lt;=90, D1107&gt;=3), "Regular", IF(I1107&lt;=30, "Recent", IF(D1107&gt;=3, "Occasional", "At Risk")))))</f>
        <v>At Risk</v>
      </c>
      <c r="K1107" t="str">
        <f t="array" ref="K1107">IF(OR(J1107="VIP", J1107="Loyal"), "HIGH",IF(OR(J1107="Regular", J1107="Recent"), "MEDIUM","LOW"))</f>
        <v>LOW</v>
      </c>
    </row>
    <row r="1108" spans="1:11">
      <c r="A1108" t="s">
        <v>1121</v>
      </c>
      <c r="B1108" s="14">
        <f>_xlfn.MINIFS('working sheet'!$B$2:$B$3548, 'working sheet'!$D$2:$D$3548, A1108)</f>
        <v>45673.902922847221</v>
      </c>
      <c r="C1108" s="17">
        <f>_xlfn.MAXIFS('working sheet'!$B$1:$B$3548,'working sheet'!$D$1:$D$3548,'Customer Portfolio'!A1108)</f>
        <v>45673.902922847221</v>
      </c>
      <c r="D1108">
        <f>COUNTIFS('working sheet'!$D$1:$D$3548,'Customer Portfolio'!A1108)</f>
        <v>1</v>
      </c>
      <c r="E1108" s="5">
        <f>SUMIFS('working sheet'!$E$2:$E$3548,'working sheet'!$D$2:$D$3548,'Customer Portfolio'!A1108)</f>
        <v>25.96</v>
      </c>
      <c r="F1108" s="6">
        <f t="shared" si="34"/>
        <v>25.96</v>
      </c>
      <c r="G1108" t="str">
        <f t="array" ref="G1108">IFERROR(INDEX('working sheet'!$F$2:$F$3548, MODE(IF('working sheet'!$D$2:$D$3548=A1108, MATCH('working sheet'!$F$2:$F$3548, 'working sheet'!$F$2:$F$3548, 0)))),
         INDEX('working sheet'!$F$2:$F$3548, MATCH(A1108, 'working sheet'!$D$2:$D$3548, 0)))</f>
        <v>Cortado</v>
      </c>
      <c r="H1108" s="7">
        <f t="shared" si="35"/>
        <v>1</v>
      </c>
      <c r="I1108" s="7">
        <f>MAX('working sheet'!$B$2:$B$3548)-C1108</f>
        <v>65.855163206018915</v>
      </c>
      <c r="J1108" s="4" t="str">
        <f t="array" ref="J1108">IF(AND(I1108&lt;=30, D1108&gt;=10, E1108&gt;=200), "VIP",  IF(AND(I1108&lt;=60, D1108&gt;=5, E1108&gt;=100), "Loyal", IF(AND(I1108&lt;=90, D1108&gt;=3), "Regular", IF(I1108&lt;=30, "Recent", IF(D1108&gt;=3, "Occasional", "At Risk")))))</f>
        <v>At Risk</v>
      </c>
      <c r="K1108" t="str">
        <f t="array" ref="K1108">IF(OR(J1108="VIP", J1108="Loyal"), "HIGH",IF(OR(J1108="Regular", J1108="Recent"), "MEDIUM","LOW"))</f>
        <v>LOW</v>
      </c>
    </row>
    <row r="1109" spans="1:11">
      <c r="A1109" t="s">
        <v>1122</v>
      </c>
      <c r="B1109" s="14">
        <f>_xlfn.MINIFS('working sheet'!$B$2:$B$3548, 'working sheet'!$D$2:$D$3548, A1109)</f>
        <v>45674.318284328707</v>
      </c>
      <c r="C1109" s="17">
        <f>_xlfn.MAXIFS('working sheet'!$B$1:$B$3548,'working sheet'!$D$1:$D$3548,'Customer Portfolio'!A1109)</f>
        <v>45674.318284328707</v>
      </c>
      <c r="D1109">
        <f>COUNTIFS('working sheet'!$D$1:$D$3548,'Customer Portfolio'!A1109)</f>
        <v>1</v>
      </c>
      <c r="E1109" s="5">
        <f>SUMIFS('working sheet'!$E$2:$E$3548,'working sheet'!$D$2:$D$3548,'Customer Portfolio'!A1109)</f>
        <v>35.76</v>
      </c>
      <c r="F1109" s="6">
        <f t="shared" si="34"/>
        <v>35.76</v>
      </c>
      <c r="G1109" t="str">
        <f t="array" ref="G1109">IFERROR(INDEX('working sheet'!$F$2:$F$3548, MODE(IF('working sheet'!$D$2:$D$3548=A1109, MATCH('working sheet'!$F$2:$F$3548, 'working sheet'!$F$2:$F$3548, 0)))),
         INDEX('working sheet'!$F$2:$F$3548, MATCH(A1109, 'working sheet'!$D$2:$D$3548, 0)))</f>
        <v>Cocoa</v>
      </c>
      <c r="H1109" s="7">
        <f t="shared" si="35"/>
        <v>1</v>
      </c>
      <c r="I1109" s="7">
        <f>MAX('working sheet'!$B$2:$B$3548)-C1109</f>
        <v>65.439801724533027</v>
      </c>
      <c r="J1109" s="4" t="str">
        <f t="array" ref="J1109">IF(AND(I1109&lt;=30, D1109&gt;=10, E1109&gt;=200), "VIP",  IF(AND(I1109&lt;=60, D1109&gt;=5, E1109&gt;=100), "Loyal", IF(AND(I1109&lt;=90, D1109&gt;=3), "Regular", IF(I1109&lt;=30, "Recent", IF(D1109&gt;=3, "Occasional", "At Risk")))))</f>
        <v>At Risk</v>
      </c>
      <c r="K1109" t="str">
        <f t="array" ref="K1109">IF(OR(J1109="VIP", J1109="Loyal"), "HIGH",IF(OR(J1109="Regular", J1109="Recent"), "MEDIUM","LOW"))</f>
        <v>LOW</v>
      </c>
    </row>
    <row r="1110" spans="1:11">
      <c r="A1110" t="s">
        <v>1123</v>
      </c>
      <c r="B1110" s="14">
        <f>_xlfn.MINIFS('working sheet'!$B$2:$B$3548, 'working sheet'!$D$2:$D$3548, A1110)</f>
        <v>45674.351629745368</v>
      </c>
      <c r="C1110" s="17">
        <f>_xlfn.MAXIFS('working sheet'!$B$1:$B$3548,'working sheet'!$D$1:$D$3548,'Customer Portfolio'!A1110)</f>
        <v>45674.352643194441</v>
      </c>
      <c r="D1110">
        <f>COUNTIFS('working sheet'!$D$1:$D$3548,'Customer Portfolio'!A1110)</f>
        <v>2</v>
      </c>
      <c r="E1110" s="5">
        <f>SUMIFS('working sheet'!$E$2:$E$3548,'working sheet'!$D$2:$D$3548,'Customer Portfolio'!A1110)</f>
        <v>71.52</v>
      </c>
      <c r="F1110" s="6">
        <f t="shared" si="34"/>
        <v>35.76</v>
      </c>
      <c r="G1110" t="str">
        <f t="array" ref="G1110">IFERROR(INDEX('working sheet'!$F$2:$F$3548, MODE(IF('working sheet'!$D$2:$D$3548=A1110, MATCH('working sheet'!$F$2:$F$3548, 'working sheet'!$F$2:$F$3548, 0)))),
         INDEX('working sheet'!$F$2:$F$3548, MATCH(A1110, 'working sheet'!$D$2:$D$3548, 0)))</f>
        <v>Latte</v>
      </c>
      <c r="H1110" s="7">
        <f t="shared" si="35"/>
        <v>1.0010134490730707</v>
      </c>
      <c r="I1110" s="7">
        <f>MAX('working sheet'!$B$2:$B$3548)-C1110</f>
        <v>65.405442858798779</v>
      </c>
      <c r="J1110" s="4" t="str">
        <f t="array" ref="J1110">IF(AND(I1110&lt;=30, D1110&gt;=10, E1110&gt;=200), "VIP",  IF(AND(I1110&lt;=60, D1110&gt;=5, E1110&gt;=100), "Loyal", IF(AND(I1110&lt;=90, D1110&gt;=3), "Regular", IF(I1110&lt;=30, "Recent", IF(D1110&gt;=3, "Occasional", "At Risk")))))</f>
        <v>At Risk</v>
      </c>
      <c r="K1110" t="str">
        <f t="array" ref="K1110">IF(OR(J1110="VIP", J1110="Loyal"), "HIGH",IF(OR(J1110="Regular", J1110="Recent"), "MEDIUM","LOW"))</f>
        <v>LOW</v>
      </c>
    </row>
    <row r="1111" spans="1:11">
      <c r="A1111" t="s">
        <v>1124</v>
      </c>
      <c r="B1111" s="14">
        <f>_xlfn.MINIFS('working sheet'!$B$2:$B$3548, 'working sheet'!$D$2:$D$3548, A1111)</f>
        <v>45674.597846898148</v>
      </c>
      <c r="C1111" s="17">
        <f>_xlfn.MAXIFS('working sheet'!$B$1:$B$3548,'working sheet'!$D$1:$D$3548,'Customer Portfolio'!A1111)</f>
        <v>45737.644670879628</v>
      </c>
      <c r="D1111">
        <f>COUNTIFS('working sheet'!$D$1:$D$3548,'Customer Portfolio'!A1111)</f>
        <v>33</v>
      </c>
      <c r="E1111" s="5">
        <f>SUMIFS('working sheet'!$E$2:$E$3548,'working sheet'!$D$2:$D$3548,'Customer Portfolio'!A1111)</f>
        <v>886.08000000000038</v>
      </c>
      <c r="F1111" s="6">
        <f t="shared" si="34"/>
        <v>26.850909090909102</v>
      </c>
      <c r="G1111" t="str">
        <f t="array" ref="G1111">IFERROR(INDEX('working sheet'!$F$2:$F$3548, MODE(IF('working sheet'!$D$2:$D$3548=A1111, MATCH('working sheet'!$F$2:$F$3548, 'working sheet'!$F$2:$F$3548, 0)))),
         INDEX('working sheet'!$F$2:$F$3548, MATCH(A1111, 'working sheet'!$D$2:$D$3548, 0)))</f>
        <v>Americano</v>
      </c>
      <c r="H1111" s="7">
        <f t="shared" si="35"/>
        <v>64.046823981479974</v>
      </c>
      <c r="I1111" s="7">
        <f>MAX('working sheet'!$B$2:$B$3548)-C1111</f>
        <v>2.1134151736114291</v>
      </c>
      <c r="J1111" s="4" t="str">
        <f t="array" ref="J1111">IF(AND(I1111&lt;=30, D1111&gt;=10, E1111&gt;=200), "VIP",  IF(AND(I1111&lt;=60, D1111&gt;=5, E1111&gt;=100), "Loyal", IF(AND(I1111&lt;=90, D1111&gt;=3), "Regular", IF(I1111&lt;=30, "Recent", IF(D1111&gt;=3, "Occasional", "At Risk")))))</f>
        <v>VIP</v>
      </c>
      <c r="K1111" t="str">
        <f t="array" ref="K1111">IF(OR(J1111="VIP", J1111="Loyal"), "HIGH",IF(OR(J1111="Regular", J1111="Recent"), "MEDIUM","LOW"))</f>
        <v>HIGH</v>
      </c>
    </row>
    <row r="1112" spans="1:11">
      <c r="A1112" t="s">
        <v>1125</v>
      </c>
      <c r="B1112" s="14">
        <f>_xlfn.MINIFS('working sheet'!$B$2:$B$3548, 'working sheet'!$D$2:$D$3548, A1112)</f>
        <v>45677.503355092595</v>
      </c>
      <c r="C1112" s="17">
        <f>_xlfn.MAXIFS('working sheet'!$B$1:$B$3548,'working sheet'!$D$1:$D$3548,'Customer Portfolio'!A1112)</f>
        <v>45677.504174733796</v>
      </c>
      <c r="D1112">
        <f>COUNTIFS('working sheet'!$D$1:$D$3548,'Customer Portfolio'!A1112)</f>
        <v>2</v>
      </c>
      <c r="E1112" s="5">
        <f>SUMIFS('working sheet'!$E$2:$E$3548,'working sheet'!$D$2:$D$3548,'Customer Portfolio'!A1112)</f>
        <v>51.92</v>
      </c>
      <c r="F1112" s="6">
        <f t="shared" si="34"/>
        <v>25.96</v>
      </c>
      <c r="G1112" t="str">
        <f t="array" ref="G1112">IFERROR(INDEX('working sheet'!$F$2:$F$3548, MODE(IF('working sheet'!$D$2:$D$3548=A1112, MATCH('working sheet'!$F$2:$F$3548, 'working sheet'!$F$2:$F$3548, 0)))),
         INDEX('working sheet'!$F$2:$F$3548, MATCH(A1112, 'working sheet'!$D$2:$D$3548, 0)))</f>
        <v>Americano</v>
      </c>
      <c r="H1112" s="7">
        <f t="shared" si="35"/>
        <v>1.0008196412018151</v>
      </c>
      <c r="I1112" s="7">
        <f>MAX('working sheet'!$B$2:$B$3548)-C1112</f>
        <v>62.253911319443432</v>
      </c>
      <c r="J1112" s="4" t="str">
        <f t="array" ref="J1112">IF(AND(I1112&lt;=30, D1112&gt;=10, E1112&gt;=200), "VIP",  IF(AND(I1112&lt;=60, D1112&gt;=5, E1112&gt;=100), "Loyal", IF(AND(I1112&lt;=90, D1112&gt;=3), "Regular", IF(I1112&lt;=30, "Recent", IF(D1112&gt;=3, "Occasional", "At Risk")))))</f>
        <v>At Risk</v>
      </c>
      <c r="K1112" t="str">
        <f t="array" ref="K1112">IF(OR(J1112="VIP", J1112="Loyal"), "HIGH",IF(OR(J1112="Regular", J1112="Recent"), "MEDIUM","LOW"))</f>
        <v>LOW</v>
      </c>
    </row>
    <row r="1113" spans="1:11">
      <c r="A1113" t="s">
        <v>1126</v>
      </c>
      <c r="B1113" s="14">
        <f>_xlfn.MINIFS('working sheet'!$B$2:$B$3548, 'working sheet'!$D$2:$D$3548, A1113)</f>
        <v>45677.573080023147</v>
      </c>
      <c r="C1113" s="17">
        <f>_xlfn.MAXIFS('working sheet'!$B$1:$B$3548,'working sheet'!$D$1:$D$3548,'Customer Portfolio'!A1113)</f>
        <v>45677.573080023147</v>
      </c>
      <c r="D1113">
        <f>COUNTIFS('working sheet'!$D$1:$D$3548,'Customer Portfolio'!A1113)</f>
        <v>1</v>
      </c>
      <c r="E1113" s="5">
        <f>SUMIFS('working sheet'!$E$2:$E$3548,'working sheet'!$D$2:$D$3548,'Customer Portfolio'!A1113)</f>
        <v>30.86</v>
      </c>
      <c r="F1113" s="6">
        <f t="shared" si="34"/>
        <v>30.86</v>
      </c>
      <c r="G1113" t="str">
        <f t="array" ref="G1113">IFERROR(INDEX('working sheet'!$F$2:$F$3548, MODE(IF('working sheet'!$D$2:$D$3548=A1113, MATCH('working sheet'!$F$2:$F$3548, 'working sheet'!$F$2:$F$3548, 0)))),
         INDEX('working sheet'!$F$2:$F$3548, MATCH(A1113, 'working sheet'!$D$2:$D$3548, 0)))</f>
        <v>Americano with Milk</v>
      </c>
      <c r="H1113" s="7">
        <f t="shared" si="35"/>
        <v>1</v>
      </c>
      <c r="I1113" s="7">
        <f>MAX('working sheet'!$B$2:$B$3548)-C1113</f>
        <v>62.185006030093064</v>
      </c>
      <c r="J1113" s="4" t="str">
        <f t="array" ref="J1113">IF(AND(I1113&lt;=30, D1113&gt;=10, E1113&gt;=200), "VIP",  IF(AND(I1113&lt;=60, D1113&gt;=5, E1113&gt;=100), "Loyal", IF(AND(I1113&lt;=90, D1113&gt;=3), "Regular", IF(I1113&lt;=30, "Recent", IF(D1113&gt;=3, "Occasional", "At Risk")))))</f>
        <v>At Risk</v>
      </c>
      <c r="K1113" t="str">
        <f t="array" ref="K1113">IF(OR(J1113="VIP", J1113="Loyal"), "HIGH",IF(OR(J1113="Regular", J1113="Recent"), "MEDIUM","LOW"))</f>
        <v>LOW</v>
      </c>
    </row>
    <row r="1114" spans="1:11">
      <c r="A1114" t="s">
        <v>1127</v>
      </c>
      <c r="B1114" s="14">
        <f>_xlfn.MINIFS('working sheet'!$B$2:$B$3548, 'working sheet'!$D$2:$D$3548, A1114)</f>
        <v>45677.839021203705</v>
      </c>
      <c r="C1114" s="17">
        <f>_xlfn.MAXIFS('working sheet'!$B$1:$B$3548,'working sheet'!$D$1:$D$3548,'Customer Portfolio'!A1114)</f>
        <v>45677.839021203705</v>
      </c>
      <c r="D1114">
        <f>COUNTIFS('working sheet'!$D$1:$D$3548,'Customer Portfolio'!A1114)</f>
        <v>1</v>
      </c>
      <c r="E1114" s="5">
        <f>SUMIFS('working sheet'!$E$2:$E$3548,'working sheet'!$D$2:$D$3548,'Customer Portfolio'!A1114)</f>
        <v>35.76</v>
      </c>
      <c r="F1114" s="6">
        <f t="shared" si="34"/>
        <v>35.76</v>
      </c>
      <c r="G1114" t="str">
        <f t="array" ref="G1114">IFERROR(INDEX('working sheet'!$F$2:$F$3548, MODE(IF('working sheet'!$D$2:$D$3548=A1114, MATCH('working sheet'!$F$2:$F$3548, 'working sheet'!$F$2:$F$3548, 0)))),
         INDEX('working sheet'!$F$2:$F$3548, MATCH(A1114, 'working sheet'!$D$2:$D$3548, 0)))</f>
        <v>Hot Chocolate</v>
      </c>
      <c r="H1114" s="7">
        <f t="shared" si="35"/>
        <v>1</v>
      </c>
      <c r="I1114" s="7">
        <f>MAX('working sheet'!$B$2:$B$3548)-C1114</f>
        <v>61.919064849535062</v>
      </c>
      <c r="J1114" s="4" t="str">
        <f t="array" ref="J1114">IF(AND(I1114&lt;=30, D1114&gt;=10, E1114&gt;=200), "VIP",  IF(AND(I1114&lt;=60, D1114&gt;=5, E1114&gt;=100), "Loyal", IF(AND(I1114&lt;=90, D1114&gt;=3), "Regular", IF(I1114&lt;=30, "Recent", IF(D1114&gt;=3, "Occasional", "At Risk")))))</f>
        <v>At Risk</v>
      </c>
      <c r="K1114" t="str">
        <f t="array" ref="K1114">IF(OR(J1114="VIP", J1114="Loyal"), "HIGH",IF(OR(J1114="Regular", J1114="Recent"), "MEDIUM","LOW"))</f>
        <v>LOW</v>
      </c>
    </row>
    <row r="1115" spans="1:11">
      <c r="A1115" t="s">
        <v>1128</v>
      </c>
      <c r="B1115" s="14">
        <f>_xlfn.MINIFS('working sheet'!$B$2:$B$3548, 'working sheet'!$D$2:$D$3548, A1115)</f>
        <v>45677.851676863429</v>
      </c>
      <c r="C1115" s="17">
        <f>_xlfn.MAXIFS('working sheet'!$B$1:$B$3548,'working sheet'!$D$1:$D$3548,'Customer Portfolio'!A1115)</f>
        <v>45689.789749583331</v>
      </c>
      <c r="D1115">
        <f>COUNTIFS('working sheet'!$D$1:$D$3548,'Customer Portfolio'!A1115)</f>
        <v>4</v>
      </c>
      <c r="E1115" s="5">
        <f>SUMIFS('working sheet'!$E$2:$E$3548,'working sheet'!$D$2:$D$3548,'Customer Portfolio'!A1115)</f>
        <v>143.04</v>
      </c>
      <c r="F1115" s="6">
        <f t="shared" si="34"/>
        <v>35.76</v>
      </c>
      <c r="G1115" t="str">
        <f t="array" ref="G1115">IFERROR(INDEX('working sheet'!$F$2:$F$3548, MODE(IF('working sheet'!$D$2:$D$3548=A1115, MATCH('working sheet'!$F$2:$F$3548, 'working sheet'!$F$2:$F$3548, 0)))),
         INDEX('working sheet'!$F$2:$F$3548, MATCH(A1115, 'working sheet'!$D$2:$D$3548, 0)))</f>
        <v>Cappuccino</v>
      </c>
      <c r="H1115" s="7">
        <f t="shared" si="35"/>
        <v>12.938072719902266</v>
      </c>
      <c r="I1115" s="7">
        <f>MAX('working sheet'!$B$2:$B$3548)-C1115</f>
        <v>49.968336469908536</v>
      </c>
      <c r="J1115" s="4" t="str">
        <f t="array" ref="J1115">IF(AND(I1115&lt;=30, D1115&gt;=10, E1115&gt;=200), "VIP",  IF(AND(I1115&lt;=60, D1115&gt;=5, E1115&gt;=100), "Loyal", IF(AND(I1115&lt;=90, D1115&gt;=3), "Regular", IF(I1115&lt;=30, "Recent", IF(D1115&gt;=3, "Occasional", "At Risk")))))</f>
        <v>Regular</v>
      </c>
      <c r="K1115" t="str">
        <f t="array" ref="K1115">IF(OR(J1115="VIP", J1115="Loyal"), "HIGH",IF(OR(J1115="Regular", J1115="Recent"), "MEDIUM","LOW"))</f>
        <v>MEDIUM</v>
      </c>
    </row>
    <row r="1116" spans="1:11">
      <c r="A1116" t="s">
        <v>1129</v>
      </c>
      <c r="B1116" s="14">
        <f>_xlfn.MINIFS('working sheet'!$B$2:$B$3548, 'working sheet'!$D$2:$D$3548, A1116)</f>
        <v>45677.884553703705</v>
      </c>
      <c r="C1116" s="17">
        <f>_xlfn.MAXIFS('working sheet'!$B$1:$B$3548,'working sheet'!$D$1:$D$3548,'Customer Portfolio'!A1116)</f>
        <v>45677.884553703705</v>
      </c>
      <c r="D1116">
        <f>COUNTIFS('working sheet'!$D$1:$D$3548,'Customer Portfolio'!A1116)</f>
        <v>1</v>
      </c>
      <c r="E1116" s="5">
        <f>SUMIFS('working sheet'!$E$2:$E$3548,'working sheet'!$D$2:$D$3548,'Customer Portfolio'!A1116)</f>
        <v>35.76</v>
      </c>
      <c r="F1116" s="6">
        <f t="shared" si="34"/>
        <v>35.76</v>
      </c>
      <c r="G1116" t="str">
        <f t="array" ref="G1116">IFERROR(INDEX('working sheet'!$F$2:$F$3548, MODE(IF('working sheet'!$D$2:$D$3548=A1116, MATCH('working sheet'!$F$2:$F$3548, 'working sheet'!$F$2:$F$3548, 0)))),
         INDEX('working sheet'!$F$2:$F$3548, MATCH(A1116, 'working sheet'!$D$2:$D$3548, 0)))</f>
        <v>Latte</v>
      </c>
      <c r="H1116" s="7">
        <f t="shared" si="35"/>
        <v>1</v>
      </c>
      <c r="I1116" s="7">
        <f>MAX('working sheet'!$B$2:$B$3548)-C1116</f>
        <v>61.873532349534798</v>
      </c>
      <c r="J1116" s="4" t="str">
        <f t="array" ref="J1116">IF(AND(I1116&lt;=30, D1116&gt;=10, E1116&gt;=200), "VIP",  IF(AND(I1116&lt;=60, D1116&gt;=5, E1116&gt;=100), "Loyal", IF(AND(I1116&lt;=90, D1116&gt;=3), "Regular", IF(I1116&lt;=30, "Recent", IF(D1116&gt;=3, "Occasional", "At Risk")))))</f>
        <v>At Risk</v>
      </c>
      <c r="K1116" t="str">
        <f t="array" ref="K1116">IF(OR(J1116="VIP", J1116="Loyal"), "HIGH",IF(OR(J1116="Regular", J1116="Recent"), "MEDIUM","LOW"))</f>
        <v>LOW</v>
      </c>
    </row>
    <row r="1117" spans="1:11">
      <c r="A1117" t="s">
        <v>1130</v>
      </c>
      <c r="B1117" s="14">
        <f>_xlfn.MINIFS('working sheet'!$B$2:$B$3548, 'working sheet'!$D$2:$D$3548, A1117)</f>
        <v>45678.649496736114</v>
      </c>
      <c r="C1117" s="17">
        <f>_xlfn.MAXIFS('working sheet'!$B$1:$B$3548,'working sheet'!$D$1:$D$3548,'Customer Portfolio'!A1117)</f>
        <v>45678.649496736114</v>
      </c>
      <c r="D1117">
        <f>COUNTIFS('working sheet'!$D$1:$D$3548,'Customer Portfolio'!A1117)</f>
        <v>1</v>
      </c>
      <c r="E1117" s="5">
        <f>SUMIFS('working sheet'!$E$2:$E$3548,'working sheet'!$D$2:$D$3548,'Customer Portfolio'!A1117)</f>
        <v>25.96</v>
      </c>
      <c r="F1117" s="6">
        <f t="shared" si="34"/>
        <v>25.96</v>
      </c>
      <c r="G1117" t="str">
        <f t="array" ref="G1117">IFERROR(INDEX('working sheet'!$F$2:$F$3548, MODE(IF('working sheet'!$D$2:$D$3548=A1117, MATCH('working sheet'!$F$2:$F$3548, 'working sheet'!$F$2:$F$3548, 0)))),
         INDEX('working sheet'!$F$2:$F$3548, MATCH(A1117, 'working sheet'!$D$2:$D$3548, 0)))</f>
        <v>Americano</v>
      </c>
      <c r="H1117" s="7">
        <f t="shared" si="35"/>
        <v>1</v>
      </c>
      <c r="I1117" s="7">
        <f>MAX('working sheet'!$B$2:$B$3548)-C1117</f>
        <v>61.108589317125734</v>
      </c>
      <c r="J1117" s="4" t="str">
        <f t="array" ref="J1117">IF(AND(I1117&lt;=30, D1117&gt;=10, E1117&gt;=200), "VIP",  IF(AND(I1117&lt;=60, D1117&gt;=5, E1117&gt;=100), "Loyal", IF(AND(I1117&lt;=90, D1117&gt;=3), "Regular", IF(I1117&lt;=30, "Recent", IF(D1117&gt;=3, "Occasional", "At Risk")))))</f>
        <v>At Risk</v>
      </c>
      <c r="K1117" t="str">
        <f t="array" ref="K1117">IF(OR(J1117="VIP", J1117="Loyal"), "HIGH",IF(OR(J1117="Regular", J1117="Recent"), "MEDIUM","LOW"))</f>
        <v>LOW</v>
      </c>
    </row>
    <row r="1118" spans="1:11">
      <c r="A1118" t="s">
        <v>1131</v>
      </c>
      <c r="B1118" s="14">
        <f>_xlfn.MINIFS('working sheet'!$B$2:$B$3548, 'working sheet'!$D$2:$D$3548, A1118)</f>
        <v>45678.772600682867</v>
      </c>
      <c r="C1118" s="17">
        <f>_xlfn.MAXIFS('working sheet'!$B$1:$B$3548,'working sheet'!$D$1:$D$3548,'Customer Portfolio'!A1118)</f>
        <v>45678.772600682867</v>
      </c>
      <c r="D1118">
        <f>COUNTIFS('working sheet'!$D$1:$D$3548,'Customer Portfolio'!A1118)</f>
        <v>1</v>
      </c>
      <c r="E1118" s="5">
        <f>SUMIFS('working sheet'!$E$2:$E$3548,'working sheet'!$D$2:$D$3548,'Customer Portfolio'!A1118)</f>
        <v>35.76</v>
      </c>
      <c r="F1118" s="6">
        <f t="shared" si="34"/>
        <v>35.76</v>
      </c>
      <c r="G1118" t="str">
        <f t="array" ref="G1118">IFERROR(INDEX('working sheet'!$F$2:$F$3548, MODE(IF('working sheet'!$D$2:$D$3548=A1118, MATCH('working sheet'!$F$2:$F$3548, 'working sheet'!$F$2:$F$3548, 0)))),
         INDEX('working sheet'!$F$2:$F$3548, MATCH(A1118, 'working sheet'!$D$2:$D$3548, 0)))</f>
        <v>Hot Chocolate</v>
      </c>
      <c r="H1118" s="7">
        <f t="shared" si="35"/>
        <v>1</v>
      </c>
      <c r="I1118" s="7">
        <f>MAX('working sheet'!$B$2:$B$3548)-C1118</f>
        <v>60.985485370372771</v>
      </c>
      <c r="J1118" s="4" t="str">
        <f t="array" ref="J1118">IF(AND(I1118&lt;=30, D1118&gt;=10, E1118&gt;=200), "VIP",  IF(AND(I1118&lt;=60, D1118&gt;=5, E1118&gt;=100), "Loyal", IF(AND(I1118&lt;=90, D1118&gt;=3), "Regular", IF(I1118&lt;=30, "Recent", IF(D1118&gt;=3, "Occasional", "At Risk")))))</f>
        <v>At Risk</v>
      </c>
      <c r="K1118" t="str">
        <f t="array" ref="K1118">IF(OR(J1118="VIP", J1118="Loyal"), "HIGH",IF(OR(J1118="Regular", J1118="Recent"), "MEDIUM","LOW"))</f>
        <v>LOW</v>
      </c>
    </row>
    <row r="1119" spans="1:11">
      <c r="A1119" t="s">
        <v>1132</v>
      </c>
      <c r="B1119" s="14">
        <f>_xlfn.MINIFS('working sheet'!$B$2:$B$3548, 'working sheet'!$D$2:$D$3548, A1119)</f>
        <v>45679.475530740739</v>
      </c>
      <c r="C1119" s="17">
        <f>_xlfn.MAXIFS('working sheet'!$B$1:$B$3548,'working sheet'!$D$1:$D$3548,'Customer Portfolio'!A1119)</f>
        <v>45679.475530740739</v>
      </c>
      <c r="D1119">
        <f>COUNTIFS('working sheet'!$D$1:$D$3548,'Customer Portfolio'!A1119)</f>
        <v>1</v>
      </c>
      <c r="E1119" s="5">
        <f>SUMIFS('working sheet'!$E$2:$E$3548,'working sheet'!$D$2:$D$3548,'Customer Portfolio'!A1119)</f>
        <v>21.06</v>
      </c>
      <c r="F1119" s="6">
        <f t="shared" si="34"/>
        <v>21.06</v>
      </c>
      <c r="G1119" t="str">
        <f t="array" ref="G1119">IFERROR(INDEX('working sheet'!$F$2:$F$3548, MODE(IF('working sheet'!$D$2:$D$3548=A1119, MATCH('working sheet'!$F$2:$F$3548, 'working sheet'!$F$2:$F$3548, 0)))),
         INDEX('working sheet'!$F$2:$F$3548, MATCH(A1119, 'working sheet'!$D$2:$D$3548, 0)))</f>
        <v>Espresso</v>
      </c>
      <c r="H1119" s="7">
        <f t="shared" si="35"/>
        <v>1</v>
      </c>
      <c r="I1119" s="7">
        <f>MAX('working sheet'!$B$2:$B$3548)-C1119</f>
        <v>60.282555312500335</v>
      </c>
      <c r="J1119" s="4" t="str">
        <f t="array" ref="J1119">IF(AND(I1119&lt;=30, D1119&gt;=10, E1119&gt;=200), "VIP",  IF(AND(I1119&lt;=60, D1119&gt;=5, E1119&gt;=100), "Loyal", IF(AND(I1119&lt;=90, D1119&gt;=3), "Regular", IF(I1119&lt;=30, "Recent", IF(D1119&gt;=3, "Occasional", "At Risk")))))</f>
        <v>At Risk</v>
      </c>
      <c r="K1119" t="str">
        <f t="array" ref="K1119">IF(OR(J1119="VIP", J1119="Loyal"), "HIGH",IF(OR(J1119="Regular", J1119="Recent"), "MEDIUM","LOW"))</f>
        <v>LOW</v>
      </c>
    </row>
    <row r="1120" spans="1:11">
      <c r="A1120" t="s">
        <v>1133</v>
      </c>
      <c r="B1120" s="14">
        <f>_xlfn.MINIFS('working sheet'!$B$2:$B$3548, 'working sheet'!$D$2:$D$3548, A1120)</f>
        <v>45679.78471497685</v>
      </c>
      <c r="C1120" s="17">
        <f>_xlfn.MAXIFS('working sheet'!$B$1:$B$3548,'working sheet'!$D$1:$D$3548,'Customer Portfolio'!A1120)</f>
        <v>45679.78471497685</v>
      </c>
      <c r="D1120">
        <f>COUNTIFS('working sheet'!$D$1:$D$3548,'Customer Portfolio'!A1120)</f>
        <v>1</v>
      </c>
      <c r="E1120" s="5">
        <f>SUMIFS('working sheet'!$E$2:$E$3548,'working sheet'!$D$2:$D$3548,'Customer Portfolio'!A1120)</f>
        <v>35.76</v>
      </c>
      <c r="F1120" s="6">
        <f t="shared" si="34"/>
        <v>35.76</v>
      </c>
      <c r="G1120" t="str">
        <f t="array" ref="G1120">IFERROR(INDEX('working sheet'!$F$2:$F$3548, MODE(IF('working sheet'!$D$2:$D$3548=A1120, MATCH('working sheet'!$F$2:$F$3548, 'working sheet'!$F$2:$F$3548, 0)))),
         INDEX('working sheet'!$F$2:$F$3548, MATCH(A1120, 'working sheet'!$D$2:$D$3548, 0)))</f>
        <v>Cocoa</v>
      </c>
      <c r="H1120" s="7">
        <f t="shared" si="35"/>
        <v>1</v>
      </c>
      <c r="I1120" s="7">
        <f>MAX('working sheet'!$B$2:$B$3548)-C1120</f>
        <v>59.973371076390322</v>
      </c>
      <c r="J1120" s="4" t="str">
        <f t="array" ref="J1120">IF(AND(I1120&lt;=30, D1120&gt;=10, E1120&gt;=200), "VIP",  IF(AND(I1120&lt;=60, D1120&gt;=5, E1120&gt;=100), "Loyal", IF(AND(I1120&lt;=90, D1120&gt;=3), "Regular", IF(I1120&lt;=30, "Recent", IF(D1120&gt;=3, "Occasional", "At Risk")))))</f>
        <v>At Risk</v>
      </c>
      <c r="K1120" t="str">
        <f t="array" ref="K1120">IF(OR(J1120="VIP", J1120="Loyal"), "HIGH",IF(OR(J1120="Regular", J1120="Recent"), "MEDIUM","LOW"))</f>
        <v>LOW</v>
      </c>
    </row>
    <row r="1121" spans="1:11">
      <c r="A1121" t="s">
        <v>1134</v>
      </c>
      <c r="B1121" s="14">
        <f>_xlfn.MINIFS('working sheet'!$B$2:$B$3548, 'working sheet'!$D$2:$D$3548, A1121)</f>
        <v>45679.811987303241</v>
      </c>
      <c r="C1121" s="17">
        <f>_xlfn.MAXIFS('working sheet'!$B$1:$B$3548,'working sheet'!$D$1:$D$3548,'Customer Portfolio'!A1121)</f>
        <v>45679.811987303241</v>
      </c>
      <c r="D1121">
        <f>COUNTIFS('working sheet'!$D$1:$D$3548,'Customer Portfolio'!A1121)</f>
        <v>1</v>
      </c>
      <c r="E1121" s="5">
        <f>SUMIFS('working sheet'!$E$2:$E$3548,'working sheet'!$D$2:$D$3548,'Customer Portfolio'!A1121)</f>
        <v>35.76</v>
      </c>
      <c r="F1121" s="6">
        <f t="shared" si="34"/>
        <v>35.76</v>
      </c>
      <c r="G1121" t="str">
        <f t="array" ref="G1121">IFERROR(INDEX('working sheet'!$F$2:$F$3548, MODE(IF('working sheet'!$D$2:$D$3548=A1121, MATCH('working sheet'!$F$2:$F$3548, 'working sheet'!$F$2:$F$3548, 0)))),
         INDEX('working sheet'!$F$2:$F$3548, MATCH(A1121, 'working sheet'!$D$2:$D$3548, 0)))</f>
        <v>Latte</v>
      </c>
      <c r="H1121" s="7">
        <f t="shared" si="35"/>
        <v>1</v>
      </c>
      <c r="I1121" s="7">
        <f>MAX('working sheet'!$B$2:$B$3548)-C1121</f>
        <v>59.946098749998782</v>
      </c>
      <c r="J1121" s="4" t="str">
        <f t="array" ref="J1121">IF(AND(I1121&lt;=30, D1121&gt;=10, E1121&gt;=200), "VIP",  IF(AND(I1121&lt;=60, D1121&gt;=5, E1121&gt;=100), "Loyal", IF(AND(I1121&lt;=90, D1121&gt;=3), "Regular", IF(I1121&lt;=30, "Recent", IF(D1121&gt;=3, "Occasional", "At Risk")))))</f>
        <v>At Risk</v>
      </c>
      <c r="K1121" t="str">
        <f t="array" ref="K1121">IF(OR(J1121="VIP", J1121="Loyal"), "HIGH",IF(OR(J1121="Regular", J1121="Recent"), "MEDIUM","LOW"))</f>
        <v>LOW</v>
      </c>
    </row>
    <row r="1122" spans="1:11">
      <c r="A1122" t="s">
        <v>1135</v>
      </c>
      <c r="B1122" s="14">
        <f>_xlfn.MINIFS('working sheet'!$B$2:$B$3548, 'working sheet'!$D$2:$D$3548, A1122)</f>
        <v>45679.843411203707</v>
      </c>
      <c r="C1122" s="17">
        <f>_xlfn.MAXIFS('working sheet'!$B$1:$B$3548,'working sheet'!$D$1:$D$3548,'Customer Portfolio'!A1122)</f>
        <v>45679.843411203707</v>
      </c>
      <c r="D1122">
        <f>COUNTIFS('working sheet'!$D$1:$D$3548,'Customer Portfolio'!A1122)</f>
        <v>1</v>
      </c>
      <c r="E1122" s="5">
        <f>SUMIFS('working sheet'!$E$2:$E$3548,'working sheet'!$D$2:$D$3548,'Customer Portfolio'!A1122)</f>
        <v>30.86</v>
      </c>
      <c r="F1122" s="6">
        <f t="shared" si="34"/>
        <v>30.86</v>
      </c>
      <c r="G1122" t="str">
        <f t="array" ref="G1122">IFERROR(INDEX('working sheet'!$F$2:$F$3548, MODE(IF('working sheet'!$D$2:$D$3548=A1122, MATCH('working sheet'!$F$2:$F$3548, 'working sheet'!$F$2:$F$3548, 0)))),
         INDEX('working sheet'!$F$2:$F$3548, MATCH(A1122, 'working sheet'!$D$2:$D$3548, 0)))</f>
        <v>Americano with Milk</v>
      </c>
      <c r="H1122" s="7">
        <f t="shared" si="35"/>
        <v>1</v>
      </c>
      <c r="I1122" s="7">
        <f>MAX('working sheet'!$B$2:$B$3548)-C1122</f>
        <v>59.914674849533185</v>
      </c>
      <c r="J1122" s="4" t="str">
        <f t="array" ref="J1122">IF(AND(I1122&lt;=30, D1122&gt;=10, E1122&gt;=200), "VIP",  IF(AND(I1122&lt;=60, D1122&gt;=5, E1122&gt;=100), "Loyal", IF(AND(I1122&lt;=90, D1122&gt;=3), "Regular", IF(I1122&lt;=30, "Recent", IF(D1122&gt;=3, "Occasional", "At Risk")))))</f>
        <v>At Risk</v>
      </c>
      <c r="K1122" t="str">
        <f t="array" ref="K1122">IF(OR(J1122="VIP", J1122="Loyal"), "HIGH",IF(OR(J1122="Regular", J1122="Recent"), "MEDIUM","LOW"))</f>
        <v>LOW</v>
      </c>
    </row>
    <row r="1123" spans="1:11">
      <c r="A1123" t="s">
        <v>1136</v>
      </c>
      <c r="B1123" s="14">
        <f>_xlfn.MINIFS('working sheet'!$B$2:$B$3548, 'working sheet'!$D$2:$D$3548, A1123)</f>
        <v>45681.644893680554</v>
      </c>
      <c r="C1123" s="17">
        <f>_xlfn.MAXIFS('working sheet'!$B$1:$B$3548,'working sheet'!$D$1:$D$3548,'Customer Portfolio'!A1123)</f>
        <v>45681.644893680554</v>
      </c>
      <c r="D1123">
        <f>COUNTIFS('working sheet'!$D$1:$D$3548,'Customer Portfolio'!A1123)</f>
        <v>1</v>
      </c>
      <c r="E1123" s="5">
        <f>SUMIFS('working sheet'!$E$2:$E$3548,'working sheet'!$D$2:$D$3548,'Customer Portfolio'!A1123)</f>
        <v>35.76</v>
      </c>
      <c r="F1123" s="6">
        <f t="shared" si="34"/>
        <v>35.76</v>
      </c>
      <c r="G1123" t="str">
        <f t="array" ref="G1123">IFERROR(INDEX('working sheet'!$F$2:$F$3548, MODE(IF('working sheet'!$D$2:$D$3548=A1123, MATCH('working sheet'!$F$2:$F$3548, 'working sheet'!$F$2:$F$3548, 0)))),
         INDEX('working sheet'!$F$2:$F$3548, MATCH(A1123, 'working sheet'!$D$2:$D$3548, 0)))</f>
        <v>Cocoa</v>
      </c>
      <c r="H1123" s="7">
        <f t="shared" si="35"/>
        <v>1</v>
      </c>
      <c r="I1123" s="7">
        <f>MAX('working sheet'!$B$2:$B$3548)-C1123</f>
        <v>58.113192372686171</v>
      </c>
      <c r="J1123" s="4" t="str">
        <f t="array" ref="J1123">IF(AND(I1123&lt;=30, D1123&gt;=10, E1123&gt;=200), "VIP",  IF(AND(I1123&lt;=60, D1123&gt;=5, E1123&gt;=100), "Loyal", IF(AND(I1123&lt;=90, D1123&gt;=3), "Regular", IF(I1123&lt;=30, "Recent", IF(D1123&gt;=3, "Occasional", "At Risk")))))</f>
        <v>At Risk</v>
      </c>
      <c r="K1123" t="str">
        <f t="array" ref="K1123">IF(OR(J1123="VIP", J1123="Loyal"), "HIGH",IF(OR(J1123="Regular", J1123="Recent"), "MEDIUM","LOW"))</f>
        <v>LOW</v>
      </c>
    </row>
    <row r="1124" spans="1:11">
      <c r="A1124" t="s">
        <v>1137</v>
      </c>
      <c r="B1124" s="14">
        <f>_xlfn.MINIFS('working sheet'!$B$2:$B$3548, 'working sheet'!$D$2:$D$3548, A1124)</f>
        <v>45681.737376226854</v>
      </c>
      <c r="C1124" s="17">
        <f>_xlfn.MAXIFS('working sheet'!$B$1:$B$3548,'working sheet'!$D$1:$D$3548,'Customer Portfolio'!A1124)</f>
        <v>45681.737376226854</v>
      </c>
      <c r="D1124">
        <f>COUNTIFS('working sheet'!$D$1:$D$3548,'Customer Portfolio'!A1124)</f>
        <v>1</v>
      </c>
      <c r="E1124" s="5">
        <f>SUMIFS('working sheet'!$E$2:$E$3548,'working sheet'!$D$2:$D$3548,'Customer Portfolio'!A1124)</f>
        <v>25.96</v>
      </c>
      <c r="F1124" s="6">
        <f t="shared" si="34"/>
        <v>25.96</v>
      </c>
      <c r="G1124" t="str">
        <f t="array" ref="G1124">IFERROR(INDEX('working sheet'!$F$2:$F$3548, MODE(IF('working sheet'!$D$2:$D$3548=A1124, MATCH('working sheet'!$F$2:$F$3548, 'working sheet'!$F$2:$F$3548, 0)))),
         INDEX('working sheet'!$F$2:$F$3548, MATCH(A1124, 'working sheet'!$D$2:$D$3548, 0)))</f>
        <v>Americano</v>
      </c>
      <c r="H1124" s="7">
        <f t="shared" si="35"/>
        <v>1</v>
      </c>
      <c r="I1124" s="7">
        <f>MAX('working sheet'!$B$2:$B$3548)-C1124</f>
        <v>58.020709826385428</v>
      </c>
      <c r="J1124" s="4" t="str">
        <f t="array" ref="J1124">IF(AND(I1124&lt;=30, D1124&gt;=10, E1124&gt;=200), "VIP",  IF(AND(I1124&lt;=60, D1124&gt;=5, E1124&gt;=100), "Loyal", IF(AND(I1124&lt;=90, D1124&gt;=3), "Regular", IF(I1124&lt;=30, "Recent", IF(D1124&gt;=3, "Occasional", "At Risk")))))</f>
        <v>At Risk</v>
      </c>
      <c r="K1124" t="str">
        <f t="array" ref="K1124">IF(OR(J1124="VIP", J1124="Loyal"), "HIGH",IF(OR(J1124="Regular", J1124="Recent"), "MEDIUM","LOW"))</f>
        <v>LOW</v>
      </c>
    </row>
    <row r="1125" spans="1:11">
      <c r="A1125" t="s">
        <v>1138</v>
      </c>
      <c r="B1125" s="14">
        <f>_xlfn.MINIFS('working sheet'!$B$2:$B$3548, 'working sheet'!$D$2:$D$3548, A1125)</f>
        <v>45681.93883767361</v>
      </c>
      <c r="C1125" s="17">
        <f>_xlfn.MAXIFS('working sheet'!$B$1:$B$3548,'working sheet'!$D$1:$D$3548,'Customer Portfolio'!A1125)</f>
        <v>45681.939559155093</v>
      </c>
      <c r="D1125">
        <f>COUNTIFS('working sheet'!$D$1:$D$3548,'Customer Portfolio'!A1125)</f>
        <v>2</v>
      </c>
      <c r="E1125" s="5">
        <f>SUMIFS('working sheet'!$E$2:$E$3548,'working sheet'!$D$2:$D$3548,'Customer Portfolio'!A1125)</f>
        <v>71.52</v>
      </c>
      <c r="F1125" s="6">
        <f t="shared" si="34"/>
        <v>35.76</v>
      </c>
      <c r="G1125" t="str">
        <f t="array" ref="G1125">IFERROR(INDEX('working sheet'!$F$2:$F$3548, MODE(IF('working sheet'!$D$2:$D$3548=A1125, MATCH('working sheet'!$F$2:$F$3548, 'working sheet'!$F$2:$F$3548, 0)))),
         INDEX('working sheet'!$F$2:$F$3548, MATCH(A1125, 'working sheet'!$D$2:$D$3548, 0)))</f>
        <v>Hot Chocolate</v>
      </c>
      <c r="H1125" s="7">
        <f t="shared" si="35"/>
        <v>1.0007214814831968</v>
      </c>
      <c r="I1125" s="7">
        <f>MAX('working sheet'!$B$2:$B$3548)-C1125</f>
        <v>57.818526898146956</v>
      </c>
      <c r="J1125" s="4" t="str">
        <f t="array" ref="J1125">IF(AND(I1125&lt;=30, D1125&gt;=10, E1125&gt;=200), "VIP",  IF(AND(I1125&lt;=60, D1125&gt;=5, E1125&gt;=100), "Loyal", IF(AND(I1125&lt;=90, D1125&gt;=3), "Regular", IF(I1125&lt;=30, "Recent", IF(D1125&gt;=3, "Occasional", "At Risk")))))</f>
        <v>At Risk</v>
      </c>
      <c r="K1125" t="str">
        <f t="array" ref="K1125">IF(OR(J1125="VIP", J1125="Loyal"), "HIGH",IF(OR(J1125="Regular", J1125="Recent"), "MEDIUM","LOW"))</f>
        <v>LOW</v>
      </c>
    </row>
    <row r="1126" spans="1:11">
      <c r="A1126" t="s">
        <v>1139</v>
      </c>
      <c r="B1126" s="14">
        <f>_xlfn.MINIFS('working sheet'!$B$2:$B$3548, 'working sheet'!$D$2:$D$3548, A1126)</f>
        <v>45682.610006782408</v>
      </c>
      <c r="C1126" s="17">
        <f>_xlfn.MAXIFS('working sheet'!$B$1:$B$3548,'working sheet'!$D$1:$D$3548,'Customer Portfolio'!A1126)</f>
        <v>45682.610006782408</v>
      </c>
      <c r="D1126">
        <f>COUNTIFS('working sheet'!$D$1:$D$3548,'Customer Portfolio'!A1126)</f>
        <v>1</v>
      </c>
      <c r="E1126" s="5">
        <f>SUMIFS('working sheet'!$E$2:$E$3548,'working sheet'!$D$2:$D$3548,'Customer Portfolio'!A1126)</f>
        <v>35.76</v>
      </c>
      <c r="F1126" s="6">
        <f t="shared" si="34"/>
        <v>35.76</v>
      </c>
      <c r="G1126" t="str">
        <f t="array" ref="G1126">IFERROR(INDEX('working sheet'!$F$2:$F$3548, MODE(IF('working sheet'!$D$2:$D$3548=A1126, MATCH('working sheet'!$F$2:$F$3548, 'working sheet'!$F$2:$F$3548, 0)))),
         INDEX('working sheet'!$F$2:$F$3548, MATCH(A1126, 'working sheet'!$D$2:$D$3548, 0)))</f>
        <v>Cappuccino</v>
      </c>
      <c r="H1126" s="7">
        <f t="shared" si="35"/>
        <v>1</v>
      </c>
      <c r="I1126" s="7">
        <f>MAX('working sheet'!$B$2:$B$3548)-C1126</f>
        <v>57.148079270831659</v>
      </c>
      <c r="J1126" s="4" t="str">
        <f t="array" ref="J1126">IF(AND(I1126&lt;=30, D1126&gt;=10, E1126&gt;=200), "VIP",  IF(AND(I1126&lt;=60, D1126&gt;=5, E1126&gt;=100), "Loyal", IF(AND(I1126&lt;=90, D1126&gt;=3), "Regular", IF(I1126&lt;=30, "Recent", IF(D1126&gt;=3, "Occasional", "At Risk")))))</f>
        <v>At Risk</v>
      </c>
      <c r="K1126" t="str">
        <f t="array" ref="K1126">IF(OR(J1126="VIP", J1126="Loyal"), "HIGH",IF(OR(J1126="Regular", J1126="Recent"), "MEDIUM","LOW"))</f>
        <v>LOW</v>
      </c>
    </row>
    <row r="1127" spans="1:11">
      <c r="A1127" t="s">
        <v>1140</v>
      </c>
      <c r="B1127" s="14">
        <f>_xlfn.MINIFS('working sheet'!$B$2:$B$3548, 'working sheet'!$D$2:$D$3548, A1127)</f>
        <v>45682.610822731483</v>
      </c>
      <c r="C1127" s="17">
        <f>_xlfn.MAXIFS('working sheet'!$B$1:$B$3548,'working sheet'!$D$1:$D$3548,'Customer Portfolio'!A1127)</f>
        <v>45682.610822731483</v>
      </c>
      <c r="D1127">
        <f>COUNTIFS('working sheet'!$D$1:$D$3548,'Customer Portfolio'!A1127)</f>
        <v>1</v>
      </c>
      <c r="E1127" s="5">
        <f>SUMIFS('working sheet'!$E$2:$E$3548,'working sheet'!$D$2:$D$3548,'Customer Portfolio'!A1127)</f>
        <v>25.96</v>
      </c>
      <c r="F1127" s="6">
        <f t="shared" si="34"/>
        <v>25.96</v>
      </c>
      <c r="G1127" t="str">
        <f t="array" ref="G1127">IFERROR(INDEX('working sheet'!$F$2:$F$3548, MODE(IF('working sheet'!$D$2:$D$3548=A1127, MATCH('working sheet'!$F$2:$F$3548, 'working sheet'!$F$2:$F$3548, 0)))),
         INDEX('working sheet'!$F$2:$F$3548, MATCH(A1127, 'working sheet'!$D$2:$D$3548, 0)))</f>
        <v>Americano</v>
      </c>
      <c r="H1127" s="7">
        <f t="shared" si="35"/>
        <v>1</v>
      </c>
      <c r="I1127" s="7">
        <f>MAX('working sheet'!$B$2:$B$3548)-C1127</f>
        <v>57.147263321756327</v>
      </c>
      <c r="J1127" s="4" t="str">
        <f t="array" ref="J1127">IF(AND(I1127&lt;=30, D1127&gt;=10, E1127&gt;=200), "VIP",  IF(AND(I1127&lt;=60, D1127&gt;=5, E1127&gt;=100), "Loyal", IF(AND(I1127&lt;=90, D1127&gt;=3), "Regular", IF(I1127&lt;=30, "Recent", IF(D1127&gt;=3, "Occasional", "At Risk")))))</f>
        <v>At Risk</v>
      </c>
      <c r="K1127" t="str">
        <f t="array" ref="K1127">IF(OR(J1127="VIP", J1127="Loyal"), "HIGH",IF(OR(J1127="Regular", J1127="Recent"), "MEDIUM","LOW"))</f>
        <v>LOW</v>
      </c>
    </row>
    <row r="1128" spans="1:11">
      <c r="A1128" t="s">
        <v>1141</v>
      </c>
      <c r="B1128" s="14">
        <f>_xlfn.MINIFS('working sheet'!$B$2:$B$3548, 'working sheet'!$D$2:$D$3548, A1128)</f>
        <v>45683.524571689813</v>
      </c>
      <c r="C1128" s="17">
        <f>_xlfn.MAXIFS('working sheet'!$B$1:$B$3548,'working sheet'!$D$1:$D$3548,'Customer Portfolio'!A1128)</f>
        <v>45683.525393993055</v>
      </c>
      <c r="D1128">
        <f>COUNTIFS('working sheet'!$D$1:$D$3548,'Customer Portfolio'!A1128)</f>
        <v>2</v>
      </c>
      <c r="E1128" s="5">
        <f>SUMIFS('working sheet'!$E$2:$E$3548,'working sheet'!$D$2:$D$3548,'Customer Portfolio'!A1128)</f>
        <v>47.019999999999996</v>
      </c>
      <c r="F1128" s="6">
        <f t="shared" si="34"/>
        <v>23.509999999999998</v>
      </c>
      <c r="G1128" t="str">
        <f t="array" ref="G1128">IFERROR(INDEX('working sheet'!$F$2:$F$3548, MODE(IF('working sheet'!$D$2:$D$3548=A1128, MATCH('working sheet'!$F$2:$F$3548, 'working sheet'!$F$2:$F$3548, 0)))),
         INDEX('working sheet'!$F$2:$F$3548, MATCH(A1128, 'working sheet'!$D$2:$D$3548, 0)))</f>
        <v>Americano</v>
      </c>
      <c r="H1128" s="7">
        <f t="shared" si="35"/>
        <v>1.0008223032418755</v>
      </c>
      <c r="I1128" s="7">
        <f>MAX('working sheet'!$B$2:$B$3548)-C1128</f>
        <v>56.23269206018449</v>
      </c>
      <c r="J1128" s="4" t="str">
        <f t="array" ref="J1128">IF(AND(I1128&lt;=30, D1128&gt;=10, E1128&gt;=200), "VIP",  IF(AND(I1128&lt;=60, D1128&gt;=5, E1128&gt;=100), "Loyal", IF(AND(I1128&lt;=90, D1128&gt;=3), "Regular", IF(I1128&lt;=30, "Recent", IF(D1128&gt;=3, "Occasional", "At Risk")))))</f>
        <v>At Risk</v>
      </c>
      <c r="K1128" t="str">
        <f t="array" ref="K1128">IF(OR(J1128="VIP", J1128="Loyal"), "HIGH",IF(OR(J1128="Regular", J1128="Recent"), "MEDIUM","LOW"))</f>
        <v>LOW</v>
      </c>
    </row>
    <row r="1129" spans="1:11">
      <c r="A1129" t="s">
        <v>1142</v>
      </c>
      <c r="B1129" s="14">
        <f>_xlfn.MINIFS('working sheet'!$B$2:$B$3548, 'working sheet'!$D$2:$D$3548, A1129)</f>
        <v>45684.503499606479</v>
      </c>
      <c r="C1129" s="17">
        <f>_xlfn.MAXIFS('working sheet'!$B$1:$B$3548,'working sheet'!$D$1:$D$3548,'Customer Portfolio'!A1129)</f>
        <v>45684.503499606479</v>
      </c>
      <c r="D1129">
        <f>COUNTIFS('working sheet'!$D$1:$D$3548,'Customer Portfolio'!A1129)</f>
        <v>1</v>
      </c>
      <c r="E1129" s="5">
        <f>SUMIFS('working sheet'!$E$2:$E$3548,'working sheet'!$D$2:$D$3548,'Customer Portfolio'!A1129)</f>
        <v>35.76</v>
      </c>
      <c r="F1129" s="6">
        <f t="shared" si="34"/>
        <v>35.76</v>
      </c>
      <c r="G1129" t="str">
        <f t="array" ref="G1129">IFERROR(INDEX('working sheet'!$F$2:$F$3548, MODE(IF('working sheet'!$D$2:$D$3548=A1129, MATCH('working sheet'!$F$2:$F$3548, 'working sheet'!$F$2:$F$3548, 0)))),
         INDEX('working sheet'!$F$2:$F$3548, MATCH(A1129, 'working sheet'!$D$2:$D$3548, 0)))</f>
        <v>Cappuccino</v>
      </c>
      <c r="H1129" s="7">
        <f t="shared" si="35"/>
        <v>1</v>
      </c>
      <c r="I1129" s="7">
        <f>MAX('working sheet'!$B$2:$B$3548)-C1129</f>
        <v>55.254586446761095</v>
      </c>
      <c r="J1129" s="4" t="str">
        <f t="array" ref="J1129">IF(AND(I1129&lt;=30, D1129&gt;=10, E1129&gt;=200), "VIP",  IF(AND(I1129&lt;=60, D1129&gt;=5, E1129&gt;=100), "Loyal", IF(AND(I1129&lt;=90, D1129&gt;=3), "Regular", IF(I1129&lt;=30, "Recent", IF(D1129&gt;=3, "Occasional", "At Risk")))))</f>
        <v>At Risk</v>
      </c>
      <c r="K1129" t="str">
        <f t="array" ref="K1129">IF(OR(J1129="VIP", J1129="Loyal"), "HIGH",IF(OR(J1129="Regular", J1129="Recent"), "MEDIUM","LOW"))</f>
        <v>LOW</v>
      </c>
    </row>
    <row r="1130" spans="1:11">
      <c r="A1130" t="s">
        <v>1143</v>
      </c>
      <c r="B1130" s="14">
        <f>_xlfn.MINIFS('working sheet'!$B$2:$B$3548, 'working sheet'!$D$2:$D$3548, A1130)</f>
        <v>45684.788418275464</v>
      </c>
      <c r="C1130" s="17">
        <f>_xlfn.MAXIFS('working sheet'!$B$1:$B$3548,'working sheet'!$D$1:$D$3548,'Customer Portfolio'!A1130)</f>
        <v>45684.788418275464</v>
      </c>
      <c r="D1130">
        <f>COUNTIFS('working sheet'!$D$1:$D$3548,'Customer Portfolio'!A1130)</f>
        <v>1</v>
      </c>
      <c r="E1130" s="5">
        <f>SUMIFS('working sheet'!$E$2:$E$3548,'working sheet'!$D$2:$D$3548,'Customer Portfolio'!A1130)</f>
        <v>35.76</v>
      </c>
      <c r="F1130" s="6">
        <f t="shared" si="34"/>
        <v>35.76</v>
      </c>
      <c r="G1130" t="str">
        <f t="array" ref="G1130">IFERROR(INDEX('working sheet'!$F$2:$F$3548, MODE(IF('working sheet'!$D$2:$D$3548=A1130, MATCH('working sheet'!$F$2:$F$3548, 'working sheet'!$F$2:$F$3548, 0)))),
         INDEX('working sheet'!$F$2:$F$3548, MATCH(A1130, 'working sheet'!$D$2:$D$3548, 0)))</f>
        <v>Latte</v>
      </c>
      <c r="H1130" s="7">
        <f t="shared" si="35"/>
        <v>1</v>
      </c>
      <c r="I1130" s="7">
        <f>MAX('working sheet'!$B$2:$B$3548)-C1130</f>
        <v>54.969667777775612</v>
      </c>
      <c r="J1130" s="4" t="str">
        <f t="array" ref="J1130">IF(AND(I1130&lt;=30, D1130&gt;=10, E1130&gt;=200), "VIP",  IF(AND(I1130&lt;=60, D1130&gt;=5, E1130&gt;=100), "Loyal", IF(AND(I1130&lt;=90, D1130&gt;=3), "Regular", IF(I1130&lt;=30, "Recent", IF(D1130&gt;=3, "Occasional", "At Risk")))))</f>
        <v>At Risk</v>
      </c>
      <c r="K1130" t="str">
        <f t="array" ref="K1130">IF(OR(J1130="VIP", J1130="Loyal"), "HIGH",IF(OR(J1130="Regular", J1130="Recent"), "MEDIUM","LOW"))</f>
        <v>LOW</v>
      </c>
    </row>
    <row r="1131" spans="1:11">
      <c r="A1131" t="s">
        <v>1144</v>
      </c>
      <c r="B1131" s="14">
        <f>_xlfn.MINIFS('working sheet'!$B$2:$B$3548, 'working sheet'!$D$2:$D$3548, A1131)</f>
        <v>45684.793522280095</v>
      </c>
      <c r="C1131" s="17">
        <f>_xlfn.MAXIFS('working sheet'!$B$1:$B$3548,'working sheet'!$D$1:$D$3548,'Customer Portfolio'!A1131)</f>
        <v>45684.793522280095</v>
      </c>
      <c r="D1131">
        <f>COUNTIFS('working sheet'!$D$1:$D$3548,'Customer Portfolio'!A1131)</f>
        <v>1</v>
      </c>
      <c r="E1131" s="5">
        <f>SUMIFS('working sheet'!$E$2:$E$3548,'working sheet'!$D$2:$D$3548,'Customer Portfolio'!A1131)</f>
        <v>35.76</v>
      </c>
      <c r="F1131" s="6">
        <f t="shared" si="34"/>
        <v>35.76</v>
      </c>
      <c r="G1131" t="str">
        <f t="array" ref="G1131">IFERROR(INDEX('working sheet'!$F$2:$F$3548, MODE(IF('working sheet'!$D$2:$D$3548=A1131, MATCH('working sheet'!$F$2:$F$3548, 'working sheet'!$F$2:$F$3548, 0)))),
         INDEX('working sheet'!$F$2:$F$3548, MATCH(A1131, 'working sheet'!$D$2:$D$3548, 0)))</f>
        <v>Latte</v>
      </c>
      <c r="H1131" s="7">
        <f t="shared" si="35"/>
        <v>1</v>
      </c>
      <c r="I1131" s="7">
        <f>MAX('working sheet'!$B$2:$B$3548)-C1131</f>
        <v>54.964563773144619</v>
      </c>
      <c r="J1131" s="4" t="str">
        <f t="array" ref="J1131">IF(AND(I1131&lt;=30, D1131&gt;=10, E1131&gt;=200), "VIP",  IF(AND(I1131&lt;=60, D1131&gt;=5, E1131&gt;=100), "Loyal", IF(AND(I1131&lt;=90, D1131&gt;=3), "Regular", IF(I1131&lt;=30, "Recent", IF(D1131&gt;=3, "Occasional", "At Risk")))))</f>
        <v>At Risk</v>
      </c>
      <c r="K1131" t="str">
        <f t="array" ref="K1131">IF(OR(J1131="VIP", J1131="Loyal"), "HIGH",IF(OR(J1131="Regular", J1131="Recent"), "MEDIUM","LOW"))</f>
        <v>LOW</v>
      </c>
    </row>
    <row r="1132" spans="1:11">
      <c r="A1132" t="s">
        <v>1145</v>
      </c>
      <c r="B1132" s="14">
        <f>_xlfn.MINIFS('working sheet'!$B$2:$B$3548, 'working sheet'!$D$2:$D$3548, A1132)</f>
        <v>45684.794276122688</v>
      </c>
      <c r="C1132" s="17">
        <f>_xlfn.MAXIFS('working sheet'!$B$1:$B$3548,'working sheet'!$D$1:$D$3548,'Customer Portfolio'!A1132)</f>
        <v>45684.794276122688</v>
      </c>
      <c r="D1132">
        <f>COUNTIFS('working sheet'!$D$1:$D$3548,'Customer Portfolio'!A1132)</f>
        <v>1</v>
      </c>
      <c r="E1132" s="5">
        <f>SUMIFS('working sheet'!$E$2:$E$3548,'working sheet'!$D$2:$D$3548,'Customer Portfolio'!A1132)</f>
        <v>35.76</v>
      </c>
      <c r="F1132" s="6">
        <f t="shared" si="34"/>
        <v>35.76</v>
      </c>
      <c r="G1132" t="str">
        <f t="array" ref="G1132">IFERROR(INDEX('working sheet'!$F$2:$F$3548, MODE(IF('working sheet'!$D$2:$D$3548=A1132, MATCH('working sheet'!$F$2:$F$3548, 'working sheet'!$F$2:$F$3548, 0)))),
         INDEX('working sheet'!$F$2:$F$3548, MATCH(A1132, 'working sheet'!$D$2:$D$3548, 0)))</f>
        <v>Latte</v>
      </c>
      <c r="H1132" s="7">
        <f t="shared" si="35"/>
        <v>1</v>
      </c>
      <c r="I1132" s="7">
        <f>MAX('working sheet'!$B$2:$B$3548)-C1132</f>
        <v>54.963809930552088</v>
      </c>
      <c r="J1132" s="4" t="str">
        <f t="array" ref="J1132">IF(AND(I1132&lt;=30, D1132&gt;=10, E1132&gt;=200), "VIP",  IF(AND(I1132&lt;=60, D1132&gt;=5, E1132&gt;=100), "Loyal", IF(AND(I1132&lt;=90, D1132&gt;=3), "Regular", IF(I1132&lt;=30, "Recent", IF(D1132&gt;=3, "Occasional", "At Risk")))))</f>
        <v>At Risk</v>
      </c>
      <c r="K1132" t="str">
        <f t="array" ref="K1132">IF(OR(J1132="VIP", J1132="Loyal"), "HIGH",IF(OR(J1132="Regular", J1132="Recent"), "MEDIUM","LOW"))</f>
        <v>LOW</v>
      </c>
    </row>
    <row r="1133" spans="1:11">
      <c r="A1133" t="s">
        <v>1146</v>
      </c>
      <c r="B1133" s="14">
        <f>_xlfn.MINIFS('working sheet'!$B$2:$B$3548, 'working sheet'!$D$2:$D$3548, A1133)</f>
        <v>45685.39811465278</v>
      </c>
      <c r="C1133" s="17">
        <f>_xlfn.MAXIFS('working sheet'!$B$1:$B$3548,'working sheet'!$D$1:$D$3548,'Customer Portfolio'!A1133)</f>
        <v>45690.456687268517</v>
      </c>
      <c r="D1133">
        <f>COUNTIFS('working sheet'!$D$1:$D$3548,'Customer Portfolio'!A1133)</f>
        <v>3</v>
      </c>
      <c r="E1133" s="5">
        <f>SUMIFS('working sheet'!$E$2:$E$3548,'working sheet'!$D$2:$D$3548,'Customer Portfolio'!A1133)</f>
        <v>97.47999999999999</v>
      </c>
      <c r="F1133" s="6">
        <f t="shared" si="34"/>
        <v>32.493333333333332</v>
      </c>
      <c r="G1133" t="str">
        <f t="array" ref="G1133">IFERROR(INDEX('working sheet'!$F$2:$F$3548, MODE(IF('working sheet'!$D$2:$D$3548=A1133, MATCH('working sheet'!$F$2:$F$3548, 'working sheet'!$F$2:$F$3548, 0)))),
         INDEX('working sheet'!$F$2:$F$3548, MATCH(A1133, 'working sheet'!$D$2:$D$3548, 0)))</f>
        <v>Cappuccino</v>
      </c>
      <c r="H1133" s="7">
        <f t="shared" si="35"/>
        <v>6.0585726157369209</v>
      </c>
      <c r="I1133" s="7">
        <f>MAX('working sheet'!$B$2:$B$3548)-C1133</f>
        <v>49.301398784722551</v>
      </c>
      <c r="J1133" s="4" t="str">
        <f t="array" ref="J1133">IF(AND(I1133&lt;=30, D1133&gt;=10, E1133&gt;=200), "VIP",  IF(AND(I1133&lt;=60, D1133&gt;=5, E1133&gt;=100), "Loyal", IF(AND(I1133&lt;=90, D1133&gt;=3), "Regular", IF(I1133&lt;=30, "Recent", IF(D1133&gt;=3, "Occasional", "At Risk")))))</f>
        <v>Regular</v>
      </c>
      <c r="K1133" t="str">
        <f t="array" ref="K1133">IF(OR(J1133="VIP", J1133="Loyal"), "HIGH",IF(OR(J1133="Regular", J1133="Recent"), "MEDIUM","LOW"))</f>
        <v>MEDIUM</v>
      </c>
    </row>
    <row r="1134" spans="1:11">
      <c r="A1134" t="s">
        <v>1147</v>
      </c>
      <c r="B1134" s="14">
        <f>_xlfn.MINIFS('working sheet'!$B$2:$B$3548, 'working sheet'!$D$2:$D$3548, A1134)</f>
        <v>45685.515292048614</v>
      </c>
      <c r="C1134" s="17">
        <f>_xlfn.MAXIFS('working sheet'!$B$1:$B$3548,'working sheet'!$D$1:$D$3548,'Customer Portfolio'!A1134)</f>
        <v>45688.521542141207</v>
      </c>
      <c r="D1134">
        <f>COUNTIFS('working sheet'!$D$1:$D$3548,'Customer Portfolio'!A1134)</f>
        <v>2</v>
      </c>
      <c r="E1134" s="5">
        <f>SUMIFS('working sheet'!$E$2:$E$3548,'working sheet'!$D$2:$D$3548,'Customer Portfolio'!A1134)</f>
        <v>61.72</v>
      </c>
      <c r="F1134" s="6">
        <f t="shared" si="34"/>
        <v>30.86</v>
      </c>
      <c r="G1134" t="str">
        <f t="array" ref="G1134">IFERROR(INDEX('working sheet'!$F$2:$F$3548, MODE(IF('working sheet'!$D$2:$D$3548=A1134, MATCH('working sheet'!$F$2:$F$3548, 'working sheet'!$F$2:$F$3548, 0)))),
         INDEX('working sheet'!$F$2:$F$3548, MATCH(A1134, 'working sheet'!$D$2:$D$3548, 0)))</f>
        <v>Americano</v>
      </c>
      <c r="H1134" s="7">
        <f t="shared" si="35"/>
        <v>4.0062500925923814</v>
      </c>
      <c r="I1134" s="7">
        <f>MAX('working sheet'!$B$2:$B$3548)-C1134</f>
        <v>51.236543912033085</v>
      </c>
      <c r="J1134" s="4" t="str">
        <f t="array" ref="J1134">IF(AND(I1134&lt;=30, D1134&gt;=10, E1134&gt;=200), "VIP",  IF(AND(I1134&lt;=60, D1134&gt;=5, E1134&gt;=100), "Loyal", IF(AND(I1134&lt;=90, D1134&gt;=3), "Regular", IF(I1134&lt;=30, "Recent", IF(D1134&gt;=3, "Occasional", "At Risk")))))</f>
        <v>At Risk</v>
      </c>
      <c r="K1134" t="str">
        <f t="array" ref="K1134">IF(OR(J1134="VIP", J1134="Loyal"), "HIGH",IF(OR(J1134="Regular", J1134="Recent"), "MEDIUM","LOW"))</f>
        <v>LOW</v>
      </c>
    </row>
    <row r="1135" spans="1:11">
      <c r="A1135" t="s">
        <v>1148</v>
      </c>
      <c r="B1135" s="14">
        <f>_xlfn.MINIFS('working sheet'!$B$2:$B$3548, 'working sheet'!$D$2:$D$3548, A1135)</f>
        <v>45685.679949131947</v>
      </c>
      <c r="C1135" s="17">
        <f>_xlfn.MAXIFS('working sheet'!$B$1:$B$3548,'working sheet'!$D$1:$D$3548,'Customer Portfolio'!A1135)</f>
        <v>45685.681072430554</v>
      </c>
      <c r="D1135">
        <f>COUNTIFS('working sheet'!$D$1:$D$3548,'Customer Portfolio'!A1135)</f>
        <v>2</v>
      </c>
      <c r="E1135" s="5">
        <f>SUMIFS('working sheet'!$E$2:$E$3548,'working sheet'!$D$2:$D$3548,'Customer Portfolio'!A1135)</f>
        <v>61.72</v>
      </c>
      <c r="F1135" s="6">
        <f t="shared" si="34"/>
        <v>30.86</v>
      </c>
      <c r="G1135" t="str">
        <f t="array" ref="G1135">IFERROR(INDEX('working sheet'!$F$2:$F$3548, MODE(IF('working sheet'!$D$2:$D$3548=A1135, MATCH('working sheet'!$F$2:$F$3548, 'working sheet'!$F$2:$F$3548, 0)))),
         INDEX('working sheet'!$F$2:$F$3548, MATCH(A1135, 'working sheet'!$D$2:$D$3548, 0)))</f>
        <v>Cocoa</v>
      </c>
      <c r="H1135" s="7">
        <f t="shared" si="35"/>
        <v>1.0011232986071263</v>
      </c>
      <c r="I1135" s="7">
        <f>MAX('working sheet'!$B$2:$B$3548)-C1135</f>
        <v>54.077013622685627</v>
      </c>
      <c r="J1135" s="4" t="str">
        <f t="array" ref="J1135">IF(AND(I1135&lt;=30, D1135&gt;=10, E1135&gt;=200), "VIP",  IF(AND(I1135&lt;=60, D1135&gt;=5, E1135&gt;=100), "Loyal", IF(AND(I1135&lt;=90, D1135&gt;=3), "Regular", IF(I1135&lt;=30, "Recent", IF(D1135&gt;=3, "Occasional", "At Risk")))))</f>
        <v>At Risk</v>
      </c>
      <c r="K1135" t="str">
        <f t="array" ref="K1135">IF(OR(J1135="VIP", J1135="Loyal"), "HIGH",IF(OR(J1135="Regular", J1135="Recent"), "MEDIUM","LOW"))</f>
        <v>LOW</v>
      </c>
    </row>
    <row r="1136" spans="1:11">
      <c r="A1136" t="s">
        <v>1149</v>
      </c>
      <c r="B1136" s="14">
        <f>_xlfn.MINIFS('working sheet'!$B$2:$B$3548, 'working sheet'!$D$2:$D$3548, A1136)</f>
        <v>45685.736121898146</v>
      </c>
      <c r="C1136" s="17">
        <f>_xlfn.MAXIFS('working sheet'!$B$1:$B$3548,'working sheet'!$D$1:$D$3548,'Customer Portfolio'!A1136)</f>
        <v>45685.736121898146</v>
      </c>
      <c r="D1136">
        <f>COUNTIFS('working sheet'!$D$1:$D$3548,'Customer Portfolio'!A1136)</f>
        <v>1</v>
      </c>
      <c r="E1136" s="5">
        <f>SUMIFS('working sheet'!$E$2:$E$3548,'working sheet'!$D$2:$D$3548,'Customer Portfolio'!A1136)</f>
        <v>25.96</v>
      </c>
      <c r="F1136" s="6">
        <f t="shared" si="34"/>
        <v>25.96</v>
      </c>
      <c r="G1136" t="str">
        <f t="array" ref="G1136">IFERROR(INDEX('working sheet'!$F$2:$F$3548, MODE(IF('working sheet'!$D$2:$D$3548=A1136, MATCH('working sheet'!$F$2:$F$3548, 'working sheet'!$F$2:$F$3548, 0)))),
         INDEX('working sheet'!$F$2:$F$3548, MATCH(A1136, 'working sheet'!$D$2:$D$3548, 0)))</f>
        <v>Americano</v>
      </c>
      <c r="H1136" s="7">
        <f t="shared" si="35"/>
        <v>1</v>
      </c>
      <c r="I1136" s="7">
        <f>MAX('working sheet'!$B$2:$B$3548)-C1136</f>
        <v>54.021964155093883</v>
      </c>
      <c r="J1136" s="4" t="str">
        <f t="array" ref="J1136">IF(AND(I1136&lt;=30, D1136&gt;=10, E1136&gt;=200), "VIP",  IF(AND(I1136&lt;=60, D1136&gt;=5, E1136&gt;=100), "Loyal", IF(AND(I1136&lt;=90, D1136&gt;=3), "Regular", IF(I1136&lt;=30, "Recent", IF(D1136&gt;=3, "Occasional", "At Risk")))))</f>
        <v>At Risk</v>
      </c>
      <c r="K1136" t="str">
        <f t="array" ref="K1136">IF(OR(J1136="VIP", J1136="Loyal"), "HIGH",IF(OR(J1136="Regular", J1136="Recent"), "MEDIUM","LOW"))</f>
        <v>LOW</v>
      </c>
    </row>
    <row r="1137" spans="1:11">
      <c r="A1137" t="s">
        <v>1150</v>
      </c>
      <c r="B1137" s="14">
        <f>_xlfn.MINIFS('working sheet'!$B$2:$B$3548, 'working sheet'!$D$2:$D$3548, A1137)</f>
        <v>45685.841560810186</v>
      </c>
      <c r="C1137" s="17">
        <f>_xlfn.MAXIFS('working sheet'!$B$1:$B$3548,'working sheet'!$D$1:$D$3548,'Customer Portfolio'!A1137)</f>
        <v>45685.841560810186</v>
      </c>
      <c r="D1137">
        <f>COUNTIFS('working sheet'!$D$1:$D$3548,'Customer Portfolio'!A1137)</f>
        <v>1</v>
      </c>
      <c r="E1137" s="5">
        <f>SUMIFS('working sheet'!$E$2:$E$3548,'working sheet'!$D$2:$D$3548,'Customer Portfolio'!A1137)</f>
        <v>35.76</v>
      </c>
      <c r="F1137" s="6">
        <f t="shared" si="34"/>
        <v>35.76</v>
      </c>
      <c r="G1137" t="str">
        <f t="array" ref="G1137">IFERROR(INDEX('working sheet'!$F$2:$F$3548, MODE(IF('working sheet'!$D$2:$D$3548=A1137, MATCH('working sheet'!$F$2:$F$3548, 'working sheet'!$F$2:$F$3548, 0)))),
         INDEX('working sheet'!$F$2:$F$3548, MATCH(A1137, 'working sheet'!$D$2:$D$3548, 0)))</f>
        <v>Latte</v>
      </c>
      <c r="H1137" s="7">
        <f t="shared" si="35"/>
        <v>1</v>
      </c>
      <c r="I1137" s="7">
        <f>MAX('working sheet'!$B$2:$B$3548)-C1137</f>
        <v>53.916525243053911</v>
      </c>
      <c r="J1137" s="4" t="str">
        <f t="array" ref="J1137">IF(AND(I1137&lt;=30, D1137&gt;=10, E1137&gt;=200), "VIP",  IF(AND(I1137&lt;=60, D1137&gt;=5, E1137&gt;=100), "Loyal", IF(AND(I1137&lt;=90, D1137&gt;=3), "Regular", IF(I1137&lt;=30, "Recent", IF(D1137&gt;=3, "Occasional", "At Risk")))))</f>
        <v>At Risk</v>
      </c>
      <c r="K1137" t="str">
        <f t="array" ref="K1137">IF(OR(J1137="VIP", J1137="Loyal"), "HIGH",IF(OR(J1137="Regular", J1137="Recent"), "MEDIUM","LOW"))</f>
        <v>LOW</v>
      </c>
    </row>
    <row r="1138" spans="1:11">
      <c r="A1138" t="s">
        <v>1151</v>
      </c>
      <c r="B1138" s="14">
        <f>_xlfn.MINIFS('working sheet'!$B$2:$B$3548, 'working sheet'!$D$2:$D$3548, A1138)</f>
        <v>45685.842883819445</v>
      </c>
      <c r="C1138" s="17">
        <f>_xlfn.MAXIFS('working sheet'!$B$1:$B$3548,'working sheet'!$D$1:$D$3548,'Customer Portfolio'!A1138)</f>
        <v>45685.842883819445</v>
      </c>
      <c r="D1138">
        <f>COUNTIFS('working sheet'!$D$1:$D$3548,'Customer Portfolio'!A1138)</f>
        <v>1</v>
      </c>
      <c r="E1138" s="5">
        <f>SUMIFS('working sheet'!$E$2:$E$3548,'working sheet'!$D$2:$D$3548,'Customer Portfolio'!A1138)</f>
        <v>35.76</v>
      </c>
      <c r="F1138" s="6">
        <f t="shared" si="34"/>
        <v>35.76</v>
      </c>
      <c r="G1138" t="str">
        <f t="array" ref="G1138">IFERROR(INDEX('working sheet'!$F$2:$F$3548, MODE(IF('working sheet'!$D$2:$D$3548=A1138, MATCH('working sheet'!$F$2:$F$3548, 'working sheet'!$F$2:$F$3548, 0)))),
         INDEX('working sheet'!$F$2:$F$3548, MATCH(A1138, 'working sheet'!$D$2:$D$3548, 0)))</f>
        <v>Cappuccino</v>
      </c>
      <c r="H1138" s="7">
        <f t="shared" si="35"/>
        <v>1</v>
      </c>
      <c r="I1138" s="7">
        <f>MAX('working sheet'!$B$2:$B$3548)-C1138</f>
        <v>53.915202233794844</v>
      </c>
      <c r="J1138" s="4" t="str">
        <f t="array" ref="J1138">IF(AND(I1138&lt;=30, D1138&gt;=10, E1138&gt;=200), "VIP",  IF(AND(I1138&lt;=60, D1138&gt;=5, E1138&gt;=100), "Loyal", IF(AND(I1138&lt;=90, D1138&gt;=3), "Regular", IF(I1138&lt;=30, "Recent", IF(D1138&gt;=3, "Occasional", "At Risk")))))</f>
        <v>At Risk</v>
      </c>
      <c r="K1138" t="str">
        <f t="array" ref="K1138">IF(OR(J1138="VIP", J1138="Loyal"), "HIGH",IF(OR(J1138="Regular", J1138="Recent"), "MEDIUM","LOW"))</f>
        <v>LOW</v>
      </c>
    </row>
    <row r="1139" spans="1:11">
      <c r="A1139" t="s">
        <v>1152</v>
      </c>
      <c r="B1139" s="14">
        <f>_xlfn.MINIFS('working sheet'!$B$2:$B$3548, 'working sheet'!$D$2:$D$3548, A1139)</f>
        <v>45686.684453240741</v>
      </c>
      <c r="C1139" s="17">
        <f>_xlfn.MAXIFS('working sheet'!$B$1:$B$3548,'working sheet'!$D$1:$D$3548,'Customer Portfolio'!A1139)</f>
        <v>45686.684453240741</v>
      </c>
      <c r="D1139">
        <f>COUNTIFS('working sheet'!$D$1:$D$3548,'Customer Portfolio'!A1139)</f>
        <v>1</v>
      </c>
      <c r="E1139" s="5">
        <f>SUMIFS('working sheet'!$E$2:$E$3548,'working sheet'!$D$2:$D$3548,'Customer Portfolio'!A1139)</f>
        <v>25.96</v>
      </c>
      <c r="F1139" s="6">
        <f t="shared" si="34"/>
        <v>25.96</v>
      </c>
      <c r="G1139" t="str">
        <f t="array" ref="G1139">IFERROR(INDEX('working sheet'!$F$2:$F$3548, MODE(IF('working sheet'!$D$2:$D$3548=A1139, MATCH('working sheet'!$F$2:$F$3548, 'working sheet'!$F$2:$F$3548, 0)))),
         INDEX('working sheet'!$F$2:$F$3548, MATCH(A1139, 'working sheet'!$D$2:$D$3548, 0)))</f>
        <v>Americano</v>
      </c>
      <c r="H1139" s="7">
        <f t="shared" si="35"/>
        <v>1</v>
      </c>
      <c r="I1139" s="7">
        <f>MAX('working sheet'!$B$2:$B$3548)-C1139</f>
        <v>53.073632812498545</v>
      </c>
      <c r="J1139" s="4" t="str">
        <f t="array" ref="J1139">IF(AND(I1139&lt;=30, D1139&gt;=10, E1139&gt;=200), "VIP",  IF(AND(I1139&lt;=60, D1139&gt;=5, E1139&gt;=100), "Loyal", IF(AND(I1139&lt;=90, D1139&gt;=3), "Regular", IF(I1139&lt;=30, "Recent", IF(D1139&gt;=3, "Occasional", "At Risk")))))</f>
        <v>At Risk</v>
      </c>
      <c r="K1139" t="str">
        <f t="array" ref="K1139">IF(OR(J1139="VIP", J1139="Loyal"), "HIGH",IF(OR(J1139="Regular", J1139="Recent"), "MEDIUM","LOW"))</f>
        <v>LOW</v>
      </c>
    </row>
    <row r="1140" spans="1:11">
      <c r="A1140" t="s">
        <v>1153</v>
      </c>
      <c r="B1140" s="14">
        <f>_xlfn.MINIFS('working sheet'!$B$2:$B$3548, 'working sheet'!$D$2:$D$3548, A1140)</f>
        <v>45686.804956689812</v>
      </c>
      <c r="C1140" s="17">
        <f>_xlfn.MAXIFS('working sheet'!$B$1:$B$3548,'working sheet'!$D$1:$D$3548,'Customer Portfolio'!A1140)</f>
        <v>45686.805957118057</v>
      </c>
      <c r="D1140">
        <f>COUNTIFS('working sheet'!$D$1:$D$3548,'Customer Portfolio'!A1140)</f>
        <v>2</v>
      </c>
      <c r="E1140" s="5">
        <f>SUMIFS('working sheet'!$E$2:$E$3548,'working sheet'!$D$2:$D$3548,'Customer Portfolio'!A1140)</f>
        <v>51.92</v>
      </c>
      <c r="F1140" s="6">
        <f t="shared" si="34"/>
        <v>25.96</v>
      </c>
      <c r="G1140" t="str">
        <f t="array" ref="G1140">IFERROR(INDEX('working sheet'!$F$2:$F$3548, MODE(IF('working sheet'!$D$2:$D$3548=A1140, MATCH('working sheet'!$F$2:$F$3548, 'working sheet'!$F$2:$F$3548, 0)))),
         INDEX('working sheet'!$F$2:$F$3548, MATCH(A1140, 'working sheet'!$D$2:$D$3548, 0)))</f>
        <v>Americano with Milk</v>
      </c>
      <c r="H1140" s="7">
        <f t="shared" si="35"/>
        <v>1.001000428244879</v>
      </c>
      <c r="I1140" s="7">
        <f>MAX('working sheet'!$B$2:$B$3548)-C1140</f>
        <v>52.952128935183282</v>
      </c>
      <c r="J1140" s="4" t="str">
        <f t="array" ref="J1140">IF(AND(I1140&lt;=30, D1140&gt;=10, E1140&gt;=200), "VIP",  IF(AND(I1140&lt;=60, D1140&gt;=5, E1140&gt;=100), "Loyal", IF(AND(I1140&lt;=90, D1140&gt;=3), "Regular", IF(I1140&lt;=30, "Recent", IF(D1140&gt;=3, "Occasional", "At Risk")))))</f>
        <v>At Risk</v>
      </c>
      <c r="K1140" t="str">
        <f t="array" ref="K1140">IF(OR(J1140="VIP", J1140="Loyal"), "HIGH",IF(OR(J1140="Regular", J1140="Recent"), "MEDIUM","LOW"))</f>
        <v>LOW</v>
      </c>
    </row>
    <row r="1141" spans="1:11">
      <c r="A1141" t="s">
        <v>1154</v>
      </c>
      <c r="B1141" s="14">
        <f>_xlfn.MINIFS('working sheet'!$B$2:$B$3548, 'working sheet'!$D$2:$D$3548, A1141)</f>
        <v>45687.529348518518</v>
      </c>
      <c r="C1141" s="17">
        <f>_xlfn.MAXIFS('working sheet'!$B$1:$B$3548,'working sheet'!$D$1:$D$3548,'Customer Portfolio'!A1141)</f>
        <v>45687.529348518518</v>
      </c>
      <c r="D1141">
        <f>COUNTIFS('working sheet'!$D$1:$D$3548,'Customer Portfolio'!A1141)</f>
        <v>1</v>
      </c>
      <c r="E1141" s="5">
        <f>SUMIFS('working sheet'!$E$2:$E$3548,'working sheet'!$D$2:$D$3548,'Customer Portfolio'!A1141)</f>
        <v>35.76</v>
      </c>
      <c r="F1141" s="6">
        <f t="shared" si="34"/>
        <v>35.76</v>
      </c>
      <c r="G1141" t="str">
        <f t="array" ref="G1141">IFERROR(INDEX('working sheet'!$F$2:$F$3548, MODE(IF('working sheet'!$D$2:$D$3548=A1141, MATCH('working sheet'!$F$2:$F$3548, 'working sheet'!$F$2:$F$3548, 0)))),
         INDEX('working sheet'!$F$2:$F$3548, MATCH(A1141, 'working sheet'!$D$2:$D$3548, 0)))</f>
        <v>Hot Chocolate</v>
      </c>
      <c r="H1141" s="7">
        <f t="shared" si="35"/>
        <v>1</v>
      </c>
      <c r="I1141" s="7">
        <f>MAX('working sheet'!$B$2:$B$3548)-C1141</f>
        <v>52.228737534722313</v>
      </c>
      <c r="J1141" s="4" t="str">
        <f t="array" ref="J1141">IF(AND(I1141&lt;=30, D1141&gt;=10, E1141&gt;=200), "VIP",  IF(AND(I1141&lt;=60, D1141&gt;=5, E1141&gt;=100), "Loyal", IF(AND(I1141&lt;=90, D1141&gt;=3), "Regular", IF(I1141&lt;=30, "Recent", IF(D1141&gt;=3, "Occasional", "At Risk")))))</f>
        <v>At Risk</v>
      </c>
      <c r="K1141" t="str">
        <f t="array" ref="K1141">IF(OR(J1141="VIP", J1141="Loyal"), "HIGH",IF(OR(J1141="Regular", J1141="Recent"), "MEDIUM","LOW"))</f>
        <v>LOW</v>
      </c>
    </row>
    <row r="1142" spans="1:11">
      <c r="A1142" t="s">
        <v>1155</v>
      </c>
      <c r="B1142" s="14">
        <f>_xlfn.MINIFS('working sheet'!$B$2:$B$3548, 'working sheet'!$D$2:$D$3548, A1142)</f>
        <v>45687.543064212965</v>
      </c>
      <c r="C1142" s="17">
        <f>_xlfn.MAXIFS('working sheet'!$B$1:$B$3548,'working sheet'!$D$1:$D$3548,'Customer Portfolio'!A1142)</f>
        <v>45687.543064212965</v>
      </c>
      <c r="D1142">
        <f>COUNTIFS('working sheet'!$D$1:$D$3548,'Customer Portfolio'!A1142)</f>
        <v>1</v>
      </c>
      <c r="E1142" s="5">
        <f>SUMIFS('working sheet'!$E$2:$E$3548,'working sheet'!$D$2:$D$3548,'Customer Portfolio'!A1142)</f>
        <v>25.96</v>
      </c>
      <c r="F1142" s="6">
        <f t="shared" si="34"/>
        <v>25.96</v>
      </c>
      <c r="G1142" t="str">
        <f t="array" ref="G1142">IFERROR(INDEX('working sheet'!$F$2:$F$3548, MODE(IF('working sheet'!$D$2:$D$3548=A1142, MATCH('working sheet'!$F$2:$F$3548, 'working sheet'!$F$2:$F$3548, 0)))),
         INDEX('working sheet'!$F$2:$F$3548, MATCH(A1142, 'working sheet'!$D$2:$D$3548, 0)))</f>
        <v>Americano</v>
      </c>
      <c r="H1142" s="7">
        <f t="shared" si="35"/>
        <v>1</v>
      </c>
      <c r="I1142" s="7">
        <f>MAX('working sheet'!$B$2:$B$3548)-C1142</f>
        <v>52.215021840274858</v>
      </c>
      <c r="J1142" s="4" t="str">
        <f t="array" ref="J1142">IF(AND(I1142&lt;=30, D1142&gt;=10, E1142&gt;=200), "VIP",  IF(AND(I1142&lt;=60, D1142&gt;=5, E1142&gt;=100), "Loyal", IF(AND(I1142&lt;=90, D1142&gt;=3), "Regular", IF(I1142&lt;=30, "Recent", IF(D1142&gt;=3, "Occasional", "At Risk")))))</f>
        <v>At Risk</v>
      </c>
      <c r="K1142" t="str">
        <f t="array" ref="K1142">IF(OR(J1142="VIP", J1142="Loyal"), "HIGH",IF(OR(J1142="Regular", J1142="Recent"), "MEDIUM","LOW"))</f>
        <v>LOW</v>
      </c>
    </row>
    <row r="1143" spans="1:11">
      <c r="A1143" t="s">
        <v>1156</v>
      </c>
      <c r="B1143" s="14">
        <f>_xlfn.MINIFS('working sheet'!$B$2:$B$3548, 'working sheet'!$D$2:$D$3548, A1143)</f>
        <v>45687.612294872684</v>
      </c>
      <c r="C1143" s="17">
        <f>_xlfn.MAXIFS('working sheet'!$B$1:$B$3548,'working sheet'!$D$1:$D$3548,'Customer Portfolio'!A1143)</f>
        <v>45687.612294872684</v>
      </c>
      <c r="D1143">
        <f>COUNTIFS('working sheet'!$D$1:$D$3548,'Customer Portfolio'!A1143)</f>
        <v>1</v>
      </c>
      <c r="E1143" s="5">
        <f>SUMIFS('working sheet'!$E$2:$E$3548,'working sheet'!$D$2:$D$3548,'Customer Portfolio'!A1143)</f>
        <v>30.86</v>
      </c>
      <c r="F1143" s="6">
        <f t="shared" si="34"/>
        <v>30.86</v>
      </c>
      <c r="G1143" t="str">
        <f t="array" ref="G1143">IFERROR(INDEX('working sheet'!$F$2:$F$3548, MODE(IF('working sheet'!$D$2:$D$3548=A1143, MATCH('working sheet'!$F$2:$F$3548, 'working sheet'!$F$2:$F$3548, 0)))),
         INDEX('working sheet'!$F$2:$F$3548, MATCH(A1143, 'working sheet'!$D$2:$D$3548, 0)))</f>
        <v>Americano with Milk</v>
      </c>
      <c r="H1143" s="7">
        <f t="shared" si="35"/>
        <v>1</v>
      </c>
      <c r="I1143" s="7">
        <f>MAX('working sheet'!$B$2:$B$3548)-C1143</f>
        <v>52.145791180555534</v>
      </c>
      <c r="J1143" s="4" t="str">
        <f t="array" ref="J1143">IF(AND(I1143&lt;=30, D1143&gt;=10, E1143&gt;=200), "VIP",  IF(AND(I1143&lt;=60, D1143&gt;=5, E1143&gt;=100), "Loyal", IF(AND(I1143&lt;=90, D1143&gt;=3), "Regular", IF(I1143&lt;=30, "Recent", IF(D1143&gt;=3, "Occasional", "At Risk")))))</f>
        <v>At Risk</v>
      </c>
      <c r="K1143" t="str">
        <f t="array" ref="K1143">IF(OR(J1143="VIP", J1143="Loyal"), "HIGH",IF(OR(J1143="Regular", J1143="Recent"), "MEDIUM","LOW"))</f>
        <v>LOW</v>
      </c>
    </row>
    <row r="1144" spans="1:11">
      <c r="A1144" t="s">
        <v>1157</v>
      </c>
      <c r="B1144" s="14">
        <f>_xlfn.MINIFS('working sheet'!$B$2:$B$3548, 'working sheet'!$D$2:$D$3548, A1144)</f>
        <v>45687.721393564818</v>
      </c>
      <c r="C1144" s="17">
        <f>_xlfn.MAXIFS('working sheet'!$B$1:$B$3548,'working sheet'!$D$1:$D$3548,'Customer Portfolio'!A1144)</f>
        <v>45687.721393564818</v>
      </c>
      <c r="D1144">
        <f>COUNTIFS('working sheet'!$D$1:$D$3548,'Customer Portfolio'!A1144)</f>
        <v>1</v>
      </c>
      <c r="E1144" s="5">
        <f>SUMIFS('working sheet'!$E$2:$E$3548,'working sheet'!$D$2:$D$3548,'Customer Portfolio'!A1144)</f>
        <v>35.76</v>
      </c>
      <c r="F1144" s="6">
        <f t="shared" si="34"/>
        <v>35.76</v>
      </c>
      <c r="G1144" t="str">
        <f t="array" ref="G1144">IFERROR(INDEX('working sheet'!$F$2:$F$3548, MODE(IF('working sheet'!$D$2:$D$3548=A1144, MATCH('working sheet'!$F$2:$F$3548, 'working sheet'!$F$2:$F$3548, 0)))),
         INDEX('working sheet'!$F$2:$F$3548, MATCH(A1144, 'working sheet'!$D$2:$D$3548, 0)))</f>
        <v>Hot Chocolate</v>
      </c>
      <c r="H1144" s="7">
        <f t="shared" si="35"/>
        <v>1</v>
      </c>
      <c r="I1144" s="7">
        <f>MAX('working sheet'!$B$2:$B$3548)-C1144</f>
        <v>52.036692488421977</v>
      </c>
      <c r="J1144" s="4" t="str">
        <f t="array" ref="J1144">IF(AND(I1144&lt;=30, D1144&gt;=10, E1144&gt;=200), "VIP",  IF(AND(I1144&lt;=60, D1144&gt;=5, E1144&gt;=100), "Loyal", IF(AND(I1144&lt;=90, D1144&gt;=3), "Regular", IF(I1144&lt;=30, "Recent", IF(D1144&gt;=3, "Occasional", "At Risk")))))</f>
        <v>At Risk</v>
      </c>
      <c r="K1144" t="str">
        <f t="array" ref="K1144">IF(OR(J1144="VIP", J1144="Loyal"), "HIGH",IF(OR(J1144="Regular", J1144="Recent"), "MEDIUM","LOW"))</f>
        <v>LOW</v>
      </c>
    </row>
    <row r="1145" spans="1:11">
      <c r="A1145" t="s">
        <v>1158</v>
      </c>
      <c r="B1145" s="14">
        <f>_xlfn.MINIFS('working sheet'!$B$2:$B$3548, 'working sheet'!$D$2:$D$3548, A1145)</f>
        <v>45687.779046967589</v>
      </c>
      <c r="C1145" s="17">
        <f>_xlfn.MAXIFS('working sheet'!$B$1:$B$3548,'working sheet'!$D$1:$D$3548,'Customer Portfolio'!A1145)</f>
        <v>45687.779046967589</v>
      </c>
      <c r="D1145">
        <f>COUNTIFS('working sheet'!$D$1:$D$3548,'Customer Portfolio'!A1145)</f>
        <v>1</v>
      </c>
      <c r="E1145" s="5">
        <f>SUMIFS('working sheet'!$E$2:$E$3548,'working sheet'!$D$2:$D$3548,'Customer Portfolio'!A1145)</f>
        <v>25.96</v>
      </c>
      <c r="F1145" s="6">
        <f t="shared" si="34"/>
        <v>25.96</v>
      </c>
      <c r="G1145" t="str">
        <f t="array" ref="G1145">IFERROR(INDEX('working sheet'!$F$2:$F$3548, MODE(IF('working sheet'!$D$2:$D$3548=A1145, MATCH('working sheet'!$F$2:$F$3548, 'working sheet'!$F$2:$F$3548, 0)))),
         INDEX('working sheet'!$F$2:$F$3548, MATCH(A1145, 'working sheet'!$D$2:$D$3548, 0)))</f>
        <v>Cortado</v>
      </c>
      <c r="H1145" s="7">
        <f t="shared" si="35"/>
        <v>1</v>
      </c>
      <c r="I1145" s="7">
        <f>MAX('working sheet'!$B$2:$B$3548)-C1145</f>
        <v>51.979039085650584</v>
      </c>
      <c r="J1145" s="4" t="str">
        <f t="array" ref="J1145">IF(AND(I1145&lt;=30, D1145&gt;=10, E1145&gt;=200), "VIP",  IF(AND(I1145&lt;=60, D1145&gt;=5, E1145&gt;=100), "Loyal", IF(AND(I1145&lt;=90, D1145&gt;=3), "Regular", IF(I1145&lt;=30, "Recent", IF(D1145&gt;=3, "Occasional", "At Risk")))))</f>
        <v>At Risk</v>
      </c>
      <c r="K1145" t="str">
        <f t="array" ref="K1145">IF(OR(J1145="VIP", J1145="Loyal"), "HIGH",IF(OR(J1145="Regular", J1145="Recent"), "MEDIUM","LOW"))</f>
        <v>LOW</v>
      </c>
    </row>
    <row r="1146" spans="1:11">
      <c r="A1146" t="s">
        <v>1159</v>
      </c>
      <c r="B1146" s="14">
        <f>_xlfn.MINIFS('working sheet'!$B$2:$B$3548, 'working sheet'!$D$2:$D$3548, A1146)</f>
        <v>45688.389015983797</v>
      </c>
      <c r="C1146" s="17">
        <f>_xlfn.MAXIFS('working sheet'!$B$1:$B$3548,'working sheet'!$D$1:$D$3548,'Customer Portfolio'!A1146)</f>
        <v>45688.389015983797</v>
      </c>
      <c r="D1146">
        <f>COUNTIFS('working sheet'!$D$1:$D$3548,'Customer Portfolio'!A1146)</f>
        <v>1</v>
      </c>
      <c r="E1146" s="5">
        <f>SUMIFS('working sheet'!$E$2:$E$3548,'working sheet'!$D$2:$D$3548,'Customer Portfolio'!A1146)</f>
        <v>35.76</v>
      </c>
      <c r="F1146" s="6">
        <f t="shared" si="34"/>
        <v>35.76</v>
      </c>
      <c r="G1146" t="str">
        <f t="array" ref="G1146">IFERROR(INDEX('working sheet'!$F$2:$F$3548, MODE(IF('working sheet'!$D$2:$D$3548=A1146, MATCH('working sheet'!$F$2:$F$3548, 'working sheet'!$F$2:$F$3548, 0)))),
         INDEX('working sheet'!$F$2:$F$3548, MATCH(A1146, 'working sheet'!$D$2:$D$3548, 0)))</f>
        <v>Cocoa</v>
      </c>
      <c r="H1146" s="7">
        <f t="shared" si="35"/>
        <v>1</v>
      </c>
      <c r="I1146" s="7">
        <f>MAX('working sheet'!$B$2:$B$3548)-C1146</f>
        <v>51.369070069442387</v>
      </c>
      <c r="J1146" s="4" t="str">
        <f t="array" ref="J1146">IF(AND(I1146&lt;=30, D1146&gt;=10, E1146&gt;=200), "VIP",  IF(AND(I1146&lt;=60, D1146&gt;=5, E1146&gt;=100), "Loyal", IF(AND(I1146&lt;=90, D1146&gt;=3), "Regular", IF(I1146&lt;=30, "Recent", IF(D1146&gt;=3, "Occasional", "At Risk")))))</f>
        <v>At Risk</v>
      </c>
      <c r="K1146" t="str">
        <f t="array" ref="K1146">IF(OR(J1146="VIP", J1146="Loyal"), "HIGH",IF(OR(J1146="Regular", J1146="Recent"), "MEDIUM","LOW"))</f>
        <v>LOW</v>
      </c>
    </row>
    <row r="1147" spans="1:11">
      <c r="A1147" t="s">
        <v>1160</v>
      </c>
      <c r="B1147" s="14">
        <f>_xlfn.MINIFS('working sheet'!$B$2:$B$3548, 'working sheet'!$D$2:$D$3548, A1147)</f>
        <v>45688.585396655093</v>
      </c>
      <c r="C1147" s="17">
        <f>_xlfn.MAXIFS('working sheet'!$B$1:$B$3548,'working sheet'!$D$1:$D$3548,'Customer Portfolio'!A1147)</f>
        <v>45688.585396655093</v>
      </c>
      <c r="D1147">
        <f>COUNTIFS('working sheet'!$D$1:$D$3548,'Customer Portfolio'!A1147)</f>
        <v>1</v>
      </c>
      <c r="E1147" s="5">
        <f>SUMIFS('working sheet'!$E$2:$E$3548,'working sheet'!$D$2:$D$3548,'Customer Portfolio'!A1147)</f>
        <v>35.76</v>
      </c>
      <c r="F1147" s="6">
        <f t="shared" si="34"/>
        <v>35.76</v>
      </c>
      <c r="G1147" t="str">
        <f t="array" ref="G1147">IFERROR(INDEX('working sheet'!$F$2:$F$3548, MODE(IF('working sheet'!$D$2:$D$3548=A1147, MATCH('working sheet'!$F$2:$F$3548, 'working sheet'!$F$2:$F$3548, 0)))),
         INDEX('working sheet'!$F$2:$F$3548, MATCH(A1147, 'working sheet'!$D$2:$D$3548, 0)))</f>
        <v>Cappuccino</v>
      </c>
      <c r="H1147" s="7">
        <f t="shared" si="35"/>
        <v>1</v>
      </c>
      <c r="I1147" s="7">
        <f>MAX('working sheet'!$B$2:$B$3548)-C1147</f>
        <v>51.172689398146758</v>
      </c>
      <c r="J1147" s="4" t="str">
        <f t="array" ref="J1147">IF(AND(I1147&lt;=30, D1147&gt;=10, E1147&gt;=200), "VIP",  IF(AND(I1147&lt;=60, D1147&gt;=5, E1147&gt;=100), "Loyal", IF(AND(I1147&lt;=90, D1147&gt;=3), "Regular", IF(I1147&lt;=30, "Recent", IF(D1147&gt;=3, "Occasional", "At Risk")))))</f>
        <v>At Risk</v>
      </c>
      <c r="K1147" t="str">
        <f t="array" ref="K1147">IF(OR(J1147="VIP", J1147="Loyal"), "HIGH",IF(OR(J1147="Regular", J1147="Recent"), "MEDIUM","LOW"))</f>
        <v>LOW</v>
      </c>
    </row>
    <row r="1148" spans="1:11">
      <c r="A1148" t="s">
        <v>1161</v>
      </c>
      <c r="B1148" s="14">
        <f>_xlfn.MINIFS('working sheet'!$B$2:$B$3548, 'working sheet'!$D$2:$D$3548, A1148)</f>
        <v>45688.941653275462</v>
      </c>
      <c r="C1148" s="17">
        <f>_xlfn.MAXIFS('working sheet'!$B$1:$B$3548,'working sheet'!$D$1:$D$3548,'Customer Portfolio'!A1148)</f>
        <v>45688.941653275462</v>
      </c>
      <c r="D1148">
        <f>COUNTIFS('working sheet'!$D$1:$D$3548,'Customer Portfolio'!A1148)</f>
        <v>1</v>
      </c>
      <c r="E1148" s="5">
        <f>SUMIFS('working sheet'!$E$2:$E$3548,'working sheet'!$D$2:$D$3548,'Customer Portfolio'!A1148)</f>
        <v>30.86</v>
      </c>
      <c r="F1148" s="6">
        <f t="shared" si="34"/>
        <v>30.86</v>
      </c>
      <c r="G1148" t="str">
        <f t="array" ref="G1148">IFERROR(INDEX('working sheet'!$F$2:$F$3548, MODE(IF('working sheet'!$D$2:$D$3548=A1148, MATCH('working sheet'!$F$2:$F$3548, 'working sheet'!$F$2:$F$3548, 0)))),
         INDEX('working sheet'!$F$2:$F$3548, MATCH(A1148, 'working sheet'!$D$2:$D$3548, 0)))</f>
        <v>Americano with Milk</v>
      </c>
      <c r="H1148" s="7">
        <f t="shared" si="35"/>
        <v>1</v>
      </c>
      <c r="I1148" s="7">
        <f>MAX('working sheet'!$B$2:$B$3548)-C1148</f>
        <v>50.816432777777663</v>
      </c>
      <c r="J1148" s="4" t="str">
        <f t="array" ref="J1148">IF(AND(I1148&lt;=30, D1148&gt;=10, E1148&gt;=200), "VIP",  IF(AND(I1148&lt;=60, D1148&gt;=5, E1148&gt;=100), "Loyal", IF(AND(I1148&lt;=90, D1148&gt;=3), "Regular", IF(I1148&lt;=30, "Recent", IF(D1148&gt;=3, "Occasional", "At Risk")))))</f>
        <v>At Risk</v>
      </c>
      <c r="K1148" t="str">
        <f t="array" ref="K1148">IF(OR(J1148="VIP", J1148="Loyal"), "HIGH",IF(OR(J1148="Regular", J1148="Recent"), "MEDIUM","LOW"))</f>
        <v>LOW</v>
      </c>
    </row>
    <row r="1149" spans="1:11">
      <c r="A1149" t="s">
        <v>1162</v>
      </c>
      <c r="B1149" s="14">
        <f>_xlfn.MINIFS('working sheet'!$B$2:$B$3548, 'working sheet'!$D$2:$D$3548, A1149)</f>
        <v>45688.942384618058</v>
      </c>
      <c r="C1149" s="17">
        <f>_xlfn.MAXIFS('working sheet'!$B$1:$B$3548,'working sheet'!$D$1:$D$3548,'Customer Portfolio'!A1149)</f>
        <v>45688.942384618058</v>
      </c>
      <c r="D1149">
        <f>COUNTIFS('working sheet'!$D$1:$D$3548,'Customer Portfolio'!A1149)</f>
        <v>1</v>
      </c>
      <c r="E1149" s="5">
        <f>SUMIFS('working sheet'!$E$2:$E$3548,'working sheet'!$D$2:$D$3548,'Customer Portfolio'!A1149)</f>
        <v>25.96</v>
      </c>
      <c r="F1149" s="6">
        <f t="shared" si="34"/>
        <v>25.96</v>
      </c>
      <c r="G1149" t="str">
        <f t="array" ref="G1149">IFERROR(INDEX('working sheet'!$F$2:$F$3548, MODE(IF('working sheet'!$D$2:$D$3548=A1149, MATCH('working sheet'!$F$2:$F$3548, 'working sheet'!$F$2:$F$3548, 0)))),
         INDEX('working sheet'!$F$2:$F$3548, MATCH(A1149, 'working sheet'!$D$2:$D$3548, 0)))</f>
        <v>Americano</v>
      </c>
      <c r="H1149" s="7">
        <f t="shared" si="35"/>
        <v>1</v>
      </c>
      <c r="I1149" s="7">
        <f>MAX('working sheet'!$B$2:$B$3548)-C1149</f>
        <v>50.815701435181836</v>
      </c>
      <c r="J1149" s="4" t="str">
        <f t="array" ref="J1149">IF(AND(I1149&lt;=30, D1149&gt;=10, E1149&gt;=200), "VIP",  IF(AND(I1149&lt;=60, D1149&gt;=5, E1149&gt;=100), "Loyal", IF(AND(I1149&lt;=90, D1149&gt;=3), "Regular", IF(I1149&lt;=30, "Recent", IF(D1149&gt;=3, "Occasional", "At Risk")))))</f>
        <v>At Risk</v>
      </c>
      <c r="K1149" t="str">
        <f t="array" ref="K1149">IF(OR(J1149="VIP", J1149="Loyal"), "HIGH",IF(OR(J1149="Regular", J1149="Recent"), "MEDIUM","LOW"))</f>
        <v>LOW</v>
      </c>
    </row>
    <row r="1150" spans="1:11">
      <c r="A1150" t="s">
        <v>1163</v>
      </c>
      <c r="B1150" s="14">
        <f>_xlfn.MINIFS('working sheet'!$B$2:$B$3548, 'working sheet'!$D$2:$D$3548, A1150)</f>
        <v>45689.607857303243</v>
      </c>
      <c r="C1150" s="17">
        <f>_xlfn.MAXIFS('working sheet'!$B$1:$B$3548,'working sheet'!$D$1:$D$3548,'Customer Portfolio'!A1150)</f>
        <v>45689.608525578704</v>
      </c>
      <c r="D1150">
        <f>COUNTIFS('working sheet'!$D$1:$D$3548,'Customer Portfolio'!A1150)</f>
        <v>2</v>
      </c>
      <c r="E1150" s="5">
        <f>SUMIFS('working sheet'!$E$2:$E$3548,'working sheet'!$D$2:$D$3548,'Customer Portfolio'!A1150)</f>
        <v>71.52</v>
      </c>
      <c r="F1150" s="6">
        <f t="shared" si="34"/>
        <v>35.76</v>
      </c>
      <c r="G1150" t="str">
        <f t="array" ref="G1150">IFERROR(INDEX('working sheet'!$F$2:$F$3548, MODE(IF('working sheet'!$D$2:$D$3548=A1150, MATCH('working sheet'!$F$2:$F$3548, 'working sheet'!$F$2:$F$3548, 0)))),
         INDEX('working sheet'!$F$2:$F$3548, MATCH(A1150, 'working sheet'!$D$2:$D$3548, 0)))</f>
        <v>Cappuccino</v>
      </c>
      <c r="H1150" s="7">
        <f t="shared" si="35"/>
        <v>1.0006682754610665</v>
      </c>
      <c r="I1150" s="7">
        <f>MAX('working sheet'!$B$2:$B$3548)-C1150</f>
        <v>50.149560474535974</v>
      </c>
      <c r="J1150" s="4" t="str">
        <f t="array" ref="J1150">IF(AND(I1150&lt;=30, D1150&gt;=10, E1150&gt;=200), "VIP",  IF(AND(I1150&lt;=60, D1150&gt;=5, E1150&gt;=100), "Loyal", IF(AND(I1150&lt;=90, D1150&gt;=3), "Regular", IF(I1150&lt;=30, "Recent", IF(D1150&gt;=3, "Occasional", "At Risk")))))</f>
        <v>At Risk</v>
      </c>
      <c r="K1150" t="str">
        <f t="array" ref="K1150">IF(OR(J1150="VIP", J1150="Loyal"), "HIGH",IF(OR(J1150="Regular", J1150="Recent"), "MEDIUM","LOW"))</f>
        <v>LOW</v>
      </c>
    </row>
    <row r="1151" spans="1:11">
      <c r="A1151" t="s">
        <v>1164</v>
      </c>
      <c r="B1151" s="14">
        <f>_xlfn.MINIFS('working sheet'!$B$2:$B$3548, 'working sheet'!$D$2:$D$3548, A1151)</f>
        <v>45690.537872395835</v>
      </c>
      <c r="C1151" s="17">
        <f>_xlfn.MAXIFS('working sheet'!$B$1:$B$3548,'working sheet'!$D$1:$D$3548,'Customer Portfolio'!A1151)</f>
        <v>45690.537872395835</v>
      </c>
      <c r="D1151">
        <f>COUNTIFS('working sheet'!$D$1:$D$3548,'Customer Portfolio'!A1151)</f>
        <v>1</v>
      </c>
      <c r="E1151" s="5">
        <f>SUMIFS('working sheet'!$E$2:$E$3548,'working sheet'!$D$2:$D$3548,'Customer Portfolio'!A1151)</f>
        <v>35.76</v>
      </c>
      <c r="F1151" s="6">
        <f t="shared" si="34"/>
        <v>35.76</v>
      </c>
      <c r="G1151" t="str">
        <f t="array" ref="G1151">IFERROR(INDEX('working sheet'!$F$2:$F$3548, MODE(IF('working sheet'!$D$2:$D$3548=A1151, MATCH('working sheet'!$F$2:$F$3548, 'working sheet'!$F$2:$F$3548, 0)))),
         INDEX('working sheet'!$F$2:$F$3548, MATCH(A1151, 'working sheet'!$D$2:$D$3548, 0)))</f>
        <v>Latte</v>
      </c>
      <c r="H1151" s="7">
        <f t="shared" si="35"/>
        <v>1</v>
      </c>
      <c r="I1151" s="7">
        <f>MAX('working sheet'!$B$2:$B$3548)-C1151</f>
        <v>49.220213657405111</v>
      </c>
      <c r="J1151" s="4" t="str">
        <f t="array" ref="J1151">IF(AND(I1151&lt;=30, D1151&gt;=10, E1151&gt;=200), "VIP",  IF(AND(I1151&lt;=60, D1151&gt;=5, E1151&gt;=100), "Loyal", IF(AND(I1151&lt;=90, D1151&gt;=3), "Regular", IF(I1151&lt;=30, "Recent", IF(D1151&gt;=3, "Occasional", "At Risk")))))</f>
        <v>At Risk</v>
      </c>
      <c r="K1151" t="str">
        <f t="array" ref="K1151">IF(OR(J1151="VIP", J1151="Loyal"), "HIGH",IF(OR(J1151="Regular", J1151="Recent"), "MEDIUM","LOW"))</f>
        <v>LOW</v>
      </c>
    </row>
    <row r="1152" spans="1:11">
      <c r="A1152" t="s">
        <v>1165</v>
      </c>
      <c r="B1152" s="14">
        <f>_xlfn.MINIFS('working sheet'!$B$2:$B$3548, 'working sheet'!$D$2:$D$3548, A1152)</f>
        <v>45690.538942743056</v>
      </c>
      <c r="C1152" s="17">
        <f>_xlfn.MAXIFS('working sheet'!$B$1:$B$3548,'working sheet'!$D$1:$D$3548,'Customer Portfolio'!A1152)</f>
        <v>45690.538942743056</v>
      </c>
      <c r="D1152">
        <f>COUNTIFS('working sheet'!$D$1:$D$3548,'Customer Portfolio'!A1152)</f>
        <v>1</v>
      </c>
      <c r="E1152" s="5">
        <f>SUMIFS('working sheet'!$E$2:$E$3548,'working sheet'!$D$2:$D$3548,'Customer Portfolio'!A1152)</f>
        <v>35.76</v>
      </c>
      <c r="F1152" s="6">
        <f t="shared" si="34"/>
        <v>35.76</v>
      </c>
      <c r="G1152" t="str">
        <f t="array" ref="G1152">IFERROR(INDEX('working sheet'!$F$2:$F$3548, MODE(IF('working sheet'!$D$2:$D$3548=A1152, MATCH('working sheet'!$F$2:$F$3548, 'working sheet'!$F$2:$F$3548, 0)))),
         INDEX('working sheet'!$F$2:$F$3548, MATCH(A1152, 'working sheet'!$D$2:$D$3548, 0)))</f>
        <v>Latte</v>
      </c>
      <c r="H1152" s="7">
        <f t="shared" si="35"/>
        <v>1</v>
      </c>
      <c r="I1152" s="7">
        <f>MAX('working sheet'!$B$2:$B$3548)-C1152</f>
        <v>49.219143310183426</v>
      </c>
      <c r="J1152" s="4" t="str">
        <f t="array" ref="J1152">IF(AND(I1152&lt;=30, D1152&gt;=10, E1152&gt;=200), "VIP",  IF(AND(I1152&lt;=60, D1152&gt;=5, E1152&gt;=100), "Loyal", IF(AND(I1152&lt;=90, D1152&gt;=3), "Regular", IF(I1152&lt;=30, "Recent", IF(D1152&gt;=3, "Occasional", "At Risk")))))</f>
        <v>At Risk</v>
      </c>
      <c r="K1152" t="str">
        <f t="array" ref="K1152">IF(OR(J1152="VIP", J1152="Loyal"), "HIGH",IF(OR(J1152="Regular", J1152="Recent"), "MEDIUM","LOW"))</f>
        <v>LOW</v>
      </c>
    </row>
    <row r="1153" spans="1:11">
      <c r="A1153" t="s">
        <v>1166</v>
      </c>
      <c r="B1153" s="14">
        <f>_xlfn.MINIFS('working sheet'!$B$2:$B$3548, 'working sheet'!$D$2:$D$3548, A1153)</f>
        <v>45690.69927341435</v>
      </c>
      <c r="C1153" s="17">
        <f>_xlfn.MAXIFS('working sheet'!$B$1:$B$3548,'working sheet'!$D$1:$D$3548,'Customer Portfolio'!A1153)</f>
        <v>45738.437608831016</v>
      </c>
      <c r="D1153">
        <f>COUNTIFS('working sheet'!$D$1:$D$3548,'Customer Portfolio'!A1153)</f>
        <v>23</v>
      </c>
      <c r="E1153" s="5">
        <f>SUMIFS('working sheet'!$E$2:$E$3548,'working sheet'!$D$2:$D$3548,'Customer Portfolio'!A1153)</f>
        <v>665.68000000000006</v>
      </c>
      <c r="F1153" s="6">
        <f t="shared" si="34"/>
        <v>28.942608695652176</v>
      </c>
      <c r="G1153" t="str">
        <f t="array" ref="G1153">IFERROR(INDEX('working sheet'!$F$2:$F$3548, MODE(IF('working sheet'!$D$2:$D$3548=A1153, MATCH('working sheet'!$F$2:$F$3548, 'working sheet'!$F$2:$F$3548, 0)))),
         INDEX('working sheet'!$F$2:$F$3548, MATCH(A1153, 'working sheet'!$D$2:$D$3548, 0)))</f>
        <v>Americano</v>
      </c>
      <c r="H1153" s="7">
        <f t="shared" si="35"/>
        <v>48.738335416666814</v>
      </c>
      <c r="I1153" s="7">
        <f>MAX('working sheet'!$B$2:$B$3548)-C1153</f>
        <v>1.3204772222234169</v>
      </c>
      <c r="J1153" s="4" t="str">
        <f t="array" ref="J1153">IF(AND(I1153&lt;=30, D1153&gt;=10, E1153&gt;=200), "VIP",  IF(AND(I1153&lt;=60, D1153&gt;=5, E1153&gt;=100), "Loyal", IF(AND(I1153&lt;=90, D1153&gt;=3), "Regular", IF(I1153&lt;=30, "Recent", IF(D1153&gt;=3, "Occasional", "At Risk")))))</f>
        <v>VIP</v>
      </c>
      <c r="K1153" t="str">
        <f t="array" ref="K1153">IF(OR(J1153="VIP", J1153="Loyal"), "HIGH",IF(OR(J1153="Regular", J1153="Recent"), "MEDIUM","LOW"))</f>
        <v>HIGH</v>
      </c>
    </row>
    <row r="1154" spans="1:11">
      <c r="A1154" t="s">
        <v>1167</v>
      </c>
      <c r="B1154" s="14">
        <f>_xlfn.MINIFS('working sheet'!$B$2:$B$3548, 'working sheet'!$D$2:$D$3548, A1154)</f>
        <v>45691.339687118052</v>
      </c>
      <c r="C1154" s="17">
        <f>_xlfn.MAXIFS('working sheet'!$B$1:$B$3548,'working sheet'!$D$1:$D$3548,'Customer Portfolio'!A1154)</f>
        <v>45733.377071226852</v>
      </c>
      <c r="D1154">
        <f>COUNTIFS('working sheet'!$D$1:$D$3548,'Customer Portfolio'!A1154)</f>
        <v>11</v>
      </c>
      <c r="E1154" s="5">
        <f>SUMIFS('working sheet'!$E$2:$E$3548,'working sheet'!$D$2:$D$3548,'Customer Portfolio'!A1154)</f>
        <v>344.36000000000007</v>
      </c>
      <c r="F1154" s="6">
        <f t="shared" si="34"/>
        <v>31.305454545454552</v>
      </c>
      <c r="G1154" t="str">
        <f t="array" ref="G1154">IFERROR(INDEX('working sheet'!$F$2:$F$3548, MODE(IF('working sheet'!$D$2:$D$3548=A1154, MATCH('working sheet'!$F$2:$F$3548, 'working sheet'!$F$2:$F$3548, 0)))),
         INDEX('working sheet'!$F$2:$F$3548, MATCH(A1154, 'working sheet'!$D$2:$D$3548, 0)))</f>
        <v>Americano with Milk</v>
      </c>
      <c r="H1154" s="7">
        <f t="shared" si="35"/>
        <v>43.037384108800325</v>
      </c>
      <c r="I1154" s="7">
        <f>MAX('working sheet'!$B$2:$B$3548)-C1154</f>
        <v>6.3810148263873998</v>
      </c>
      <c r="J1154" s="4" t="str">
        <f t="array" ref="J1154">IF(AND(I1154&lt;=30, D1154&gt;=10, E1154&gt;=200), "VIP",  IF(AND(I1154&lt;=60, D1154&gt;=5, E1154&gt;=100), "Loyal", IF(AND(I1154&lt;=90, D1154&gt;=3), "Regular", IF(I1154&lt;=30, "Recent", IF(D1154&gt;=3, "Occasional", "At Risk")))))</f>
        <v>VIP</v>
      </c>
      <c r="K1154" t="str">
        <f t="array" ref="K1154">IF(OR(J1154="VIP", J1154="Loyal"), "HIGH",IF(OR(J1154="Regular", J1154="Recent"), "MEDIUM","LOW"))</f>
        <v>HIGH</v>
      </c>
    </row>
    <row r="1155" spans="1:11">
      <c r="A1155" t="s">
        <v>1168</v>
      </c>
      <c r="B1155" s="14">
        <f>_xlfn.MINIFS('working sheet'!$B$2:$B$3548, 'working sheet'!$D$2:$D$3548, A1155)</f>
        <v>45691.427529745371</v>
      </c>
      <c r="C1155" s="17">
        <f>_xlfn.MAXIFS('working sheet'!$B$1:$B$3548,'working sheet'!$D$1:$D$3548,'Customer Portfolio'!A1155)</f>
        <v>45691.427529745371</v>
      </c>
      <c r="D1155">
        <f>COUNTIFS('working sheet'!$D$1:$D$3548,'Customer Portfolio'!A1155)</f>
        <v>1</v>
      </c>
      <c r="E1155" s="5">
        <f>SUMIFS('working sheet'!$E$2:$E$3548,'working sheet'!$D$2:$D$3548,'Customer Portfolio'!A1155)</f>
        <v>25.96</v>
      </c>
      <c r="F1155" s="6">
        <f t="shared" ref="F1155:F1218" si="36">E1155/D1155</f>
        <v>25.96</v>
      </c>
      <c r="G1155" t="str">
        <f t="array" ref="G1155">IFERROR(INDEX('working sheet'!$F$2:$F$3548, MODE(IF('working sheet'!$D$2:$D$3548=A1155, MATCH('working sheet'!$F$2:$F$3548, 'working sheet'!$F$2:$F$3548, 0)))),
         INDEX('working sheet'!$F$2:$F$3548, MATCH(A1155, 'working sheet'!$D$2:$D$3548, 0)))</f>
        <v>Americano</v>
      </c>
      <c r="H1155" s="7">
        <f t="shared" ref="H1155:H1218" si="37">C1155-B1155+1</f>
        <v>1</v>
      </c>
      <c r="I1155" s="7">
        <f>MAX('working sheet'!$B$2:$B$3548)-C1155</f>
        <v>48.330556307868392</v>
      </c>
      <c r="J1155" s="4" t="str">
        <f t="array" ref="J1155">IF(AND(I1155&lt;=30, D1155&gt;=10, E1155&gt;=200), "VIP",  IF(AND(I1155&lt;=60, D1155&gt;=5, E1155&gt;=100), "Loyal", IF(AND(I1155&lt;=90, D1155&gt;=3), "Regular", IF(I1155&lt;=30, "Recent", IF(D1155&gt;=3, "Occasional", "At Risk")))))</f>
        <v>At Risk</v>
      </c>
      <c r="K1155" t="str">
        <f t="array" ref="K1155">IF(OR(J1155="VIP", J1155="Loyal"), "HIGH",IF(OR(J1155="Regular", J1155="Recent"), "MEDIUM","LOW"))</f>
        <v>LOW</v>
      </c>
    </row>
    <row r="1156" spans="1:11">
      <c r="A1156" t="s">
        <v>1169</v>
      </c>
      <c r="B1156" s="14">
        <f>_xlfn.MINIFS('working sheet'!$B$2:$B$3548, 'working sheet'!$D$2:$D$3548, A1156)</f>
        <v>45691.432157592593</v>
      </c>
      <c r="C1156" s="17">
        <f>_xlfn.MAXIFS('working sheet'!$B$1:$B$3548,'working sheet'!$D$1:$D$3548,'Customer Portfolio'!A1156)</f>
        <v>45723.423587164354</v>
      </c>
      <c r="D1156">
        <f>COUNTIFS('working sheet'!$D$1:$D$3548,'Customer Portfolio'!A1156)</f>
        <v>3</v>
      </c>
      <c r="E1156" s="5">
        <f>SUMIFS('working sheet'!$E$2:$E$3548,'working sheet'!$D$2:$D$3548,'Customer Portfolio'!A1156)</f>
        <v>107.28</v>
      </c>
      <c r="F1156" s="6">
        <f t="shared" si="36"/>
        <v>35.76</v>
      </c>
      <c r="G1156" t="str">
        <f t="array" ref="G1156">IFERROR(INDEX('working sheet'!$F$2:$F$3548, MODE(IF('working sheet'!$D$2:$D$3548=A1156, MATCH('working sheet'!$F$2:$F$3548, 'working sheet'!$F$2:$F$3548, 0)))),
         INDEX('working sheet'!$F$2:$F$3548, MATCH(A1156, 'working sheet'!$D$2:$D$3548, 0)))</f>
        <v>Hot Chocolate</v>
      </c>
      <c r="H1156" s="7">
        <f t="shared" si="37"/>
        <v>32.991429571760818</v>
      </c>
      <c r="I1156" s="7">
        <f>MAX('working sheet'!$B$2:$B$3548)-C1156</f>
        <v>16.334498888885719</v>
      </c>
      <c r="J1156" s="4" t="str">
        <f t="array" ref="J1156">IF(AND(I1156&lt;=30, D1156&gt;=10, E1156&gt;=200), "VIP",  IF(AND(I1156&lt;=60, D1156&gt;=5, E1156&gt;=100), "Loyal", IF(AND(I1156&lt;=90, D1156&gt;=3), "Regular", IF(I1156&lt;=30, "Recent", IF(D1156&gt;=3, "Occasional", "At Risk")))))</f>
        <v>Regular</v>
      </c>
      <c r="K1156" t="str">
        <f t="array" ref="K1156">IF(OR(J1156="VIP", J1156="Loyal"), "HIGH",IF(OR(J1156="Regular", J1156="Recent"), "MEDIUM","LOW"))</f>
        <v>MEDIUM</v>
      </c>
    </row>
    <row r="1157" spans="1:11">
      <c r="A1157" t="s">
        <v>1170</v>
      </c>
      <c r="B1157" s="14">
        <f>_xlfn.MINIFS('working sheet'!$B$2:$B$3548, 'working sheet'!$D$2:$D$3548, A1157)</f>
        <v>45691.451373263888</v>
      </c>
      <c r="C1157" s="17">
        <f>_xlfn.MAXIFS('working sheet'!$B$1:$B$3548,'working sheet'!$D$1:$D$3548,'Customer Portfolio'!A1157)</f>
        <v>45716.68226134259</v>
      </c>
      <c r="D1157">
        <f>COUNTIFS('working sheet'!$D$1:$D$3548,'Customer Portfolio'!A1157)</f>
        <v>10</v>
      </c>
      <c r="E1157" s="5">
        <f>SUMIFS('working sheet'!$E$2:$E$3548,'working sheet'!$D$2:$D$3548,'Customer Portfolio'!A1157)</f>
        <v>337.99999999999994</v>
      </c>
      <c r="F1157" s="6">
        <f t="shared" si="36"/>
        <v>33.799999999999997</v>
      </c>
      <c r="G1157" t="str">
        <f t="array" ref="G1157">IFERROR(INDEX('working sheet'!$F$2:$F$3548, MODE(IF('working sheet'!$D$2:$D$3548=A1157, MATCH('working sheet'!$F$2:$F$3548, 'working sheet'!$F$2:$F$3548, 0)))),
         INDEX('working sheet'!$F$2:$F$3548, MATCH(A1157, 'working sheet'!$D$2:$D$3548, 0)))</f>
        <v>Americano with Milk</v>
      </c>
      <c r="H1157" s="7">
        <f t="shared" si="37"/>
        <v>26.230888078702264</v>
      </c>
      <c r="I1157" s="7">
        <f>MAX('working sheet'!$B$2:$B$3548)-C1157</f>
        <v>23.075824710649613</v>
      </c>
      <c r="J1157" s="4" t="str">
        <f t="array" ref="J1157">IF(AND(I1157&lt;=30, D1157&gt;=10, E1157&gt;=200), "VIP",  IF(AND(I1157&lt;=60, D1157&gt;=5, E1157&gt;=100), "Loyal", IF(AND(I1157&lt;=90, D1157&gt;=3), "Regular", IF(I1157&lt;=30, "Recent", IF(D1157&gt;=3, "Occasional", "At Risk")))))</f>
        <v>VIP</v>
      </c>
      <c r="K1157" t="str">
        <f t="array" ref="K1157">IF(OR(J1157="VIP", J1157="Loyal"), "HIGH",IF(OR(J1157="Regular", J1157="Recent"), "MEDIUM","LOW"))</f>
        <v>HIGH</v>
      </c>
    </row>
    <row r="1158" spans="1:11">
      <c r="A1158" t="s">
        <v>1171</v>
      </c>
      <c r="B1158" s="14">
        <f>_xlfn.MINIFS('working sheet'!$B$2:$B$3548, 'working sheet'!$D$2:$D$3548, A1158)</f>
        <v>45691.559051724536</v>
      </c>
      <c r="C1158" s="17">
        <f>_xlfn.MAXIFS('working sheet'!$B$1:$B$3548,'working sheet'!$D$1:$D$3548,'Customer Portfolio'!A1158)</f>
        <v>45727.789492037038</v>
      </c>
      <c r="D1158">
        <f>COUNTIFS('working sheet'!$D$1:$D$3548,'Customer Portfolio'!A1158)</f>
        <v>10</v>
      </c>
      <c r="E1158" s="5">
        <f>SUMIFS('working sheet'!$E$2:$E$3548,'working sheet'!$D$2:$D$3548,'Customer Portfolio'!A1158)</f>
        <v>313.50000000000006</v>
      </c>
      <c r="F1158" s="6">
        <f t="shared" si="36"/>
        <v>31.350000000000005</v>
      </c>
      <c r="G1158" t="str">
        <f t="array" ref="G1158">IFERROR(INDEX('working sheet'!$F$2:$F$3548, MODE(IF('working sheet'!$D$2:$D$3548=A1158, MATCH('working sheet'!$F$2:$F$3548, 'working sheet'!$F$2:$F$3548, 0)))),
         INDEX('working sheet'!$F$2:$F$3548, MATCH(A1158, 'working sheet'!$D$2:$D$3548, 0)))</f>
        <v>Americano with Milk</v>
      </c>
      <c r="H1158" s="7">
        <f t="shared" si="37"/>
        <v>37.230440312501742</v>
      </c>
      <c r="I1158" s="7">
        <f>MAX('working sheet'!$B$2:$B$3548)-C1158</f>
        <v>11.968594016201678</v>
      </c>
      <c r="J1158" s="4" t="str">
        <f t="array" ref="J1158">IF(AND(I1158&lt;=30, D1158&gt;=10, E1158&gt;=200), "VIP",  IF(AND(I1158&lt;=60, D1158&gt;=5, E1158&gt;=100), "Loyal", IF(AND(I1158&lt;=90, D1158&gt;=3), "Regular", IF(I1158&lt;=30, "Recent", IF(D1158&gt;=3, "Occasional", "At Risk")))))</f>
        <v>VIP</v>
      </c>
      <c r="K1158" t="str">
        <f t="array" ref="K1158">IF(OR(J1158="VIP", J1158="Loyal"), "HIGH",IF(OR(J1158="Regular", J1158="Recent"), "MEDIUM","LOW"))</f>
        <v>HIGH</v>
      </c>
    </row>
    <row r="1159" spans="1:11">
      <c r="A1159" t="s">
        <v>1172</v>
      </c>
      <c r="B1159" s="14">
        <f>_xlfn.MINIFS('working sheet'!$B$2:$B$3548, 'working sheet'!$D$2:$D$3548, A1159)</f>
        <v>45691.56451009259</v>
      </c>
      <c r="C1159" s="17">
        <f>_xlfn.MAXIFS('working sheet'!$B$1:$B$3548,'working sheet'!$D$1:$D$3548,'Customer Portfolio'!A1159)</f>
        <v>45739.440913124999</v>
      </c>
      <c r="D1159">
        <f>COUNTIFS('working sheet'!$D$1:$D$3548,'Customer Portfolio'!A1159)</f>
        <v>20</v>
      </c>
      <c r="E1159" s="5">
        <f>SUMIFS('working sheet'!$E$2:$E$3548,'working sheet'!$D$2:$D$3548,'Customer Portfolio'!A1159)</f>
        <v>715.19999999999993</v>
      </c>
      <c r="F1159" s="6">
        <f t="shared" si="36"/>
        <v>35.76</v>
      </c>
      <c r="G1159" t="str">
        <f t="array" ref="G1159">IFERROR(INDEX('working sheet'!$F$2:$F$3548, MODE(IF('working sheet'!$D$2:$D$3548=A1159, MATCH('working sheet'!$F$2:$F$3548, 'working sheet'!$F$2:$F$3548, 0)))),
         INDEX('working sheet'!$F$2:$F$3548, MATCH(A1159, 'working sheet'!$D$2:$D$3548, 0)))</f>
        <v>Cappuccino</v>
      </c>
      <c r="H1159" s="7">
        <f t="shared" si="37"/>
        <v>48.876403032409144</v>
      </c>
      <c r="I1159" s="7">
        <f>MAX('working sheet'!$B$2:$B$3548)-C1159</f>
        <v>0.31717292824032484</v>
      </c>
      <c r="J1159" s="4" t="str">
        <f t="array" ref="J1159">IF(AND(I1159&lt;=30, D1159&gt;=10, E1159&gt;=200), "VIP",  IF(AND(I1159&lt;=60, D1159&gt;=5, E1159&gt;=100), "Loyal", IF(AND(I1159&lt;=90, D1159&gt;=3), "Regular", IF(I1159&lt;=30, "Recent", IF(D1159&gt;=3, "Occasional", "At Risk")))))</f>
        <v>VIP</v>
      </c>
      <c r="K1159" t="str">
        <f t="array" ref="K1159">IF(OR(J1159="VIP", J1159="Loyal"), "HIGH",IF(OR(J1159="Regular", J1159="Recent"), "MEDIUM","LOW"))</f>
        <v>HIGH</v>
      </c>
    </row>
    <row r="1160" spans="1:11">
      <c r="A1160" t="s">
        <v>1173</v>
      </c>
      <c r="B1160" s="14">
        <f>_xlfn.MINIFS('working sheet'!$B$2:$B$3548, 'working sheet'!$D$2:$D$3548, A1160)</f>
        <v>45691.57712130787</v>
      </c>
      <c r="C1160" s="17">
        <f>_xlfn.MAXIFS('working sheet'!$B$1:$B$3548,'working sheet'!$D$1:$D$3548,'Customer Portfolio'!A1160)</f>
        <v>45691.57712130787</v>
      </c>
      <c r="D1160">
        <f>COUNTIFS('working sheet'!$D$1:$D$3548,'Customer Portfolio'!A1160)</f>
        <v>1</v>
      </c>
      <c r="E1160" s="5">
        <f>SUMIFS('working sheet'!$E$2:$E$3548,'working sheet'!$D$2:$D$3548,'Customer Portfolio'!A1160)</f>
        <v>25.96</v>
      </c>
      <c r="F1160" s="6">
        <f t="shared" si="36"/>
        <v>25.96</v>
      </c>
      <c r="G1160" t="str">
        <f t="array" ref="G1160">IFERROR(INDEX('working sheet'!$F$2:$F$3548, MODE(IF('working sheet'!$D$2:$D$3548=A1160, MATCH('working sheet'!$F$2:$F$3548, 'working sheet'!$F$2:$F$3548, 0)))),
         INDEX('working sheet'!$F$2:$F$3548, MATCH(A1160, 'working sheet'!$D$2:$D$3548, 0)))</f>
        <v>Americano</v>
      </c>
      <c r="H1160" s="7">
        <f t="shared" si="37"/>
        <v>1</v>
      </c>
      <c r="I1160" s="7">
        <f>MAX('working sheet'!$B$2:$B$3548)-C1160</f>
        <v>48.180964745370147</v>
      </c>
      <c r="J1160" s="4" t="str">
        <f t="array" ref="J1160">IF(AND(I1160&lt;=30, D1160&gt;=10, E1160&gt;=200), "VIP",  IF(AND(I1160&lt;=60, D1160&gt;=5, E1160&gt;=100), "Loyal", IF(AND(I1160&lt;=90, D1160&gt;=3), "Regular", IF(I1160&lt;=30, "Recent", IF(D1160&gt;=3, "Occasional", "At Risk")))))</f>
        <v>At Risk</v>
      </c>
      <c r="K1160" t="str">
        <f t="array" ref="K1160">IF(OR(J1160="VIP", J1160="Loyal"), "HIGH",IF(OR(J1160="Regular", J1160="Recent"), "MEDIUM","LOW"))</f>
        <v>LOW</v>
      </c>
    </row>
    <row r="1161" spans="1:11">
      <c r="A1161" t="s">
        <v>1174</v>
      </c>
      <c r="B1161" s="14">
        <f>_xlfn.MINIFS('working sheet'!$B$2:$B$3548, 'working sheet'!$D$2:$D$3548, A1161)</f>
        <v>45691.587922673614</v>
      </c>
      <c r="C1161" s="17">
        <f>_xlfn.MAXIFS('working sheet'!$B$1:$B$3548,'working sheet'!$D$1:$D$3548,'Customer Portfolio'!A1161)</f>
        <v>45705.447777835645</v>
      </c>
      <c r="D1161">
        <f>COUNTIFS('working sheet'!$D$1:$D$3548,'Customer Portfolio'!A1161)</f>
        <v>11</v>
      </c>
      <c r="E1161" s="5">
        <f>SUMIFS('working sheet'!$E$2:$E$3548,'working sheet'!$D$2:$D$3548,'Customer Portfolio'!A1161)</f>
        <v>314.95999999999998</v>
      </c>
      <c r="F1161" s="6">
        <f t="shared" si="36"/>
        <v>28.632727272727269</v>
      </c>
      <c r="G1161" t="str">
        <f t="array" ref="G1161">IFERROR(INDEX('working sheet'!$F$2:$F$3548, MODE(IF('working sheet'!$D$2:$D$3548=A1161, MATCH('working sheet'!$F$2:$F$3548, 'working sheet'!$F$2:$F$3548, 0)))),
         INDEX('working sheet'!$F$2:$F$3548, MATCH(A1161, 'working sheet'!$D$2:$D$3548, 0)))</f>
        <v>Americano</v>
      </c>
      <c r="H1161" s="7">
        <f t="shared" si="37"/>
        <v>14.859855162030726</v>
      </c>
      <c r="I1161" s="7">
        <f>MAX('working sheet'!$B$2:$B$3548)-C1161</f>
        <v>34.310308217594866</v>
      </c>
      <c r="J1161" s="4" t="str">
        <f t="array" ref="J1161">IF(AND(I1161&lt;=30, D1161&gt;=10, E1161&gt;=200), "VIP",  IF(AND(I1161&lt;=60, D1161&gt;=5, E1161&gt;=100), "Loyal", IF(AND(I1161&lt;=90, D1161&gt;=3), "Regular", IF(I1161&lt;=30, "Recent", IF(D1161&gt;=3, "Occasional", "At Risk")))))</f>
        <v>Loyal</v>
      </c>
      <c r="K1161" t="str">
        <f t="array" ref="K1161">IF(OR(J1161="VIP", J1161="Loyal"), "HIGH",IF(OR(J1161="Regular", J1161="Recent"), "MEDIUM","LOW"))</f>
        <v>HIGH</v>
      </c>
    </row>
    <row r="1162" spans="1:11">
      <c r="A1162" t="s">
        <v>1175</v>
      </c>
      <c r="B1162" s="14">
        <f>_xlfn.MINIFS('working sheet'!$B$2:$B$3548, 'working sheet'!$D$2:$D$3548, A1162)</f>
        <v>45691.626210798611</v>
      </c>
      <c r="C1162" s="17">
        <f>_xlfn.MAXIFS('working sheet'!$B$1:$B$3548,'working sheet'!$D$1:$D$3548,'Customer Portfolio'!A1162)</f>
        <v>45736.624854756941</v>
      </c>
      <c r="D1162">
        <f>COUNTIFS('working sheet'!$D$1:$D$3548,'Customer Portfolio'!A1162)</f>
        <v>20</v>
      </c>
      <c r="E1162" s="5">
        <f>SUMIFS('working sheet'!$E$2:$E$3548,'working sheet'!$D$2:$D$3548,'Customer Portfolio'!A1162)</f>
        <v>690.69999999999993</v>
      </c>
      <c r="F1162" s="6">
        <f t="shared" si="36"/>
        <v>34.534999999999997</v>
      </c>
      <c r="G1162" t="str">
        <f t="array" ref="G1162">IFERROR(INDEX('working sheet'!$F$2:$F$3548, MODE(IF('working sheet'!$D$2:$D$3548=A1162, MATCH('working sheet'!$F$2:$F$3548, 'working sheet'!$F$2:$F$3548, 0)))),
         INDEX('working sheet'!$F$2:$F$3548, MATCH(A1162, 'working sheet'!$D$2:$D$3548, 0)))</f>
        <v>Cappuccino</v>
      </c>
      <c r="H1162" s="7">
        <f t="shared" si="37"/>
        <v>45.998643958329922</v>
      </c>
      <c r="I1162" s="7">
        <f>MAX('working sheet'!$B$2:$B$3548)-C1162</f>
        <v>3.133231296298618</v>
      </c>
      <c r="J1162" s="4" t="str">
        <f t="array" ref="J1162">IF(AND(I1162&lt;=30, D1162&gt;=10, E1162&gt;=200), "VIP",  IF(AND(I1162&lt;=60, D1162&gt;=5, E1162&gt;=100), "Loyal", IF(AND(I1162&lt;=90, D1162&gt;=3), "Regular", IF(I1162&lt;=30, "Recent", IF(D1162&gt;=3, "Occasional", "At Risk")))))</f>
        <v>VIP</v>
      </c>
      <c r="K1162" t="str">
        <f t="array" ref="K1162">IF(OR(J1162="VIP", J1162="Loyal"), "HIGH",IF(OR(J1162="Regular", J1162="Recent"), "MEDIUM","LOW"))</f>
        <v>HIGH</v>
      </c>
    </row>
    <row r="1163" spans="1:11">
      <c r="A1163" t="s">
        <v>1176</v>
      </c>
      <c r="B1163" s="14">
        <f>_xlfn.MINIFS('working sheet'!$B$2:$B$3548, 'working sheet'!$D$2:$D$3548, A1163)</f>
        <v>45691.715221469909</v>
      </c>
      <c r="C1163" s="17">
        <f>_xlfn.MAXIFS('working sheet'!$B$1:$B$3548,'working sheet'!$D$1:$D$3548,'Customer Portfolio'!A1163)</f>
        <v>45724.569514513889</v>
      </c>
      <c r="D1163">
        <f>COUNTIFS('working sheet'!$D$1:$D$3548,'Customer Portfolio'!A1163)</f>
        <v>8</v>
      </c>
      <c r="E1163" s="5">
        <f>SUMIFS('working sheet'!$E$2:$E$3548,'working sheet'!$D$2:$D$3548,'Customer Portfolio'!A1163)</f>
        <v>251.78000000000003</v>
      </c>
      <c r="F1163" s="6">
        <f t="shared" si="36"/>
        <v>31.472500000000004</v>
      </c>
      <c r="G1163" t="str">
        <f t="array" ref="G1163">IFERROR(INDEX('working sheet'!$F$2:$F$3548, MODE(IF('working sheet'!$D$2:$D$3548=A1163, MATCH('working sheet'!$F$2:$F$3548, 'working sheet'!$F$2:$F$3548, 0)))),
         INDEX('working sheet'!$F$2:$F$3548, MATCH(A1163, 'working sheet'!$D$2:$D$3548, 0)))</f>
        <v>Americano with Milk</v>
      </c>
      <c r="H1163" s="7">
        <f t="shared" si="37"/>
        <v>33.854293043979851</v>
      </c>
      <c r="I1163" s="7">
        <f>MAX('working sheet'!$B$2:$B$3548)-C1163</f>
        <v>15.18857153935096</v>
      </c>
      <c r="J1163" s="4" t="str">
        <f t="array" ref="J1163">IF(AND(I1163&lt;=30, D1163&gt;=10, E1163&gt;=200), "VIP",  IF(AND(I1163&lt;=60, D1163&gt;=5, E1163&gt;=100), "Loyal", IF(AND(I1163&lt;=90, D1163&gt;=3), "Regular", IF(I1163&lt;=30, "Recent", IF(D1163&gt;=3, "Occasional", "At Risk")))))</f>
        <v>Loyal</v>
      </c>
      <c r="K1163" t="str">
        <f t="array" ref="K1163">IF(OR(J1163="VIP", J1163="Loyal"), "HIGH",IF(OR(J1163="Regular", J1163="Recent"), "MEDIUM","LOW"))</f>
        <v>HIGH</v>
      </c>
    </row>
    <row r="1164" spans="1:11">
      <c r="A1164" t="s">
        <v>1177</v>
      </c>
      <c r="B1164" s="14">
        <f>_xlfn.MINIFS('working sheet'!$B$2:$B$3548, 'working sheet'!$D$2:$D$3548, A1164)</f>
        <v>45691.716055428238</v>
      </c>
      <c r="C1164" s="17">
        <f>_xlfn.MAXIFS('working sheet'!$B$1:$B$3548,'working sheet'!$D$1:$D$3548,'Customer Portfolio'!A1164)</f>
        <v>45737.645513078707</v>
      </c>
      <c r="D1164">
        <f>COUNTIFS('working sheet'!$D$1:$D$3548,'Customer Portfolio'!A1164)</f>
        <v>77</v>
      </c>
      <c r="E1164" s="5">
        <f>SUMIFS('working sheet'!$E$2:$E$3548,'working sheet'!$D$2:$D$3548,'Customer Portfolio'!A1164)</f>
        <v>2278.2200000000007</v>
      </c>
      <c r="F1164" s="6">
        <f t="shared" si="36"/>
        <v>29.587272727272737</v>
      </c>
      <c r="G1164" t="str">
        <f t="array" ref="G1164">IFERROR(INDEX('working sheet'!$F$2:$F$3548, MODE(IF('working sheet'!$D$2:$D$3548=A1164, MATCH('working sheet'!$F$2:$F$3548, 'working sheet'!$F$2:$F$3548, 0)))),
         INDEX('working sheet'!$F$2:$F$3548, MATCH(A1164, 'working sheet'!$D$2:$D$3548, 0)))</f>
        <v>Americano</v>
      </c>
      <c r="H1164" s="7">
        <f t="shared" si="37"/>
        <v>46.929457650468976</v>
      </c>
      <c r="I1164" s="7">
        <f>MAX('working sheet'!$B$2:$B$3548)-C1164</f>
        <v>2.112572974532668</v>
      </c>
      <c r="J1164" s="4" t="str">
        <f t="array" ref="J1164">IF(AND(I1164&lt;=30, D1164&gt;=10, E1164&gt;=200), "VIP",  IF(AND(I1164&lt;=60, D1164&gt;=5, E1164&gt;=100), "Loyal", IF(AND(I1164&lt;=90, D1164&gt;=3), "Regular", IF(I1164&lt;=30, "Recent", IF(D1164&gt;=3, "Occasional", "At Risk")))))</f>
        <v>VIP</v>
      </c>
      <c r="K1164" t="str">
        <f t="array" ref="K1164">IF(OR(J1164="VIP", J1164="Loyal"), "HIGH",IF(OR(J1164="Regular", J1164="Recent"), "MEDIUM","LOW"))</f>
        <v>HIGH</v>
      </c>
    </row>
    <row r="1165" spans="1:11">
      <c r="A1165" t="s">
        <v>1178</v>
      </c>
      <c r="B1165" s="14">
        <f>_xlfn.MINIFS('working sheet'!$B$2:$B$3548, 'working sheet'!$D$2:$D$3548, A1165)</f>
        <v>45691.717610173611</v>
      </c>
      <c r="C1165" s="17">
        <f>_xlfn.MAXIFS('working sheet'!$B$1:$B$3548,'working sheet'!$D$1:$D$3548,'Customer Portfolio'!A1165)</f>
        <v>45723.661724409722</v>
      </c>
      <c r="D1165">
        <f>COUNTIFS('working sheet'!$D$1:$D$3548,'Customer Portfolio'!A1165)</f>
        <v>9</v>
      </c>
      <c r="E1165" s="5">
        <f>SUMIFS('working sheet'!$E$2:$E$3548,'working sheet'!$D$2:$D$3548,'Customer Portfolio'!A1165)</f>
        <v>321.83999999999997</v>
      </c>
      <c r="F1165" s="6">
        <f t="shared" si="36"/>
        <v>35.76</v>
      </c>
      <c r="G1165" t="str">
        <f t="array" ref="G1165">IFERROR(INDEX('working sheet'!$F$2:$F$3548, MODE(IF('working sheet'!$D$2:$D$3548=A1165, MATCH('working sheet'!$F$2:$F$3548, 'working sheet'!$F$2:$F$3548, 0)))),
         INDEX('working sheet'!$F$2:$F$3548, MATCH(A1165, 'working sheet'!$D$2:$D$3548, 0)))</f>
        <v>Latte</v>
      </c>
      <c r="H1165" s="7">
        <f t="shared" si="37"/>
        <v>32.944114236110181</v>
      </c>
      <c r="I1165" s="7">
        <f>MAX('working sheet'!$B$2:$B$3548)-C1165</f>
        <v>16.096361643518321</v>
      </c>
      <c r="J1165" s="4" t="str">
        <f t="array" ref="J1165">IF(AND(I1165&lt;=30, D1165&gt;=10, E1165&gt;=200), "VIP",  IF(AND(I1165&lt;=60, D1165&gt;=5, E1165&gt;=100), "Loyal", IF(AND(I1165&lt;=90, D1165&gt;=3), "Regular", IF(I1165&lt;=30, "Recent", IF(D1165&gt;=3, "Occasional", "At Risk")))))</f>
        <v>Loyal</v>
      </c>
      <c r="K1165" t="str">
        <f t="array" ref="K1165">IF(OR(J1165="VIP", J1165="Loyal"), "HIGH",IF(OR(J1165="Regular", J1165="Recent"), "MEDIUM","LOW"))</f>
        <v>HIGH</v>
      </c>
    </row>
    <row r="1166" spans="1:11">
      <c r="A1166" t="s">
        <v>1179</v>
      </c>
      <c r="B1166" s="14">
        <f>_xlfn.MINIFS('working sheet'!$B$2:$B$3548, 'working sheet'!$D$2:$D$3548, A1166)</f>
        <v>45691.719223391206</v>
      </c>
      <c r="C1166" s="17">
        <f>_xlfn.MAXIFS('working sheet'!$B$1:$B$3548,'working sheet'!$D$1:$D$3548,'Customer Portfolio'!A1166)</f>
        <v>45737.723112615742</v>
      </c>
      <c r="D1166">
        <f>COUNTIFS('working sheet'!$D$1:$D$3548,'Customer Portfolio'!A1166)</f>
        <v>20</v>
      </c>
      <c r="E1166" s="5">
        <f>SUMIFS('working sheet'!$E$2:$E$3548,'working sheet'!$D$2:$D$3548,'Customer Portfolio'!A1166)</f>
        <v>715.19999999999993</v>
      </c>
      <c r="F1166" s="6">
        <f t="shared" si="36"/>
        <v>35.76</v>
      </c>
      <c r="G1166" t="str">
        <f t="array" ref="G1166">IFERROR(INDEX('working sheet'!$F$2:$F$3548, MODE(IF('working sheet'!$D$2:$D$3548=A1166, MATCH('working sheet'!$F$2:$F$3548, 'working sheet'!$F$2:$F$3548, 0)))),
         INDEX('working sheet'!$F$2:$F$3548, MATCH(A1166, 'working sheet'!$D$2:$D$3548, 0)))</f>
        <v>Hot Chocolate</v>
      </c>
      <c r="H1166" s="7">
        <f t="shared" si="37"/>
        <v>47.003889224535669</v>
      </c>
      <c r="I1166" s="7">
        <f>MAX('working sheet'!$B$2:$B$3548)-C1166</f>
        <v>2.0349734374976833</v>
      </c>
      <c r="J1166" s="4" t="str">
        <f t="array" ref="J1166">IF(AND(I1166&lt;=30, D1166&gt;=10, E1166&gt;=200), "VIP",  IF(AND(I1166&lt;=60, D1166&gt;=5, E1166&gt;=100), "Loyal", IF(AND(I1166&lt;=90, D1166&gt;=3), "Regular", IF(I1166&lt;=30, "Recent", IF(D1166&gt;=3, "Occasional", "At Risk")))))</f>
        <v>VIP</v>
      </c>
      <c r="K1166" t="str">
        <f t="array" ref="K1166">IF(OR(J1166="VIP", J1166="Loyal"), "HIGH",IF(OR(J1166="Regular", J1166="Recent"), "MEDIUM","LOW"))</f>
        <v>HIGH</v>
      </c>
    </row>
    <row r="1167" spans="1:11">
      <c r="A1167" t="s">
        <v>1180</v>
      </c>
      <c r="B1167" s="14">
        <f>_xlfn.MINIFS('working sheet'!$B$2:$B$3548, 'working sheet'!$D$2:$D$3548, A1167)</f>
        <v>45691.739093692129</v>
      </c>
      <c r="C1167" s="17">
        <f>_xlfn.MAXIFS('working sheet'!$B$1:$B$3548,'working sheet'!$D$1:$D$3548,'Customer Portfolio'!A1167)</f>
        <v>45734.632724467592</v>
      </c>
      <c r="D1167">
        <f>COUNTIFS('working sheet'!$D$1:$D$3548,'Customer Portfolio'!A1167)</f>
        <v>5</v>
      </c>
      <c r="E1167" s="5">
        <f>SUMIFS('working sheet'!$E$2:$E$3548,'working sheet'!$D$2:$D$3548,'Customer Portfolio'!A1167)</f>
        <v>154.30000000000001</v>
      </c>
      <c r="F1167" s="6">
        <f t="shared" si="36"/>
        <v>30.860000000000003</v>
      </c>
      <c r="G1167" t="str">
        <f t="array" ref="G1167">IFERROR(INDEX('working sheet'!$F$2:$F$3548, MODE(IF('working sheet'!$D$2:$D$3548=A1167, MATCH('working sheet'!$F$2:$F$3548, 'working sheet'!$F$2:$F$3548, 0)))),
         INDEX('working sheet'!$F$2:$F$3548, MATCH(A1167, 'working sheet'!$D$2:$D$3548, 0)))</f>
        <v>Americano with Milk</v>
      </c>
      <c r="H1167" s="7">
        <f t="shared" si="37"/>
        <v>43.893630775462952</v>
      </c>
      <c r="I1167" s="7">
        <f>MAX('working sheet'!$B$2:$B$3548)-C1167</f>
        <v>5.1253615856476245</v>
      </c>
      <c r="J1167" s="4" t="str">
        <f t="array" ref="J1167">IF(AND(I1167&lt;=30, D1167&gt;=10, E1167&gt;=200), "VIP",  IF(AND(I1167&lt;=60, D1167&gt;=5, E1167&gt;=100), "Loyal", IF(AND(I1167&lt;=90, D1167&gt;=3), "Regular", IF(I1167&lt;=30, "Recent", IF(D1167&gt;=3, "Occasional", "At Risk")))))</f>
        <v>Loyal</v>
      </c>
      <c r="K1167" t="str">
        <f t="array" ref="K1167">IF(OR(J1167="VIP", J1167="Loyal"), "HIGH",IF(OR(J1167="Regular", J1167="Recent"), "MEDIUM","LOW"))</f>
        <v>HIGH</v>
      </c>
    </row>
    <row r="1168" spans="1:11">
      <c r="A1168" t="s">
        <v>1181</v>
      </c>
      <c r="B1168" s="14">
        <f>_xlfn.MINIFS('working sheet'!$B$2:$B$3548, 'working sheet'!$D$2:$D$3548, A1168)</f>
        <v>45691.756255624998</v>
      </c>
      <c r="C1168" s="17">
        <f>_xlfn.MAXIFS('working sheet'!$B$1:$B$3548,'working sheet'!$D$1:$D$3548,'Customer Portfolio'!A1168)</f>
        <v>45735.687456898151</v>
      </c>
      <c r="D1168">
        <f>COUNTIFS('working sheet'!$D$1:$D$3548,'Customer Portfolio'!A1168)</f>
        <v>18</v>
      </c>
      <c r="E1168" s="5">
        <f>SUMIFS('working sheet'!$E$2:$E$3548,'working sheet'!$D$2:$D$3548,'Customer Portfolio'!A1168)</f>
        <v>467.27999999999986</v>
      </c>
      <c r="F1168" s="6">
        <f t="shared" si="36"/>
        <v>25.959999999999994</v>
      </c>
      <c r="G1168" t="str">
        <f t="array" ref="G1168">IFERROR(INDEX('working sheet'!$F$2:$F$3548, MODE(IF('working sheet'!$D$2:$D$3548=A1168, MATCH('working sheet'!$F$2:$F$3548, 'working sheet'!$F$2:$F$3548, 0)))),
         INDEX('working sheet'!$F$2:$F$3548, MATCH(A1168, 'working sheet'!$D$2:$D$3548, 0)))</f>
        <v>Americano</v>
      </c>
      <c r="H1168" s="7">
        <f t="shared" si="37"/>
        <v>44.93120127315342</v>
      </c>
      <c r="I1168" s="7">
        <f>MAX('working sheet'!$B$2:$B$3548)-C1168</f>
        <v>4.0706291550886817</v>
      </c>
      <c r="J1168" s="4" t="str">
        <f t="array" ref="J1168">IF(AND(I1168&lt;=30, D1168&gt;=10, E1168&gt;=200), "VIP",  IF(AND(I1168&lt;=60, D1168&gt;=5, E1168&gt;=100), "Loyal", IF(AND(I1168&lt;=90, D1168&gt;=3), "Regular", IF(I1168&lt;=30, "Recent", IF(D1168&gt;=3, "Occasional", "At Risk")))))</f>
        <v>VIP</v>
      </c>
      <c r="K1168" t="str">
        <f t="array" ref="K1168">IF(OR(J1168="VIP", J1168="Loyal"), "HIGH",IF(OR(J1168="Regular", J1168="Recent"), "MEDIUM","LOW"))</f>
        <v>HIGH</v>
      </c>
    </row>
    <row r="1169" spans="1:11">
      <c r="A1169" t="s">
        <v>1182</v>
      </c>
      <c r="B1169" s="14">
        <f>_xlfn.MINIFS('working sheet'!$B$2:$B$3548, 'working sheet'!$D$2:$D$3548, A1169)</f>
        <v>45691.864052442128</v>
      </c>
      <c r="C1169" s="17">
        <f>_xlfn.MAXIFS('working sheet'!$B$1:$B$3548,'working sheet'!$D$1:$D$3548,'Customer Portfolio'!A1169)</f>
        <v>45734.356823599534</v>
      </c>
      <c r="D1169">
        <f>COUNTIFS('working sheet'!$D$1:$D$3548,'Customer Portfolio'!A1169)</f>
        <v>8</v>
      </c>
      <c r="E1169" s="5">
        <f>SUMIFS('working sheet'!$E$2:$E$3548,'working sheet'!$D$2:$D$3548,'Customer Portfolio'!A1169)</f>
        <v>286.08</v>
      </c>
      <c r="F1169" s="6">
        <f t="shared" si="36"/>
        <v>35.76</v>
      </c>
      <c r="G1169" t="str">
        <f t="array" ref="G1169">IFERROR(INDEX('working sheet'!$F$2:$F$3548, MODE(IF('working sheet'!$D$2:$D$3548=A1169, MATCH('working sheet'!$F$2:$F$3548, 'working sheet'!$F$2:$F$3548, 0)))),
         INDEX('working sheet'!$F$2:$F$3548, MATCH(A1169, 'working sheet'!$D$2:$D$3548, 0)))</f>
        <v>Cocoa</v>
      </c>
      <c r="H1169" s="7">
        <f t="shared" si="37"/>
        <v>43.492771157405514</v>
      </c>
      <c r="I1169" s="7">
        <f>MAX('working sheet'!$B$2:$B$3548)-C1169</f>
        <v>5.4012624537062948</v>
      </c>
      <c r="J1169" s="4" t="str">
        <f t="array" ref="J1169">IF(AND(I1169&lt;=30, D1169&gt;=10, E1169&gt;=200), "VIP",  IF(AND(I1169&lt;=60, D1169&gt;=5, E1169&gt;=100), "Loyal", IF(AND(I1169&lt;=90, D1169&gt;=3), "Regular", IF(I1169&lt;=30, "Recent", IF(D1169&gt;=3, "Occasional", "At Risk")))))</f>
        <v>Loyal</v>
      </c>
      <c r="K1169" t="str">
        <f t="array" ref="K1169">IF(OR(J1169="VIP", J1169="Loyal"), "HIGH",IF(OR(J1169="Regular", J1169="Recent"), "MEDIUM","LOW"))</f>
        <v>HIGH</v>
      </c>
    </row>
    <row r="1170" spans="1:11">
      <c r="A1170" t="s">
        <v>1183</v>
      </c>
      <c r="B1170" s="14">
        <f>_xlfn.MINIFS('working sheet'!$B$2:$B$3548, 'working sheet'!$D$2:$D$3548, A1170)</f>
        <v>45692.524980127317</v>
      </c>
      <c r="C1170" s="17">
        <f>_xlfn.MAXIFS('working sheet'!$B$1:$B$3548,'working sheet'!$D$1:$D$3548,'Customer Portfolio'!A1170)</f>
        <v>45708.838236087962</v>
      </c>
      <c r="D1170">
        <f>COUNTIFS('working sheet'!$D$1:$D$3548,'Customer Portfolio'!A1170)</f>
        <v>4</v>
      </c>
      <c r="E1170" s="5">
        <f>SUMIFS('working sheet'!$E$2:$E$3548,'working sheet'!$D$2:$D$3548,'Customer Portfolio'!A1170)</f>
        <v>123.44</v>
      </c>
      <c r="F1170" s="6">
        <f t="shared" si="36"/>
        <v>30.86</v>
      </c>
      <c r="G1170" t="str">
        <f t="array" ref="G1170">IFERROR(INDEX('working sheet'!$F$2:$F$3548, MODE(IF('working sheet'!$D$2:$D$3548=A1170, MATCH('working sheet'!$F$2:$F$3548, 'working sheet'!$F$2:$F$3548, 0)))),
         INDEX('working sheet'!$F$2:$F$3548, MATCH(A1170, 'working sheet'!$D$2:$D$3548, 0)))</f>
        <v>Americano with Milk</v>
      </c>
      <c r="H1170" s="7">
        <f t="shared" si="37"/>
        <v>17.31325596064562</v>
      </c>
      <c r="I1170" s="7">
        <f>MAX('working sheet'!$B$2:$B$3548)-C1170</f>
        <v>30.919849965277535</v>
      </c>
      <c r="J1170" s="4" t="str">
        <f t="array" ref="J1170">IF(AND(I1170&lt;=30, D1170&gt;=10, E1170&gt;=200), "VIP",  IF(AND(I1170&lt;=60, D1170&gt;=5, E1170&gt;=100), "Loyal", IF(AND(I1170&lt;=90, D1170&gt;=3), "Regular", IF(I1170&lt;=30, "Recent", IF(D1170&gt;=3, "Occasional", "At Risk")))))</f>
        <v>Regular</v>
      </c>
      <c r="K1170" t="str">
        <f t="array" ref="K1170">IF(OR(J1170="VIP", J1170="Loyal"), "HIGH",IF(OR(J1170="Regular", J1170="Recent"), "MEDIUM","LOW"))</f>
        <v>MEDIUM</v>
      </c>
    </row>
    <row r="1171" spans="1:11">
      <c r="A1171" t="s">
        <v>1184</v>
      </c>
      <c r="B1171" s="14">
        <f>_xlfn.MINIFS('working sheet'!$B$2:$B$3548, 'working sheet'!$D$2:$D$3548, A1171)</f>
        <v>45692.593912152777</v>
      </c>
      <c r="C1171" s="17">
        <f>_xlfn.MAXIFS('working sheet'!$B$1:$B$3548,'working sheet'!$D$1:$D$3548,'Customer Portfolio'!A1171)</f>
        <v>45737.791253136573</v>
      </c>
      <c r="D1171">
        <f>COUNTIFS('working sheet'!$D$1:$D$3548,'Customer Portfolio'!A1171)</f>
        <v>32</v>
      </c>
      <c r="E1171" s="5">
        <f>SUMIFS('working sheet'!$E$2:$E$3548,'working sheet'!$D$2:$D$3548,'Customer Portfolio'!A1171)</f>
        <v>850.32000000000039</v>
      </c>
      <c r="F1171" s="6">
        <f t="shared" si="36"/>
        <v>26.572500000000012</v>
      </c>
      <c r="G1171" t="str">
        <f t="array" ref="G1171">IFERROR(INDEX('working sheet'!$F$2:$F$3548, MODE(IF('working sheet'!$D$2:$D$3548=A1171, MATCH('working sheet'!$F$2:$F$3548, 'working sheet'!$F$2:$F$3548, 0)))),
         INDEX('working sheet'!$F$2:$F$3548, MATCH(A1171, 'working sheet'!$D$2:$D$3548, 0)))</f>
        <v>Americano</v>
      </c>
      <c r="H1171" s="7">
        <f t="shared" si="37"/>
        <v>46.197340983795584</v>
      </c>
      <c r="I1171" s="7">
        <f>MAX('working sheet'!$B$2:$B$3548)-C1171</f>
        <v>1.9668329166670446</v>
      </c>
      <c r="J1171" s="4" t="str">
        <f t="array" ref="J1171">IF(AND(I1171&lt;=30, D1171&gt;=10, E1171&gt;=200), "VIP",  IF(AND(I1171&lt;=60, D1171&gt;=5, E1171&gt;=100), "Loyal", IF(AND(I1171&lt;=90, D1171&gt;=3), "Regular", IF(I1171&lt;=30, "Recent", IF(D1171&gt;=3, "Occasional", "At Risk")))))</f>
        <v>VIP</v>
      </c>
      <c r="K1171" t="str">
        <f t="array" ref="K1171">IF(OR(J1171="VIP", J1171="Loyal"), "HIGH",IF(OR(J1171="Regular", J1171="Recent"), "MEDIUM","LOW"))</f>
        <v>HIGH</v>
      </c>
    </row>
    <row r="1172" spans="1:11">
      <c r="A1172" t="s">
        <v>1185</v>
      </c>
      <c r="B1172" s="14">
        <f>_xlfn.MINIFS('working sheet'!$B$2:$B$3548, 'working sheet'!$D$2:$D$3548, A1172)</f>
        <v>45692.597089629628</v>
      </c>
      <c r="C1172" s="17">
        <f>_xlfn.MAXIFS('working sheet'!$B$1:$B$3548,'working sheet'!$D$1:$D$3548,'Customer Portfolio'!A1172)</f>
        <v>45727.553410763889</v>
      </c>
      <c r="D1172">
        <f>COUNTIFS('working sheet'!$D$1:$D$3548,'Customer Portfolio'!A1172)</f>
        <v>7</v>
      </c>
      <c r="E1172" s="5">
        <f>SUMIFS('working sheet'!$E$2:$E$3548,'working sheet'!$D$2:$D$3548,'Customer Portfolio'!A1172)</f>
        <v>171.92000000000002</v>
      </c>
      <c r="F1172" s="6">
        <f t="shared" si="36"/>
        <v>24.560000000000002</v>
      </c>
      <c r="G1172" t="str">
        <f t="array" ref="G1172">IFERROR(INDEX('working sheet'!$F$2:$F$3548, MODE(IF('working sheet'!$D$2:$D$3548=A1172, MATCH('working sheet'!$F$2:$F$3548, 'working sheet'!$F$2:$F$3548, 0)))),
         INDEX('working sheet'!$F$2:$F$3548, MATCH(A1172, 'working sheet'!$D$2:$D$3548, 0)))</f>
        <v>Americano</v>
      </c>
      <c r="H1172" s="7">
        <f t="shared" si="37"/>
        <v>35.956321134261088</v>
      </c>
      <c r="I1172" s="7">
        <f>MAX('working sheet'!$B$2:$B$3548)-C1172</f>
        <v>12.204675289351144</v>
      </c>
      <c r="J1172" s="4" t="str">
        <f t="array" ref="J1172">IF(AND(I1172&lt;=30, D1172&gt;=10, E1172&gt;=200), "VIP",  IF(AND(I1172&lt;=60, D1172&gt;=5, E1172&gt;=100), "Loyal", IF(AND(I1172&lt;=90, D1172&gt;=3), "Regular", IF(I1172&lt;=30, "Recent", IF(D1172&gt;=3, "Occasional", "At Risk")))))</f>
        <v>Loyal</v>
      </c>
      <c r="K1172" t="str">
        <f t="array" ref="K1172">IF(OR(J1172="VIP", J1172="Loyal"), "HIGH",IF(OR(J1172="Regular", J1172="Recent"), "MEDIUM","LOW"))</f>
        <v>HIGH</v>
      </c>
    </row>
    <row r="1173" spans="1:11">
      <c r="A1173" t="s">
        <v>1186</v>
      </c>
      <c r="B1173" s="14">
        <f>_xlfn.MINIFS('working sheet'!$B$2:$B$3548, 'working sheet'!$D$2:$D$3548, A1173)</f>
        <v>45692.795392534725</v>
      </c>
      <c r="C1173" s="17">
        <f>_xlfn.MAXIFS('working sheet'!$B$1:$B$3548,'working sheet'!$D$1:$D$3548,'Customer Portfolio'!A1173)</f>
        <v>45692.795392534725</v>
      </c>
      <c r="D1173">
        <f>COUNTIFS('working sheet'!$D$1:$D$3548,'Customer Portfolio'!A1173)</f>
        <v>1</v>
      </c>
      <c r="E1173" s="5">
        <f>SUMIFS('working sheet'!$E$2:$E$3548,'working sheet'!$D$2:$D$3548,'Customer Portfolio'!A1173)</f>
        <v>35.76</v>
      </c>
      <c r="F1173" s="6">
        <f t="shared" si="36"/>
        <v>35.76</v>
      </c>
      <c r="G1173" t="str">
        <f t="array" ref="G1173">IFERROR(INDEX('working sheet'!$F$2:$F$3548, MODE(IF('working sheet'!$D$2:$D$3548=A1173, MATCH('working sheet'!$F$2:$F$3548, 'working sheet'!$F$2:$F$3548, 0)))),
         INDEX('working sheet'!$F$2:$F$3548, MATCH(A1173, 'working sheet'!$D$2:$D$3548, 0)))</f>
        <v>Cocoa</v>
      </c>
      <c r="H1173" s="7">
        <f t="shared" si="37"/>
        <v>1</v>
      </c>
      <c r="I1173" s="7">
        <f>MAX('working sheet'!$B$2:$B$3548)-C1173</f>
        <v>46.962693518515152</v>
      </c>
      <c r="J1173" s="4" t="str">
        <f t="array" ref="J1173">IF(AND(I1173&lt;=30, D1173&gt;=10, E1173&gt;=200), "VIP",  IF(AND(I1173&lt;=60, D1173&gt;=5, E1173&gt;=100), "Loyal", IF(AND(I1173&lt;=90, D1173&gt;=3), "Regular", IF(I1173&lt;=30, "Recent", IF(D1173&gt;=3, "Occasional", "At Risk")))))</f>
        <v>At Risk</v>
      </c>
      <c r="K1173" t="str">
        <f t="array" ref="K1173">IF(OR(J1173="VIP", J1173="Loyal"), "HIGH",IF(OR(J1173="Regular", J1173="Recent"), "MEDIUM","LOW"))</f>
        <v>LOW</v>
      </c>
    </row>
    <row r="1174" spans="1:11">
      <c r="A1174" t="s">
        <v>1187</v>
      </c>
      <c r="B1174" s="14">
        <f>_xlfn.MINIFS('working sheet'!$B$2:$B$3548, 'working sheet'!$D$2:$D$3548, A1174)</f>
        <v>45692.798341747686</v>
      </c>
      <c r="C1174" s="17">
        <f>_xlfn.MAXIFS('working sheet'!$B$1:$B$3548,'working sheet'!$D$1:$D$3548,'Customer Portfolio'!A1174)</f>
        <v>45692.798930254627</v>
      </c>
      <c r="D1174">
        <f>COUNTIFS('working sheet'!$D$1:$D$3548,'Customer Portfolio'!A1174)</f>
        <v>2</v>
      </c>
      <c r="E1174" s="5">
        <f>SUMIFS('working sheet'!$E$2:$E$3548,'working sheet'!$D$2:$D$3548,'Customer Portfolio'!A1174)</f>
        <v>71.52</v>
      </c>
      <c r="F1174" s="6">
        <f t="shared" si="36"/>
        <v>35.76</v>
      </c>
      <c r="G1174" t="str">
        <f t="array" ref="G1174">IFERROR(INDEX('working sheet'!$F$2:$F$3548, MODE(IF('working sheet'!$D$2:$D$3548=A1174, MATCH('working sheet'!$F$2:$F$3548, 'working sheet'!$F$2:$F$3548, 0)))),
         INDEX('working sheet'!$F$2:$F$3548, MATCH(A1174, 'working sheet'!$D$2:$D$3548, 0)))</f>
        <v>Cocoa</v>
      </c>
      <c r="H1174" s="7">
        <f t="shared" si="37"/>
        <v>1.000588506940403</v>
      </c>
      <c r="I1174" s="7">
        <f>MAX('working sheet'!$B$2:$B$3548)-C1174</f>
        <v>46.95915579861321</v>
      </c>
      <c r="J1174" s="4" t="str">
        <f t="array" ref="J1174">IF(AND(I1174&lt;=30, D1174&gt;=10, E1174&gt;=200), "VIP",  IF(AND(I1174&lt;=60, D1174&gt;=5, E1174&gt;=100), "Loyal", IF(AND(I1174&lt;=90, D1174&gt;=3), "Regular", IF(I1174&lt;=30, "Recent", IF(D1174&gt;=3, "Occasional", "At Risk")))))</f>
        <v>At Risk</v>
      </c>
      <c r="K1174" t="str">
        <f t="array" ref="K1174">IF(OR(J1174="VIP", J1174="Loyal"), "HIGH",IF(OR(J1174="Regular", J1174="Recent"), "MEDIUM","LOW"))</f>
        <v>LOW</v>
      </c>
    </row>
    <row r="1175" spans="1:11">
      <c r="A1175" t="s">
        <v>1188</v>
      </c>
      <c r="B1175" s="14">
        <f>_xlfn.MINIFS('working sheet'!$B$2:$B$3548, 'working sheet'!$D$2:$D$3548, A1175)</f>
        <v>45692.810732442129</v>
      </c>
      <c r="C1175" s="17">
        <f>_xlfn.MAXIFS('working sheet'!$B$1:$B$3548,'working sheet'!$D$1:$D$3548,'Customer Portfolio'!A1175)</f>
        <v>45720.798720729166</v>
      </c>
      <c r="D1175">
        <f>COUNTIFS('working sheet'!$D$1:$D$3548,'Customer Portfolio'!A1175)</f>
        <v>2</v>
      </c>
      <c r="E1175" s="5">
        <f>SUMIFS('working sheet'!$E$2:$E$3548,'working sheet'!$D$2:$D$3548,'Customer Portfolio'!A1175)</f>
        <v>61.72</v>
      </c>
      <c r="F1175" s="6">
        <f t="shared" si="36"/>
        <v>30.86</v>
      </c>
      <c r="G1175" t="str">
        <f t="array" ref="G1175">IFERROR(INDEX('working sheet'!$F$2:$F$3548, MODE(IF('working sheet'!$D$2:$D$3548=A1175, MATCH('working sheet'!$F$2:$F$3548, 'working sheet'!$F$2:$F$3548, 0)))),
         INDEX('working sheet'!$F$2:$F$3548, MATCH(A1175, 'working sheet'!$D$2:$D$3548, 0)))</f>
        <v>Cortado</v>
      </c>
      <c r="H1175" s="7">
        <f t="shared" si="37"/>
        <v>28.987988287037297</v>
      </c>
      <c r="I1175" s="7">
        <f>MAX('working sheet'!$B$2:$B$3548)-C1175</f>
        <v>18.959365324073588</v>
      </c>
      <c r="J1175" s="4" t="str">
        <f t="array" ref="J1175">IF(AND(I1175&lt;=30, D1175&gt;=10, E1175&gt;=200), "VIP",  IF(AND(I1175&lt;=60, D1175&gt;=5, E1175&gt;=100), "Loyal", IF(AND(I1175&lt;=90, D1175&gt;=3), "Regular", IF(I1175&lt;=30, "Recent", IF(D1175&gt;=3, "Occasional", "At Risk")))))</f>
        <v>Recent</v>
      </c>
      <c r="K1175" t="str">
        <f t="array" ref="K1175">IF(OR(J1175="VIP", J1175="Loyal"), "HIGH",IF(OR(J1175="Regular", J1175="Recent"), "MEDIUM","LOW"))</f>
        <v>MEDIUM</v>
      </c>
    </row>
    <row r="1176" spans="1:11">
      <c r="A1176" t="s">
        <v>1189</v>
      </c>
      <c r="B1176" s="14">
        <f>_xlfn.MINIFS('working sheet'!$B$2:$B$3548, 'working sheet'!$D$2:$D$3548, A1176)</f>
        <v>45693.50748699074</v>
      </c>
      <c r="C1176" s="17">
        <f>_xlfn.MAXIFS('working sheet'!$B$1:$B$3548,'working sheet'!$D$1:$D$3548,'Customer Portfolio'!A1176)</f>
        <v>45693.50748699074</v>
      </c>
      <c r="D1176">
        <f>COUNTIFS('working sheet'!$D$1:$D$3548,'Customer Portfolio'!A1176)</f>
        <v>1</v>
      </c>
      <c r="E1176" s="5">
        <f>SUMIFS('working sheet'!$E$2:$E$3548,'working sheet'!$D$2:$D$3548,'Customer Portfolio'!A1176)</f>
        <v>25.96</v>
      </c>
      <c r="F1176" s="6">
        <f t="shared" si="36"/>
        <v>25.96</v>
      </c>
      <c r="G1176" t="str">
        <f t="array" ref="G1176">IFERROR(INDEX('working sheet'!$F$2:$F$3548, MODE(IF('working sheet'!$D$2:$D$3548=A1176, MATCH('working sheet'!$F$2:$F$3548, 'working sheet'!$F$2:$F$3548, 0)))),
         INDEX('working sheet'!$F$2:$F$3548, MATCH(A1176, 'working sheet'!$D$2:$D$3548, 0)))</f>
        <v>Americano</v>
      </c>
      <c r="H1176" s="7">
        <f t="shared" si="37"/>
        <v>1</v>
      </c>
      <c r="I1176" s="7">
        <f>MAX('working sheet'!$B$2:$B$3548)-C1176</f>
        <v>46.250599062499532</v>
      </c>
      <c r="J1176" s="4" t="str">
        <f t="array" ref="J1176">IF(AND(I1176&lt;=30, D1176&gt;=10, E1176&gt;=200), "VIP",  IF(AND(I1176&lt;=60, D1176&gt;=5, E1176&gt;=100), "Loyal", IF(AND(I1176&lt;=90, D1176&gt;=3), "Regular", IF(I1176&lt;=30, "Recent", IF(D1176&gt;=3, "Occasional", "At Risk")))))</f>
        <v>At Risk</v>
      </c>
      <c r="K1176" t="str">
        <f t="array" ref="K1176">IF(OR(J1176="VIP", J1176="Loyal"), "HIGH",IF(OR(J1176="Regular", J1176="Recent"), "MEDIUM","LOW"))</f>
        <v>LOW</v>
      </c>
    </row>
    <row r="1177" spans="1:11">
      <c r="A1177" t="s">
        <v>1190</v>
      </c>
      <c r="B1177" s="14">
        <f>_xlfn.MINIFS('working sheet'!$B$2:$B$3548, 'working sheet'!$D$2:$D$3548, A1177)</f>
        <v>45693.55608991898</v>
      </c>
      <c r="C1177" s="17">
        <f>_xlfn.MAXIFS('working sheet'!$B$1:$B$3548,'working sheet'!$D$1:$D$3548,'Customer Portfolio'!A1177)</f>
        <v>45720.461886273151</v>
      </c>
      <c r="D1177">
        <f>COUNTIFS('working sheet'!$D$1:$D$3548,'Customer Portfolio'!A1177)</f>
        <v>3</v>
      </c>
      <c r="E1177" s="5">
        <f>SUMIFS('working sheet'!$E$2:$E$3548,'working sheet'!$D$2:$D$3548,'Customer Portfolio'!A1177)</f>
        <v>77.88</v>
      </c>
      <c r="F1177" s="6">
        <f t="shared" si="36"/>
        <v>25.959999999999997</v>
      </c>
      <c r="G1177" t="str">
        <f t="array" ref="G1177">IFERROR(INDEX('working sheet'!$F$2:$F$3548, MODE(IF('working sheet'!$D$2:$D$3548=A1177, MATCH('working sheet'!$F$2:$F$3548, 'working sheet'!$F$2:$F$3548, 0)))),
         INDEX('working sheet'!$F$2:$F$3548, MATCH(A1177, 'working sheet'!$D$2:$D$3548, 0)))</f>
        <v>Americano</v>
      </c>
      <c r="H1177" s="7">
        <f t="shared" si="37"/>
        <v>27.905796354170889</v>
      </c>
      <c r="I1177" s="7">
        <f>MAX('working sheet'!$B$2:$B$3548)-C1177</f>
        <v>19.2961997800885</v>
      </c>
      <c r="J1177" s="4" t="str">
        <f t="array" ref="J1177">IF(AND(I1177&lt;=30, D1177&gt;=10, E1177&gt;=200), "VIP",  IF(AND(I1177&lt;=60, D1177&gt;=5, E1177&gt;=100), "Loyal", IF(AND(I1177&lt;=90, D1177&gt;=3), "Regular", IF(I1177&lt;=30, "Recent", IF(D1177&gt;=3, "Occasional", "At Risk")))))</f>
        <v>Regular</v>
      </c>
      <c r="K1177" t="str">
        <f t="array" ref="K1177">IF(OR(J1177="VIP", J1177="Loyal"), "HIGH",IF(OR(J1177="Regular", J1177="Recent"), "MEDIUM","LOW"))</f>
        <v>MEDIUM</v>
      </c>
    </row>
    <row r="1178" spans="1:11">
      <c r="A1178" t="s">
        <v>1191</v>
      </c>
      <c r="B1178" s="14">
        <f>_xlfn.MINIFS('working sheet'!$B$2:$B$3548, 'working sheet'!$D$2:$D$3548, A1178)</f>
        <v>45693.660402476853</v>
      </c>
      <c r="C1178" s="17">
        <f>_xlfn.MAXIFS('working sheet'!$B$1:$B$3548,'working sheet'!$D$1:$D$3548,'Customer Portfolio'!A1178)</f>
        <v>45712.686714490737</v>
      </c>
      <c r="D1178">
        <f>COUNTIFS('working sheet'!$D$1:$D$3548,'Customer Portfolio'!A1178)</f>
        <v>2</v>
      </c>
      <c r="E1178" s="5">
        <f>SUMIFS('working sheet'!$E$2:$E$3548,'working sheet'!$D$2:$D$3548,'Customer Portfolio'!A1178)</f>
        <v>71.52</v>
      </c>
      <c r="F1178" s="6">
        <f t="shared" si="36"/>
        <v>35.76</v>
      </c>
      <c r="G1178" t="str">
        <f t="array" ref="G1178">IFERROR(INDEX('working sheet'!$F$2:$F$3548, MODE(IF('working sheet'!$D$2:$D$3548=A1178, MATCH('working sheet'!$F$2:$F$3548, 'working sheet'!$F$2:$F$3548, 0)))),
         INDEX('working sheet'!$F$2:$F$3548, MATCH(A1178, 'working sheet'!$D$2:$D$3548, 0)))</f>
        <v>Cappuccino</v>
      </c>
      <c r="H1178" s="7">
        <f t="shared" si="37"/>
        <v>20.026312013884308</v>
      </c>
      <c r="I1178" s="7">
        <f>MAX('working sheet'!$B$2:$B$3548)-C1178</f>
        <v>27.071371562502463</v>
      </c>
      <c r="J1178" s="4" t="str">
        <f t="array" ref="J1178">IF(AND(I1178&lt;=30, D1178&gt;=10, E1178&gt;=200), "VIP",  IF(AND(I1178&lt;=60, D1178&gt;=5, E1178&gt;=100), "Loyal", IF(AND(I1178&lt;=90, D1178&gt;=3), "Regular", IF(I1178&lt;=30, "Recent", IF(D1178&gt;=3, "Occasional", "At Risk")))))</f>
        <v>Recent</v>
      </c>
      <c r="K1178" t="str">
        <f t="array" ref="K1178">IF(OR(J1178="VIP", J1178="Loyal"), "HIGH",IF(OR(J1178="Regular", J1178="Recent"), "MEDIUM","LOW"))</f>
        <v>MEDIUM</v>
      </c>
    </row>
    <row r="1179" spans="1:11">
      <c r="A1179" t="s">
        <v>1192</v>
      </c>
      <c r="B1179" s="14">
        <f>_xlfn.MINIFS('working sheet'!$B$2:$B$3548, 'working sheet'!$D$2:$D$3548, A1179)</f>
        <v>45693.762898460649</v>
      </c>
      <c r="C1179" s="17">
        <f>_xlfn.MAXIFS('working sheet'!$B$1:$B$3548,'working sheet'!$D$1:$D$3548,'Customer Portfolio'!A1179)</f>
        <v>45719.748927581022</v>
      </c>
      <c r="D1179">
        <f>COUNTIFS('working sheet'!$D$1:$D$3548,'Customer Portfolio'!A1179)</f>
        <v>9</v>
      </c>
      <c r="E1179" s="5">
        <f>SUMIFS('working sheet'!$E$2:$E$3548,'working sheet'!$D$2:$D$3548,'Customer Portfolio'!A1179)</f>
        <v>316.93999999999994</v>
      </c>
      <c r="F1179" s="6">
        <f t="shared" si="36"/>
        <v>35.215555555555547</v>
      </c>
      <c r="G1179" t="str">
        <f t="array" ref="G1179">IFERROR(INDEX('working sheet'!$F$2:$F$3548, MODE(IF('working sheet'!$D$2:$D$3548=A1179, MATCH('working sheet'!$F$2:$F$3548, 'working sheet'!$F$2:$F$3548, 0)))),
         INDEX('working sheet'!$F$2:$F$3548, MATCH(A1179, 'working sheet'!$D$2:$D$3548, 0)))</f>
        <v>Cocoa</v>
      </c>
      <c r="H1179" s="7">
        <f t="shared" si="37"/>
        <v>26.986029120373132</v>
      </c>
      <c r="I1179" s="7">
        <f>MAX('working sheet'!$B$2:$B$3548)-C1179</f>
        <v>20.009158472217678</v>
      </c>
      <c r="J1179" s="4" t="str">
        <f t="array" ref="J1179">IF(AND(I1179&lt;=30, D1179&gt;=10, E1179&gt;=200), "VIP",  IF(AND(I1179&lt;=60, D1179&gt;=5, E1179&gt;=100), "Loyal", IF(AND(I1179&lt;=90, D1179&gt;=3), "Regular", IF(I1179&lt;=30, "Recent", IF(D1179&gt;=3, "Occasional", "At Risk")))))</f>
        <v>Loyal</v>
      </c>
      <c r="K1179" t="str">
        <f t="array" ref="K1179">IF(OR(J1179="VIP", J1179="Loyal"), "HIGH",IF(OR(J1179="Regular", J1179="Recent"), "MEDIUM","LOW"))</f>
        <v>HIGH</v>
      </c>
    </row>
    <row r="1180" spans="1:11">
      <c r="A1180" t="s">
        <v>1193</v>
      </c>
      <c r="B1180" s="14">
        <f>_xlfn.MINIFS('working sheet'!$B$2:$B$3548, 'working sheet'!$D$2:$D$3548, A1180)</f>
        <v>45693.763762476854</v>
      </c>
      <c r="C1180" s="17">
        <f>_xlfn.MAXIFS('working sheet'!$B$1:$B$3548,'working sheet'!$D$1:$D$3548,'Customer Portfolio'!A1180)</f>
        <v>45719.748294999998</v>
      </c>
      <c r="D1180">
        <f>COUNTIFS('working sheet'!$D$1:$D$3548,'Customer Portfolio'!A1180)</f>
        <v>12</v>
      </c>
      <c r="E1180" s="5">
        <f>SUMIFS('working sheet'!$E$2:$E$3548,'working sheet'!$D$2:$D$3548,'Customer Portfolio'!A1180)</f>
        <v>424.21999999999991</v>
      </c>
      <c r="F1180" s="6">
        <f t="shared" si="36"/>
        <v>35.351666666666659</v>
      </c>
      <c r="G1180" t="str">
        <f t="array" ref="G1180">IFERROR(INDEX('working sheet'!$F$2:$F$3548, MODE(IF('working sheet'!$D$2:$D$3548=A1180, MATCH('working sheet'!$F$2:$F$3548, 'working sheet'!$F$2:$F$3548, 0)))),
         INDEX('working sheet'!$F$2:$F$3548, MATCH(A1180, 'working sheet'!$D$2:$D$3548, 0)))</f>
        <v>Cocoa</v>
      </c>
      <c r="H1180" s="7">
        <f t="shared" si="37"/>
        <v>26.984532523143571</v>
      </c>
      <c r="I1180" s="7">
        <f>MAX('working sheet'!$B$2:$B$3548)-C1180</f>
        <v>20.009791053242225</v>
      </c>
      <c r="J1180" s="4" t="str">
        <f t="array" ref="J1180">IF(AND(I1180&lt;=30, D1180&gt;=10, E1180&gt;=200), "VIP",  IF(AND(I1180&lt;=60, D1180&gt;=5, E1180&gt;=100), "Loyal", IF(AND(I1180&lt;=90, D1180&gt;=3), "Regular", IF(I1180&lt;=30, "Recent", IF(D1180&gt;=3, "Occasional", "At Risk")))))</f>
        <v>VIP</v>
      </c>
      <c r="K1180" t="str">
        <f t="array" ref="K1180">IF(OR(J1180="VIP", J1180="Loyal"), "HIGH",IF(OR(J1180="Regular", J1180="Recent"), "MEDIUM","LOW"))</f>
        <v>HIGH</v>
      </c>
    </row>
    <row r="1181" spans="1:11">
      <c r="A1181" t="s">
        <v>1194</v>
      </c>
      <c r="B1181" s="14">
        <f>_xlfn.MINIFS('working sheet'!$B$2:$B$3548, 'working sheet'!$D$2:$D$3548, A1181)</f>
        <v>45693.764484791667</v>
      </c>
      <c r="C1181" s="17">
        <f>_xlfn.MAXIFS('working sheet'!$B$1:$B$3548,'working sheet'!$D$1:$D$3548,'Customer Portfolio'!A1181)</f>
        <v>45693.764484791667</v>
      </c>
      <c r="D1181">
        <f>COUNTIFS('working sheet'!$D$1:$D$3548,'Customer Portfolio'!A1181)</f>
        <v>1</v>
      </c>
      <c r="E1181" s="5">
        <f>SUMIFS('working sheet'!$E$2:$E$3548,'working sheet'!$D$2:$D$3548,'Customer Portfolio'!A1181)</f>
        <v>35.76</v>
      </c>
      <c r="F1181" s="6">
        <f t="shared" si="36"/>
        <v>35.76</v>
      </c>
      <c r="G1181" t="str">
        <f t="array" ref="G1181">IFERROR(INDEX('working sheet'!$F$2:$F$3548, MODE(IF('working sheet'!$D$2:$D$3548=A1181, MATCH('working sheet'!$F$2:$F$3548, 'working sheet'!$F$2:$F$3548, 0)))),
         INDEX('working sheet'!$F$2:$F$3548, MATCH(A1181, 'working sheet'!$D$2:$D$3548, 0)))</f>
        <v>Cocoa</v>
      </c>
      <c r="H1181" s="7">
        <f t="shared" si="37"/>
        <v>1</v>
      </c>
      <c r="I1181" s="7">
        <f>MAX('working sheet'!$B$2:$B$3548)-C1181</f>
        <v>45.993601261572621</v>
      </c>
      <c r="J1181" s="4" t="str">
        <f t="array" ref="J1181">IF(AND(I1181&lt;=30, D1181&gt;=10, E1181&gt;=200), "VIP",  IF(AND(I1181&lt;=60, D1181&gt;=5, E1181&gt;=100), "Loyal", IF(AND(I1181&lt;=90, D1181&gt;=3), "Regular", IF(I1181&lt;=30, "Recent", IF(D1181&gt;=3, "Occasional", "At Risk")))))</f>
        <v>At Risk</v>
      </c>
      <c r="K1181" t="str">
        <f t="array" ref="K1181">IF(OR(J1181="VIP", J1181="Loyal"), "HIGH",IF(OR(J1181="Regular", J1181="Recent"), "MEDIUM","LOW"))</f>
        <v>LOW</v>
      </c>
    </row>
    <row r="1182" spans="1:11">
      <c r="A1182" t="s">
        <v>1195</v>
      </c>
      <c r="B1182" s="14">
        <f>_xlfn.MINIFS('working sheet'!$B$2:$B$3548, 'working sheet'!$D$2:$D$3548, A1182)</f>
        <v>45693.781737638892</v>
      </c>
      <c r="C1182" s="17">
        <f>_xlfn.MAXIFS('working sheet'!$B$1:$B$3548,'working sheet'!$D$1:$D$3548,'Customer Portfolio'!A1182)</f>
        <v>45693.781737638892</v>
      </c>
      <c r="D1182">
        <f>COUNTIFS('working sheet'!$D$1:$D$3548,'Customer Portfolio'!A1182)</f>
        <v>1</v>
      </c>
      <c r="E1182" s="5">
        <f>SUMIFS('working sheet'!$E$2:$E$3548,'working sheet'!$D$2:$D$3548,'Customer Portfolio'!A1182)</f>
        <v>35.76</v>
      </c>
      <c r="F1182" s="6">
        <f t="shared" si="36"/>
        <v>35.76</v>
      </c>
      <c r="G1182" t="str">
        <f t="array" ref="G1182">IFERROR(INDEX('working sheet'!$F$2:$F$3548, MODE(IF('working sheet'!$D$2:$D$3548=A1182, MATCH('working sheet'!$F$2:$F$3548, 'working sheet'!$F$2:$F$3548, 0)))),
         INDEX('working sheet'!$F$2:$F$3548, MATCH(A1182, 'working sheet'!$D$2:$D$3548, 0)))</f>
        <v>Cappuccino</v>
      </c>
      <c r="H1182" s="7">
        <f t="shared" si="37"/>
        <v>1</v>
      </c>
      <c r="I1182" s="7">
        <f>MAX('working sheet'!$B$2:$B$3548)-C1182</f>
        <v>45.97634841434774</v>
      </c>
      <c r="J1182" s="4" t="str">
        <f t="array" ref="J1182">IF(AND(I1182&lt;=30, D1182&gt;=10, E1182&gt;=200), "VIP",  IF(AND(I1182&lt;=60, D1182&gt;=5, E1182&gt;=100), "Loyal", IF(AND(I1182&lt;=90, D1182&gt;=3), "Regular", IF(I1182&lt;=30, "Recent", IF(D1182&gt;=3, "Occasional", "At Risk")))))</f>
        <v>At Risk</v>
      </c>
      <c r="K1182" t="str">
        <f t="array" ref="K1182">IF(OR(J1182="VIP", J1182="Loyal"), "HIGH",IF(OR(J1182="Regular", J1182="Recent"), "MEDIUM","LOW"))</f>
        <v>LOW</v>
      </c>
    </row>
    <row r="1183" spans="1:11">
      <c r="A1183" t="s">
        <v>1196</v>
      </c>
      <c r="B1183" s="14">
        <f>_xlfn.MINIFS('working sheet'!$B$2:$B$3548, 'working sheet'!$D$2:$D$3548, A1183)</f>
        <v>45693.835655428244</v>
      </c>
      <c r="C1183" s="17">
        <f>_xlfn.MAXIFS('working sheet'!$B$1:$B$3548,'working sheet'!$D$1:$D$3548,'Customer Portfolio'!A1183)</f>
        <v>45707.837133935187</v>
      </c>
      <c r="D1183">
        <f>COUNTIFS('working sheet'!$D$1:$D$3548,'Customer Portfolio'!A1183)</f>
        <v>2</v>
      </c>
      <c r="E1183" s="5">
        <f>SUMIFS('working sheet'!$E$2:$E$3548,'working sheet'!$D$2:$D$3548,'Customer Portfolio'!A1183)</f>
        <v>71.52</v>
      </c>
      <c r="F1183" s="6">
        <f t="shared" si="36"/>
        <v>35.76</v>
      </c>
      <c r="G1183" t="str">
        <f t="array" ref="G1183">IFERROR(INDEX('working sheet'!$F$2:$F$3548, MODE(IF('working sheet'!$D$2:$D$3548=A1183, MATCH('working sheet'!$F$2:$F$3548, 'working sheet'!$F$2:$F$3548, 0)))),
         INDEX('working sheet'!$F$2:$F$3548, MATCH(A1183, 'working sheet'!$D$2:$D$3548, 0)))</f>
        <v>Cocoa</v>
      </c>
      <c r="H1183" s="7">
        <f t="shared" si="37"/>
        <v>15.001478506943386</v>
      </c>
      <c r="I1183" s="7">
        <f>MAX('working sheet'!$B$2:$B$3548)-C1183</f>
        <v>31.92095211805281</v>
      </c>
      <c r="J1183" s="4" t="str">
        <f t="array" ref="J1183">IF(AND(I1183&lt;=30, D1183&gt;=10, E1183&gt;=200), "VIP",  IF(AND(I1183&lt;=60, D1183&gt;=5, E1183&gt;=100), "Loyal", IF(AND(I1183&lt;=90, D1183&gt;=3), "Regular", IF(I1183&lt;=30, "Recent", IF(D1183&gt;=3, "Occasional", "At Risk")))))</f>
        <v>At Risk</v>
      </c>
      <c r="K1183" t="str">
        <f t="array" ref="K1183">IF(OR(J1183="VIP", J1183="Loyal"), "HIGH",IF(OR(J1183="Regular", J1183="Recent"), "MEDIUM","LOW"))</f>
        <v>LOW</v>
      </c>
    </row>
    <row r="1184" spans="1:11">
      <c r="A1184" t="s">
        <v>1197</v>
      </c>
      <c r="B1184" s="14">
        <f>_xlfn.MINIFS('working sheet'!$B$2:$B$3548, 'working sheet'!$D$2:$D$3548, A1184)</f>
        <v>45694.746123159719</v>
      </c>
      <c r="C1184" s="17">
        <f>_xlfn.MAXIFS('working sheet'!$B$1:$B$3548,'working sheet'!$D$1:$D$3548,'Customer Portfolio'!A1184)</f>
        <v>45694.746123159719</v>
      </c>
      <c r="D1184">
        <f>COUNTIFS('working sheet'!$D$1:$D$3548,'Customer Portfolio'!A1184)</f>
        <v>1</v>
      </c>
      <c r="E1184" s="5">
        <f>SUMIFS('working sheet'!$E$2:$E$3548,'working sheet'!$D$2:$D$3548,'Customer Portfolio'!A1184)</f>
        <v>35.76</v>
      </c>
      <c r="F1184" s="6">
        <f t="shared" si="36"/>
        <v>35.76</v>
      </c>
      <c r="G1184" t="str">
        <f t="array" ref="G1184">IFERROR(INDEX('working sheet'!$F$2:$F$3548, MODE(IF('working sheet'!$D$2:$D$3548=A1184, MATCH('working sheet'!$F$2:$F$3548, 'working sheet'!$F$2:$F$3548, 0)))),
         INDEX('working sheet'!$F$2:$F$3548, MATCH(A1184, 'working sheet'!$D$2:$D$3548, 0)))</f>
        <v>Cocoa</v>
      </c>
      <c r="H1184" s="7">
        <f t="shared" si="37"/>
        <v>1</v>
      </c>
      <c r="I1184" s="7">
        <f>MAX('working sheet'!$B$2:$B$3548)-C1184</f>
        <v>45.011962893520831</v>
      </c>
      <c r="J1184" s="4" t="str">
        <f t="array" ref="J1184">IF(AND(I1184&lt;=30, D1184&gt;=10, E1184&gt;=200), "VIP",  IF(AND(I1184&lt;=60, D1184&gt;=5, E1184&gt;=100), "Loyal", IF(AND(I1184&lt;=90, D1184&gt;=3), "Regular", IF(I1184&lt;=30, "Recent", IF(D1184&gt;=3, "Occasional", "At Risk")))))</f>
        <v>At Risk</v>
      </c>
      <c r="K1184" t="str">
        <f t="array" ref="K1184">IF(OR(J1184="VIP", J1184="Loyal"), "HIGH",IF(OR(J1184="Regular", J1184="Recent"), "MEDIUM","LOW"))</f>
        <v>LOW</v>
      </c>
    </row>
    <row r="1185" spans="1:11">
      <c r="A1185" t="s">
        <v>1198</v>
      </c>
      <c r="B1185" s="14">
        <f>_xlfn.MINIFS('working sheet'!$B$2:$B$3548, 'working sheet'!$D$2:$D$3548, A1185)</f>
        <v>45694.829936354166</v>
      </c>
      <c r="C1185" s="17">
        <f>_xlfn.MAXIFS('working sheet'!$B$1:$B$3548,'working sheet'!$D$1:$D$3548,'Customer Portfolio'!A1185)</f>
        <v>45727.740859178244</v>
      </c>
      <c r="D1185">
        <f>COUNTIFS('working sheet'!$D$1:$D$3548,'Customer Portfolio'!A1185)</f>
        <v>13</v>
      </c>
      <c r="E1185" s="5">
        <f>SUMIFS('working sheet'!$E$2:$E$3548,'working sheet'!$D$2:$D$3548,'Customer Portfolio'!A1185)</f>
        <v>450.17999999999989</v>
      </c>
      <c r="F1185" s="6">
        <f t="shared" si="36"/>
        <v>34.629230769230759</v>
      </c>
      <c r="G1185" t="str">
        <f t="array" ref="G1185">IFERROR(INDEX('working sheet'!$F$2:$F$3548, MODE(IF('working sheet'!$D$2:$D$3548=A1185, MATCH('working sheet'!$F$2:$F$3548, 'working sheet'!$F$2:$F$3548, 0)))),
         INDEX('working sheet'!$F$2:$F$3548, MATCH(A1185, 'working sheet'!$D$2:$D$3548, 0)))</f>
        <v>Cappuccino</v>
      </c>
      <c r="H1185" s="7">
        <f t="shared" si="37"/>
        <v>33.910922824077716</v>
      </c>
      <c r="I1185" s="7">
        <f>MAX('working sheet'!$B$2:$B$3548)-C1185</f>
        <v>12.017226874995686</v>
      </c>
      <c r="J1185" s="4" t="str">
        <f t="array" ref="J1185">IF(AND(I1185&lt;=30, D1185&gt;=10, E1185&gt;=200), "VIP",  IF(AND(I1185&lt;=60, D1185&gt;=5, E1185&gt;=100), "Loyal", IF(AND(I1185&lt;=90, D1185&gt;=3), "Regular", IF(I1185&lt;=30, "Recent", IF(D1185&gt;=3, "Occasional", "At Risk")))))</f>
        <v>VIP</v>
      </c>
      <c r="K1185" t="str">
        <f t="array" ref="K1185">IF(OR(J1185="VIP", J1185="Loyal"), "HIGH",IF(OR(J1185="Regular", J1185="Recent"), "MEDIUM","LOW"))</f>
        <v>HIGH</v>
      </c>
    </row>
    <row r="1186" spans="1:11">
      <c r="A1186" t="s">
        <v>1199</v>
      </c>
      <c r="B1186" s="14">
        <f>_xlfn.MINIFS('working sheet'!$B$2:$B$3548, 'working sheet'!$D$2:$D$3548, A1186)</f>
        <v>45694.838186400462</v>
      </c>
      <c r="C1186" s="17">
        <f>_xlfn.MAXIFS('working sheet'!$B$1:$B$3548,'working sheet'!$D$1:$D$3548,'Customer Portfolio'!A1186)</f>
        <v>45727.839540844907</v>
      </c>
      <c r="D1186">
        <f>COUNTIFS('working sheet'!$D$1:$D$3548,'Customer Portfolio'!A1186)</f>
        <v>3</v>
      </c>
      <c r="E1186" s="5">
        <f>SUMIFS('working sheet'!$E$2:$E$3548,'working sheet'!$D$2:$D$3548,'Customer Portfolio'!A1186)</f>
        <v>107.28</v>
      </c>
      <c r="F1186" s="6">
        <f t="shared" si="36"/>
        <v>35.76</v>
      </c>
      <c r="G1186" t="str">
        <f t="array" ref="G1186">IFERROR(INDEX('working sheet'!$F$2:$F$3548, MODE(IF('working sheet'!$D$2:$D$3548=A1186, MATCH('working sheet'!$F$2:$F$3548, 'working sheet'!$F$2:$F$3548, 0)))),
         INDEX('working sheet'!$F$2:$F$3548, MATCH(A1186, 'working sheet'!$D$2:$D$3548, 0)))</f>
        <v>Cocoa</v>
      </c>
      <c r="H1186" s="7">
        <f t="shared" si="37"/>
        <v>34.001354444444587</v>
      </c>
      <c r="I1186" s="7">
        <f>MAX('working sheet'!$B$2:$B$3548)-C1186</f>
        <v>11.918545208332944</v>
      </c>
      <c r="J1186" s="4" t="str">
        <f t="array" ref="J1186">IF(AND(I1186&lt;=30, D1186&gt;=10, E1186&gt;=200), "VIP",  IF(AND(I1186&lt;=60, D1186&gt;=5, E1186&gt;=100), "Loyal", IF(AND(I1186&lt;=90, D1186&gt;=3), "Regular", IF(I1186&lt;=30, "Recent", IF(D1186&gt;=3, "Occasional", "At Risk")))))</f>
        <v>Regular</v>
      </c>
      <c r="K1186" t="str">
        <f t="array" ref="K1186">IF(OR(J1186="VIP", J1186="Loyal"), "HIGH",IF(OR(J1186="Regular", J1186="Recent"), "MEDIUM","LOW"))</f>
        <v>MEDIUM</v>
      </c>
    </row>
    <row r="1187" spans="1:11">
      <c r="A1187" t="s">
        <v>1200</v>
      </c>
      <c r="B1187" s="14">
        <f>_xlfn.MINIFS('working sheet'!$B$2:$B$3548, 'working sheet'!$D$2:$D$3548, A1187)</f>
        <v>45694.838739641207</v>
      </c>
      <c r="C1187" s="17">
        <f>_xlfn.MAXIFS('working sheet'!$B$1:$B$3548,'working sheet'!$D$1:$D$3548,'Customer Portfolio'!A1187)</f>
        <v>45694.838739641207</v>
      </c>
      <c r="D1187">
        <f>COUNTIFS('working sheet'!$D$1:$D$3548,'Customer Portfolio'!A1187)</f>
        <v>1</v>
      </c>
      <c r="E1187" s="5">
        <f>SUMIFS('working sheet'!$E$2:$E$3548,'working sheet'!$D$2:$D$3548,'Customer Portfolio'!A1187)</f>
        <v>35.76</v>
      </c>
      <c r="F1187" s="6">
        <f t="shared" si="36"/>
        <v>35.76</v>
      </c>
      <c r="G1187" t="str">
        <f t="array" ref="G1187">IFERROR(INDEX('working sheet'!$F$2:$F$3548, MODE(IF('working sheet'!$D$2:$D$3548=A1187, MATCH('working sheet'!$F$2:$F$3548, 'working sheet'!$F$2:$F$3548, 0)))),
         INDEX('working sheet'!$F$2:$F$3548, MATCH(A1187, 'working sheet'!$D$2:$D$3548, 0)))</f>
        <v>Cocoa</v>
      </c>
      <c r="H1187" s="7">
        <f t="shared" si="37"/>
        <v>1</v>
      </c>
      <c r="I1187" s="7">
        <f>MAX('working sheet'!$B$2:$B$3548)-C1187</f>
        <v>44.91934641203261</v>
      </c>
      <c r="J1187" s="4" t="str">
        <f t="array" ref="J1187">IF(AND(I1187&lt;=30, D1187&gt;=10, E1187&gt;=200), "VIP",  IF(AND(I1187&lt;=60, D1187&gt;=5, E1187&gt;=100), "Loyal", IF(AND(I1187&lt;=90, D1187&gt;=3), "Regular", IF(I1187&lt;=30, "Recent", IF(D1187&gt;=3, "Occasional", "At Risk")))))</f>
        <v>At Risk</v>
      </c>
      <c r="K1187" t="str">
        <f t="array" ref="K1187">IF(OR(J1187="VIP", J1187="Loyal"), "HIGH",IF(OR(J1187="Regular", J1187="Recent"), "MEDIUM","LOW"))</f>
        <v>LOW</v>
      </c>
    </row>
    <row r="1188" spans="1:11">
      <c r="A1188" t="s">
        <v>1201</v>
      </c>
      <c r="B1188" s="14">
        <f>_xlfn.MINIFS('working sheet'!$B$2:$B$3548, 'working sheet'!$D$2:$D$3548, A1188)</f>
        <v>45695.379914976853</v>
      </c>
      <c r="C1188" s="17">
        <f>_xlfn.MAXIFS('working sheet'!$B$1:$B$3548,'working sheet'!$D$1:$D$3548,'Customer Portfolio'!A1188)</f>
        <v>45720.36927398148</v>
      </c>
      <c r="D1188">
        <f>COUNTIFS('working sheet'!$D$1:$D$3548,'Customer Portfolio'!A1188)</f>
        <v>2</v>
      </c>
      <c r="E1188" s="5">
        <f>SUMIFS('working sheet'!$E$2:$E$3548,'working sheet'!$D$2:$D$3548,'Customer Portfolio'!A1188)</f>
        <v>61.72</v>
      </c>
      <c r="F1188" s="6">
        <f t="shared" si="36"/>
        <v>30.86</v>
      </c>
      <c r="G1188" t="str">
        <f t="array" ref="G1188">IFERROR(INDEX('working sheet'!$F$2:$F$3548, MODE(IF('working sheet'!$D$2:$D$3548=A1188, MATCH('working sheet'!$F$2:$F$3548, 'working sheet'!$F$2:$F$3548, 0)))),
         INDEX('working sheet'!$F$2:$F$3548, MATCH(A1188, 'working sheet'!$D$2:$D$3548, 0)))</f>
        <v>Americano with Milk</v>
      </c>
      <c r="H1188" s="7">
        <f t="shared" si="37"/>
        <v>25.989359004626749</v>
      </c>
      <c r="I1188" s="7">
        <f>MAX('working sheet'!$B$2:$B$3548)-C1188</f>
        <v>19.388812071760185</v>
      </c>
      <c r="J1188" s="4" t="str">
        <f t="array" ref="J1188">IF(AND(I1188&lt;=30, D1188&gt;=10, E1188&gt;=200), "VIP",  IF(AND(I1188&lt;=60, D1188&gt;=5, E1188&gt;=100), "Loyal", IF(AND(I1188&lt;=90, D1188&gt;=3), "Regular", IF(I1188&lt;=30, "Recent", IF(D1188&gt;=3, "Occasional", "At Risk")))))</f>
        <v>Recent</v>
      </c>
      <c r="K1188" t="str">
        <f t="array" ref="K1188">IF(OR(J1188="VIP", J1188="Loyal"), "HIGH",IF(OR(J1188="Regular", J1188="Recent"), "MEDIUM","LOW"))</f>
        <v>MEDIUM</v>
      </c>
    </row>
    <row r="1189" spans="1:11">
      <c r="A1189" t="s">
        <v>1202</v>
      </c>
      <c r="B1189" s="14">
        <f>_xlfn.MINIFS('working sheet'!$B$2:$B$3548, 'working sheet'!$D$2:$D$3548, A1189)</f>
        <v>45695.450962986113</v>
      </c>
      <c r="C1189" s="17">
        <f>_xlfn.MAXIFS('working sheet'!$B$1:$B$3548,'working sheet'!$D$1:$D$3548,'Customer Portfolio'!A1189)</f>
        <v>45700.446683738424</v>
      </c>
      <c r="D1189">
        <f>COUNTIFS('working sheet'!$D$1:$D$3548,'Customer Portfolio'!A1189)</f>
        <v>2</v>
      </c>
      <c r="E1189" s="5">
        <f>SUMIFS('working sheet'!$E$2:$E$3548,'working sheet'!$D$2:$D$3548,'Customer Portfolio'!A1189)</f>
        <v>51.92</v>
      </c>
      <c r="F1189" s="6">
        <f t="shared" si="36"/>
        <v>25.96</v>
      </c>
      <c r="G1189" t="str">
        <f t="array" ref="G1189">IFERROR(INDEX('working sheet'!$F$2:$F$3548, MODE(IF('working sheet'!$D$2:$D$3548=A1189, MATCH('working sheet'!$F$2:$F$3548, 'working sheet'!$F$2:$F$3548, 0)))),
         INDEX('working sheet'!$F$2:$F$3548, MATCH(A1189, 'working sheet'!$D$2:$D$3548, 0)))</f>
        <v>Americano</v>
      </c>
      <c r="H1189" s="7">
        <f t="shared" si="37"/>
        <v>5.995720752311172</v>
      </c>
      <c r="I1189" s="7">
        <f>MAX('working sheet'!$B$2:$B$3548)-C1189</f>
        <v>39.311402314815496</v>
      </c>
      <c r="J1189" s="4" t="str">
        <f t="array" ref="J1189">IF(AND(I1189&lt;=30, D1189&gt;=10, E1189&gt;=200), "VIP",  IF(AND(I1189&lt;=60, D1189&gt;=5, E1189&gt;=100), "Loyal", IF(AND(I1189&lt;=90, D1189&gt;=3), "Regular", IF(I1189&lt;=30, "Recent", IF(D1189&gt;=3, "Occasional", "At Risk")))))</f>
        <v>At Risk</v>
      </c>
      <c r="K1189" t="str">
        <f t="array" ref="K1189">IF(OR(J1189="VIP", J1189="Loyal"), "HIGH",IF(OR(J1189="Regular", J1189="Recent"), "MEDIUM","LOW"))</f>
        <v>LOW</v>
      </c>
    </row>
    <row r="1190" spans="1:11">
      <c r="A1190" t="s">
        <v>1203</v>
      </c>
      <c r="B1190" s="14">
        <f>_xlfn.MINIFS('working sheet'!$B$2:$B$3548, 'working sheet'!$D$2:$D$3548, A1190)</f>
        <v>45695.506696666664</v>
      </c>
      <c r="C1190" s="17">
        <f>_xlfn.MAXIFS('working sheet'!$B$1:$B$3548,'working sheet'!$D$1:$D$3548,'Customer Portfolio'!A1190)</f>
        <v>45723.493743680556</v>
      </c>
      <c r="D1190">
        <f>COUNTIFS('working sheet'!$D$1:$D$3548,'Customer Portfolio'!A1190)</f>
        <v>7</v>
      </c>
      <c r="E1190" s="5">
        <f>SUMIFS('working sheet'!$E$2:$E$3548,'working sheet'!$D$2:$D$3548,'Customer Portfolio'!A1190)</f>
        <v>250.31999999999996</v>
      </c>
      <c r="F1190" s="6">
        <f t="shared" si="36"/>
        <v>35.76</v>
      </c>
      <c r="G1190" t="str">
        <f t="array" ref="G1190">IFERROR(INDEX('working sheet'!$F$2:$F$3548, MODE(IF('working sheet'!$D$2:$D$3548=A1190, MATCH('working sheet'!$F$2:$F$3548, 'working sheet'!$F$2:$F$3548, 0)))),
         INDEX('working sheet'!$F$2:$F$3548, MATCH(A1190, 'working sheet'!$D$2:$D$3548, 0)))</f>
        <v>Cocoa</v>
      </c>
      <c r="H1190" s="7">
        <f t="shared" si="37"/>
        <v>28.987047013892152</v>
      </c>
      <c r="I1190" s="7">
        <f>MAX('working sheet'!$B$2:$B$3548)-C1190</f>
        <v>16.264342372684041</v>
      </c>
      <c r="J1190" s="4" t="str">
        <f t="array" ref="J1190">IF(AND(I1190&lt;=30, D1190&gt;=10, E1190&gt;=200), "VIP",  IF(AND(I1190&lt;=60, D1190&gt;=5, E1190&gt;=100), "Loyal", IF(AND(I1190&lt;=90, D1190&gt;=3), "Regular", IF(I1190&lt;=30, "Recent", IF(D1190&gt;=3, "Occasional", "At Risk")))))</f>
        <v>Loyal</v>
      </c>
      <c r="K1190" t="str">
        <f t="array" ref="K1190">IF(OR(J1190="VIP", J1190="Loyal"), "HIGH",IF(OR(J1190="Regular", J1190="Recent"), "MEDIUM","LOW"))</f>
        <v>HIGH</v>
      </c>
    </row>
    <row r="1191" spans="1:11">
      <c r="A1191" t="s">
        <v>1204</v>
      </c>
      <c r="B1191" s="14">
        <f>_xlfn.MINIFS('working sheet'!$B$2:$B$3548, 'working sheet'!$D$2:$D$3548, A1191)</f>
        <v>45695.54087704861</v>
      </c>
      <c r="C1191" s="17">
        <f>_xlfn.MAXIFS('working sheet'!$B$1:$B$3548,'working sheet'!$D$1:$D$3548,'Customer Portfolio'!A1191)</f>
        <v>45724.472596956017</v>
      </c>
      <c r="D1191">
        <f>COUNTIFS('working sheet'!$D$1:$D$3548,'Customer Portfolio'!A1191)</f>
        <v>9</v>
      </c>
      <c r="E1191" s="5">
        <f>SUMIFS('working sheet'!$E$2:$E$3548,'working sheet'!$D$2:$D$3548,'Customer Portfolio'!A1191)</f>
        <v>233.64000000000004</v>
      </c>
      <c r="F1191" s="6">
        <f t="shared" si="36"/>
        <v>25.960000000000004</v>
      </c>
      <c r="G1191" t="str">
        <f t="array" ref="G1191">IFERROR(INDEX('working sheet'!$F$2:$F$3548, MODE(IF('working sheet'!$D$2:$D$3548=A1191, MATCH('working sheet'!$F$2:$F$3548, 'working sheet'!$F$2:$F$3548, 0)))),
         INDEX('working sheet'!$F$2:$F$3548, MATCH(A1191, 'working sheet'!$D$2:$D$3548, 0)))</f>
        <v>Americano</v>
      </c>
      <c r="H1191" s="7">
        <f t="shared" si="37"/>
        <v>29.931719907406659</v>
      </c>
      <c r="I1191" s="7">
        <f>MAX('working sheet'!$B$2:$B$3548)-C1191</f>
        <v>15.285489097223035</v>
      </c>
      <c r="J1191" s="4" t="str">
        <f t="array" ref="J1191">IF(AND(I1191&lt;=30, D1191&gt;=10, E1191&gt;=200), "VIP",  IF(AND(I1191&lt;=60, D1191&gt;=5, E1191&gt;=100), "Loyal", IF(AND(I1191&lt;=90, D1191&gt;=3), "Regular", IF(I1191&lt;=30, "Recent", IF(D1191&gt;=3, "Occasional", "At Risk")))))</f>
        <v>Loyal</v>
      </c>
      <c r="K1191" t="str">
        <f t="array" ref="K1191">IF(OR(J1191="VIP", J1191="Loyal"), "HIGH",IF(OR(J1191="Regular", J1191="Recent"), "MEDIUM","LOW"))</f>
        <v>HIGH</v>
      </c>
    </row>
    <row r="1192" spans="1:11">
      <c r="A1192" t="s">
        <v>1205</v>
      </c>
      <c r="B1192" s="14">
        <f>_xlfn.MINIFS('working sheet'!$B$2:$B$3548, 'working sheet'!$D$2:$D$3548, A1192)</f>
        <v>45695.682095960648</v>
      </c>
      <c r="C1192" s="17">
        <f>_xlfn.MAXIFS('working sheet'!$B$1:$B$3548,'working sheet'!$D$1:$D$3548,'Customer Portfolio'!A1192)</f>
        <v>45737.724188368054</v>
      </c>
      <c r="D1192">
        <f>COUNTIFS('working sheet'!$D$1:$D$3548,'Customer Portfolio'!A1192)</f>
        <v>27</v>
      </c>
      <c r="E1192" s="5">
        <f>SUMIFS('working sheet'!$E$2:$E$3548,'working sheet'!$D$2:$D$3548,'Customer Portfolio'!A1192)</f>
        <v>965.51999999999987</v>
      </c>
      <c r="F1192" s="6">
        <f t="shared" si="36"/>
        <v>35.76</v>
      </c>
      <c r="G1192" t="str">
        <f t="array" ref="G1192">IFERROR(INDEX('working sheet'!$F$2:$F$3548, MODE(IF('working sheet'!$D$2:$D$3548=A1192, MATCH('working sheet'!$F$2:$F$3548, 'working sheet'!$F$2:$F$3548, 0)))),
         INDEX('working sheet'!$F$2:$F$3548, MATCH(A1192, 'working sheet'!$D$2:$D$3548, 0)))</f>
        <v>Latte</v>
      </c>
      <c r="H1192" s="7">
        <f t="shared" si="37"/>
        <v>43.042092407406017</v>
      </c>
      <c r="I1192" s="7">
        <f>MAX('working sheet'!$B$2:$B$3548)-C1192</f>
        <v>2.0338976851853658</v>
      </c>
      <c r="J1192" s="4" t="str">
        <f t="array" ref="J1192">IF(AND(I1192&lt;=30, D1192&gt;=10, E1192&gt;=200), "VIP",  IF(AND(I1192&lt;=60, D1192&gt;=5, E1192&gt;=100), "Loyal", IF(AND(I1192&lt;=90, D1192&gt;=3), "Regular", IF(I1192&lt;=30, "Recent", IF(D1192&gt;=3, "Occasional", "At Risk")))))</f>
        <v>VIP</v>
      </c>
      <c r="K1192" t="str">
        <f t="array" ref="K1192">IF(OR(J1192="VIP", J1192="Loyal"), "HIGH",IF(OR(J1192="Regular", J1192="Recent"), "MEDIUM","LOW"))</f>
        <v>HIGH</v>
      </c>
    </row>
    <row r="1193" spans="1:11">
      <c r="A1193" t="s">
        <v>1206</v>
      </c>
      <c r="B1193" s="14">
        <f>_xlfn.MINIFS('working sheet'!$B$2:$B$3548, 'working sheet'!$D$2:$D$3548, A1193)</f>
        <v>45695.780912523151</v>
      </c>
      <c r="C1193" s="17">
        <f>_xlfn.MAXIFS('working sheet'!$B$1:$B$3548,'working sheet'!$D$1:$D$3548,'Customer Portfolio'!A1193)</f>
        <v>45705.846035856484</v>
      </c>
      <c r="D1193">
        <f>COUNTIFS('working sheet'!$D$1:$D$3548,'Customer Portfolio'!A1193)</f>
        <v>3</v>
      </c>
      <c r="E1193" s="5">
        <f>SUMIFS('working sheet'!$E$2:$E$3548,'working sheet'!$D$2:$D$3548,'Customer Portfolio'!A1193)</f>
        <v>97.47999999999999</v>
      </c>
      <c r="F1193" s="6">
        <f t="shared" si="36"/>
        <v>32.493333333333332</v>
      </c>
      <c r="G1193" t="str">
        <f t="array" ref="G1193">IFERROR(INDEX('working sheet'!$F$2:$F$3548, MODE(IF('working sheet'!$D$2:$D$3548=A1193, MATCH('working sheet'!$F$2:$F$3548, 'working sheet'!$F$2:$F$3548, 0)))),
         INDEX('working sheet'!$F$2:$F$3548, MATCH(A1193, 'working sheet'!$D$2:$D$3548, 0)))</f>
        <v>Cortado</v>
      </c>
      <c r="H1193" s="7">
        <f t="shared" si="37"/>
        <v>11.065123333333759</v>
      </c>
      <c r="I1193" s="7">
        <f>MAX('working sheet'!$B$2:$B$3548)-C1193</f>
        <v>33.912050196755445</v>
      </c>
      <c r="J1193" s="4" t="str">
        <f t="array" ref="J1193">IF(AND(I1193&lt;=30, D1193&gt;=10, E1193&gt;=200), "VIP",  IF(AND(I1193&lt;=60, D1193&gt;=5, E1193&gt;=100), "Loyal", IF(AND(I1193&lt;=90, D1193&gt;=3), "Regular", IF(I1193&lt;=30, "Recent", IF(D1193&gt;=3, "Occasional", "At Risk")))))</f>
        <v>Regular</v>
      </c>
      <c r="K1193" t="str">
        <f t="array" ref="K1193">IF(OR(J1193="VIP", J1193="Loyal"), "HIGH",IF(OR(J1193="Regular", J1193="Recent"), "MEDIUM","LOW"))</f>
        <v>MEDIUM</v>
      </c>
    </row>
    <row r="1194" spans="1:11">
      <c r="A1194" t="s">
        <v>1207</v>
      </c>
      <c r="B1194" s="14">
        <f>_xlfn.MINIFS('working sheet'!$B$2:$B$3548, 'working sheet'!$D$2:$D$3548, A1194)</f>
        <v>45695.840965428244</v>
      </c>
      <c r="C1194" s="17">
        <f>_xlfn.MAXIFS('working sheet'!$B$1:$B$3548,'working sheet'!$D$1:$D$3548,'Customer Portfolio'!A1194)</f>
        <v>45695.840965428244</v>
      </c>
      <c r="D1194">
        <f>COUNTIFS('working sheet'!$D$1:$D$3548,'Customer Portfolio'!A1194)</f>
        <v>1</v>
      </c>
      <c r="E1194" s="5">
        <f>SUMIFS('working sheet'!$E$2:$E$3548,'working sheet'!$D$2:$D$3548,'Customer Portfolio'!A1194)</f>
        <v>35.76</v>
      </c>
      <c r="F1194" s="6">
        <f t="shared" si="36"/>
        <v>35.76</v>
      </c>
      <c r="G1194" t="str">
        <f t="array" ref="G1194">IFERROR(INDEX('working sheet'!$F$2:$F$3548, MODE(IF('working sheet'!$D$2:$D$3548=A1194, MATCH('working sheet'!$F$2:$F$3548, 'working sheet'!$F$2:$F$3548, 0)))),
         INDEX('working sheet'!$F$2:$F$3548, MATCH(A1194, 'working sheet'!$D$2:$D$3548, 0)))</f>
        <v>Cocoa</v>
      </c>
      <c r="H1194" s="7">
        <f t="shared" si="37"/>
        <v>1</v>
      </c>
      <c r="I1194" s="7">
        <f>MAX('working sheet'!$B$2:$B$3548)-C1194</f>
        <v>43.917120624995732</v>
      </c>
      <c r="J1194" s="4" t="str">
        <f t="array" ref="J1194">IF(AND(I1194&lt;=30, D1194&gt;=10, E1194&gt;=200), "VIP",  IF(AND(I1194&lt;=60, D1194&gt;=5, E1194&gt;=100), "Loyal", IF(AND(I1194&lt;=90, D1194&gt;=3), "Regular", IF(I1194&lt;=30, "Recent", IF(D1194&gt;=3, "Occasional", "At Risk")))))</f>
        <v>At Risk</v>
      </c>
      <c r="K1194" t="str">
        <f t="array" ref="K1194">IF(OR(J1194="VIP", J1194="Loyal"), "HIGH",IF(OR(J1194="Regular", J1194="Recent"), "MEDIUM","LOW"))</f>
        <v>LOW</v>
      </c>
    </row>
    <row r="1195" spans="1:11">
      <c r="A1195" t="s">
        <v>1208</v>
      </c>
      <c r="B1195" s="14">
        <f>_xlfn.MINIFS('working sheet'!$B$2:$B$3548, 'working sheet'!$D$2:$D$3548, A1195)</f>
        <v>45696.460201215275</v>
      </c>
      <c r="C1195" s="17">
        <f>_xlfn.MAXIFS('working sheet'!$B$1:$B$3548,'working sheet'!$D$1:$D$3548,'Customer Portfolio'!A1195)</f>
        <v>45729.621892986113</v>
      </c>
      <c r="D1195">
        <f>COUNTIFS('working sheet'!$D$1:$D$3548,'Customer Portfolio'!A1195)</f>
        <v>4</v>
      </c>
      <c r="E1195" s="5">
        <f>SUMIFS('working sheet'!$E$2:$E$3548,'working sheet'!$D$2:$D$3548,'Customer Portfolio'!A1195)</f>
        <v>113.64000000000001</v>
      </c>
      <c r="F1195" s="6">
        <f t="shared" si="36"/>
        <v>28.410000000000004</v>
      </c>
      <c r="G1195" t="str">
        <f t="array" ref="G1195">IFERROR(INDEX('working sheet'!$F$2:$F$3548, MODE(IF('working sheet'!$D$2:$D$3548=A1195, MATCH('working sheet'!$F$2:$F$3548, 'working sheet'!$F$2:$F$3548, 0)))),
         INDEX('working sheet'!$F$2:$F$3548, MATCH(A1195, 'working sheet'!$D$2:$D$3548, 0)))</f>
        <v>Americano with Milk</v>
      </c>
      <c r="H1195" s="7">
        <f t="shared" si="37"/>
        <v>34.161691770837933</v>
      </c>
      <c r="I1195" s="7">
        <f>MAX('working sheet'!$B$2:$B$3548)-C1195</f>
        <v>10.136193067126442</v>
      </c>
      <c r="J1195" s="4" t="str">
        <f t="array" ref="J1195">IF(AND(I1195&lt;=30, D1195&gt;=10, E1195&gt;=200), "VIP",  IF(AND(I1195&lt;=60, D1195&gt;=5, E1195&gt;=100), "Loyal", IF(AND(I1195&lt;=90, D1195&gt;=3), "Regular", IF(I1195&lt;=30, "Recent", IF(D1195&gt;=3, "Occasional", "At Risk")))))</f>
        <v>Regular</v>
      </c>
      <c r="K1195" t="str">
        <f t="array" ref="K1195">IF(OR(J1195="VIP", J1195="Loyal"), "HIGH",IF(OR(J1195="Regular", J1195="Recent"), "MEDIUM","LOW"))</f>
        <v>MEDIUM</v>
      </c>
    </row>
    <row r="1196" spans="1:11">
      <c r="A1196" t="s">
        <v>1209</v>
      </c>
      <c r="B1196" s="14">
        <f>_xlfn.MINIFS('working sheet'!$B$2:$B$3548, 'working sheet'!$D$2:$D$3548, A1196)</f>
        <v>45696.485808819445</v>
      </c>
      <c r="C1196" s="17">
        <f>_xlfn.MAXIFS('working sheet'!$B$1:$B$3548,'working sheet'!$D$1:$D$3548,'Customer Portfolio'!A1196)</f>
        <v>45696.485808819445</v>
      </c>
      <c r="D1196">
        <f>COUNTIFS('working sheet'!$D$1:$D$3548,'Customer Portfolio'!A1196)</f>
        <v>1</v>
      </c>
      <c r="E1196" s="5">
        <f>SUMIFS('working sheet'!$E$2:$E$3548,'working sheet'!$D$2:$D$3548,'Customer Portfolio'!A1196)</f>
        <v>25.96</v>
      </c>
      <c r="F1196" s="6">
        <f t="shared" si="36"/>
        <v>25.96</v>
      </c>
      <c r="G1196" t="str">
        <f t="array" ref="G1196">IFERROR(INDEX('working sheet'!$F$2:$F$3548, MODE(IF('working sheet'!$D$2:$D$3548=A1196, MATCH('working sheet'!$F$2:$F$3548, 'working sheet'!$F$2:$F$3548, 0)))),
         INDEX('working sheet'!$F$2:$F$3548, MATCH(A1196, 'working sheet'!$D$2:$D$3548, 0)))</f>
        <v>Americano</v>
      </c>
      <c r="H1196" s="7">
        <f t="shared" si="37"/>
        <v>1</v>
      </c>
      <c r="I1196" s="7">
        <f>MAX('working sheet'!$B$2:$B$3548)-C1196</f>
        <v>43.272277233794739</v>
      </c>
      <c r="J1196" s="4" t="str">
        <f t="array" ref="J1196">IF(AND(I1196&lt;=30, D1196&gt;=10, E1196&gt;=200), "VIP",  IF(AND(I1196&lt;=60, D1196&gt;=5, E1196&gt;=100), "Loyal", IF(AND(I1196&lt;=90, D1196&gt;=3), "Regular", IF(I1196&lt;=30, "Recent", IF(D1196&gt;=3, "Occasional", "At Risk")))))</f>
        <v>At Risk</v>
      </c>
      <c r="K1196" t="str">
        <f t="array" ref="K1196">IF(OR(J1196="VIP", J1196="Loyal"), "HIGH",IF(OR(J1196="Regular", J1196="Recent"), "MEDIUM","LOW"))</f>
        <v>LOW</v>
      </c>
    </row>
    <row r="1197" spans="1:11">
      <c r="A1197" t="s">
        <v>1210</v>
      </c>
      <c r="B1197" s="14">
        <f>_xlfn.MINIFS('working sheet'!$B$2:$B$3548, 'working sheet'!$D$2:$D$3548, A1197)</f>
        <v>45697.503530173613</v>
      </c>
      <c r="C1197" s="17">
        <f>_xlfn.MAXIFS('working sheet'!$B$1:$B$3548,'working sheet'!$D$1:$D$3548,'Customer Portfolio'!A1197)</f>
        <v>45739.421658310188</v>
      </c>
      <c r="D1197">
        <f>COUNTIFS('working sheet'!$D$1:$D$3548,'Customer Portfolio'!A1197)</f>
        <v>6</v>
      </c>
      <c r="E1197" s="5">
        <f>SUMIFS('working sheet'!$E$2:$E$3548,'working sheet'!$D$2:$D$3548,'Customer Portfolio'!A1197)</f>
        <v>214.55999999999997</v>
      </c>
      <c r="F1197" s="6">
        <f t="shared" si="36"/>
        <v>35.76</v>
      </c>
      <c r="G1197" t="str">
        <f t="array" ref="G1197">IFERROR(INDEX('working sheet'!$F$2:$F$3548, MODE(IF('working sheet'!$D$2:$D$3548=A1197, MATCH('working sheet'!$F$2:$F$3548, 'working sheet'!$F$2:$F$3548, 0)))),
         INDEX('working sheet'!$F$2:$F$3548, MATCH(A1197, 'working sheet'!$D$2:$D$3548, 0)))</f>
        <v>Latte</v>
      </c>
      <c r="H1197" s="7">
        <f t="shared" si="37"/>
        <v>42.918128136574524</v>
      </c>
      <c r="I1197" s="7">
        <f>MAX('working sheet'!$B$2:$B$3548)-C1197</f>
        <v>0.3364277430518996</v>
      </c>
      <c r="J1197" s="4" t="str">
        <f t="array" ref="J1197">IF(AND(I1197&lt;=30, D1197&gt;=10, E1197&gt;=200), "VIP",  IF(AND(I1197&lt;=60, D1197&gt;=5, E1197&gt;=100), "Loyal", IF(AND(I1197&lt;=90, D1197&gt;=3), "Regular", IF(I1197&lt;=30, "Recent", IF(D1197&gt;=3, "Occasional", "At Risk")))))</f>
        <v>Loyal</v>
      </c>
      <c r="K1197" t="str">
        <f t="array" ref="K1197">IF(OR(J1197="VIP", J1197="Loyal"), "HIGH",IF(OR(J1197="Regular", J1197="Recent"), "MEDIUM","LOW"))</f>
        <v>HIGH</v>
      </c>
    </row>
    <row r="1198" spans="1:11">
      <c r="A1198" t="s">
        <v>1211</v>
      </c>
      <c r="B1198" s="14">
        <f>_xlfn.MINIFS('working sheet'!$B$2:$B$3548, 'working sheet'!$D$2:$D$3548, A1198)</f>
        <v>45698.560354988425</v>
      </c>
      <c r="C1198" s="17">
        <f>_xlfn.MAXIFS('working sheet'!$B$1:$B$3548,'working sheet'!$D$1:$D$3548,'Customer Portfolio'!A1198)</f>
        <v>45698.560354988425</v>
      </c>
      <c r="D1198">
        <f>COUNTIFS('working sheet'!$D$1:$D$3548,'Customer Portfolio'!A1198)</f>
        <v>1</v>
      </c>
      <c r="E1198" s="5">
        <f>SUMIFS('working sheet'!$E$2:$E$3548,'working sheet'!$D$2:$D$3548,'Customer Portfolio'!A1198)</f>
        <v>30.86</v>
      </c>
      <c r="F1198" s="6">
        <f t="shared" si="36"/>
        <v>30.86</v>
      </c>
      <c r="G1198" t="str">
        <f t="array" ref="G1198">IFERROR(INDEX('working sheet'!$F$2:$F$3548, MODE(IF('working sheet'!$D$2:$D$3548=A1198, MATCH('working sheet'!$F$2:$F$3548, 'working sheet'!$F$2:$F$3548, 0)))),
         INDEX('working sheet'!$F$2:$F$3548, MATCH(A1198, 'working sheet'!$D$2:$D$3548, 0)))</f>
        <v>Americano with Milk</v>
      </c>
      <c r="H1198" s="7">
        <f t="shared" si="37"/>
        <v>1</v>
      </c>
      <c r="I1198" s="7">
        <f>MAX('working sheet'!$B$2:$B$3548)-C1198</f>
        <v>41.197731064814434</v>
      </c>
      <c r="J1198" s="4" t="str">
        <f t="array" ref="J1198">IF(AND(I1198&lt;=30, D1198&gt;=10, E1198&gt;=200), "VIP",  IF(AND(I1198&lt;=60, D1198&gt;=5, E1198&gt;=100), "Loyal", IF(AND(I1198&lt;=90, D1198&gt;=3), "Regular", IF(I1198&lt;=30, "Recent", IF(D1198&gt;=3, "Occasional", "At Risk")))))</f>
        <v>At Risk</v>
      </c>
      <c r="K1198" t="str">
        <f t="array" ref="K1198">IF(OR(J1198="VIP", J1198="Loyal"), "HIGH",IF(OR(J1198="Regular", J1198="Recent"), "MEDIUM","LOW"))</f>
        <v>LOW</v>
      </c>
    </row>
    <row r="1199" spans="1:11">
      <c r="A1199" t="s">
        <v>1212</v>
      </c>
      <c r="B1199" s="14">
        <f>_xlfn.MINIFS('working sheet'!$B$2:$B$3548, 'working sheet'!$D$2:$D$3548, A1199)</f>
        <v>45698.569598715279</v>
      </c>
      <c r="C1199" s="17">
        <f>_xlfn.MAXIFS('working sheet'!$B$1:$B$3548,'working sheet'!$D$1:$D$3548,'Customer Portfolio'!A1199)</f>
        <v>45722.462310462965</v>
      </c>
      <c r="D1199">
        <f>COUNTIFS('working sheet'!$D$1:$D$3548,'Customer Portfolio'!A1199)</f>
        <v>15</v>
      </c>
      <c r="E1199" s="5">
        <f>SUMIFS('working sheet'!$E$2:$E$3548,'working sheet'!$D$2:$D$3548,'Customer Portfolio'!A1199)</f>
        <v>394.29999999999995</v>
      </c>
      <c r="F1199" s="6">
        <f t="shared" si="36"/>
        <v>26.286666666666665</v>
      </c>
      <c r="G1199" t="str">
        <f t="array" ref="G1199">IFERROR(INDEX('working sheet'!$F$2:$F$3548, MODE(IF('working sheet'!$D$2:$D$3548=A1199, MATCH('working sheet'!$F$2:$F$3548, 'working sheet'!$F$2:$F$3548, 0)))),
         INDEX('working sheet'!$F$2:$F$3548, MATCH(A1199, 'working sheet'!$D$2:$D$3548, 0)))</f>
        <v>Americano</v>
      </c>
      <c r="H1199" s="7">
        <f t="shared" si="37"/>
        <v>24.892711747685098</v>
      </c>
      <c r="I1199" s="7">
        <f>MAX('working sheet'!$B$2:$B$3548)-C1199</f>
        <v>17.295775590275298</v>
      </c>
      <c r="J1199" s="4" t="str">
        <f t="array" ref="J1199">IF(AND(I1199&lt;=30, D1199&gt;=10, E1199&gt;=200), "VIP",  IF(AND(I1199&lt;=60, D1199&gt;=5, E1199&gt;=100), "Loyal", IF(AND(I1199&lt;=90, D1199&gt;=3), "Regular", IF(I1199&lt;=30, "Recent", IF(D1199&gt;=3, "Occasional", "At Risk")))))</f>
        <v>VIP</v>
      </c>
      <c r="K1199" t="str">
        <f t="array" ref="K1199">IF(OR(J1199="VIP", J1199="Loyal"), "HIGH",IF(OR(J1199="Regular", J1199="Recent"), "MEDIUM","LOW"))</f>
        <v>HIGH</v>
      </c>
    </row>
    <row r="1200" spans="1:11">
      <c r="A1200" t="s">
        <v>1213</v>
      </c>
      <c r="B1200" s="14">
        <f>_xlfn.MINIFS('working sheet'!$B$2:$B$3548, 'working sheet'!$D$2:$D$3548, A1200)</f>
        <v>45698.584630081015</v>
      </c>
      <c r="C1200" s="17">
        <f>_xlfn.MAXIFS('working sheet'!$B$1:$B$3548,'working sheet'!$D$1:$D$3548,'Customer Portfolio'!A1200)</f>
        <v>45728.580829178238</v>
      </c>
      <c r="D1200">
        <f>COUNTIFS('working sheet'!$D$1:$D$3548,'Customer Portfolio'!A1200)</f>
        <v>2</v>
      </c>
      <c r="E1200" s="5">
        <f>SUMIFS('working sheet'!$E$2:$E$3548,'working sheet'!$D$2:$D$3548,'Customer Portfolio'!A1200)</f>
        <v>71.52</v>
      </c>
      <c r="F1200" s="6">
        <f t="shared" si="36"/>
        <v>35.76</v>
      </c>
      <c r="G1200" t="str">
        <f t="array" ref="G1200">IFERROR(INDEX('working sheet'!$F$2:$F$3548, MODE(IF('working sheet'!$D$2:$D$3548=A1200, MATCH('working sheet'!$F$2:$F$3548, 'working sheet'!$F$2:$F$3548, 0)))),
         INDEX('working sheet'!$F$2:$F$3548, MATCH(A1200, 'working sheet'!$D$2:$D$3548, 0)))</f>
        <v>Latte</v>
      </c>
      <c r="H1200" s="7">
        <f t="shared" si="37"/>
        <v>30.996199097222416</v>
      </c>
      <c r="I1200" s="7">
        <f>MAX('working sheet'!$B$2:$B$3548)-C1200</f>
        <v>11.177256875002058</v>
      </c>
      <c r="J1200" s="4" t="str">
        <f t="array" ref="J1200">IF(AND(I1200&lt;=30, D1200&gt;=10, E1200&gt;=200), "VIP",  IF(AND(I1200&lt;=60, D1200&gt;=5, E1200&gt;=100), "Loyal", IF(AND(I1200&lt;=90, D1200&gt;=3), "Regular", IF(I1200&lt;=30, "Recent", IF(D1200&gt;=3, "Occasional", "At Risk")))))</f>
        <v>Recent</v>
      </c>
      <c r="K1200" t="str">
        <f t="array" ref="K1200">IF(OR(J1200="VIP", J1200="Loyal"), "HIGH",IF(OR(J1200="Regular", J1200="Recent"), "MEDIUM","LOW"))</f>
        <v>MEDIUM</v>
      </c>
    </row>
    <row r="1201" spans="1:11">
      <c r="A1201" t="s">
        <v>1214</v>
      </c>
      <c r="B1201" s="14">
        <f>_xlfn.MINIFS('working sheet'!$B$2:$B$3548, 'working sheet'!$D$2:$D$3548, A1201)</f>
        <v>45698.626330439816</v>
      </c>
      <c r="C1201" s="17">
        <f>_xlfn.MAXIFS('working sheet'!$B$1:$B$3548,'working sheet'!$D$1:$D$3548,'Customer Portfolio'!A1201)</f>
        <v>45705.284773784719</v>
      </c>
      <c r="D1201">
        <f>COUNTIFS('working sheet'!$D$1:$D$3548,'Customer Portfolio'!A1201)</f>
        <v>7</v>
      </c>
      <c r="E1201" s="5">
        <f>SUMIFS('working sheet'!$E$2:$E$3548,'working sheet'!$D$2:$D$3548,'Customer Portfolio'!A1201)</f>
        <v>245.41999999999996</v>
      </c>
      <c r="F1201" s="6">
        <f t="shared" si="36"/>
        <v>35.059999999999995</v>
      </c>
      <c r="G1201" t="str">
        <f t="array" ref="G1201">IFERROR(INDEX('working sheet'!$F$2:$F$3548, MODE(IF('working sheet'!$D$2:$D$3548=A1201, MATCH('working sheet'!$F$2:$F$3548, 'working sheet'!$F$2:$F$3548, 0)))),
         INDEX('working sheet'!$F$2:$F$3548, MATCH(A1201, 'working sheet'!$D$2:$D$3548, 0)))</f>
        <v>Cappuccino</v>
      </c>
      <c r="H1201" s="7">
        <f t="shared" si="37"/>
        <v>7.65844334490248</v>
      </c>
      <c r="I1201" s="7">
        <f>MAX('working sheet'!$B$2:$B$3548)-C1201</f>
        <v>34.473312268521113</v>
      </c>
      <c r="J1201" s="4" t="str">
        <f t="array" ref="J1201">IF(AND(I1201&lt;=30, D1201&gt;=10, E1201&gt;=200), "VIP",  IF(AND(I1201&lt;=60, D1201&gt;=5, E1201&gt;=100), "Loyal", IF(AND(I1201&lt;=90, D1201&gt;=3), "Regular", IF(I1201&lt;=30, "Recent", IF(D1201&gt;=3, "Occasional", "At Risk")))))</f>
        <v>Loyal</v>
      </c>
      <c r="K1201" t="str">
        <f t="array" ref="K1201">IF(OR(J1201="VIP", J1201="Loyal"), "HIGH",IF(OR(J1201="Regular", J1201="Recent"), "MEDIUM","LOW"))</f>
        <v>HIGH</v>
      </c>
    </row>
    <row r="1202" spans="1:11">
      <c r="A1202" t="s">
        <v>1215</v>
      </c>
      <c r="B1202" s="14">
        <f>_xlfn.MINIFS('working sheet'!$B$2:$B$3548, 'working sheet'!$D$2:$D$3548, A1202)</f>
        <v>45698.802008402781</v>
      </c>
      <c r="C1202" s="17">
        <f>_xlfn.MAXIFS('working sheet'!$B$1:$B$3548,'working sheet'!$D$1:$D$3548,'Customer Portfolio'!A1202)</f>
        <v>45703.652866516204</v>
      </c>
      <c r="D1202">
        <f>COUNTIFS('working sheet'!$D$1:$D$3548,'Customer Portfolio'!A1202)</f>
        <v>2</v>
      </c>
      <c r="E1202" s="5">
        <f>SUMIFS('working sheet'!$E$2:$E$3548,'working sheet'!$D$2:$D$3548,'Customer Portfolio'!A1202)</f>
        <v>71.52</v>
      </c>
      <c r="F1202" s="6">
        <f t="shared" si="36"/>
        <v>35.76</v>
      </c>
      <c r="G1202" t="str">
        <f t="array" ref="G1202">IFERROR(INDEX('working sheet'!$F$2:$F$3548, MODE(IF('working sheet'!$D$2:$D$3548=A1202, MATCH('working sheet'!$F$2:$F$3548, 'working sheet'!$F$2:$F$3548, 0)))),
         INDEX('working sheet'!$F$2:$F$3548, MATCH(A1202, 'working sheet'!$D$2:$D$3548, 0)))</f>
        <v>Latte</v>
      </c>
      <c r="H1202" s="7">
        <f t="shared" si="37"/>
        <v>5.8508581134228734</v>
      </c>
      <c r="I1202" s="7">
        <f>MAX('working sheet'!$B$2:$B$3548)-C1202</f>
        <v>36.105219537035737</v>
      </c>
      <c r="J1202" s="4" t="str">
        <f t="array" ref="J1202">IF(AND(I1202&lt;=30, D1202&gt;=10, E1202&gt;=200), "VIP",  IF(AND(I1202&lt;=60, D1202&gt;=5, E1202&gt;=100), "Loyal", IF(AND(I1202&lt;=90, D1202&gt;=3), "Regular", IF(I1202&lt;=30, "Recent", IF(D1202&gt;=3, "Occasional", "At Risk")))))</f>
        <v>At Risk</v>
      </c>
      <c r="K1202" t="str">
        <f t="array" ref="K1202">IF(OR(J1202="VIP", J1202="Loyal"), "HIGH",IF(OR(J1202="Regular", J1202="Recent"), "MEDIUM","LOW"))</f>
        <v>LOW</v>
      </c>
    </row>
    <row r="1203" spans="1:11">
      <c r="A1203" t="s">
        <v>1216</v>
      </c>
      <c r="B1203" s="14">
        <f>_xlfn.MINIFS('working sheet'!$B$2:$B$3548, 'working sheet'!$D$2:$D$3548, A1203)</f>
        <v>45699.70116892361</v>
      </c>
      <c r="C1203" s="17">
        <f>_xlfn.MAXIFS('working sheet'!$B$1:$B$3548,'working sheet'!$D$1:$D$3548,'Customer Portfolio'!A1203)</f>
        <v>45705.496553275465</v>
      </c>
      <c r="D1203">
        <f>COUNTIFS('working sheet'!$D$1:$D$3548,'Customer Portfolio'!A1203)</f>
        <v>3</v>
      </c>
      <c r="E1203" s="5">
        <f>SUMIFS('working sheet'!$E$2:$E$3548,'working sheet'!$D$2:$D$3548,'Customer Portfolio'!A1203)</f>
        <v>63.179999999999993</v>
      </c>
      <c r="F1203" s="6">
        <f t="shared" si="36"/>
        <v>21.06</v>
      </c>
      <c r="G1203" t="str">
        <f t="array" ref="G1203">IFERROR(INDEX('working sheet'!$F$2:$F$3548, MODE(IF('working sheet'!$D$2:$D$3548=A1203, MATCH('working sheet'!$F$2:$F$3548, 'working sheet'!$F$2:$F$3548, 0)))),
         INDEX('working sheet'!$F$2:$F$3548, MATCH(A1203, 'working sheet'!$D$2:$D$3548, 0)))</f>
        <v>Espresso</v>
      </c>
      <c r="H1203" s="7">
        <f t="shared" si="37"/>
        <v>6.7953843518553185</v>
      </c>
      <c r="I1203" s="7">
        <f>MAX('working sheet'!$B$2:$B$3548)-C1203</f>
        <v>34.261532777774846</v>
      </c>
      <c r="J1203" s="4" t="str">
        <f t="array" ref="J1203">IF(AND(I1203&lt;=30, D1203&gt;=10, E1203&gt;=200), "VIP",  IF(AND(I1203&lt;=60, D1203&gt;=5, E1203&gt;=100), "Loyal", IF(AND(I1203&lt;=90, D1203&gt;=3), "Regular", IF(I1203&lt;=30, "Recent", IF(D1203&gt;=3, "Occasional", "At Risk")))))</f>
        <v>Regular</v>
      </c>
      <c r="K1203" t="str">
        <f t="array" ref="K1203">IF(OR(J1203="VIP", J1203="Loyal"), "HIGH",IF(OR(J1203="Regular", J1203="Recent"), "MEDIUM","LOW"))</f>
        <v>MEDIUM</v>
      </c>
    </row>
    <row r="1204" spans="1:11">
      <c r="A1204" t="s">
        <v>1217</v>
      </c>
      <c r="B1204" s="14">
        <f>_xlfn.MINIFS('working sheet'!$B$2:$B$3548, 'working sheet'!$D$2:$D$3548, A1204)</f>
        <v>45699.739034652775</v>
      </c>
      <c r="C1204" s="17">
        <f>_xlfn.MAXIFS('working sheet'!$B$1:$B$3548,'working sheet'!$D$1:$D$3548,'Customer Portfolio'!A1204)</f>
        <v>45734.682877569445</v>
      </c>
      <c r="D1204">
        <f>COUNTIFS('working sheet'!$D$1:$D$3548,'Customer Portfolio'!A1204)</f>
        <v>11</v>
      </c>
      <c r="E1204" s="5">
        <f>SUMIFS('working sheet'!$E$2:$E$3548,'working sheet'!$D$2:$D$3548,'Customer Portfolio'!A1204)</f>
        <v>305.16000000000003</v>
      </c>
      <c r="F1204" s="6">
        <f t="shared" si="36"/>
        <v>27.741818181818186</v>
      </c>
      <c r="G1204" t="str">
        <f t="array" ref="G1204">IFERROR(INDEX('working sheet'!$F$2:$F$3548, MODE(IF('working sheet'!$D$2:$D$3548=A1204, MATCH('working sheet'!$F$2:$F$3548, 'working sheet'!$F$2:$F$3548, 0)))),
         INDEX('working sheet'!$F$2:$F$3548, MATCH(A1204, 'working sheet'!$D$2:$D$3548, 0)))</f>
        <v>Americano with Milk</v>
      </c>
      <c r="H1204" s="7">
        <f t="shared" si="37"/>
        <v>35.943842916669382</v>
      </c>
      <c r="I1204" s="7">
        <f>MAX('working sheet'!$B$2:$B$3548)-C1204</f>
        <v>5.0752084837949951</v>
      </c>
      <c r="J1204" s="4" t="str">
        <f t="array" ref="J1204">IF(AND(I1204&lt;=30, D1204&gt;=10, E1204&gt;=200), "VIP",  IF(AND(I1204&lt;=60, D1204&gt;=5, E1204&gt;=100), "Loyal", IF(AND(I1204&lt;=90, D1204&gt;=3), "Regular", IF(I1204&lt;=30, "Recent", IF(D1204&gt;=3, "Occasional", "At Risk")))))</f>
        <v>VIP</v>
      </c>
      <c r="K1204" t="str">
        <f t="array" ref="K1204">IF(OR(J1204="VIP", J1204="Loyal"), "HIGH",IF(OR(J1204="Regular", J1204="Recent"), "MEDIUM","LOW"))</f>
        <v>HIGH</v>
      </c>
    </row>
    <row r="1205" spans="1:11">
      <c r="A1205" t="s">
        <v>1218</v>
      </c>
      <c r="B1205" s="14">
        <f>_xlfn.MINIFS('working sheet'!$B$2:$B$3548, 'working sheet'!$D$2:$D$3548, A1205)</f>
        <v>45699.7945721875</v>
      </c>
      <c r="C1205" s="17">
        <f>_xlfn.MAXIFS('working sheet'!$B$1:$B$3548,'working sheet'!$D$1:$D$3548,'Customer Portfolio'!A1205)</f>
        <v>45699.79518321759</v>
      </c>
      <c r="D1205">
        <f>COUNTIFS('working sheet'!$D$1:$D$3548,'Customer Portfolio'!A1205)</f>
        <v>2</v>
      </c>
      <c r="E1205" s="5">
        <f>SUMIFS('working sheet'!$E$2:$E$3548,'working sheet'!$D$2:$D$3548,'Customer Portfolio'!A1205)</f>
        <v>71.52</v>
      </c>
      <c r="F1205" s="6">
        <f t="shared" si="36"/>
        <v>35.76</v>
      </c>
      <c r="G1205" t="str">
        <f t="array" ref="G1205">IFERROR(INDEX('working sheet'!$F$2:$F$3548, MODE(IF('working sheet'!$D$2:$D$3548=A1205, MATCH('working sheet'!$F$2:$F$3548, 'working sheet'!$F$2:$F$3548, 0)))),
         INDEX('working sheet'!$F$2:$F$3548, MATCH(A1205, 'working sheet'!$D$2:$D$3548, 0)))</f>
        <v>Latte</v>
      </c>
      <c r="H1205" s="7">
        <f t="shared" si="37"/>
        <v>1.0006110300892033</v>
      </c>
      <c r="I1205" s="7">
        <f>MAX('working sheet'!$B$2:$B$3548)-C1205</f>
        <v>39.962902835650311</v>
      </c>
      <c r="J1205" s="4" t="str">
        <f t="array" ref="J1205">IF(AND(I1205&lt;=30, D1205&gt;=10, E1205&gt;=200), "VIP",  IF(AND(I1205&lt;=60, D1205&gt;=5, E1205&gt;=100), "Loyal", IF(AND(I1205&lt;=90, D1205&gt;=3), "Regular", IF(I1205&lt;=30, "Recent", IF(D1205&gt;=3, "Occasional", "At Risk")))))</f>
        <v>At Risk</v>
      </c>
      <c r="K1205" t="str">
        <f t="array" ref="K1205">IF(OR(J1205="VIP", J1205="Loyal"), "HIGH",IF(OR(J1205="Regular", J1205="Recent"), "MEDIUM","LOW"))</f>
        <v>LOW</v>
      </c>
    </row>
    <row r="1206" spans="1:11">
      <c r="A1206" t="s">
        <v>1219</v>
      </c>
      <c r="B1206" s="14">
        <f>_xlfn.MINIFS('working sheet'!$B$2:$B$3548, 'working sheet'!$D$2:$D$3548, A1206)</f>
        <v>45700.530197731481</v>
      </c>
      <c r="C1206" s="17">
        <f>_xlfn.MAXIFS('working sheet'!$B$1:$B$3548,'working sheet'!$D$1:$D$3548,'Customer Portfolio'!A1206)</f>
        <v>45700.530197731481</v>
      </c>
      <c r="D1206">
        <f>COUNTIFS('working sheet'!$D$1:$D$3548,'Customer Portfolio'!A1206)</f>
        <v>1</v>
      </c>
      <c r="E1206" s="5">
        <f>SUMIFS('working sheet'!$E$2:$E$3548,'working sheet'!$D$2:$D$3548,'Customer Portfolio'!A1206)</f>
        <v>25.96</v>
      </c>
      <c r="F1206" s="6">
        <f t="shared" si="36"/>
        <v>25.96</v>
      </c>
      <c r="G1206" t="str">
        <f t="array" ref="G1206">IFERROR(INDEX('working sheet'!$F$2:$F$3548, MODE(IF('working sheet'!$D$2:$D$3548=A1206, MATCH('working sheet'!$F$2:$F$3548, 'working sheet'!$F$2:$F$3548, 0)))),
         INDEX('working sheet'!$F$2:$F$3548, MATCH(A1206, 'working sheet'!$D$2:$D$3548, 0)))</f>
        <v>Americano</v>
      </c>
      <c r="H1206" s="7">
        <f t="shared" si="37"/>
        <v>1</v>
      </c>
      <c r="I1206" s="7">
        <f>MAX('working sheet'!$B$2:$B$3548)-C1206</f>
        <v>39.227888321758655</v>
      </c>
      <c r="J1206" s="4" t="str">
        <f t="array" ref="J1206">IF(AND(I1206&lt;=30, D1206&gt;=10, E1206&gt;=200), "VIP",  IF(AND(I1206&lt;=60, D1206&gt;=5, E1206&gt;=100), "Loyal", IF(AND(I1206&lt;=90, D1206&gt;=3), "Regular", IF(I1206&lt;=30, "Recent", IF(D1206&gt;=3, "Occasional", "At Risk")))))</f>
        <v>At Risk</v>
      </c>
      <c r="K1206" t="str">
        <f t="array" ref="K1206">IF(OR(J1206="VIP", J1206="Loyal"), "HIGH",IF(OR(J1206="Regular", J1206="Recent"), "MEDIUM","LOW"))</f>
        <v>LOW</v>
      </c>
    </row>
    <row r="1207" spans="1:11">
      <c r="A1207" t="s">
        <v>1220</v>
      </c>
      <c r="B1207" s="14">
        <f>_xlfn.MINIFS('working sheet'!$B$2:$B$3548, 'working sheet'!$D$2:$D$3548, A1207)</f>
        <v>45700.547330150461</v>
      </c>
      <c r="C1207" s="17">
        <f>_xlfn.MAXIFS('working sheet'!$B$1:$B$3548,'working sheet'!$D$1:$D$3548,'Customer Portfolio'!A1207)</f>
        <v>45705.766581458331</v>
      </c>
      <c r="D1207">
        <f>COUNTIFS('working sheet'!$D$1:$D$3548,'Customer Portfolio'!A1207)</f>
        <v>2</v>
      </c>
      <c r="E1207" s="5">
        <f>SUMIFS('working sheet'!$E$2:$E$3548,'working sheet'!$D$2:$D$3548,'Customer Portfolio'!A1207)</f>
        <v>51.92</v>
      </c>
      <c r="F1207" s="6">
        <f t="shared" si="36"/>
        <v>25.96</v>
      </c>
      <c r="G1207" t="str">
        <f t="array" ref="G1207">IFERROR(INDEX('working sheet'!$F$2:$F$3548, MODE(IF('working sheet'!$D$2:$D$3548=A1207, MATCH('working sheet'!$F$2:$F$3548, 'working sheet'!$F$2:$F$3548, 0)))),
         INDEX('working sheet'!$F$2:$F$3548, MATCH(A1207, 'working sheet'!$D$2:$D$3548, 0)))</f>
        <v>Americano</v>
      </c>
      <c r="H1207" s="7">
        <f t="shared" si="37"/>
        <v>6.2192513078698539</v>
      </c>
      <c r="I1207" s="7">
        <f>MAX('working sheet'!$B$2:$B$3548)-C1207</f>
        <v>33.991504594909202</v>
      </c>
      <c r="J1207" s="4" t="str">
        <f t="array" ref="J1207">IF(AND(I1207&lt;=30, D1207&gt;=10, E1207&gt;=200), "VIP",  IF(AND(I1207&lt;=60, D1207&gt;=5, E1207&gt;=100), "Loyal", IF(AND(I1207&lt;=90, D1207&gt;=3), "Regular", IF(I1207&lt;=30, "Recent", IF(D1207&gt;=3, "Occasional", "At Risk")))))</f>
        <v>At Risk</v>
      </c>
      <c r="K1207" t="str">
        <f t="array" ref="K1207">IF(OR(J1207="VIP", J1207="Loyal"), "HIGH",IF(OR(J1207="Regular", J1207="Recent"), "MEDIUM","LOW"))</f>
        <v>LOW</v>
      </c>
    </row>
    <row r="1208" spans="1:11">
      <c r="A1208" t="s">
        <v>1221</v>
      </c>
      <c r="B1208" s="14">
        <f>_xlfn.MINIFS('working sheet'!$B$2:$B$3548, 'working sheet'!$D$2:$D$3548, A1208)</f>
        <v>45701.387048854165</v>
      </c>
      <c r="C1208" s="17">
        <f>_xlfn.MAXIFS('working sheet'!$B$1:$B$3548,'working sheet'!$D$1:$D$3548,'Customer Portfolio'!A1208)</f>
        <v>45730.393147037037</v>
      </c>
      <c r="D1208">
        <f>COUNTIFS('working sheet'!$D$1:$D$3548,'Customer Portfolio'!A1208)</f>
        <v>7</v>
      </c>
      <c r="E1208" s="5">
        <f>SUMIFS('working sheet'!$E$2:$E$3548,'working sheet'!$D$2:$D$3548,'Customer Portfolio'!A1208)</f>
        <v>176.82</v>
      </c>
      <c r="F1208" s="6">
        <f t="shared" si="36"/>
        <v>25.259999999999998</v>
      </c>
      <c r="G1208" t="str">
        <f t="array" ref="G1208">IFERROR(INDEX('working sheet'!$F$2:$F$3548, MODE(IF('working sheet'!$D$2:$D$3548=A1208, MATCH('working sheet'!$F$2:$F$3548, 'working sheet'!$F$2:$F$3548, 0)))),
         INDEX('working sheet'!$F$2:$F$3548, MATCH(A1208, 'working sheet'!$D$2:$D$3548, 0)))</f>
        <v>Espresso</v>
      </c>
      <c r="H1208" s="7">
        <f t="shared" si="37"/>
        <v>30.006098182871938</v>
      </c>
      <c r="I1208" s="7">
        <f>MAX('working sheet'!$B$2:$B$3548)-C1208</f>
        <v>9.3649390162026975</v>
      </c>
      <c r="J1208" s="4" t="str">
        <f t="array" ref="J1208">IF(AND(I1208&lt;=30, D1208&gt;=10, E1208&gt;=200), "VIP",  IF(AND(I1208&lt;=60, D1208&gt;=5, E1208&gt;=100), "Loyal", IF(AND(I1208&lt;=90, D1208&gt;=3), "Regular", IF(I1208&lt;=30, "Recent", IF(D1208&gt;=3, "Occasional", "At Risk")))))</f>
        <v>Loyal</v>
      </c>
      <c r="K1208" t="str">
        <f t="array" ref="K1208">IF(OR(J1208="VIP", J1208="Loyal"), "HIGH",IF(OR(J1208="Regular", J1208="Recent"), "MEDIUM","LOW"))</f>
        <v>HIGH</v>
      </c>
    </row>
    <row r="1209" spans="1:11">
      <c r="A1209" t="s">
        <v>1222</v>
      </c>
      <c r="B1209" s="14">
        <f>_xlfn.MINIFS('working sheet'!$B$2:$B$3548, 'working sheet'!$D$2:$D$3548, A1209)</f>
        <v>45701.751104791663</v>
      </c>
      <c r="C1209" s="17">
        <f>_xlfn.MAXIFS('working sheet'!$B$1:$B$3548,'working sheet'!$D$1:$D$3548,'Customer Portfolio'!A1209)</f>
        <v>45715.762140844905</v>
      </c>
      <c r="D1209">
        <f>COUNTIFS('working sheet'!$D$1:$D$3548,'Customer Portfolio'!A1209)</f>
        <v>2</v>
      </c>
      <c r="E1209" s="5">
        <f>SUMIFS('working sheet'!$E$2:$E$3548,'working sheet'!$D$2:$D$3548,'Customer Portfolio'!A1209)</f>
        <v>71.52</v>
      </c>
      <c r="F1209" s="6">
        <f t="shared" si="36"/>
        <v>35.76</v>
      </c>
      <c r="G1209" t="str">
        <f t="array" ref="G1209">IFERROR(INDEX('working sheet'!$F$2:$F$3548, MODE(IF('working sheet'!$D$2:$D$3548=A1209, MATCH('working sheet'!$F$2:$F$3548, 'working sheet'!$F$2:$F$3548, 0)))),
         INDEX('working sheet'!$F$2:$F$3548, MATCH(A1209, 'working sheet'!$D$2:$D$3548, 0)))</f>
        <v>Latte</v>
      </c>
      <c r="H1209" s="7">
        <f t="shared" si="37"/>
        <v>15.011036053241696</v>
      </c>
      <c r="I1209" s="7">
        <f>MAX('working sheet'!$B$2:$B$3548)-C1209</f>
        <v>23.995945208334888</v>
      </c>
      <c r="J1209" s="4" t="str">
        <f t="array" ref="J1209">IF(AND(I1209&lt;=30, D1209&gt;=10, E1209&gt;=200), "VIP",  IF(AND(I1209&lt;=60, D1209&gt;=5, E1209&gt;=100), "Loyal", IF(AND(I1209&lt;=90, D1209&gt;=3), "Regular", IF(I1209&lt;=30, "Recent", IF(D1209&gt;=3, "Occasional", "At Risk")))))</f>
        <v>Recent</v>
      </c>
      <c r="K1209" t="str">
        <f t="array" ref="K1209">IF(OR(J1209="VIP", J1209="Loyal"), "HIGH",IF(OR(J1209="Regular", J1209="Recent"), "MEDIUM","LOW"))</f>
        <v>MEDIUM</v>
      </c>
    </row>
    <row r="1210" spans="1:11">
      <c r="A1210" t="s">
        <v>1223</v>
      </c>
      <c r="B1210" s="14">
        <f>_xlfn.MINIFS('working sheet'!$B$2:$B$3548, 'working sheet'!$D$2:$D$3548, A1210)</f>
        <v>45701.796184872685</v>
      </c>
      <c r="C1210" s="17">
        <f>_xlfn.MAXIFS('working sheet'!$B$1:$B$3548,'working sheet'!$D$1:$D$3548,'Customer Portfolio'!A1210)</f>
        <v>45727.796694143515</v>
      </c>
      <c r="D1210">
        <f>COUNTIFS('working sheet'!$D$1:$D$3548,'Customer Portfolio'!A1210)</f>
        <v>2</v>
      </c>
      <c r="E1210" s="5">
        <f>SUMIFS('working sheet'!$E$2:$E$3548,'working sheet'!$D$2:$D$3548,'Customer Portfolio'!A1210)</f>
        <v>71.52</v>
      </c>
      <c r="F1210" s="6">
        <f t="shared" si="36"/>
        <v>35.76</v>
      </c>
      <c r="G1210" t="str">
        <f t="array" ref="G1210">IFERROR(INDEX('working sheet'!$F$2:$F$3548, MODE(IF('working sheet'!$D$2:$D$3548=A1210, MATCH('working sheet'!$F$2:$F$3548, 'working sheet'!$F$2:$F$3548, 0)))),
         INDEX('working sheet'!$F$2:$F$3548, MATCH(A1210, 'working sheet'!$D$2:$D$3548, 0)))</f>
        <v>Latte</v>
      </c>
      <c r="H1210" s="7">
        <f t="shared" si="37"/>
        <v>27.000509270830662</v>
      </c>
      <c r="I1210" s="7">
        <f>MAX('working sheet'!$B$2:$B$3548)-C1210</f>
        <v>11.961391909724625</v>
      </c>
      <c r="J1210" s="4" t="str">
        <f t="array" ref="J1210">IF(AND(I1210&lt;=30, D1210&gt;=10, E1210&gt;=200), "VIP",  IF(AND(I1210&lt;=60, D1210&gt;=5, E1210&gt;=100), "Loyal", IF(AND(I1210&lt;=90, D1210&gt;=3), "Regular", IF(I1210&lt;=30, "Recent", IF(D1210&gt;=3, "Occasional", "At Risk")))))</f>
        <v>Recent</v>
      </c>
      <c r="K1210" t="str">
        <f t="array" ref="K1210">IF(OR(J1210="VIP", J1210="Loyal"), "HIGH",IF(OR(J1210="Regular", J1210="Recent"), "MEDIUM","LOW"))</f>
        <v>MEDIUM</v>
      </c>
    </row>
    <row r="1211" spans="1:11">
      <c r="A1211" t="s">
        <v>1224</v>
      </c>
      <c r="B1211" s="14">
        <f>_xlfn.MINIFS('working sheet'!$B$2:$B$3548, 'working sheet'!$D$2:$D$3548, A1211)</f>
        <v>45702.588302465279</v>
      </c>
      <c r="C1211" s="17">
        <f>_xlfn.MAXIFS('working sheet'!$B$1:$B$3548,'working sheet'!$D$1:$D$3548,'Customer Portfolio'!A1211)</f>
        <v>45727.701166087965</v>
      </c>
      <c r="D1211">
        <f>COUNTIFS('working sheet'!$D$1:$D$3548,'Customer Portfolio'!A1211)</f>
        <v>7</v>
      </c>
      <c r="E1211" s="5">
        <f>SUMIFS('working sheet'!$E$2:$E$3548,'working sheet'!$D$2:$D$3548,'Customer Portfolio'!A1211)</f>
        <v>250.31999999999996</v>
      </c>
      <c r="F1211" s="6">
        <f t="shared" si="36"/>
        <v>35.76</v>
      </c>
      <c r="G1211" t="str">
        <f t="array" ref="G1211">IFERROR(INDEX('working sheet'!$F$2:$F$3548, MODE(IF('working sheet'!$D$2:$D$3548=A1211, MATCH('working sheet'!$F$2:$F$3548, 'working sheet'!$F$2:$F$3548, 0)))),
         INDEX('working sheet'!$F$2:$F$3548, MATCH(A1211, 'working sheet'!$D$2:$D$3548, 0)))</f>
        <v>Hot Chocolate</v>
      </c>
      <c r="H1211" s="7">
        <f t="shared" si="37"/>
        <v>26.112863622685836</v>
      </c>
      <c r="I1211" s="7">
        <f>MAX('working sheet'!$B$2:$B$3548)-C1211</f>
        <v>12.056919965274574</v>
      </c>
      <c r="J1211" s="4" t="str">
        <f t="array" ref="J1211">IF(AND(I1211&lt;=30, D1211&gt;=10, E1211&gt;=200), "VIP",  IF(AND(I1211&lt;=60, D1211&gt;=5, E1211&gt;=100), "Loyal", IF(AND(I1211&lt;=90, D1211&gt;=3), "Regular", IF(I1211&lt;=30, "Recent", IF(D1211&gt;=3, "Occasional", "At Risk")))))</f>
        <v>Loyal</v>
      </c>
      <c r="K1211" t="str">
        <f t="array" ref="K1211">IF(OR(J1211="VIP", J1211="Loyal"), "HIGH",IF(OR(J1211="Regular", J1211="Recent"), "MEDIUM","LOW"))</f>
        <v>HIGH</v>
      </c>
    </row>
    <row r="1212" spans="1:11">
      <c r="A1212" t="s">
        <v>1225</v>
      </c>
      <c r="B1212" s="14">
        <f>_xlfn.MINIFS('working sheet'!$B$2:$B$3548, 'working sheet'!$D$2:$D$3548, A1212)</f>
        <v>45702.623752858795</v>
      </c>
      <c r="C1212" s="17">
        <f>_xlfn.MAXIFS('working sheet'!$B$1:$B$3548,'working sheet'!$D$1:$D$3548,'Customer Portfolio'!A1212)</f>
        <v>45702.623752858795</v>
      </c>
      <c r="D1212">
        <f>COUNTIFS('working sheet'!$D$1:$D$3548,'Customer Portfolio'!A1212)</f>
        <v>1</v>
      </c>
      <c r="E1212" s="5">
        <f>SUMIFS('working sheet'!$E$2:$E$3548,'working sheet'!$D$2:$D$3548,'Customer Portfolio'!A1212)</f>
        <v>30.86</v>
      </c>
      <c r="F1212" s="6">
        <f t="shared" si="36"/>
        <v>30.86</v>
      </c>
      <c r="G1212" t="str">
        <f t="array" ref="G1212">IFERROR(INDEX('working sheet'!$F$2:$F$3548, MODE(IF('working sheet'!$D$2:$D$3548=A1212, MATCH('working sheet'!$F$2:$F$3548, 'working sheet'!$F$2:$F$3548, 0)))),
         INDEX('working sheet'!$F$2:$F$3548, MATCH(A1212, 'working sheet'!$D$2:$D$3548, 0)))</f>
        <v>Americano with Milk</v>
      </c>
      <c r="H1212" s="7">
        <f t="shared" si="37"/>
        <v>1</v>
      </c>
      <c r="I1212" s="7">
        <f>MAX('working sheet'!$B$2:$B$3548)-C1212</f>
        <v>37.13433319444448</v>
      </c>
      <c r="J1212" s="4" t="str">
        <f t="array" ref="J1212">IF(AND(I1212&lt;=30, D1212&gt;=10, E1212&gt;=200), "VIP",  IF(AND(I1212&lt;=60, D1212&gt;=5, E1212&gt;=100), "Loyal", IF(AND(I1212&lt;=90, D1212&gt;=3), "Regular", IF(I1212&lt;=30, "Recent", IF(D1212&gt;=3, "Occasional", "At Risk")))))</f>
        <v>At Risk</v>
      </c>
      <c r="K1212" t="str">
        <f t="array" ref="K1212">IF(OR(J1212="VIP", J1212="Loyal"), "HIGH",IF(OR(J1212="Regular", J1212="Recent"), "MEDIUM","LOW"))</f>
        <v>LOW</v>
      </c>
    </row>
    <row r="1213" spans="1:11">
      <c r="A1213" t="s">
        <v>1226</v>
      </c>
      <c r="B1213" s="14">
        <f>_xlfn.MINIFS('working sheet'!$B$2:$B$3548, 'working sheet'!$D$2:$D$3548, A1213)</f>
        <v>45702.662459108797</v>
      </c>
      <c r="C1213" s="17">
        <f>_xlfn.MAXIFS('working sheet'!$B$1:$B$3548,'working sheet'!$D$1:$D$3548,'Customer Portfolio'!A1213)</f>
        <v>45726.65414204861</v>
      </c>
      <c r="D1213">
        <f>COUNTIFS('working sheet'!$D$1:$D$3548,'Customer Portfolio'!A1213)</f>
        <v>4</v>
      </c>
      <c r="E1213" s="5">
        <f>SUMIFS('working sheet'!$E$2:$E$3548,'working sheet'!$D$2:$D$3548,'Customer Portfolio'!A1213)</f>
        <v>143.04</v>
      </c>
      <c r="F1213" s="6">
        <f t="shared" si="36"/>
        <v>35.76</v>
      </c>
      <c r="G1213" t="str">
        <f t="array" ref="G1213">IFERROR(INDEX('working sheet'!$F$2:$F$3548, MODE(IF('working sheet'!$D$2:$D$3548=A1213, MATCH('working sheet'!$F$2:$F$3548, 'working sheet'!$F$2:$F$3548, 0)))),
         INDEX('working sheet'!$F$2:$F$3548, MATCH(A1213, 'working sheet'!$D$2:$D$3548, 0)))</f>
        <v>Hot Chocolate</v>
      </c>
      <c r="H1213" s="7">
        <f t="shared" si="37"/>
        <v>24.991682939813472</v>
      </c>
      <c r="I1213" s="7">
        <f>MAX('working sheet'!$B$2:$B$3548)-C1213</f>
        <v>13.103944004629739</v>
      </c>
      <c r="J1213" s="4" t="str">
        <f t="array" ref="J1213">IF(AND(I1213&lt;=30, D1213&gt;=10, E1213&gt;=200), "VIP",  IF(AND(I1213&lt;=60, D1213&gt;=5, E1213&gt;=100), "Loyal", IF(AND(I1213&lt;=90, D1213&gt;=3), "Regular", IF(I1213&lt;=30, "Recent", IF(D1213&gt;=3, "Occasional", "At Risk")))))</f>
        <v>Regular</v>
      </c>
      <c r="K1213" t="str">
        <f t="array" ref="K1213">IF(OR(J1213="VIP", J1213="Loyal"), "HIGH",IF(OR(J1213="Regular", J1213="Recent"), "MEDIUM","LOW"))</f>
        <v>MEDIUM</v>
      </c>
    </row>
    <row r="1214" spans="1:11">
      <c r="A1214" t="s">
        <v>1227</v>
      </c>
      <c r="B1214" s="14">
        <f>_xlfn.MINIFS('working sheet'!$B$2:$B$3548, 'working sheet'!$D$2:$D$3548, A1214)</f>
        <v>45702.725982303244</v>
      </c>
      <c r="C1214" s="17">
        <f>_xlfn.MAXIFS('working sheet'!$B$1:$B$3548,'working sheet'!$D$1:$D$3548,'Customer Portfolio'!A1214)</f>
        <v>45702.725982303244</v>
      </c>
      <c r="D1214">
        <f>COUNTIFS('working sheet'!$D$1:$D$3548,'Customer Portfolio'!A1214)</f>
        <v>1</v>
      </c>
      <c r="E1214" s="5">
        <f>SUMIFS('working sheet'!$E$2:$E$3548,'working sheet'!$D$2:$D$3548,'Customer Portfolio'!A1214)</f>
        <v>30.86</v>
      </c>
      <c r="F1214" s="6">
        <f t="shared" si="36"/>
        <v>30.86</v>
      </c>
      <c r="G1214" t="str">
        <f t="array" ref="G1214">IFERROR(INDEX('working sheet'!$F$2:$F$3548, MODE(IF('working sheet'!$D$2:$D$3548=A1214, MATCH('working sheet'!$F$2:$F$3548, 'working sheet'!$F$2:$F$3548, 0)))),
         INDEX('working sheet'!$F$2:$F$3548, MATCH(A1214, 'working sheet'!$D$2:$D$3548, 0)))</f>
        <v>Americano with Milk</v>
      </c>
      <c r="H1214" s="7">
        <f t="shared" si="37"/>
        <v>1</v>
      </c>
      <c r="I1214" s="7">
        <f>MAX('working sheet'!$B$2:$B$3548)-C1214</f>
        <v>37.032103749996168</v>
      </c>
      <c r="J1214" s="4" t="str">
        <f t="array" ref="J1214">IF(AND(I1214&lt;=30, D1214&gt;=10, E1214&gt;=200), "VIP",  IF(AND(I1214&lt;=60, D1214&gt;=5, E1214&gt;=100), "Loyal", IF(AND(I1214&lt;=90, D1214&gt;=3), "Regular", IF(I1214&lt;=30, "Recent", IF(D1214&gt;=3, "Occasional", "At Risk")))))</f>
        <v>At Risk</v>
      </c>
      <c r="K1214" t="str">
        <f t="array" ref="K1214">IF(OR(J1214="VIP", J1214="Loyal"), "HIGH",IF(OR(J1214="Regular", J1214="Recent"), "MEDIUM","LOW"))</f>
        <v>LOW</v>
      </c>
    </row>
    <row r="1215" spans="1:11">
      <c r="A1215" t="s">
        <v>1228</v>
      </c>
      <c r="B1215" s="14">
        <f>_xlfn.MINIFS('working sheet'!$B$2:$B$3548, 'working sheet'!$D$2:$D$3548, A1215)</f>
        <v>45702.887846712962</v>
      </c>
      <c r="C1215" s="17">
        <f>_xlfn.MAXIFS('working sheet'!$B$1:$B$3548,'working sheet'!$D$1:$D$3548,'Customer Portfolio'!A1215)</f>
        <v>45730.903282245374</v>
      </c>
      <c r="D1215">
        <f>COUNTIFS('working sheet'!$D$1:$D$3548,'Customer Portfolio'!A1215)</f>
        <v>2</v>
      </c>
      <c r="E1215" s="5">
        <f>SUMIFS('working sheet'!$E$2:$E$3548,'working sheet'!$D$2:$D$3548,'Customer Portfolio'!A1215)</f>
        <v>51.92</v>
      </c>
      <c r="F1215" s="6">
        <f t="shared" si="36"/>
        <v>25.96</v>
      </c>
      <c r="G1215" t="str">
        <f t="array" ref="G1215">IFERROR(INDEX('working sheet'!$F$2:$F$3548, MODE(IF('working sheet'!$D$2:$D$3548=A1215, MATCH('working sheet'!$F$2:$F$3548, 'working sheet'!$F$2:$F$3548, 0)))),
         INDEX('working sheet'!$F$2:$F$3548, MATCH(A1215, 'working sheet'!$D$2:$D$3548, 0)))</f>
        <v>Americano</v>
      </c>
      <c r="H1215" s="7">
        <f t="shared" si="37"/>
        <v>29.015435532412084</v>
      </c>
      <c r="I1215" s="7">
        <f>MAX('working sheet'!$B$2:$B$3548)-C1215</f>
        <v>8.8548038078661193</v>
      </c>
      <c r="J1215" s="4" t="str">
        <f t="array" ref="J1215">IF(AND(I1215&lt;=30, D1215&gt;=10, E1215&gt;=200), "VIP",  IF(AND(I1215&lt;=60, D1215&gt;=5, E1215&gt;=100), "Loyal", IF(AND(I1215&lt;=90, D1215&gt;=3), "Regular", IF(I1215&lt;=30, "Recent", IF(D1215&gt;=3, "Occasional", "At Risk")))))</f>
        <v>Recent</v>
      </c>
      <c r="K1215" t="str">
        <f t="array" ref="K1215">IF(OR(J1215="VIP", J1215="Loyal"), "HIGH",IF(OR(J1215="Regular", J1215="Recent"), "MEDIUM","LOW"))</f>
        <v>MEDIUM</v>
      </c>
    </row>
    <row r="1216" spans="1:11">
      <c r="A1216" t="s">
        <v>1229</v>
      </c>
      <c r="B1216" s="14">
        <f>_xlfn.MINIFS('working sheet'!$B$2:$B$3548, 'working sheet'!$D$2:$D$3548, A1216)</f>
        <v>45703.591596319442</v>
      </c>
      <c r="C1216" s="17">
        <f>_xlfn.MAXIFS('working sheet'!$B$1:$B$3548,'working sheet'!$D$1:$D$3548,'Customer Portfolio'!A1216)</f>
        <v>45734.452288356479</v>
      </c>
      <c r="D1216">
        <f>COUNTIFS('working sheet'!$D$1:$D$3548,'Customer Portfolio'!A1216)</f>
        <v>6</v>
      </c>
      <c r="E1216" s="5">
        <f>SUMIFS('working sheet'!$E$2:$E$3548,'working sheet'!$D$2:$D$3548,'Customer Portfolio'!A1216)</f>
        <v>185.16</v>
      </c>
      <c r="F1216" s="6">
        <f t="shared" si="36"/>
        <v>30.86</v>
      </c>
      <c r="G1216" t="str">
        <f t="array" ref="G1216">IFERROR(INDEX('working sheet'!$F$2:$F$3548, MODE(IF('working sheet'!$D$2:$D$3548=A1216, MATCH('working sheet'!$F$2:$F$3548, 'working sheet'!$F$2:$F$3548, 0)))),
         INDEX('working sheet'!$F$2:$F$3548, MATCH(A1216, 'working sheet'!$D$2:$D$3548, 0)))</f>
        <v>Americano</v>
      </c>
      <c r="H1216" s="7">
        <f t="shared" si="37"/>
        <v>31.860692037036642</v>
      </c>
      <c r="I1216" s="7">
        <f>MAX('working sheet'!$B$2:$B$3548)-C1216</f>
        <v>5.3057976967611467</v>
      </c>
      <c r="J1216" s="4" t="str">
        <f t="array" ref="J1216">IF(AND(I1216&lt;=30, D1216&gt;=10, E1216&gt;=200), "VIP",  IF(AND(I1216&lt;=60, D1216&gt;=5, E1216&gt;=100), "Loyal", IF(AND(I1216&lt;=90, D1216&gt;=3), "Regular", IF(I1216&lt;=30, "Recent", IF(D1216&gt;=3, "Occasional", "At Risk")))))</f>
        <v>Loyal</v>
      </c>
      <c r="K1216" t="str">
        <f t="array" ref="K1216">IF(OR(J1216="VIP", J1216="Loyal"), "HIGH",IF(OR(J1216="Regular", J1216="Recent"), "MEDIUM","LOW"))</f>
        <v>HIGH</v>
      </c>
    </row>
    <row r="1217" spans="1:11">
      <c r="A1217" t="s">
        <v>1230</v>
      </c>
      <c r="B1217" s="14">
        <f>_xlfn.MINIFS('working sheet'!$B$2:$B$3548, 'working sheet'!$D$2:$D$3548, A1217)</f>
        <v>45704.449111377318</v>
      </c>
      <c r="C1217" s="17">
        <f>_xlfn.MAXIFS('working sheet'!$B$1:$B$3548,'working sheet'!$D$1:$D$3548,'Customer Portfolio'!A1217)</f>
        <v>45722.671380821761</v>
      </c>
      <c r="D1217">
        <f>COUNTIFS('working sheet'!$D$1:$D$3548,'Customer Portfolio'!A1217)</f>
        <v>2</v>
      </c>
      <c r="E1217" s="5">
        <f>SUMIFS('working sheet'!$E$2:$E$3548,'working sheet'!$D$2:$D$3548,'Customer Portfolio'!A1217)</f>
        <v>56.82</v>
      </c>
      <c r="F1217" s="6">
        <f t="shared" si="36"/>
        <v>28.41</v>
      </c>
      <c r="G1217" t="str">
        <f t="array" ref="G1217">IFERROR(INDEX('working sheet'!$F$2:$F$3548, MODE(IF('working sheet'!$D$2:$D$3548=A1217, MATCH('working sheet'!$F$2:$F$3548, 'working sheet'!$F$2:$F$3548, 0)))),
         INDEX('working sheet'!$F$2:$F$3548, MATCH(A1217, 'working sheet'!$D$2:$D$3548, 0)))</f>
        <v>Americano</v>
      </c>
      <c r="H1217" s="7">
        <f t="shared" si="37"/>
        <v>19.222269444442645</v>
      </c>
      <c r="I1217" s="7">
        <f>MAX('working sheet'!$B$2:$B$3548)-C1217</f>
        <v>17.086705231478845</v>
      </c>
      <c r="J1217" s="4" t="str">
        <f t="array" ref="J1217">IF(AND(I1217&lt;=30, D1217&gt;=10, E1217&gt;=200), "VIP",  IF(AND(I1217&lt;=60, D1217&gt;=5, E1217&gt;=100), "Loyal", IF(AND(I1217&lt;=90, D1217&gt;=3), "Regular", IF(I1217&lt;=30, "Recent", IF(D1217&gt;=3, "Occasional", "At Risk")))))</f>
        <v>Recent</v>
      </c>
      <c r="K1217" t="str">
        <f t="array" ref="K1217">IF(OR(J1217="VIP", J1217="Loyal"), "HIGH",IF(OR(J1217="Regular", J1217="Recent"), "MEDIUM","LOW"))</f>
        <v>MEDIUM</v>
      </c>
    </row>
    <row r="1218" spans="1:11">
      <c r="A1218" t="s">
        <v>1231</v>
      </c>
      <c r="B1218" s="14">
        <f>_xlfn.MINIFS('working sheet'!$B$2:$B$3548, 'working sheet'!$D$2:$D$3548, A1218)</f>
        <v>45704.73926829861</v>
      </c>
      <c r="C1218" s="17">
        <f>_xlfn.MAXIFS('working sheet'!$B$1:$B$3548,'working sheet'!$D$1:$D$3548,'Customer Portfolio'!A1218)</f>
        <v>45731.812922511577</v>
      </c>
      <c r="D1218">
        <f>COUNTIFS('working sheet'!$D$1:$D$3548,'Customer Portfolio'!A1218)</f>
        <v>5</v>
      </c>
      <c r="E1218" s="5">
        <f>SUMIFS('working sheet'!$E$2:$E$3548,'working sheet'!$D$2:$D$3548,'Customer Portfolio'!A1218)</f>
        <v>154.30000000000001</v>
      </c>
      <c r="F1218" s="6">
        <f t="shared" si="36"/>
        <v>30.860000000000003</v>
      </c>
      <c r="G1218" t="str">
        <f t="array" ref="G1218">IFERROR(INDEX('working sheet'!$F$2:$F$3548, MODE(IF('working sheet'!$D$2:$D$3548=A1218, MATCH('working sheet'!$F$2:$F$3548, 'working sheet'!$F$2:$F$3548, 0)))),
         INDEX('working sheet'!$F$2:$F$3548, MATCH(A1218, 'working sheet'!$D$2:$D$3548, 0)))</f>
        <v>Americano with Milk</v>
      </c>
      <c r="H1218" s="7">
        <f t="shared" si="37"/>
        <v>28.073654212967085</v>
      </c>
      <c r="I1218" s="7">
        <f>MAX('working sheet'!$B$2:$B$3548)-C1218</f>
        <v>7.9451635416626232</v>
      </c>
      <c r="J1218" s="4" t="str">
        <f t="array" ref="J1218">IF(AND(I1218&lt;=30, D1218&gt;=10, E1218&gt;=200), "VIP",  IF(AND(I1218&lt;=60, D1218&gt;=5, E1218&gt;=100), "Loyal", IF(AND(I1218&lt;=90, D1218&gt;=3), "Regular", IF(I1218&lt;=30, "Recent", IF(D1218&gt;=3, "Occasional", "At Risk")))))</f>
        <v>Loyal</v>
      </c>
      <c r="K1218" t="str">
        <f t="array" ref="K1218">IF(OR(J1218="VIP", J1218="Loyal"), "HIGH",IF(OR(J1218="Regular", J1218="Recent"), "MEDIUM","LOW"))</f>
        <v>HIGH</v>
      </c>
    </row>
    <row r="1219" spans="1:11">
      <c r="A1219" t="s">
        <v>1232</v>
      </c>
      <c r="B1219" s="14">
        <f>_xlfn.MINIFS('working sheet'!$B$2:$B$3548, 'working sheet'!$D$2:$D$3548, A1219)</f>
        <v>45705.394520624999</v>
      </c>
      <c r="C1219" s="17">
        <f>_xlfn.MAXIFS('working sheet'!$B$1:$B$3548,'working sheet'!$D$1:$D$3548,'Customer Portfolio'!A1219)</f>
        <v>45706.510724247688</v>
      </c>
      <c r="D1219">
        <f>COUNTIFS('working sheet'!$D$1:$D$3548,'Customer Portfolio'!A1219)</f>
        <v>3</v>
      </c>
      <c r="E1219" s="5">
        <f>SUMIFS('working sheet'!$E$2:$E$3548,'working sheet'!$D$2:$D$3548,'Customer Portfolio'!A1219)</f>
        <v>82.78</v>
      </c>
      <c r="F1219" s="6">
        <f t="shared" ref="F1219:F1282" si="38">E1219/D1219</f>
        <v>27.593333333333334</v>
      </c>
      <c r="G1219" t="str">
        <f t="array" ref="G1219">IFERROR(INDEX('working sheet'!$F$2:$F$3548, MODE(IF('working sheet'!$D$2:$D$3548=A1219, MATCH('working sheet'!$F$2:$F$3548, 'working sheet'!$F$2:$F$3548, 0)))),
         INDEX('working sheet'!$F$2:$F$3548, MATCH(A1219, 'working sheet'!$D$2:$D$3548, 0)))</f>
        <v>Americano with Milk</v>
      </c>
      <c r="H1219" s="7">
        <f t="shared" ref="H1219:H1282" si="39">C1219-B1219+1</f>
        <v>2.1162036226887722</v>
      </c>
      <c r="I1219" s="7">
        <f>MAX('working sheet'!$B$2:$B$3548)-C1219</f>
        <v>33.247361805551918</v>
      </c>
      <c r="J1219" s="4" t="str">
        <f t="array" ref="J1219">IF(AND(I1219&lt;=30, D1219&gt;=10, E1219&gt;=200), "VIP",  IF(AND(I1219&lt;=60, D1219&gt;=5, E1219&gt;=100), "Loyal", IF(AND(I1219&lt;=90, D1219&gt;=3), "Regular", IF(I1219&lt;=30, "Recent", IF(D1219&gt;=3, "Occasional", "At Risk")))))</f>
        <v>Regular</v>
      </c>
      <c r="K1219" t="str">
        <f t="array" ref="K1219">IF(OR(J1219="VIP", J1219="Loyal"), "HIGH",IF(OR(J1219="Regular", J1219="Recent"), "MEDIUM","LOW"))</f>
        <v>MEDIUM</v>
      </c>
    </row>
    <row r="1220" spans="1:11">
      <c r="A1220" t="s">
        <v>1233</v>
      </c>
      <c r="B1220" s="14">
        <f>_xlfn.MINIFS('working sheet'!$B$2:$B$3548, 'working sheet'!$D$2:$D$3548, A1220)</f>
        <v>45705.430695196759</v>
      </c>
      <c r="C1220" s="17">
        <f>_xlfn.MAXIFS('working sheet'!$B$1:$B$3548,'working sheet'!$D$1:$D$3548,'Customer Portfolio'!A1220)</f>
        <v>45735.715220289349</v>
      </c>
      <c r="D1220">
        <f>COUNTIFS('working sheet'!$D$1:$D$3548,'Customer Portfolio'!A1220)</f>
        <v>2</v>
      </c>
      <c r="E1220" s="5">
        <f>SUMIFS('working sheet'!$E$2:$E$3548,'working sheet'!$D$2:$D$3548,'Customer Portfolio'!A1220)</f>
        <v>61.72</v>
      </c>
      <c r="F1220" s="6">
        <f t="shared" si="38"/>
        <v>30.86</v>
      </c>
      <c r="G1220" t="str">
        <f t="array" ref="G1220">IFERROR(INDEX('working sheet'!$F$2:$F$3548, MODE(IF('working sheet'!$D$2:$D$3548=A1220, MATCH('working sheet'!$F$2:$F$3548, 'working sheet'!$F$2:$F$3548, 0)))),
         INDEX('working sheet'!$F$2:$F$3548, MATCH(A1220, 'working sheet'!$D$2:$D$3548, 0)))</f>
        <v>Americano with Milk</v>
      </c>
      <c r="H1220" s="7">
        <f t="shared" si="39"/>
        <v>31.28452509258932</v>
      </c>
      <c r="I1220" s="7">
        <f>MAX('working sheet'!$B$2:$B$3548)-C1220</f>
        <v>4.0428657638913137</v>
      </c>
      <c r="J1220" s="4" t="str">
        <f t="array" ref="J1220">IF(AND(I1220&lt;=30, D1220&gt;=10, E1220&gt;=200), "VIP",  IF(AND(I1220&lt;=60, D1220&gt;=5, E1220&gt;=100), "Loyal", IF(AND(I1220&lt;=90, D1220&gt;=3), "Regular", IF(I1220&lt;=30, "Recent", IF(D1220&gt;=3, "Occasional", "At Risk")))))</f>
        <v>Recent</v>
      </c>
      <c r="K1220" t="str">
        <f t="array" ref="K1220">IF(OR(J1220="VIP", J1220="Loyal"), "HIGH",IF(OR(J1220="Regular", J1220="Recent"), "MEDIUM","LOW"))</f>
        <v>MEDIUM</v>
      </c>
    </row>
    <row r="1221" spans="1:11">
      <c r="A1221" t="s">
        <v>1234</v>
      </c>
      <c r="B1221" s="14">
        <f>_xlfn.MINIFS('working sheet'!$B$2:$B$3548, 'working sheet'!$D$2:$D$3548, A1221)</f>
        <v>45705.534008344905</v>
      </c>
      <c r="C1221" s="17">
        <f>_xlfn.MAXIFS('working sheet'!$B$1:$B$3548,'working sheet'!$D$1:$D$3548,'Customer Portfolio'!A1221)</f>
        <v>45712.385342187503</v>
      </c>
      <c r="D1221">
        <f>COUNTIFS('working sheet'!$D$1:$D$3548,'Customer Portfolio'!A1221)</f>
        <v>3</v>
      </c>
      <c r="E1221" s="5">
        <f>SUMIFS('working sheet'!$E$2:$E$3548,'working sheet'!$D$2:$D$3548,'Customer Portfolio'!A1221)</f>
        <v>102.38</v>
      </c>
      <c r="F1221" s="6">
        <f t="shared" si="38"/>
        <v>34.126666666666665</v>
      </c>
      <c r="G1221" t="str">
        <f t="array" ref="G1221">IFERROR(INDEX('working sheet'!$F$2:$F$3548, MODE(IF('working sheet'!$D$2:$D$3548=A1221, MATCH('working sheet'!$F$2:$F$3548, 'working sheet'!$F$2:$F$3548, 0)))),
         INDEX('working sheet'!$F$2:$F$3548, MATCH(A1221, 'working sheet'!$D$2:$D$3548, 0)))</f>
        <v>Cappuccino</v>
      </c>
      <c r="H1221" s="7">
        <f t="shared" si="39"/>
        <v>7.8513338425982511</v>
      </c>
      <c r="I1221" s="7">
        <f>MAX('working sheet'!$B$2:$B$3548)-C1221</f>
        <v>27.372743865736993</v>
      </c>
      <c r="J1221" s="4" t="str">
        <f t="array" ref="J1221">IF(AND(I1221&lt;=30, D1221&gt;=10, E1221&gt;=200), "VIP",  IF(AND(I1221&lt;=60, D1221&gt;=5, E1221&gt;=100), "Loyal", IF(AND(I1221&lt;=90, D1221&gt;=3), "Regular", IF(I1221&lt;=30, "Recent", IF(D1221&gt;=3, "Occasional", "At Risk")))))</f>
        <v>Regular</v>
      </c>
      <c r="K1221" t="str">
        <f t="array" ref="K1221">IF(OR(J1221="VIP", J1221="Loyal"), "HIGH",IF(OR(J1221="Regular", J1221="Recent"), "MEDIUM","LOW"))</f>
        <v>MEDIUM</v>
      </c>
    </row>
    <row r="1222" spans="1:11">
      <c r="A1222" t="s">
        <v>1235</v>
      </c>
      <c r="B1222" s="14">
        <f>_xlfn.MINIFS('working sheet'!$B$2:$B$3548, 'working sheet'!$D$2:$D$3548, A1222)</f>
        <v>45705.59932760417</v>
      </c>
      <c r="C1222" s="17">
        <f>_xlfn.MAXIFS('working sheet'!$B$1:$B$3548,'working sheet'!$D$1:$D$3548,'Customer Portfolio'!A1222)</f>
        <v>45705.59932760417</v>
      </c>
      <c r="D1222">
        <f>COUNTIFS('working sheet'!$D$1:$D$3548,'Customer Portfolio'!A1222)</f>
        <v>1</v>
      </c>
      <c r="E1222" s="5">
        <f>SUMIFS('working sheet'!$E$2:$E$3548,'working sheet'!$D$2:$D$3548,'Customer Portfolio'!A1222)</f>
        <v>35.76</v>
      </c>
      <c r="F1222" s="6">
        <f t="shared" si="38"/>
        <v>35.76</v>
      </c>
      <c r="G1222" t="str">
        <f t="array" ref="G1222">IFERROR(INDEX('working sheet'!$F$2:$F$3548, MODE(IF('working sheet'!$D$2:$D$3548=A1222, MATCH('working sheet'!$F$2:$F$3548, 'working sheet'!$F$2:$F$3548, 0)))),
         INDEX('working sheet'!$F$2:$F$3548, MATCH(A1222, 'working sheet'!$D$2:$D$3548, 0)))</f>
        <v>Latte</v>
      </c>
      <c r="H1222" s="7">
        <f t="shared" si="39"/>
        <v>1</v>
      </c>
      <c r="I1222" s="7">
        <f>MAX('working sheet'!$B$2:$B$3548)-C1222</f>
        <v>34.158758449069865</v>
      </c>
      <c r="J1222" s="4" t="str">
        <f t="array" ref="J1222">IF(AND(I1222&lt;=30, D1222&gt;=10, E1222&gt;=200), "VIP",  IF(AND(I1222&lt;=60, D1222&gt;=5, E1222&gt;=100), "Loyal", IF(AND(I1222&lt;=90, D1222&gt;=3), "Regular", IF(I1222&lt;=30, "Recent", IF(D1222&gt;=3, "Occasional", "At Risk")))))</f>
        <v>At Risk</v>
      </c>
      <c r="K1222" t="str">
        <f t="array" ref="K1222">IF(OR(J1222="VIP", J1222="Loyal"), "HIGH",IF(OR(J1222="Regular", J1222="Recent"), "MEDIUM","LOW"))</f>
        <v>LOW</v>
      </c>
    </row>
    <row r="1223" spans="1:11">
      <c r="A1223" t="s">
        <v>1236</v>
      </c>
      <c r="B1223" s="14">
        <f>_xlfn.MINIFS('working sheet'!$B$2:$B$3548, 'working sheet'!$D$2:$D$3548, A1223)</f>
        <v>45705.730024432873</v>
      </c>
      <c r="C1223" s="17">
        <f>_xlfn.MAXIFS('working sheet'!$B$1:$B$3548,'working sheet'!$D$1:$D$3548,'Customer Portfolio'!A1223)</f>
        <v>45735.727542488428</v>
      </c>
      <c r="D1223">
        <f>COUNTIFS('working sheet'!$D$1:$D$3548,'Customer Portfolio'!A1223)</f>
        <v>7</v>
      </c>
      <c r="E1223" s="5">
        <f>SUMIFS('working sheet'!$E$2:$E$3548,'working sheet'!$D$2:$D$3548,'Customer Portfolio'!A1223)</f>
        <v>216.02000000000004</v>
      </c>
      <c r="F1223" s="6">
        <f t="shared" si="38"/>
        <v>30.860000000000007</v>
      </c>
      <c r="G1223" t="str">
        <f t="array" ref="G1223">IFERROR(INDEX('working sheet'!$F$2:$F$3548, MODE(IF('working sheet'!$D$2:$D$3548=A1223, MATCH('working sheet'!$F$2:$F$3548, 'working sheet'!$F$2:$F$3548, 0)))),
         INDEX('working sheet'!$F$2:$F$3548, MATCH(A1223, 'working sheet'!$D$2:$D$3548, 0)))</f>
        <v>Americano with Milk</v>
      </c>
      <c r="H1223" s="7">
        <f t="shared" si="39"/>
        <v>30.997518055555702</v>
      </c>
      <c r="I1223" s="7">
        <f>MAX('working sheet'!$B$2:$B$3548)-C1223</f>
        <v>4.0305435648115235</v>
      </c>
      <c r="J1223" s="4" t="str">
        <f t="array" ref="J1223">IF(AND(I1223&lt;=30, D1223&gt;=10, E1223&gt;=200), "VIP",  IF(AND(I1223&lt;=60, D1223&gt;=5, E1223&gt;=100), "Loyal", IF(AND(I1223&lt;=90, D1223&gt;=3), "Regular", IF(I1223&lt;=30, "Recent", IF(D1223&gt;=3, "Occasional", "At Risk")))))</f>
        <v>Loyal</v>
      </c>
      <c r="K1223" t="str">
        <f t="array" ref="K1223">IF(OR(J1223="VIP", J1223="Loyal"), "HIGH",IF(OR(J1223="Regular", J1223="Recent"), "MEDIUM","LOW"))</f>
        <v>HIGH</v>
      </c>
    </row>
    <row r="1224" spans="1:11">
      <c r="A1224" t="s">
        <v>1237</v>
      </c>
      <c r="B1224" s="14">
        <f>_xlfn.MINIFS('working sheet'!$B$2:$B$3548, 'working sheet'!$D$2:$D$3548, A1224)</f>
        <v>45705.801294421297</v>
      </c>
      <c r="C1224" s="17">
        <f>_xlfn.MAXIFS('working sheet'!$B$1:$B$3548,'working sheet'!$D$1:$D$3548,'Customer Portfolio'!A1224)</f>
        <v>45705.802093483799</v>
      </c>
      <c r="D1224">
        <f>COUNTIFS('working sheet'!$D$1:$D$3548,'Customer Portfolio'!A1224)</f>
        <v>2</v>
      </c>
      <c r="E1224" s="5">
        <f>SUMIFS('working sheet'!$E$2:$E$3548,'working sheet'!$D$2:$D$3548,'Customer Portfolio'!A1224)</f>
        <v>51.92</v>
      </c>
      <c r="F1224" s="6">
        <f t="shared" si="38"/>
        <v>25.96</v>
      </c>
      <c r="G1224" t="str">
        <f t="array" ref="G1224">IFERROR(INDEX('working sheet'!$F$2:$F$3548, MODE(IF('working sheet'!$D$2:$D$3548=A1224, MATCH('working sheet'!$F$2:$F$3548, 'working sheet'!$F$2:$F$3548, 0)))),
         INDEX('working sheet'!$F$2:$F$3548, MATCH(A1224, 'working sheet'!$D$2:$D$3548, 0)))</f>
        <v>Americano</v>
      </c>
      <c r="H1224" s="7">
        <f t="shared" si="39"/>
        <v>1.0007990625017555</v>
      </c>
      <c r="I1224" s="7">
        <f>MAX('working sheet'!$B$2:$B$3548)-C1224</f>
        <v>33.95599256944115</v>
      </c>
      <c r="J1224" s="4" t="str">
        <f t="array" ref="J1224">IF(AND(I1224&lt;=30, D1224&gt;=10, E1224&gt;=200), "VIP",  IF(AND(I1224&lt;=60, D1224&gt;=5, E1224&gt;=100), "Loyal", IF(AND(I1224&lt;=90, D1224&gt;=3), "Regular", IF(I1224&lt;=30, "Recent", IF(D1224&gt;=3, "Occasional", "At Risk")))))</f>
        <v>At Risk</v>
      </c>
      <c r="K1224" t="str">
        <f t="array" ref="K1224">IF(OR(J1224="VIP", J1224="Loyal"), "HIGH",IF(OR(J1224="Regular", J1224="Recent"), "MEDIUM","LOW"))</f>
        <v>LOW</v>
      </c>
    </row>
    <row r="1225" spans="1:11">
      <c r="A1225" t="s">
        <v>1238</v>
      </c>
      <c r="B1225" s="14">
        <f>_xlfn.MINIFS('working sheet'!$B$2:$B$3548, 'working sheet'!$D$2:$D$3548, A1225)</f>
        <v>45706.544759826385</v>
      </c>
      <c r="C1225" s="17">
        <f>_xlfn.MAXIFS('working sheet'!$B$1:$B$3548,'working sheet'!$D$1:$D$3548,'Customer Portfolio'!A1225)</f>
        <v>45706.544759826385</v>
      </c>
      <c r="D1225">
        <f>COUNTIFS('working sheet'!$D$1:$D$3548,'Customer Portfolio'!A1225)</f>
        <v>1</v>
      </c>
      <c r="E1225" s="5">
        <f>SUMIFS('working sheet'!$E$2:$E$3548,'working sheet'!$D$2:$D$3548,'Customer Portfolio'!A1225)</f>
        <v>35.76</v>
      </c>
      <c r="F1225" s="6">
        <f t="shared" si="38"/>
        <v>35.76</v>
      </c>
      <c r="G1225" t="str">
        <f t="array" ref="G1225">IFERROR(INDEX('working sheet'!$F$2:$F$3548, MODE(IF('working sheet'!$D$2:$D$3548=A1225, MATCH('working sheet'!$F$2:$F$3548, 'working sheet'!$F$2:$F$3548, 0)))),
         INDEX('working sheet'!$F$2:$F$3548, MATCH(A1225, 'working sheet'!$D$2:$D$3548, 0)))</f>
        <v>Cocoa</v>
      </c>
      <c r="H1225" s="7">
        <f t="shared" si="39"/>
        <v>1</v>
      </c>
      <c r="I1225" s="7">
        <f>MAX('working sheet'!$B$2:$B$3548)-C1225</f>
        <v>33.213326226854406</v>
      </c>
      <c r="J1225" s="4" t="str">
        <f t="array" ref="J1225">IF(AND(I1225&lt;=30, D1225&gt;=10, E1225&gt;=200), "VIP",  IF(AND(I1225&lt;=60, D1225&gt;=5, E1225&gt;=100), "Loyal", IF(AND(I1225&lt;=90, D1225&gt;=3), "Regular", IF(I1225&lt;=30, "Recent", IF(D1225&gt;=3, "Occasional", "At Risk")))))</f>
        <v>At Risk</v>
      </c>
      <c r="K1225" t="str">
        <f t="array" ref="K1225">IF(OR(J1225="VIP", J1225="Loyal"), "HIGH",IF(OR(J1225="Regular", J1225="Recent"), "MEDIUM","LOW"))</f>
        <v>LOW</v>
      </c>
    </row>
    <row r="1226" spans="1:11">
      <c r="A1226" t="s">
        <v>1239</v>
      </c>
      <c r="B1226" s="14">
        <f>_xlfn.MINIFS('working sheet'!$B$2:$B$3548, 'working sheet'!$D$2:$D$3548, A1226)</f>
        <v>45706.714112361115</v>
      </c>
      <c r="C1226" s="17">
        <f>_xlfn.MAXIFS('working sheet'!$B$1:$B$3548,'working sheet'!$D$1:$D$3548,'Customer Portfolio'!A1226)</f>
        <v>45706.716385520835</v>
      </c>
      <c r="D1226">
        <f>COUNTIFS('working sheet'!$D$1:$D$3548,'Customer Portfolio'!A1226)</f>
        <v>4</v>
      </c>
      <c r="E1226" s="5">
        <f>SUMIFS('working sheet'!$E$2:$E$3548,'working sheet'!$D$2:$D$3548,'Customer Portfolio'!A1226)</f>
        <v>123.44</v>
      </c>
      <c r="F1226" s="6">
        <f t="shared" si="38"/>
        <v>30.86</v>
      </c>
      <c r="G1226" t="str">
        <f t="array" ref="G1226">IFERROR(INDEX('working sheet'!$F$2:$F$3548, MODE(IF('working sheet'!$D$2:$D$3548=A1226, MATCH('working sheet'!$F$2:$F$3548, 'working sheet'!$F$2:$F$3548, 0)))),
         INDEX('working sheet'!$F$2:$F$3548, MATCH(A1226, 'working sheet'!$D$2:$D$3548, 0)))</f>
        <v>Cocoa</v>
      </c>
      <c r="H1226" s="7">
        <f t="shared" si="39"/>
        <v>1.0022731597200618</v>
      </c>
      <c r="I1226" s="7">
        <f>MAX('working sheet'!$B$2:$B$3548)-C1226</f>
        <v>33.04170053240523</v>
      </c>
      <c r="J1226" s="4" t="str">
        <f t="array" ref="J1226">IF(AND(I1226&lt;=30, D1226&gt;=10, E1226&gt;=200), "VIP",  IF(AND(I1226&lt;=60, D1226&gt;=5, E1226&gt;=100), "Loyal", IF(AND(I1226&lt;=90, D1226&gt;=3), "Regular", IF(I1226&lt;=30, "Recent", IF(D1226&gt;=3, "Occasional", "At Risk")))))</f>
        <v>Regular</v>
      </c>
      <c r="K1226" t="str">
        <f t="array" ref="K1226">IF(OR(J1226="VIP", J1226="Loyal"), "HIGH",IF(OR(J1226="Regular", J1226="Recent"), "MEDIUM","LOW"))</f>
        <v>MEDIUM</v>
      </c>
    </row>
    <row r="1227" spans="1:11">
      <c r="A1227" t="s">
        <v>1240</v>
      </c>
      <c r="B1227" s="14">
        <f>_xlfn.MINIFS('working sheet'!$B$2:$B$3548, 'working sheet'!$D$2:$D$3548, A1227)</f>
        <v>45706.816982835648</v>
      </c>
      <c r="C1227" s="17">
        <f>_xlfn.MAXIFS('working sheet'!$B$1:$B$3548,'working sheet'!$D$1:$D$3548,'Customer Portfolio'!A1227)</f>
        <v>45706.816982835648</v>
      </c>
      <c r="D1227">
        <f>COUNTIFS('working sheet'!$D$1:$D$3548,'Customer Portfolio'!A1227)</f>
        <v>1</v>
      </c>
      <c r="E1227" s="5">
        <f>SUMIFS('working sheet'!$E$2:$E$3548,'working sheet'!$D$2:$D$3548,'Customer Portfolio'!A1227)</f>
        <v>35.76</v>
      </c>
      <c r="F1227" s="6">
        <f t="shared" si="38"/>
        <v>35.76</v>
      </c>
      <c r="G1227" t="str">
        <f t="array" ref="G1227">IFERROR(INDEX('working sheet'!$F$2:$F$3548, MODE(IF('working sheet'!$D$2:$D$3548=A1227, MATCH('working sheet'!$F$2:$F$3548, 'working sheet'!$F$2:$F$3548, 0)))),
         INDEX('working sheet'!$F$2:$F$3548, MATCH(A1227, 'working sheet'!$D$2:$D$3548, 0)))</f>
        <v>Cocoa</v>
      </c>
      <c r="H1227" s="7">
        <f t="shared" si="39"/>
        <v>1</v>
      </c>
      <c r="I1227" s="7">
        <f>MAX('working sheet'!$B$2:$B$3548)-C1227</f>
        <v>32.941103217592172</v>
      </c>
      <c r="J1227" s="4" t="str">
        <f t="array" ref="J1227">IF(AND(I1227&lt;=30, D1227&gt;=10, E1227&gt;=200), "VIP",  IF(AND(I1227&lt;=60, D1227&gt;=5, E1227&gt;=100), "Loyal", IF(AND(I1227&lt;=90, D1227&gt;=3), "Regular", IF(I1227&lt;=30, "Recent", IF(D1227&gt;=3, "Occasional", "At Risk")))))</f>
        <v>At Risk</v>
      </c>
      <c r="K1227" t="str">
        <f t="array" ref="K1227">IF(OR(J1227="VIP", J1227="Loyal"), "HIGH",IF(OR(J1227="Regular", J1227="Recent"), "MEDIUM","LOW"))</f>
        <v>LOW</v>
      </c>
    </row>
    <row r="1228" spans="1:11">
      <c r="A1228" t="s">
        <v>1241</v>
      </c>
      <c r="B1228" s="14">
        <f>_xlfn.MINIFS('working sheet'!$B$2:$B$3548, 'working sheet'!$D$2:$D$3548, A1228)</f>
        <v>45707.429875879629</v>
      </c>
      <c r="C1228" s="17">
        <f>_xlfn.MAXIFS('working sheet'!$B$1:$B$3548,'working sheet'!$D$1:$D$3548,'Customer Portfolio'!A1228)</f>
        <v>45735.429620659721</v>
      </c>
      <c r="D1228">
        <f>COUNTIFS('working sheet'!$D$1:$D$3548,'Customer Portfolio'!A1228)</f>
        <v>3</v>
      </c>
      <c r="E1228" s="5">
        <f>SUMIFS('working sheet'!$E$2:$E$3548,'working sheet'!$D$2:$D$3548,'Customer Portfolio'!A1228)</f>
        <v>107.28</v>
      </c>
      <c r="F1228" s="6">
        <f t="shared" si="38"/>
        <v>35.76</v>
      </c>
      <c r="G1228" t="str">
        <f t="array" ref="G1228">IFERROR(INDEX('working sheet'!$F$2:$F$3548, MODE(IF('working sheet'!$D$2:$D$3548=A1228, MATCH('working sheet'!$F$2:$F$3548, 'working sheet'!$F$2:$F$3548, 0)))),
         INDEX('working sheet'!$F$2:$F$3548, MATCH(A1228, 'working sheet'!$D$2:$D$3548, 0)))</f>
        <v>Hot Chocolate</v>
      </c>
      <c r="H1228" s="7">
        <f t="shared" si="39"/>
        <v>28.999744780092442</v>
      </c>
      <c r="I1228" s="7">
        <f>MAX('working sheet'!$B$2:$B$3548)-C1228</f>
        <v>4.3284653935188544</v>
      </c>
      <c r="J1228" s="4" t="str">
        <f t="array" ref="J1228">IF(AND(I1228&lt;=30, D1228&gt;=10, E1228&gt;=200), "VIP",  IF(AND(I1228&lt;=60, D1228&gt;=5, E1228&gt;=100), "Loyal", IF(AND(I1228&lt;=90, D1228&gt;=3), "Regular", IF(I1228&lt;=30, "Recent", IF(D1228&gt;=3, "Occasional", "At Risk")))))</f>
        <v>Regular</v>
      </c>
      <c r="K1228" t="str">
        <f t="array" ref="K1228">IF(OR(J1228="VIP", J1228="Loyal"), "HIGH",IF(OR(J1228="Regular", J1228="Recent"), "MEDIUM","LOW"))</f>
        <v>MEDIUM</v>
      </c>
    </row>
    <row r="1229" spans="1:11">
      <c r="A1229" t="s">
        <v>1242</v>
      </c>
      <c r="B1229" s="14">
        <f>_xlfn.MINIFS('working sheet'!$B$2:$B$3548, 'working sheet'!$D$2:$D$3548, A1229)</f>
        <v>45707.774754942133</v>
      </c>
      <c r="C1229" s="17">
        <f>_xlfn.MAXIFS('working sheet'!$B$1:$B$3548,'working sheet'!$D$1:$D$3548,'Customer Portfolio'!A1229)</f>
        <v>45707.774754942133</v>
      </c>
      <c r="D1229">
        <f>COUNTIFS('working sheet'!$D$1:$D$3548,'Customer Portfolio'!A1229)</f>
        <v>1</v>
      </c>
      <c r="E1229" s="5">
        <f>SUMIFS('working sheet'!$E$2:$E$3548,'working sheet'!$D$2:$D$3548,'Customer Portfolio'!A1229)</f>
        <v>35.76</v>
      </c>
      <c r="F1229" s="6">
        <f t="shared" si="38"/>
        <v>35.76</v>
      </c>
      <c r="G1229" t="str">
        <f t="array" ref="G1229">IFERROR(INDEX('working sheet'!$F$2:$F$3548, MODE(IF('working sheet'!$D$2:$D$3548=A1229, MATCH('working sheet'!$F$2:$F$3548, 'working sheet'!$F$2:$F$3548, 0)))),
         INDEX('working sheet'!$F$2:$F$3548, MATCH(A1229, 'working sheet'!$D$2:$D$3548, 0)))</f>
        <v>Cappuccino</v>
      </c>
      <c r="H1229" s="7">
        <f t="shared" si="39"/>
        <v>1</v>
      </c>
      <c r="I1229" s="7">
        <f>MAX('working sheet'!$B$2:$B$3548)-C1229</f>
        <v>31.983331111106963</v>
      </c>
      <c r="J1229" s="4" t="str">
        <f t="array" ref="J1229">IF(AND(I1229&lt;=30, D1229&gt;=10, E1229&gt;=200), "VIP",  IF(AND(I1229&lt;=60, D1229&gt;=5, E1229&gt;=100), "Loyal", IF(AND(I1229&lt;=90, D1229&gt;=3), "Regular", IF(I1229&lt;=30, "Recent", IF(D1229&gt;=3, "Occasional", "At Risk")))))</f>
        <v>At Risk</v>
      </c>
      <c r="K1229" t="str">
        <f t="array" ref="K1229">IF(OR(J1229="VIP", J1229="Loyal"), "HIGH",IF(OR(J1229="Regular", J1229="Recent"), "MEDIUM","LOW"))</f>
        <v>LOW</v>
      </c>
    </row>
    <row r="1230" spans="1:11">
      <c r="A1230" t="s">
        <v>1243</v>
      </c>
      <c r="B1230" s="14">
        <f>_xlfn.MINIFS('working sheet'!$B$2:$B$3548, 'working sheet'!$D$2:$D$3548, A1230)</f>
        <v>45707.792744074075</v>
      </c>
      <c r="C1230" s="17">
        <f>_xlfn.MAXIFS('working sheet'!$B$1:$B$3548,'working sheet'!$D$1:$D$3548,'Customer Portfolio'!A1230)</f>
        <v>45707.792744074075</v>
      </c>
      <c r="D1230">
        <f>COUNTIFS('working sheet'!$D$1:$D$3548,'Customer Portfolio'!A1230)</f>
        <v>1</v>
      </c>
      <c r="E1230" s="5">
        <f>SUMIFS('working sheet'!$E$2:$E$3548,'working sheet'!$D$2:$D$3548,'Customer Portfolio'!A1230)</f>
        <v>35.76</v>
      </c>
      <c r="F1230" s="6">
        <f t="shared" si="38"/>
        <v>35.76</v>
      </c>
      <c r="G1230" t="str">
        <f t="array" ref="G1230">IFERROR(INDEX('working sheet'!$F$2:$F$3548, MODE(IF('working sheet'!$D$2:$D$3548=A1230, MATCH('working sheet'!$F$2:$F$3548, 'working sheet'!$F$2:$F$3548, 0)))),
         INDEX('working sheet'!$F$2:$F$3548, MATCH(A1230, 'working sheet'!$D$2:$D$3548, 0)))</f>
        <v>Latte</v>
      </c>
      <c r="H1230" s="7">
        <f t="shared" si="39"/>
        <v>1</v>
      </c>
      <c r="I1230" s="7">
        <f>MAX('working sheet'!$B$2:$B$3548)-C1230</f>
        <v>31.965341979164805</v>
      </c>
      <c r="J1230" s="4" t="str">
        <f t="array" ref="J1230">IF(AND(I1230&lt;=30, D1230&gt;=10, E1230&gt;=200), "VIP",  IF(AND(I1230&lt;=60, D1230&gt;=5, E1230&gt;=100), "Loyal", IF(AND(I1230&lt;=90, D1230&gt;=3), "Regular", IF(I1230&lt;=30, "Recent", IF(D1230&gt;=3, "Occasional", "At Risk")))))</f>
        <v>At Risk</v>
      </c>
      <c r="K1230" t="str">
        <f t="array" ref="K1230">IF(OR(J1230="VIP", J1230="Loyal"), "HIGH",IF(OR(J1230="Regular", J1230="Recent"), "MEDIUM","LOW"))</f>
        <v>LOW</v>
      </c>
    </row>
    <row r="1231" spans="1:11">
      <c r="A1231" t="s">
        <v>1244</v>
      </c>
      <c r="B1231" s="14">
        <f>_xlfn.MINIFS('working sheet'!$B$2:$B$3548, 'working sheet'!$D$2:$D$3548, A1231)</f>
        <v>45708.638721701391</v>
      </c>
      <c r="C1231" s="17">
        <f>_xlfn.MAXIFS('working sheet'!$B$1:$B$3548,'working sheet'!$D$1:$D$3548,'Customer Portfolio'!A1231)</f>
        <v>45708.638721701391</v>
      </c>
      <c r="D1231">
        <f>COUNTIFS('working sheet'!$D$1:$D$3548,'Customer Portfolio'!A1231)</f>
        <v>1</v>
      </c>
      <c r="E1231" s="5">
        <f>SUMIFS('working sheet'!$E$2:$E$3548,'working sheet'!$D$2:$D$3548,'Customer Portfolio'!A1231)</f>
        <v>21.06</v>
      </c>
      <c r="F1231" s="6">
        <f t="shared" si="38"/>
        <v>21.06</v>
      </c>
      <c r="G1231" t="str">
        <f t="array" ref="G1231">IFERROR(INDEX('working sheet'!$F$2:$F$3548, MODE(IF('working sheet'!$D$2:$D$3548=A1231, MATCH('working sheet'!$F$2:$F$3548, 'working sheet'!$F$2:$F$3548, 0)))),
         INDEX('working sheet'!$F$2:$F$3548, MATCH(A1231, 'working sheet'!$D$2:$D$3548, 0)))</f>
        <v>Espresso</v>
      </c>
      <c r="H1231" s="7">
        <f t="shared" si="39"/>
        <v>1</v>
      </c>
      <c r="I1231" s="7">
        <f>MAX('working sheet'!$B$2:$B$3548)-C1231</f>
        <v>31.119364351849072</v>
      </c>
      <c r="J1231" s="4" t="str">
        <f t="array" ref="J1231">IF(AND(I1231&lt;=30, D1231&gt;=10, E1231&gt;=200), "VIP",  IF(AND(I1231&lt;=60, D1231&gt;=5, E1231&gt;=100), "Loyal", IF(AND(I1231&lt;=90, D1231&gt;=3), "Regular", IF(I1231&lt;=30, "Recent", IF(D1231&gt;=3, "Occasional", "At Risk")))))</f>
        <v>At Risk</v>
      </c>
      <c r="K1231" t="str">
        <f t="array" ref="K1231">IF(OR(J1231="VIP", J1231="Loyal"), "HIGH",IF(OR(J1231="Regular", J1231="Recent"), "MEDIUM","LOW"))</f>
        <v>LOW</v>
      </c>
    </row>
    <row r="1232" spans="1:11">
      <c r="A1232" t="s">
        <v>1245</v>
      </c>
      <c r="B1232" s="14">
        <f>_xlfn.MINIFS('working sheet'!$B$2:$B$3548, 'working sheet'!$D$2:$D$3548, A1232)</f>
        <v>45708.707715601849</v>
      </c>
      <c r="C1232" s="17">
        <f>_xlfn.MAXIFS('working sheet'!$B$1:$B$3548,'working sheet'!$D$1:$D$3548,'Customer Portfolio'!A1232)</f>
        <v>45708.70876090278</v>
      </c>
      <c r="D1232">
        <f>COUNTIFS('working sheet'!$D$1:$D$3548,'Customer Portfolio'!A1232)</f>
        <v>2</v>
      </c>
      <c r="E1232" s="5">
        <f>SUMIFS('working sheet'!$E$2:$E$3548,'working sheet'!$D$2:$D$3548,'Customer Portfolio'!A1232)</f>
        <v>71.52</v>
      </c>
      <c r="F1232" s="6">
        <f t="shared" si="38"/>
        <v>35.76</v>
      </c>
      <c r="G1232" t="str">
        <f t="array" ref="G1232">IFERROR(INDEX('working sheet'!$F$2:$F$3548, MODE(IF('working sheet'!$D$2:$D$3548=A1232, MATCH('working sheet'!$F$2:$F$3548, 'working sheet'!$F$2:$F$3548, 0)))),
         INDEX('working sheet'!$F$2:$F$3548, MATCH(A1232, 'working sheet'!$D$2:$D$3548, 0)))</f>
        <v>Cappuccino</v>
      </c>
      <c r="H1232" s="7">
        <f t="shared" si="39"/>
        <v>1.0010453009308549</v>
      </c>
      <c r="I1232" s="7">
        <f>MAX('working sheet'!$B$2:$B$3548)-C1232</f>
        <v>31.049325150459481</v>
      </c>
      <c r="J1232" s="4" t="str">
        <f t="array" ref="J1232">IF(AND(I1232&lt;=30, D1232&gt;=10, E1232&gt;=200), "VIP",  IF(AND(I1232&lt;=60, D1232&gt;=5, E1232&gt;=100), "Loyal", IF(AND(I1232&lt;=90, D1232&gt;=3), "Regular", IF(I1232&lt;=30, "Recent", IF(D1232&gt;=3, "Occasional", "At Risk")))))</f>
        <v>At Risk</v>
      </c>
      <c r="K1232" t="str">
        <f t="array" ref="K1232">IF(OR(J1232="VIP", J1232="Loyal"), "HIGH",IF(OR(J1232="Regular", J1232="Recent"), "MEDIUM","LOW"))</f>
        <v>LOW</v>
      </c>
    </row>
    <row r="1233" spans="1:11">
      <c r="A1233" t="s">
        <v>1246</v>
      </c>
      <c r="B1233" s="14">
        <f>_xlfn.MINIFS('working sheet'!$B$2:$B$3548, 'working sheet'!$D$2:$D$3548, A1233)</f>
        <v>45708.789984131945</v>
      </c>
      <c r="C1233" s="17">
        <f>_xlfn.MAXIFS('working sheet'!$B$1:$B$3548,'working sheet'!$D$1:$D$3548,'Customer Portfolio'!A1233)</f>
        <v>45709.429293726855</v>
      </c>
      <c r="D1233">
        <f>COUNTIFS('working sheet'!$D$1:$D$3548,'Customer Portfolio'!A1233)</f>
        <v>2</v>
      </c>
      <c r="E1233" s="5">
        <f>SUMIFS('working sheet'!$E$2:$E$3548,'working sheet'!$D$2:$D$3548,'Customer Portfolio'!A1233)</f>
        <v>51.92</v>
      </c>
      <c r="F1233" s="6">
        <f t="shared" si="38"/>
        <v>25.96</v>
      </c>
      <c r="G1233" t="str">
        <f t="array" ref="G1233">IFERROR(INDEX('working sheet'!$F$2:$F$3548, MODE(IF('working sheet'!$D$2:$D$3548=A1233, MATCH('working sheet'!$F$2:$F$3548, 'working sheet'!$F$2:$F$3548, 0)))),
         INDEX('working sheet'!$F$2:$F$3548, MATCH(A1233, 'working sheet'!$D$2:$D$3548, 0)))</f>
        <v>Americano</v>
      </c>
      <c r="H1233" s="7">
        <f t="shared" si="39"/>
        <v>1.6393095949097187</v>
      </c>
      <c r="I1233" s="7">
        <f>MAX('working sheet'!$B$2:$B$3548)-C1233</f>
        <v>30.328792326385155</v>
      </c>
      <c r="J1233" s="4" t="str">
        <f t="array" ref="J1233">IF(AND(I1233&lt;=30, D1233&gt;=10, E1233&gt;=200), "VIP",  IF(AND(I1233&lt;=60, D1233&gt;=5, E1233&gt;=100), "Loyal", IF(AND(I1233&lt;=90, D1233&gt;=3), "Regular", IF(I1233&lt;=30, "Recent", IF(D1233&gt;=3, "Occasional", "At Risk")))))</f>
        <v>At Risk</v>
      </c>
      <c r="K1233" t="str">
        <f t="array" ref="K1233">IF(OR(J1233="VIP", J1233="Loyal"), "HIGH",IF(OR(J1233="Regular", J1233="Recent"), "MEDIUM","LOW"))</f>
        <v>LOW</v>
      </c>
    </row>
    <row r="1234" spans="1:11">
      <c r="A1234" t="s">
        <v>1247</v>
      </c>
      <c r="B1234" s="14">
        <f>_xlfn.MINIFS('working sheet'!$B$2:$B$3548, 'working sheet'!$D$2:$D$3548, A1234)</f>
        <v>45708.792954583332</v>
      </c>
      <c r="C1234" s="17">
        <f>_xlfn.MAXIFS('working sheet'!$B$1:$B$3548,'working sheet'!$D$1:$D$3548,'Customer Portfolio'!A1234)</f>
        <v>45736.788873518519</v>
      </c>
      <c r="D1234">
        <f>COUNTIFS('working sheet'!$D$1:$D$3548,'Customer Portfolio'!A1234)</f>
        <v>2</v>
      </c>
      <c r="E1234" s="5">
        <f>SUMIFS('working sheet'!$E$2:$E$3548,'working sheet'!$D$2:$D$3548,'Customer Portfolio'!A1234)</f>
        <v>71.52</v>
      </c>
      <c r="F1234" s="6">
        <f t="shared" si="38"/>
        <v>35.76</v>
      </c>
      <c r="G1234" t="str">
        <f t="array" ref="G1234">IFERROR(INDEX('working sheet'!$F$2:$F$3548, MODE(IF('working sheet'!$D$2:$D$3548=A1234, MATCH('working sheet'!$F$2:$F$3548, 'working sheet'!$F$2:$F$3548, 0)))),
         INDEX('working sheet'!$F$2:$F$3548, MATCH(A1234, 'working sheet'!$D$2:$D$3548, 0)))</f>
        <v>Hot Chocolate</v>
      </c>
      <c r="H1234" s="7">
        <f t="shared" si="39"/>
        <v>28.995918935186637</v>
      </c>
      <c r="I1234" s="7">
        <f>MAX('working sheet'!$B$2:$B$3548)-C1234</f>
        <v>2.9692125347210094</v>
      </c>
      <c r="J1234" s="4" t="str">
        <f t="array" ref="J1234">IF(AND(I1234&lt;=30, D1234&gt;=10, E1234&gt;=200), "VIP",  IF(AND(I1234&lt;=60, D1234&gt;=5, E1234&gt;=100), "Loyal", IF(AND(I1234&lt;=90, D1234&gt;=3), "Regular", IF(I1234&lt;=30, "Recent", IF(D1234&gt;=3, "Occasional", "At Risk")))))</f>
        <v>Recent</v>
      </c>
      <c r="K1234" t="str">
        <f t="array" ref="K1234">IF(OR(J1234="VIP", J1234="Loyal"), "HIGH",IF(OR(J1234="Regular", J1234="Recent"), "MEDIUM","LOW"))</f>
        <v>MEDIUM</v>
      </c>
    </row>
    <row r="1235" spans="1:11">
      <c r="A1235" t="s">
        <v>1248</v>
      </c>
      <c r="B1235" s="14">
        <f>_xlfn.MINIFS('working sheet'!$B$2:$B$3548, 'working sheet'!$D$2:$D$3548, A1235)</f>
        <v>45708.796823703706</v>
      </c>
      <c r="C1235" s="17">
        <f>_xlfn.MAXIFS('working sheet'!$B$1:$B$3548,'working sheet'!$D$1:$D$3548,'Customer Portfolio'!A1235)</f>
        <v>45720.780114212961</v>
      </c>
      <c r="D1235">
        <f>COUNTIFS('working sheet'!$D$1:$D$3548,'Customer Portfolio'!A1235)</f>
        <v>3</v>
      </c>
      <c r="E1235" s="5">
        <f>SUMIFS('working sheet'!$E$2:$E$3548,'working sheet'!$D$2:$D$3548,'Customer Portfolio'!A1235)</f>
        <v>107.28</v>
      </c>
      <c r="F1235" s="6">
        <f t="shared" si="38"/>
        <v>35.76</v>
      </c>
      <c r="G1235" t="str">
        <f t="array" ref="G1235">IFERROR(INDEX('working sheet'!$F$2:$F$3548, MODE(IF('working sheet'!$D$2:$D$3548=A1235, MATCH('working sheet'!$F$2:$F$3548, 'working sheet'!$F$2:$F$3548, 0)))),
         INDEX('working sheet'!$F$2:$F$3548, MATCH(A1235, 'working sheet'!$D$2:$D$3548, 0)))</f>
        <v>Cocoa</v>
      </c>
      <c r="H1235" s="7">
        <f t="shared" si="39"/>
        <v>12.983290509255312</v>
      </c>
      <c r="I1235" s="7">
        <f>MAX('working sheet'!$B$2:$B$3548)-C1235</f>
        <v>18.977971840278769</v>
      </c>
      <c r="J1235" s="4" t="str">
        <f t="array" ref="J1235">IF(AND(I1235&lt;=30, D1235&gt;=10, E1235&gt;=200), "VIP",  IF(AND(I1235&lt;=60, D1235&gt;=5, E1235&gt;=100), "Loyal", IF(AND(I1235&lt;=90, D1235&gt;=3), "Regular", IF(I1235&lt;=30, "Recent", IF(D1235&gt;=3, "Occasional", "At Risk")))))</f>
        <v>Regular</v>
      </c>
      <c r="K1235" t="str">
        <f t="array" ref="K1235">IF(OR(J1235="VIP", J1235="Loyal"), "HIGH",IF(OR(J1235="Regular", J1235="Recent"), "MEDIUM","LOW"))</f>
        <v>MEDIUM</v>
      </c>
    </row>
    <row r="1236" spans="1:11">
      <c r="A1236" t="s">
        <v>1249</v>
      </c>
      <c r="B1236" s="14">
        <f>_xlfn.MINIFS('working sheet'!$B$2:$B$3548, 'working sheet'!$D$2:$D$3548, A1236)</f>
        <v>45709.40381491898</v>
      </c>
      <c r="C1236" s="17">
        <f>_xlfn.MAXIFS('working sheet'!$B$1:$B$3548,'working sheet'!$D$1:$D$3548,'Customer Portfolio'!A1236)</f>
        <v>45709.40381491898</v>
      </c>
      <c r="D1236">
        <f>COUNTIFS('working sheet'!$D$1:$D$3548,'Customer Portfolio'!A1236)</f>
        <v>1</v>
      </c>
      <c r="E1236" s="5">
        <f>SUMIFS('working sheet'!$E$2:$E$3548,'working sheet'!$D$2:$D$3548,'Customer Portfolio'!A1236)</f>
        <v>35.76</v>
      </c>
      <c r="F1236" s="6">
        <f t="shared" si="38"/>
        <v>35.76</v>
      </c>
      <c r="G1236" t="str">
        <f t="array" ref="G1236">IFERROR(INDEX('working sheet'!$F$2:$F$3548, MODE(IF('working sheet'!$D$2:$D$3548=A1236, MATCH('working sheet'!$F$2:$F$3548, 'working sheet'!$F$2:$F$3548, 0)))),
         INDEX('working sheet'!$F$2:$F$3548, MATCH(A1236, 'working sheet'!$D$2:$D$3548, 0)))</f>
        <v>Latte</v>
      </c>
      <c r="H1236" s="7">
        <f t="shared" si="39"/>
        <v>1</v>
      </c>
      <c r="I1236" s="7">
        <f>MAX('working sheet'!$B$2:$B$3548)-C1236</f>
        <v>30.354271134259761</v>
      </c>
      <c r="J1236" s="4" t="str">
        <f t="array" ref="J1236">IF(AND(I1236&lt;=30, D1236&gt;=10, E1236&gt;=200), "VIP",  IF(AND(I1236&lt;=60, D1236&gt;=5, E1236&gt;=100), "Loyal", IF(AND(I1236&lt;=90, D1236&gt;=3), "Regular", IF(I1236&lt;=30, "Recent", IF(D1236&gt;=3, "Occasional", "At Risk")))))</f>
        <v>At Risk</v>
      </c>
      <c r="K1236" t="str">
        <f t="array" ref="K1236">IF(OR(J1236="VIP", J1236="Loyal"), "HIGH",IF(OR(J1236="Regular", J1236="Recent"), "MEDIUM","LOW"))</f>
        <v>LOW</v>
      </c>
    </row>
    <row r="1237" spans="1:11">
      <c r="A1237" t="s">
        <v>1250</v>
      </c>
      <c r="B1237" s="14">
        <f>_xlfn.MINIFS('working sheet'!$B$2:$B$3548, 'working sheet'!$D$2:$D$3548, A1237)</f>
        <v>45709.409269884258</v>
      </c>
      <c r="C1237" s="17">
        <f>_xlfn.MAXIFS('working sheet'!$B$1:$B$3548,'working sheet'!$D$1:$D$3548,'Customer Portfolio'!A1237)</f>
        <v>45709.409269884258</v>
      </c>
      <c r="D1237">
        <f>COUNTIFS('working sheet'!$D$1:$D$3548,'Customer Portfolio'!A1237)</f>
        <v>1</v>
      </c>
      <c r="E1237" s="5">
        <f>SUMIFS('working sheet'!$E$2:$E$3548,'working sheet'!$D$2:$D$3548,'Customer Portfolio'!A1237)</f>
        <v>35.76</v>
      </c>
      <c r="F1237" s="6">
        <f t="shared" si="38"/>
        <v>35.76</v>
      </c>
      <c r="G1237" t="str">
        <f t="array" ref="G1237">IFERROR(INDEX('working sheet'!$F$2:$F$3548, MODE(IF('working sheet'!$D$2:$D$3548=A1237, MATCH('working sheet'!$F$2:$F$3548, 'working sheet'!$F$2:$F$3548, 0)))),
         INDEX('working sheet'!$F$2:$F$3548, MATCH(A1237, 'working sheet'!$D$2:$D$3548, 0)))</f>
        <v>Cappuccino</v>
      </c>
      <c r="H1237" s="7">
        <f t="shared" si="39"/>
        <v>1</v>
      </c>
      <c r="I1237" s="7">
        <f>MAX('working sheet'!$B$2:$B$3548)-C1237</f>
        <v>30.348816168982012</v>
      </c>
      <c r="J1237" s="4" t="str">
        <f t="array" ref="J1237">IF(AND(I1237&lt;=30, D1237&gt;=10, E1237&gt;=200), "VIP",  IF(AND(I1237&lt;=60, D1237&gt;=5, E1237&gt;=100), "Loyal", IF(AND(I1237&lt;=90, D1237&gt;=3), "Regular", IF(I1237&lt;=30, "Recent", IF(D1237&gt;=3, "Occasional", "At Risk")))))</f>
        <v>At Risk</v>
      </c>
      <c r="K1237" t="str">
        <f t="array" ref="K1237">IF(OR(J1237="VIP", J1237="Loyal"), "HIGH",IF(OR(J1237="Regular", J1237="Recent"), "MEDIUM","LOW"))</f>
        <v>LOW</v>
      </c>
    </row>
    <row r="1238" spans="1:11">
      <c r="A1238" t="s">
        <v>1251</v>
      </c>
      <c r="B1238" s="14">
        <f>_xlfn.MINIFS('working sheet'!$B$2:$B$3548, 'working sheet'!$D$2:$D$3548, A1238)</f>
        <v>45709.410562557867</v>
      </c>
      <c r="C1238" s="17">
        <f>_xlfn.MAXIFS('working sheet'!$B$1:$B$3548,'working sheet'!$D$1:$D$3548,'Customer Portfolio'!A1238)</f>
        <v>45715.45311519676</v>
      </c>
      <c r="D1238">
        <f>COUNTIFS('working sheet'!$D$1:$D$3548,'Customer Portfolio'!A1238)</f>
        <v>3</v>
      </c>
      <c r="E1238" s="5">
        <f>SUMIFS('working sheet'!$E$2:$E$3548,'working sheet'!$D$2:$D$3548,'Customer Portfolio'!A1238)</f>
        <v>63.179999999999993</v>
      </c>
      <c r="F1238" s="6">
        <f t="shared" si="38"/>
        <v>21.06</v>
      </c>
      <c r="G1238" t="str">
        <f t="array" ref="G1238">IFERROR(INDEX('working sheet'!$F$2:$F$3548, MODE(IF('working sheet'!$D$2:$D$3548=A1238, MATCH('working sheet'!$F$2:$F$3548, 'working sheet'!$F$2:$F$3548, 0)))),
         INDEX('working sheet'!$F$2:$F$3548, MATCH(A1238, 'working sheet'!$D$2:$D$3548, 0)))</f>
        <v>Espresso</v>
      </c>
      <c r="H1238" s="7">
        <f t="shared" si="39"/>
        <v>7.0425526388935396</v>
      </c>
      <c r="I1238" s="7">
        <f>MAX('working sheet'!$B$2:$B$3548)-C1238</f>
        <v>24.304970856479486</v>
      </c>
      <c r="J1238" s="4" t="str">
        <f t="array" ref="J1238">IF(AND(I1238&lt;=30, D1238&gt;=10, E1238&gt;=200), "VIP",  IF(AND(I1238&lt;=60, D1238&gt;=5, E1238&gt;=100), "Loyal", IF(AND(I1238&lt;=90, D1238&gt;=3), "Regular", IF(I1238&lt;=30, "Recent", IF(D1238&gt;=3, "Occasional", "At Risk")))))</f>
        <v>Regular</v>
      </c>
      <c r="K1238" t="str">
        <f t="array" ref="K1238">IF(OR(J1238="VIP", J1238="Loyal"), "HIGH",IF(OR(J1238="Regular", J1238="Recent"), "MEDIUM","LOW"))</f>
        <v>MEDIUM</v>
      </c>
    </row>
    <row r="1239" spans="1:11">
      <c r="A1239" t="s">
        <v>1252</v>
      </c>
      <c r="B1239" s="14">
        <f>_xlfn.MINIFS('working sheet'!$B$2:$B$3548, 'working sheet'!$D$2:$D$3548, A1239)</f>
        <v>45709.505356087961</v>
      </c>
      <c r="C1239" s="17">
        <f>_xlfn.MAXIFS('working sheet'!$B$1:$B$3548,'working sheet'!$D$1:$D$3548,'Customer Portfolio'!A1239)</f>
        <v>45709.505356087961</v>
      </c>
      <c r="D1239">
        <f>COUNTIFS('working sheet'!$D$1:$D$3548,'Customer Portfolio'!A1239)</f>
        <v>1</v>
      </c>
      <c r="E1239" s="5">
        <f>SUMIFS('working sheet'!$E$2:$E$3548,'working sheet'!$D$2:$D$3548,'Customer Portfolio'!A1239)</f>
        <v>25.96</v>
      </c>
      <c r="F1239" s="6">
        <f t="shared" si="38"/>
        <v>25.96</v>
      </c>
      <c r="G1239" t="str">
        <f t="array" ref="G1239">IFERROR(INDEX('working sheet'!$F$2:$F$3548, MODE(IF('working sheet'!$D$2:$D$3548=A1239, MATCH('working sheet'!$F$2:$F$3548, 'working sheet'!$F$2:$F$3548, 0)))),
         INDEX('working sheet'!$F$2:$F$3548, MATCH(A1239, 'working sheet'!$D$2:$D$3548, 0)))</f>
        <v>Americano</v>
      </c>
      <c r="H1239" s="7">
        <f t="shared" si="39"/>
        <v>1</v>
      </c>
      <c r="I1239" s="7">
        <f>MAX('working sheet'!$B$2:$B$3548)-C1239</f>
        <v>30.252729965279286</v>
      </c>
      <c r="J1239" s="4" t="str">
        <f t="array" ref="J1239">IF(AND(I1239&lt;=30, D1239&gt;=10, E1239&gt;=200), "VIP",  IF(AND(I1239&lt;=60, D1239&gt;=5, E1239&gt;=100), "Loyal", IF(AND(I1239&lt;=90, D1239&gt;=3), "Regular", IF(I1239&lt;=30, "Recent", IF(D1239&gt;=3, "Occasional", "At Risk")))))</f>
        <v>At Risk</v>
      </c>
      <c r="K1239" t="str">
        <f t="array" ref="K1239">IF(OR(J1239="VIP", J1239="Loyal"), "HIGH",IF(OR(J1239="Regular", J1239="Recent"), "MEDIUM","LOW"))</f>
        <v>LOW</v>
      </c>
    </row>
    <row r="1240" spans="1:11">
      <c r="A1240" t="s">
        <v>1253</v>
      </c>
      <c r="B1240" s="14">
        <f>_xlfn.MINIFS('working sheet'!$B$2:$B$3548, 'working sheet'!$D$2:$D$3548, A1240)</f>
        <v>45709.673682002314</v>
      </c>
      <c r="C1240" s="17">
        <f>_xlfn.MAXIFS('working sheet'!$B$1:$B$3548,'working sheet'!$D$1:$D$3548,'Customer Portfolio'!A1240)</f>
        <v>45709.673682002314</v>
      </c>
      <c r="D1240">
        <f>COUNTIFS('working sheet'!$D$1:$D$3548,'Customer Portfolio'!A1240)</f>
        <v>1</v>
      </c>
      <c r="E1240" s="5">
        <f>SUMIFS('working sheet'!$E$2:$E$3548,'working sheet'!$D$2:$D$3548,'Customer Portfolio'!A1240)</f>
        <v>35.76</v>
      </c>
      <c r="F1240" s="6">
        <f t="shared" si="38"/>
        <v>35.76</v>
      </c>
      <c r="G1240" t="str">
        <f t="array" ref="G1240">IFERROR(INDEX('working sheet'!$F$2:$F$3548, MODE(IF('working sheet'!$D$2:$D$3548=A1240, MATCH('working sheet'!$F$2:$F$3548, 'working sheet'!$F$2:$F$3548, 0)))),
         INDEX('working sheet'!$F$2:$F$3548, MATCH(A1240, 'working sheet'!$D$2:$D$3548, 0)))</f>
        <v>Cocoa</v>
      </c>
      <c r="H1240" s="7">
        <f t="shared" si="39"/>
        <v>1</v>
      </c>
      <c r="I1240" s="7">
        <f>MAX('working sheet'!$B$2:$B$3548)-C1240</f>
        <v>30.084404050925514</v>
      </c>
      <c r="J1240" s="4" t="str">
        <f t="array" ref="J1240">IF(AND(I1240&lt;=30, D1240&gt;=10, E1240&gt;=200), "VIP",  IF(AND(I1240&lt;=60, D1240&gt;=5, E1240&gt;=100), "Loyal", IF(AND(I1240&lt;=90, D1240&gt;=3), "Regular", IF(I1240&lt;=30, "Recent", IF(D1240&gt;=3, "Occasional", "At Risk")))))</f>
        <v>At Risk</v>
      </c>
      <c r="K1240" t="str">
        <f t="array" ref="K1240">IF(OR(J1240="VIP", J1240="Loyal"), "HIGH",IF(OR(J1240="Regular", J1240="Recent"), "MEDIUM","LOW"))</f>
        <v>LOW</v>
      </c>
    </row>
    <row r="1241" spans="1:11">
      <c r="A1241" t="s">
        <v>1254</v>
      </c>
      <c r="B1241" s="14">
        <f>_xlfn.MINIFS('working sheet'!$B$2:$B$3548, 'working sheet'!$D$2:$D$3548, A1241)</f>
        <v>45710.452994004627</v>
      </c>
      <c r="C1241" s="17">
        <f>_xlfn.MAXIFS('working sheet'!$B$1:$B$3548,'working sheet'!$D$1:$D$3548,'Customer Portfolio'!A1241)</f>
        <v>45710.452994004627</v>
      </c>
      <c r="D1241">
        <f>COUNTIFS('working sheet'!$D$1:$D$3548,'Customer Portfolio'!A1241)</f>
        <v>1</v>
      </c>
      <c r="E1241" s="5">
        <f>SUMIFS('working sheet'!$E$2:$E$3548,'working sheet'!$D$2:$D$3548,'Customer Portfolio'!A1241)</f>
        <v>35.76</v>
      </c>
      <c r="F1241" s="6">
        <f t="shared" si="38"/>
        <v>35.76</v>
      </c>
      <c r="G1241" t="str">
        <f t="array" ref="G1241">IFERROR(INDEX('working sheet'!$F$2:$F$3548, MODE(IF('working sheet'!$D$2:$D$3548=A1241, MATCH('working sheet'!$F$2:$F$3548, 'working sheet'!$F$2:$F$3548, 0)))),
         INDEX('working sheet'!$F$2:$F$3548, MATCH(A1241, 'working sheet'!$D$2:$D$3548, 0)))</f>
        <v>Hot Chocolate</v>
      </c>
      <c r="H1241" s="7">
        <f t="shared" si="39"/>
        <v>1</v>
      </c>
      <c r="I1241" s="7">
        <f>MAX('working sheet'!$B$2:$B$3548)-C1241</f>
        <v>29.305092048613005</v>
      </c>
      <c r="J1241" s="4" t="str">
        <f t="array" ref="J1241">IF(AND(I1241&lt;=30, D1241&gt;=10, E1241&gt;=200), "VIP",  IF(AND(I1241&lt;=60, D1241&gt;=5, E1241&gt;=100), "Loyal", IF(AND(I1241&lt;=90, D1241&gt;=3), "Regular", IF(I1241&lt;=30, "Recent", IF(D1241&gt;=3, "Occasional", "At Risk")))))</f>
        <v>Recent</v>
      </c>
      <c r="K1241" t="str">
        <f t="array" ref="K1241">IF(OR(J1241="VIP", J1241="Loyal"), "HIGH",IF(OR(J1241="Regular", J1241="Recent"), "MEDIUM","LOW"))</f>
        <v>MEDIUM</v>
      </c>
    </row>
    <row r="1242" spans="1:11">
      <c r="A1242" t="s">
        <v>1255</v>
      </c>
      <c r="B1242" s="14">
        <f>_xlfn.MINIFS('working sheet'!$B$2:$B$3548, 'working sheet'!$D$2:$D$3548, A1242)</f>
        <v>45710.478130243057</v>
      </c>
      <c r="C1242" s="17">
        <f>_xlfn.MAXIFS('working sheet'!$B$1:$B$3548,'working sheet'!$D$1:$D$3548,'Customer Portfolio'!A1242)</f>
        <v>45710.478130243057</v>
      </c>
      <c r="D1242">
        <f>COUNTIFS('working sheet'!$D$1:$D$3548,'Customer Portfolio'!A1242)</f>
        <v>1</v>
      </c>
      <c r="E1242" s="5">
        <f>SUMIFS('working sheet'!$E$2:$E$3548,'working sheet'!$D$2:$D$3548,'Customer Portfolio'!A1242)</f>
        <v>25.96</v>
      </c>
      <c r="F1242" s="6">
        <f t="shared" si="38"/>
        <v>25.96</v>
      </c>
      <c r="G1242" t="str">
        <f t="array" ref="G1242">IFERROR(INDEX('working sheet'!$F$2:$F$3548, MODE(IF('working sheet'!$D$2:$D$3548=A1242, MATCH('working sheet'!$F$2:$F$3548, 'working sheet'!$F$2:$F$3548, 0)))),
         INDEX('working sheet'!$F$2:$F$3548, MATCH(A1242, 'working sheet'!$D$2:$D$3548, 0)))</f>
        <v>Americano</v>
      </c>
      <c r="H1242" s="7">
        <f t="shared" si="39"/>
        <v>1</v>
      </c>
      <c r="I1242" s="7">
        <f>MAX('working sheet'!$B$2:$B$3548)-C1242</f>
        <v>29.27995581018331</v>
      </c>
      <c r="J1242" s="4" t="str">
        <f t="array" ref="J1242">IF(AND(I1242&lt;=30, D1242&gt;=10, E1242&gt;=200), "VIP",  IF(AND(I1242&lt;=60, D1242&gt;=5, E1242&gt;=100), "Loyal", IF(AND(I1242&lt;=90, D1242&gt;=3), "Regular", IF(I1242&lt;=30, "Recent", IF(D1242&gt;=3, "Occasional", "At Risk")))))</f>
        <v>Recent</v>
      </c>
      <c r="K1242" t="str">
        <f t="array" ref="K1242">IF(OR(J1242="VIP", J1242="Loyal"), "HIGH",IF(OR(J1242="Regular", J1242="Recent"), "MEDIUM","LOW"))</f>
        <v>MEDIUM</v>
      </c>
    </row>
    <row r="1243" spans="1:11">
      <c r="A1243" t="s">
        <v>1256</v>
      </c>
      <c r="B1243" s="14">
        <f>_xlfn.MINIFS('working sheet'!$B$2:$B$3548, 'working sheet'!$D$2:$D$3548, A1243)</f>
        <v>45711.57663920139</v>
      </c>
      <c r="C1243" s="17">
        <f>_xlfn.MAXIFS('working sheet'!$B$1:$B$3548,'working sheet'!$D$1:$D$3548,'Customer Portfolio'!A1243)</f>
        <v>45711.57663920139</v>
      </c>
      <c r="D1243">
        <f>COUNTIFS('working sheet'!$D$1:$D$3548,'Customer Portfolio'!A1243)</f>
        <v>1</v>
      </c>
      <c r="E1243" s="5">
        <f>SUMIFS('working sheet'!$E$2:$E$3548,'working sheet'!$D$2:$D$3548,'Customer Portfolio'!A1243)</f>
        <v>35.76</v>
      </c>
      <c r="F1243" s="6">
        <f t="shared" si="38"/>
        <v>35.76</v>
      </c>
      <c r="G1243" t="str">
        <f t="array" ref="G1243">IFERROR(INDEX('working sheet'!$F$2:$F$3548, MODE(IF('working sheet'!$D$2:$D$3548=A1243, MATCH('working sheet'!$F$2:$F$3548, 'working sheet'!$F$2:$F$3548, 0)))),
         INDEX('working sheet'!$F$2:$F$3548, MATCH(A1243, 'working sheet'!$D$2:$D$3548, 0)))</f>
        <v>Cappuccino</v>
      </c>
      <c r="H1243" s="7">
        <f t="shared" si="39"/>
        <v>1</v>
      </c>
      <c r="I1243" s="7">
        <f>MAX('working sheet'!$B$2:$B$3548)-C1243</f>
        <v>28.181446851849614</v>
      </c>
      <c r="J1243" s="4" t="str">
        <f t="array" ref="J1243">IF(AND(I1243&lt;=30, D1243&gt;=10, E1243&gt;=200), "VIP",  IF(AND(I1243&lt;=60, D1243&gt;=5, E1243&gt;=100), "Loyal", IF(AND(I1243&lt;=90, D1243&gt;=3), "Regular", IF(I1243&lt;=30, "Recent", IF(D1243&gt;=3, "Occasional", "At Risk")))))</f>
        <v>Recent</v>
      </c>
      <c r="K1243" t="str">
        <f t="array" ref="K1243">IF(OR(J1243="VIP", J1243="Loyal"), "HIGH",IF(OR(J1243="Regular", J1243="Recent"), "MEDIUM","LOW"))</f>
        <v>MEDIUM</v>
      </c>
    </row>
    <row r="1244" spans="1:11">
      <c r="A1244" t="s">
        <v>1257</v>
      </c>
      <c r="B1244" s="14">
        <f>_xlfn.MINIFS('working sheet'!$B$2:$B$3548, 'working sheet'!$D$2:$D$3548, A1244)</f>
        <v>45711.727603263891</v>
      </c>
      <c r="C1244" s="17">
        <f>_xlfn.MAXIFS('working sheet'!$B$1:$B$3548,'working sheet'!$D$1:$D$3548,'Customer Portfolio'!A1244)</f>
        <v>45711.727603263891</v>
      </c>
      <c r="D1244">
        <f>COUNTIFS('working sheet'!$D$1:$D$3548,'Customer Portfolio'!A1244)</f>
        <v>1</v>
      </c>
      <c r="E1244" s="5">
        <f>SUMIFS('working sheet'!$E$2:$E$3548,'working sheet'!$D$2:$D$3548,'Customer Portfolio'!A1244)</f>
        <v>25.96</v>
      </c>
      <c r="F1244" s="6">
        <f t="shared" si="38"/>
        <v>25.96</v>
      </c>
      <c r="G1244" t="str">
        <f t="array" ref="G1244">IFERROR(INDEX('working sheet'!$F$2:$F$3548, MODE(IF('working sheet'!$D$2:$D$3548=A1244, MATCH('working sheet'!$F$2:$F$3548, 'working sheet'!$F$2:$F$3548, 0)))),
         INDEX('working sheet'!$F$2:$F$3548, MATCH(A1244, 'working sheet'!$D$2:$D$3548, 0)))</f>
        <v>Americano</v>
      </c>
      <c r="H1244" s="7">
        <f t="shared" si="39"/>
        <v>1</v>
      </c>
      <c r="I1244" s="7">
        <f>MAX('working sheet'!$B$2:$B$3548)-C1244</f>
        <v>28.030482789348753</v>
      </c>
      <c r="J1244" s="4" t="str">
        <f t="array" ref="J1244">IF(AND(I1244&lt;=30, D1244&gt;=10, E1244&gt;=200), "VIP",  IF(AND(I1244&lt;=60, D1244&gt;=5, E1244&gt;=100), "Loyal", IF(AND(I1244&lt;=90, D1244&gt;=3), "Regular", IF(I1244&lt;=30, "Recent", IF(D1244&gt;=3, "Occasional", "At Risk")))))</f>
        <v>Recent</v>
      </c>
      <c r="K1244" t="str">
        <f t="array" ref="K1244">IF(OR(J1244="VIP", J1244="Loyal"), "HIGH",IF(OR(J1244="Regular", J1244="Recent"), "MEDIUM","LOW"))</f>
        <v>MEDIUM</v>
      </c>
    </row>
    <row r="1245" spans="1:11">
      <c r="A1245" t="s">
        <v>1258</v>
      </c>
      <c r="B1245" s="14">
        <f>_xlfn.MINIFS('working sheet'!$B$2:$B$3548, 'working sheet'!$D$2:$D$3548, A1245)</f>
        <v>45712.406373831021</v>
      </c>
      <c r="C1245" s="17">
        <f>_xlfn.MAXIFS('working sheet'!$B$1:$B$3548,'working sheet'!$D$1:$D$3548,'Customer Portfolio'!A1245)</f>
        <v>45719.40878863426</v>
      </c>
      <c r="D1245">
        <f>COUNTIFS('working sheet'!$D$1:$D$3548,'Customer Portfolio'!A1245)</f>
        <v>4</v>
      </c>
      <c r="E1245" s="5">
        <f>SUMIFS('working sheet'!$E$2:$E$3548,'working sheet'!$D$2:$D$3548,'Customer Portfolio'!A1245)</f>
        <v>143.04</v>
      </c>
      <c r="F1245" s="6">
        <f t="shared" si="38"/>
        <v>35.76</v>
      </c>
      <c r="G1245" t="str">
        <f t="array" ref="G1245">IFERROR(INDEX('working sheet'!$F$2:$F$3548, MODE(IF('working sheet'!$D$2:$D$3548=A1245, MATCH('working sheet'!$F$2:$F$3548, 'working sheet'!$F$2:$F$3548, 0)))),
         INDEX('working sheet'!$F$2:$F$3548, MATCH(A1245, 'working sheet'!$D$2:$D$3548, 0)))</f>
        <v>Latte</v>
      </c>
      <c r="H1245" s="7">
        <f t="shared" si="39"/>
        <v>8.0024148032389348</v>
      </c>
      <c r="I1245" s="7">
        <f>MAX('working sheet'!$B$2:$B$3548)-C1245</f>
        <v>20.349297418979404</v>
      </c>
      <c r="J1245" s="4" t="str">
        <f t="array" ref="J1245">IF(AND(I1245&lt;=30, D1245&gt;=10, E1245&gt;=200), "VIP",  IF(AND(I1245&lt;=60, D1245&gt;=5, E1245&gt;=100), "Loyal", IF(AND(I1245&lt;=90, D1245&gt;=3), "Regular", IF(I1245&lt;=30, "Recent", IF(D1245&gt;=3, "Occasional", "At Risk")))))</f>
        <v>Regular</v>
      </c>
      <c r="K1245" t="str">
        <f t="array" ref="K1245">IF(OR(J1245="VIP", J1245="Loyal"), "HIGH",IF(OR(J1245="Regular", J1245="Recent"), "MEDIUM","LOW"))</f>
        <v>MEDIUM</v>
      </c>
    </row>
    <row r="1246" spans="1:11">
      <c r="A1246" t="s">
        <v>1259</v>
      </c>
      <c r="B1246" s="14">
        <f>_xlfn.MINIFS('working sheet'!$B$2:$B$3548, 'working sheet'!$D$2:$D$3548, A1246)</f>
        <v>45712.423061273148</v>
      </c>
      <c r="C1246" s="17">
        <f>_xlfn.MAXIFS('working sheet'!$B$1:$B$3548,'working sheet'!$D$1:$D$3548,'Customer Portfolio'!A1246)</f>
        <v>45712.423862569442</v>
      </c>
      <c r="D1246">
        <f>COUNTIFS('working sheet'!$D$1:$D$3548,'Customer Portfolio'!A1246)</f>
        <v>2</v>
      </c>
      <c r="E1246" s="5">
        <f>SUMIFS('working sheet'!$E$2:$E$3548,'working sheet'!$D$2:$D$3548,'Customer Portfolio'!A1246)</f>
        <v>61.72</v>
      </c>
      <c r="F1246" s="6">
        <f t="shared" si="38"/>
        <v>30.86</v>
      </c>
      <c r="G1246" t="str">
        <f t="array" ref="G1246">IFERROR(INDEX('working sheet'!$F$2:$F$3548, MODE(IF('working sheet'!$D$2:$D$3548=A1246, MATCH('working sheet'!$F$2:$F$3548, 'working sheet'!$F$2:$F$3548, 0)))),
         INDEX('working sheet'!$F$2:$F$3548, MATCH(A1246, 'working sheet'!$D$2:$D$3548, 0)))</f>
        <v>Americano with Milk</v>
      </c>
      <c r="H1246" s="7">
        <f t="shared" si="39"/>
        <v>1.0008012962935027</v>
      </c>
      <c r="I1246" s="7">
        <f>MAX('working sheet'!$B$2:$B$3548)-C1246</f>
        <v>27.334223483798269</v>
      </c>
      <c r="J1246" s="4" t="str">
        <f t="array" ref="J1246">IF(AND(I1246&lt;=30, D1246&gt;=10, E1246&gt;=200), "VIP",  IF(AND(I1246&lt;=60, D1246&gt;=5, E1246&gt;=100), "Loyal", IF(AND(I1246&lt;=90, D1246&gt;=3), "Regular", IF(I1246&lt;=30, "Recent", IF(D1246&gt;=3, "Occasional", "At Risk")))))</f>
        <v>Recent</v>
      </c>
      <c r="K1246" t="str">
        <f t="array" ref="K1246">IF(OR(J1246="VIP", J1246="Loyal"), "HIGH",IF(OR(J1246="Regular", J1246="Recent"), "MEDIUM","LOW"))</f>
        <v>MEDIUM</v>
      </c>
    </row>
    <row r="1247" spans="1:11">
      <c r="A1247" t="s">
        <v>1260</v>
      </c>
      <c r="B1247" s="14">
        <f>_xlfn.MINIFS('working sheet'!$B$2:$B$3548, 'working sheet'!$D$2:$D$3548, A1247)</f>
        <v>45712.666739895831</v>
      </c>
      <c r="C1247" s="17">
        <f>_xlfn.MAXIFS('working sheet'!$B$1:$B$3548,'working sheet'!$D$1:$D$3548,'Customer Portfolio'!A1247)</f>
        <v>45720.839589756943</v>
      </c>
      <c r="D1247">
        <f>COUNTIFS('working sheet'!$D$1:$D$3548,'Customer Portfolio'!A1247)</f>
        <v>2</v>
      </c>
      <c r="E1247" s="5">
        <f>SUMIFS('working sheet'!$E$2:$E$3548,'working sheet'!$D$2:$D$3548,'Customer Portfolio'!A1247)</f>
        <v>71.52</v>
      </c>
      <c r="F1247" s="6">
        <f t="shared" si="38"/>
        <v>35.76</v>
      </c>
      <c r="G1247" t="str">
        <f t="array" ref="G1247">IFERROR(INDEX('working sheet'!$F$2:$F$3548, MODE(IF('working sheet'!$D$2:$D$3548=A1247, MATCH('working sheet'!$F$2:$F$3548, 'working sheet'!$F$2:$F$3548, 0)))),
         INDEX('working sheet'!$F$2:$F$3548, MATCH(A1247, 'working sheet'!$D$2:$D$3548, 0)))</f>
        <v>Cocoa</v>
      </c>
      <c r="H1247" s="7">
        <f t="shared" si="39"/>
        <v>9.1728498611118994</v>
      </c>
      <c r="I1247" s="7">
        <f>MAX('working sheet'!$B$2:$B$3548)-C1247</f>
        <v>18.918496296297235</v>
      </c>
      <c r="J1247" s="4" t="str">
        <f t="array" ref="J1247">IF(AND(I1247&lt;=30, D1247&gt;=10, E1247&gt;=200), "VIP",  IF(AND(I1247&lt;=60, D1247&gt;=5, E1247&gt;=100), "Loyal", IF(AND(I1247&lt;=90, D1247&gt;=3), "Regular", IF(I1247&lt;=30, "Recent", IF(D1247&gt;=3, "Occasional", "At Risk")))))</f>
        <v>Recent</v>
      </c>
      <c r="K1247" t="str">
        <f t="array" ref="K1247">IF(OR(J1247="VIP", J1247="Loyal"), "HIGH",IF(OR(J1247="Regular", J1247="Recent"), "MEDIUM","LOW"))</f>
        <v>MEDIUM</v>
      </c>
    </row>
    <row r="1248" spans="1:11">
      <c r="A1248" t="s">
        <v>1261</v>
      </c>
      <c r="B1248" s="14">
        <f>_xlfn.MINIFS('working sheet'!$B$2:$B$3548, 'working sheet'!$D$2:$D$3548, A1248)</f>
        <v>45712.808963090276</v>
      </c>
      <c r="C1248" s="17">
        <f>_xlfn.MAXIFS('working sheet'!$B$1:$B$3548,'working sheet'!$D$1:$D$3548,'Customer Portfolio'!A1248)</f>
        <v>45714.637089664349</v>
      </c>
      <c r="D1248">
        <f>COUNTIFS('working sheet'!$D$1:$D$3548,'Customer Portfolio'!A1248)</f>
        <v>2</v>
      </c>
      <c r="E1248" s="5">
        <f>SUMIFS('working sheet'!$E$2:$E$3548,'working sheet'!$D$2:$D$3548,'Customer Portfolio'!A1248)</f>
        <v>61.72</v>
      </c>
      <c r="F1248" s="6">
        <f t="shared" si="38"/>
        <v>30.86</v>
      </c>
      <c r="G1248" t="str">
        <f t="array" ref="G1248">IFERROR(INDEX('working sheet'!$F$2:$F$3548, MODE(IF('working sheet'!$D$2:$D$3548=A1248, MATCH('working sheet'!$F$2:$F$3548, 'working sheet'!$F$2:$F$3548, 0)))),
         INDEX('working sheet'!$F$2:$F$3548, MATCH(A1248, 'working sheet'!$D$2:$D$3548, 0)))</f>
        <v>Latte</v>
      </c>
      <c r="H1248" s="7">
        <f t="shared" si="39"/>
        <v>2.8281265740733943</v>
      </c>
      <c r="I1248" s="7">
        <f>MAX('working sheet'!$B$2:$B$3548)-C1248</f>
        <v>25.120996388890489</v>
      </c>
      <c r="J1248" s="4" t="str">
        <f t="array" ref="J1248">IF(AND(I1248&lt;=30, D1248&gt;=10, E1248&gt;=200), "VIP",  IF(AND(I1248&lt;=60, D1248&gt;=5, E1248&gt;=100), "Loyal", IF(AND(I1248&lt;=90, D1248&gt;=3), "Regular", IF(I1248&lt;=30, "Recent", IF(D1248&gt;=3, "Occasional", "At Risk")))))</f>
        <v>Recent</v>
      </c>
      <c r="K1248" t="str">
        <f t="array" ref="K1248">IF(OR(J1248="VIP", J1248="Loyal"), "HIGH",IF(OR(J1248="Regular", J1248="Recent"), "MEDIUM","LOW"))</f>
        <v>MEDIUM</v>
      </c>
    </row>
    <row r="1249" spans="1:11">
      <c r="A1249" t="s">
        <v>1262</v>
      </c>
      <c r="B1249" s="14">
        <f>_xlfn.MINIFS('working sheet'!$B$2:$B$3548, 'working sheet'!$D$2:$D$3548, A1249)</f>
        <v>45714.424619675927</v>
      </c>
      <c r="C1249" s="17">
        <f>_xlfn.MAXIFS('working sheet'!$B$1:$B$3548,'working sheet'!$D$1:$D$3548,'Customer Portfolio'!A1249)</f>
        <v>45721.444847465275</v>
      </c>
      <c r="D1249">
        <f>COUNTIFS('working sheet'!$D$1:$D$3548,'Customer Portfolio'!A1249)</f>
        <v>3</v>
      </c>
      <c r="E1249" s="5">
        <f>SUMIFS('working sheet'!$E$2:$E$3548,'working sheet'!$D$2:$D$3548,'Customer Portfolio'!A1249)</f>
        <v>92.58</v>
      </c>
      <c r="F1249" s="6">
        <f t="shared" si="38"/>
        <v>30.86</v>
      </c>
      <c r="G1249" t="str">
        <f t="array" ref="G1249">IFERROR(INDEX('working sheet'!$F$2:$F$3548, MODE(IF('working sheet'!$D$2:$D$3548=A1249, MATCH('working sheet'!$F$2:$F$3548, 'working sheet'!$F$2:$F$3548, 0)))),
         INDEX('working sheet'!$F$2:$F$3548, MATCH(A1249, 'working sheet'!$D$2:$D$3548, 0)))</f>
        <v>Americano with Milk</v>
      </c>
      <c r="H1249" s="7">
        <f t="shared" si="39"/>
        <v>8.0202277893477003</v>
      </c>
      <c r="I1249" s="7">
        <f>MAX('working sheet'!$B$2:$B$3548)-C1249</f>
        <v>18.313238587965316</v>
      </c>
      <c r="J1249" s="4" t="str">
        <f t="array" ref="J1249">IF(AND(I1249&lt;=30, D1249&gt;=10, E1249&gt;=200), "VIP",  IF(AND(I1249&lt;=60, D1249&gt;=5, E1249&gt;=100), "Loyal", IF(AND(I1249&lt;=90, D1249&gt;=3), "Regular", IF(I1249&lt;=30, "Recent", IF(D1249&gt;=3, "Occasional", "At Risk")))))</f>
        <v>Regular</v>
      </c>
      <c r="K1249" t="str">
        <f t="array" ref="K1249">IF(OR(J1249="VIP", J1249="Loyal"), "HIGH",IF(OR(J1249="Regular", J1249="Recent"), "MEDIUM","LOW"))</f>
        <v>MEDIUM</v>
      </c>
    </row>
    <row r="1250" spans="1:11">
      <c r="A1250" t="s">
        <v>1263</v>
      </c>
      <c r="B1250" s="14">
        <f>_xlfn.MINIFS('working sheet'!$B$2:$B$3548, 'working sheet'!$D$2:$D$3548, A1250)</f>
        <v>45714.635277650465</v>
      </c>
      <c r="C1250" s="17">
        <f>_xlfn.MAXIFS('working sheet'!$B$1:$B$3548,'working sheet'!$D$1:$D$3548,'Customer Portfolio'!A1250)</f>
        <v>45714.635277650465</v>
      </c>
      <c r="D1250">
        <f>COUNTIFS('working sheet'!$D$1:$D$3548,'Customer Portfolio'!A1250)</f>
        <v>1</v>
      </c>
      <c r="E1250" s="5">
        <f>SUMIFS('working sheet'!$E$2:$E$3548,'working sheet'!$D$2:$D$3548,'Customer Portfolio'!A1250)</f>
        <v>25.96</v>
      </c>
      <c r="F1250" s="6">
        <f t="shared" si="38"/>
        <v>25.96</v>
      </c>
      <c r="G1250" t="str">
        <f t="array" ref="G1250">IFERROR(INDEX('working sheet'!$F$2:$F$3548, MODE(IF('working sheet'!$D$2:$D$3548=A1250, MATCH('working sheet'!$F$2:$F$3548, 'working sheet'!$F$2:$F$3548, 0)))),
         INDEX('working sheet'!$F$2:$F$3548, MATCH(A1250, 'working sheet'!$D$2:$D$3548, 0)))</f>
        <v>Americano</v>
      </c>
      <c r="H1250" s="7">
        <f t="shared" si="39"/>
        <v>1</v>
      </c>
      <c r="I1250" s="7">
        <f>MAX('working sheet'!$B$2:$B$3548)-C1250</f>
        <v>25.122808402775263</v>
      </c>
      <c r="J1250" s="4" t="str">
        <f t="array" ref="J1250">IF(AND(I1250&lt;=30, D1250&gt;=10, E1250&gt;=200), "VIP",  IF(AND(I1250&lt;=60, D1250&gt;=5, E1250&gt;=100), "Loyal", IF(AND(I1250&lt;=90, D1250&gt;=3), "Regular", IF(I1250&lt;=30, "Recent", IF(D1250&gt;=3, "Occasional", "At Risk")))))</f>
        <v>Recent</v>
      </c>
      <c r="K1250" t="str">
        <f t="array" ref="K1250">IF(OR(J1250="VIP", J1250="Loyal"), "HIGH",IF(OR(J1250="Regular", J1250="Recent"), "MEDIUM","LOW"))</f>
        <v>MEDIUM</v>
      </c>
    </row>
    <row r="1251" spans="1:11">
      <c r="A1251" t="s">
        <v>1264</v>
      </c>
      <c r="B1251" s="14">
        <f>_xlfn.MINIFS('working sheet'!$B$2:$B$3548, 'working sheet'!$D$2:$D$3548, A1251)</f>
        <v>45714.638921527781</v>
      </c>
      <c r="C1251" s="17">
        <f>_xlfn.MAXIFS('working sheet'!$B$1:$B$3548,'working sheet'!$D$1:$D$3548,'Customer Portfolio'!A1251)</f>
        <v>45714.639453761571</v>
      </c>
      <c r="D1251">
        <f>COUNTIFS('working sheet'!$D$1:$D$3548,'Customer Portfolio'!A1251)</f>
        <v>2</v>
      </c>
      <c r="E1251" s="5">
        <f>SUMIFS('working sheet'!$E$2:$E$3548,'working sheet'!$D$2:$D$3548,'Customer Portfolio'!A1251)</f>
        <v>61.72</v>
      </c>
      <c r="F1251" s="6">
        <f t="shared" si="38"/>
        <v>30.86</v>
      </c>
      <c r="G1251" t="str">
        <f t="array" ref="G1251">IFERROR(INDEX('working sheet'!$F$2:$F$3548, MODE(IF('working sheet'!$D$2:$D$3548=A1251, MATCH('working sheet'!$F$2:$F$3548, 'working sheet'!$F$2:$F$3548, 0)))),
         INDEX('working sheet'!$F$2:$F$3548, MATCH(A1251, 'working sheet'!$D$2:$D$3548, 0)))</f>
        <v>Hot Chocolate</v>
      </c>
      <c r="H1251" s="7">
        <f t="shared" si="39"/>
        <v>1.0005322337892721</v>
      </c>
      <c r="I1251" s="7">
        <f>MAX('working sheet'!$B$2:$B$3548)-C1251</f>
        <v>25.118632291669201</v>
      </c>
      <c r="J1251" s="4" t="str">
        <f t="array" ref="J1251">IF(AND(I1251&lt;=30, D1251&gt;=10, E1251&gt;=200), "VIP",  IF(AND(I1251&lt;=60, D1251&gt;=5, E1251&gt;=100), "Loyal", IF(AND(I1251&lt;=90, D1251&gt;=3), "Regular", IF(I1251&lt;=30, "Recent", IF(D1251&gt;=3, "Occasional", "At Risk")))))</f>
        <v>Recent</v>
      </c>
      <c r="K1251" t="str">
        <f t="array" ref="K1251">IF(OR(J1251="VIP", J1251="Loyal"), "HIGH",IF(OR(J1251="Regular", J1251="Recent"), "MEDIUM","LOW"))</f>
        <v>MEDIUM</v>
      </c>
    </row>
    <row r="1252" spans="1:11">
      <c r="A1252" t="s">
        <v>1265</v>
      </c>
      <c r="B1252" s="14">
        <f>_xlfn.MINIFS('working sheet'!$B$2:$B$3548, 'working sheet'!$D$2:$D$3548, A1252)</f>
        <v>45715.53351710648</v>
      </c>
      <c r="C1252" s="17">
        <f>_xlfn.MAXIFS('working sheet'!$B$1:$B$3548,'working sheet'!$D$1:$D$3548,'Customer Portfolio'!A1252)</f>
        <v>45715.53351710648</v>
      </c>
      <c r="D1252">
        <f>COUNTIFS('working sheet'!$D$1:$D$3548,'Customer Portfolio'!A1252)</f>
        <v>1</v>
      </c>
      <c r="E1252" s="5">
        <f>SUMIFS('working sheet'!$E$2:$E$3548,'working sheet'!$D$2:$D$3548,'Customer Portfolio'!A1252)</f>
        <v>35.76</v>
      </c>
      <c r="F1252" s="6">
        <f t="shared" si="38"/>
        <v>35.76</v>
      </c>
      <c r="G1252" t="str">
        <f t="array" ref="G1252">IFERROR(INDEX('working sheet'!$F$2:$F$3548, MODE(IF('working sheet'!$D$2:$D$3548=A1252, MATCH('working sheet'!$F$2:$F$3548, 'working sheet'!$F$2:$F$3548, 0)))),
         INDEX('working sheet'!$F$2:$F$3548, MATCH(A1252, 'working sheet'!$D$2:$D$3548, 0)))</f>
        <v>Cocoa</v>
      </c>
      <c r="H1252" s="7">
        <f t="shared" si="39"/>
        <v>1</v>
      </c>
      <c r="I1252" s="7">
        <f>MAX('working sheet'!$B$2:$B$3548)-C1252</f>
        <v>24.224568946759973</v>
      </c>
      <c r="J1252" s="4" t="str">
        <f t="array" ref="J1252">IF(AND(I1252&lt;=30, D1252&gt;=10, E1252&gt;=200), "VIP",  IF(AND(I1252&lt;=60, D1252&gt;=5, E1252&gt;=100), "Loyal", IF(AND(I1252&lt;=90, D1252&gt;=3), "Regular", IF(I1252&lt;=30, "Recent", IF(D1252&gt;=3, "Occasional", "At Risk")))))</f>
        <v>Recent</v>
      </c>
      <c r="K1252" t="str">
        <f t="array" ref="K1252">IF(OR(J1252="VIP", J1252="Loyal"), "HIGH",IF(OR(J1252="Regular", J1252="Recent"), "MEDIUM","LOW"))</f>
        <v>MEDIUM</v>
      </c>
    </row>
    <row r="1253" spans="1:11">
      <c r="A1253" t="s">
        <v>1266</v>
      </c>
      <c r="B1253" s="14">
        <f>_xlfn.MINIFS('working sheet'!$B$2:$B$3548, 'working sheet'!$D$2:$D$3548, A1253)</f>
        <v>45715.562366018516</v>
      </c>
      <c r="C1253" s="17">
        <f>_xlfn.MAXIFS('working sheet'!$B$1:$B$3548,'working sheet'!$D$1:$D$3548,'Customer Portfolio'!A1253)</f>
        <v>45715.562366018516</v>
      </c>
      <c r="D1253">
        <f>COUNTIFS('working sheet'!$D$1:$D$3548,'Customer Portfolio'!A1253)</f>
        <v>1</v>
      </c>
      <c r="E1253" s="5">
        <f>SUMIFS('working sheet'!$E$2:$E$3548,'working sheet'!$D$2:$D$3548,'Customer Portfolio'!A1253)</f>
        <v>30.86</v>
      </c>
      <c r="F1253" s="6">
        <f t="shared" si="38"/>
        <v>30.86</v>
      </c>
      <c r="G1253" t="str">
        <f t="array" ref="G1253">IFERROR(INDEX('working sheet'!$F$2:$F$3548, MODE(IF('working sheet'!$D$2:$D$3548=A1253, MATCH('working sheet'!$F$2:$F$3548, 'working sheet'!$F$2:$F$3548, 0)))),
         INDEX('working sheet'!$F$2:$F$3548, MATCH(A1253, 'working sheet'!$D$2:$D$3548, 0)))</f>
        <v>Americano with Milk</v>
      </c>
      <c r="H1253" s="7">
        <f t="shared" si="39"/>
        <v>1</v>
      </c>
      <c r="I1253" s="7">
        <f>MAX('working sheet'!$B$2:$B$3548)-C1253</f>
        <v>24.195720034724218</v>
      </c>
      <c r="J1253" s="4" t="str">
        <f t="array" ref="J1253">IF(AND(I1253&lt;=30, D1253&gt;=10, E1253&gt;=200), "VIP",  IF(AND(I1253&lt;=60, D1253&gt;=5, E1253&gt;=100), "Loyal", IF(AND(I1253&lt;=90, D1253&gt;=3), "Regular", IF(I1253&lt;=30, "Recent", IF(D1253&gt;=3, "Occasional", "At Risk")))))</f>
        <v>Recent</v>
      </c>
      <c r="K1253" t="str">
        <f t="array" ref="K1253">IF(OR(J1253="VIP", J1253="Loyal"), "HIGH",IF(OR(J1253="Regular", J1253="Recent"), "MEDIUM","LOW"))</f>
        <v>MEDIUM</v>
      </c>
    </row>
    <row r="1254" spans="1:11">
      <c r="A1254" t="s">
        <v>1267</v>
      </c>
      <c r="B1254" s="14">
        <f>_xlfn.MINIFS('working sheet'!$B$2:$B$3548, 'working sheet'!$D$2:$D$3548, A1254)</f>
        <v>45715.613418113426</v>
      </c>
      <c r="C1254" s="17">
        <f>_xlfn.MAXIFS('working sheet'!$B$1:$B$3548,'working sheet'!$D$1:$D$3548,'Customer Portfolio'!A1254)</f>
        <v>45715.613418113426</v>
      </c>
      <c r="D1254">
        <f>COUNTIFS('working sheet'!$D$1:$D$3548,'Customer Portfolio'!A1254)</f>
        <v>1</v>
      </c>
      <c r="E1254" s="5">
        <f>SUMIFS('working sheet'!$E$2:$E$3548,'working sheet'!$D$2:$D$3548,'Customer Portfolio'!A1254)</f>
        <v>35.76</v>
      </c>
      <c r="F1254" s="6">
        <f t="shared" si="38"/>
        <v>35.76</v>
      </c>
      <c r="G1254" t="str">
        <f t="array" ref="G1254">IFERROR(INDEX('working sheet'!$F$2:$F$3548, MODE(IF('working sheet'!$D$2:$D$3548=A1254, MATCH('working sheet'!$F$2:$F$3548, 'working sheet'!$F$2:$F$3548, 0)))),
         INDEX('working sheet'!$F$2:$F$3548, MATCH(A1254, 'working sheet'!$D$2:$D$3548, 0)))</f>
        <v>Latte</v>
      </c>
      <c r="H1254" s="7">
        <f t="shared" si="39"/>
        <v>1</v>
      </c>
      <c r="I1254" s="7">
        <f>MAX('working sheet'!$B$2:$B$3548)-C1254</f>
        <v>24.144667939814099</v>
      </c>
      <c r="J1254" s="4" t="str">
        <f t="array" ref="J1254">IF(AND(I1254&lt;=30, D1254&gt;=10, E1254&gt;=200), "VIP",  IF(AND(I1254&lt;=60, D1254&gt;=5, E1254&gt;=100), "Loyal", IF(AND(I1254&lt;=90, D1254&gt;=3), "Regular", IF(I1254&lt;=30, "Recent", IF(D1254&gt;=3, "Occasional", "At Risk")))))</f>
        <v>Recent</v>
      </c>
      <c r="K1254" t="str">
        <f t="array" ref="K1254">IF(OR(J1254="VIP", J1254="Loyal"), "HIGH",IF(OR(J1254="Regular", J1254="Recent"), "MEDIUM","LOW"))</f>
        <v>MEDIUM</v>
      </c>
    </row>
    <row r="1255" spans="1:11">
      <c r="A1255" t="s">
        <v>1268</v>
      </c>
      <c r="B1255" s="14">
        <f>_xlfn.MINIFS('working sheet'!$B$2:$B$3548, 'working sheet'!$D$2:$D$3548, A1255)</f>
        <v>45715.745289976854</v>
      </c>
      <c r="C1255" s="17">
        <f>_xlfn.MAXIFS('working sheet'!$B$1:$B$3548,'working sheet'!$D$1:$D$3548,'Customer Portfolio'!A1255)</f>
        <v>45717.613470219905</v>
      </c>
      <c r="D1255">
        <f>COUNTIFS('working sheet'!$D$1:$D$3548,'Customer Portfolio'!A1255)</f>
        <v>2</v>
      </c>
      <c r="E1255" s="5">
        <f>SUMIFS('working sheet'!$E$2:$E$3548,'working sheet'!$D$2:$D$3548,'Customer Portfolio'!A1255)</f>
        <v>71.52</v>
      </c>
      <c r="F1255" s="6">
        <f t="shared" si="38"/>
        <v>35.76</v>
      </c>
      <c r="G1255" t="str">
        <f t="array" ref="G1255">IFERROR(INDEX('working sheet'!$F$2:$F$3548, MODE(IF('working sheet'!$D$2:$D$3548=A1255, MATCH('working sheet'!$F$2:$F$3548, 'working sheet'!$F$2:$F$3548, 0)))),
         INDEX('working sheet'!$F$2:$F$3548, MATCH(A1255, 'working sheet'!$D$2:$D$3548, 0)))</f>
        <v>Latte</v>
      </c>
      <c r="H1255" s="7">
        <f t="shared" si="39"/>
        <v>2.8681802430510288</v>
      </c>
      <c r="I1255" s="7">
        <f>MAX('working sheet'!$B$2:$B$3548)-C1255</f>
        <v>22.144615833334683</v>
      </c>
      <c r="J1255" s="4" t="str">
        <f t="array" ref="J1255">IF(AND(I1255&lt;=30, D1255&gt;=10, E1255&gt;=200), "VIP",  IF(AND(I1255&lt;=60, D1255&gt;=5, E1255&gt;=100), "Loyal", IF(AND(I1255&lt;=90, D1255&gt;=3), "Regular", IF(I1255&lt;=30, "Recent", IF(D1255&gt;=3, "Occasional", "At Risk")))))</f>
        <v>Recent</v>
      </c>
      <c r="K1255" t="str">
        <f t="array" ref="K1255">IF(OR(J1255="VIP", J1255="Loyal"), "HIGH",IF(OR(J1255="Regular", J1255="Recent"), "MEDIUM","LOW"))</f>
        <v>MEDIUM</v>
      </c>
    </row>
    <row r="1256" spans="1:11">
      <c r="A1256" t="s">
        <v>1269</v>
      </c>
      <c r="B1256" s="14">
        <f>_xlfn.MINIFS('working sheet'!$B$2:$B$3548, 'working sheet'!$D$2:$D$3548, A1256)</f>
        <v>45716.34025212963</v>
      </c>
      <c r="C1256" s="17">
        <f>_xlfn.MAXIFS('working sheet'!$B$1:$B$3548,'working sheet'!$D$1:$D$3548,'Customer Portfolio'!A1256)</f>
        <v>45716.34025212963</v>
      </c>
      <c r="D1256">
        <f>COUNTIFS('working sheet'!$D$1:$D$3548,'Customer Portfolio'!A1256)</f>
        <v>1</v>
      </c>
      <c r="E1256" s="5">
        <f>SUMIFS('working sheet'!$E$2:$E$3548,'working sheet'!$D$2:$D$3548,'Customer Portfolio'!A1256)</f>
        <v>21.06</v>
      </c>
      <c r="F1256" s="6">
        <f t="shared" si="38"/>
        <v>21.06</v>
      </c>
      <c r="G1256" t="str">
        <f t="array" ref="G1256">IFERROR(INDEX('working sheet'!$F$2:$F$3548, MODE(IF('working sheet'!$D$2:$D$3548=A1256, MATCH('working sheet'!$F$2:$F$3548, 'working sheet'!$F$2:$F$3548, 0)))),
         INDEX('working sheet'!$F$2:$F$3548, MATCH(A1256, 'working sheet'!$D$2:$D$3548, 0)))</f>
        <v>Espresso</v>
      </c>
      <c r="H1256" s="7">
        <f t="shared" si="39"/>
        <v>1</v>
      </c>
      <c r="I1256" s="7">
        <f>MAX('working sheet'!$B$2:$B$3548)-C1256</f>
        <v>23.417833923609578</v>
      </c>
      <c r="J1256" s="4" t="str">
        <f t="array" ref="J1256">IF(AND(I1256&lt;=30, D1256&gt;=10, E1256&gt;=200), "VIP",  IF(AND(I1256&lt;=60, D1256&gt;=5, E1256&gt;=100), "Loyal", IF(AND(I1256&lt;=90, D1256&gt;=3), "Regular", IF(I1256&lt;=30, "Recent", IF(D1256&gt;=3, "Occasional", "At Risk")))))</f>
        <v>Recent</v>
      </c>
      <c r="K1256" t="str">
        <f t="array" ref="K1256">IF(OR(J1256="VIP", J1256="Loyal"), "HIGH",IF(OR(J1256="Regular", J1256="Recent"), "MEDIUM","LOW"))</f>
        <v>MEDIUM</v>
      </c>
    </row>
    <row r="1257" spans="1:11">
      <c r="A1257" t="s">
        <v>1270</v>
      </c>
      <c r="B1257" s="14">
        <f>_xlfn.MINIFS('working sheet'!$B$2:$B$3548, 'working sheet'!$D$2:$D$3548, A1257)</f>
        <v>45716.729911423608</v>
      </c>
      <c r="C1257" s="17">
        <f>_xlfn.MAXIFS('working sheet'!$B$1:$B$3548,'working sheet'!$D$1:$D$3548,'Customer Portfolio'!A1257)</f>
        <v>45719.728273194443</v>
      </c>
      <c r="D1257">
        <f>COUNTIFS('working sheet'!$D$1:$D$3548,'Customer Portfolio'!A1257)</f>
        <v>2</v>
      </c>
      <c r="E1257" s="5">
        <f>SUMIFS('working sheet'!$E$2:$E$3548,'working sheet'!$D$2:$D$3548,'Customer Portfolio'!A1257)</f>
        <v>61.72</v>
      </c>
      <c r="F1257" s="6">
        <f t="shared" si="38"/>
        <v>30.86</v>
      </c>
      <c r="G1257" t="str">
        <f t="array" ref="G1257">IFERROR(INDEX('working sheet'!$F$2:$F$3548, MODE(IF('working sheet'!$D$2:$D$3548=A1257, MATCH('working sheet'!$F$2:$F$3548, 'working sheet'!$F$2:$F$3548, 0)))),
         INDEX('working sheet'!$F$2:$F$3548, MATCH(A1257, 'working sheet'!$D$2:$D$3548, 0)))</f>
        <v>Americano with Milk</v>
      </c>
      <c r="H1257" s="7">
        <f t="shared" si="39"/>
        <v>3.9983617708348902</v>
      </c>
      <c r="I1257" s="7">
        <f>MAX('working sheet'!$B$2:$B$3548)-C1257</f>
        <v>20.029812858796504</v>
      </c>
      <c r="J1257" s="4" t="str">
        <f t="array" ref="J1257">IF(AND(I1257&lt;=30, D1257&gt;=10, E1257&gt;=200), "VIP",  IF(AND(I1257&lt;=60, D1257&gt;=5, E1257&gt;=100), "Loyal", IF(AND(I1257&lt;=90, D1257&gt;=3), "Regular", IF(I1257&lt;=30, "Recent", IF(D1257&gt;=3, "Occasional", "At Risk")))))</f>
        <v>Recent</v>
      </c>
      <c r="K1257" t="str">
        <f t="array" ref="K1257">IF(OR(J1257="VIP", J1257="Loyal"), "HIGH",IF(OR(J1257="Regular", J1257="Recent"), "MEDIUM","LOW"))</f>
        <v>MEDIUM</v>
      </c>
    </row>
    <row r="1258" spans="1:11">
      <c r="A1258" t="s">
        <v>1271</v>
      </c>
      <c r="B1258" s="14">
        <f>_xlfn.MINIFS('working sheet'!$B$2:$B$3548, 'working sheet'!$D$2:$D$3548, A1258)</f>
        <v>45716.787378321758</v>
      </c>
      <c r="C1258" s="17">
        <f>_xlfn.MAXIFS('working sheet'!$B$1:$B$3548,'working sheet'!$D$1:$D$3548,'Customer Portfolio'!A1258)</f>
        <v>45726.784286076392</v>
      </c>
      <c r="D1258">
        <f>COUNTIFS('working sheet'!$D$1:$D$3548,'Customer Portfolio'!A1258)</f>
        <v>4</v>
      </c>
      <c r="E1258" s="5">
        <f>SUMIFS('working sheet'!$E$2:$E$3548,'working sheet'!$D$2:$D$3548,'Customer Portfolio'!A1258)</f>
        <v>143.04</v>
      </c>
      <c r="F1258" s="6">
        <f t="shared" si="38"/>
        <v>35.76</v>
      </c>
      <c r="G1258" t="str">
        <f t="array" ref="G1258">IFERROR(INDEX('working sheet'!$F$2:$F$3548, MODE(IF('working sheet'!$D$2:$D$3548=A1258, MATCH('working sheet'!$F$2:$F$3548, 'working sheet'!$F$2:$F$3548, 0)))),
         INDEX('working sheet'!$F$2:$F$3548, MATCH(A1258, 'working sheet'!$D$2:$D$3548, 0)))</f>
        <v>Latte</v>
      </c>
      <c r="H1258" s="7">
        <f t="shared" si="39"/>
        <v>10.996907754633867</v>
      </c>
      <c r="I1258" s="7">
        <f>MAX('working sheet'!$B$2:$B$3548)-C1258</f>
        <v>12.973799976847658</v>
      </c>
      <c r="J1258" s="4" t="str">
        <f t="array" ref="J1258">IF(AND(I1258&lt;=30, D1258&gt;=10, E1258&gt;=200), "VIP",  IF(AND(I1258&lt;=60, D1258&gt;=5, E1258&gt;=100), "Loyal", IF(AND(I1258&lt;=90, D1258&gt;=3), "Regular", IF(I1258&lt;=30, "Recent", IF(D1258&gt;=3, "Occasional", "At Risk")))))</f>
        <v>Regular</v>
      </c>
      <c r="K1258" t="str">
        <f t="array" ref="K1258">IF(OR(J1258="VIP", J1258="Loyal"), "HIGH",IF(OR(J1258="Regular", J1258="Recent"), "MEDIUM","LOW"))</f>
        <v>MEDIUM</v>
      </c>
    </row>
    <row r="1259" spans="1:11">
      <c r="A1259" t="s">
        <v>1272</v>
      </c>
      <c r="B1259" s="14">
        <f>_xlfn.MINIFS('working sheet'!$B$2:$B$3548, 'working sheet'!$D$2:$D$3548, A1259)</f>
        <v>45717.714276643521</v>
      </c>
      <c r="C1259" s="17">
        <f>_xlfn.MAXIFS('working sheet'!$B$1:$B$3548,'working sheet'!$D$1:$D$3548,'Customer Portfolio'!A1259)</f>
        <v>45717.714276643521</v>
      </c>
      <c r="D1259">
        <f>COUNTIFS('working sheet'!$D$1:$D$3548,'Customer Portfolio'!A1259)</f>
        <v>1</v>
      </c>
      <c r="E1259" s="5">
        <f>SUMIFS('working sheet'!$E$2:$E$3548,'working sheet'!$D$2:$D$3548,'Customer Portfolio'!A1259)</f>
        <v>25.96</v>
      </c>
      <c r="F1259" s="6">
        <f t="shared" si="38"/>
        <v>25.96</v>
      </c>
      <c r="G1259" t="str">
        <f t="array" ref="G1259">IFERROR(INDEX('working sheet'!$F$2:$F$3548, MODE(IF('working sheet'!$D$2:$D$3548=A1259, MATCH('working sheet'!$F$2:$F$3548, 'working sheet'!$F$2:$F$3548, 0)))),
         INDEX('working sheet'!$F$2:$F$3548, MATCH(A1259, 'working sheet'!$D$2:$D$3548, 0)))</f>
        <v>Americano</v>
      </c>
      <c r="H1259" s="7">
        <f t="shared" si="39"/>
        <v>1</v>
      </c>
      <c r="I1259" s="7">
        <f>MAX('working sheet'!$B$2:$B$3548)-C1259</f>
        <v>22.043809409718961</v>
      </c>
      <c r="J1259" s="4" t="str">
        <f t="array" ref="J1259">IF(AND(I1259&lt;=30, D1259&gt;=10, E1259&gt;=200), "VIP",  IF(AND(I1259&lt;=60, D1259&gt;=5, E1259&gt;=100), "Loyal", IF(AND(I1259&lt;=90, D1259&gt;=3), "Regular", IF(I1259&lt;=30, "Recent", IF(D1259&gt;=3, "Occasional", "At Risk")))))</f>
        <v>Recent</v>
      </c>
      <c r="K1259" t="str">
        <f t="array" ref="K1259">IF(OR(J1259="VIP", J1259="Loyal"), "HIGH",IF(OR(J1259="Regular", J1259="Recent"), "MEDIUM","LOW"))</f>
        <v>MEDIUM</v>
      </c>
    </row>
    <row r="1260" spans="1:11">
      <c r="A1260" t="s">
        <v>1273</v>
      </c>
      <c r="B1260" s="14">
        <f>_xlfn.MINIFS('working sheet'!$B$2:$B$3548, 'working sheet'!$D$2:$D$3548, A1260)</f>
        <v>45719.433874027774</v>
      </c>
      <c r="C1260" s="17">
        <f>_xlfn.MAXIFS('working sheet'!$B$1:$B$3548,'working sheet'!$D$1:$D$3548,'Customer Portfolio'!A1260)</f>
        <v>45738.468124537038</v>
      </c>
      <c r="D1260">
        <f>COUNTIFS('working sheet'!$D$1:$D$3548,'Customer Portfolio'!A1260)</f>
        <v>3</v>
      </c>
      <c r="E1260" s="5">
        <f>SUMIFS('working sheet'!$E$2:$E$3548,'working sheet'!$D$2:$D$3548,'Customer Portfolio'!A1260)</f>
        <v>107.28</v>
      </c>
      <c r="F1260" s="6">
        <f t="shared" si="38"/>
        <v>35.76</v>
      </c>
      <c r="G1260" t="str">
        <f t="array" ref="G1260">IFERROR(INDEX('working sheet'!$F$2:$F$3548, MODE(IF('working sheet'!$D$2:$D$3548=A1260, MATCH('working sheet'!$F$2:$F$3548, 'working sheet'!$F$2:$F$3548, 0)))),
         INDEX('working sheet'!$F$2:$F$3548, MATCH(A1260, 'working sheet'!$D$2:$D$3548, 0)))</f>
        <v>Hot Chocolate</v>
      </c>
      <c r="H1260" s="7">
        <f t="shared" si="39"/>
        <v>20.034250509263074</v>
      </c>
      <c r="I1260" s="7">
        <f>MAX('working sheet'!$B$2:$B$3548)-C1260</f>
        <v>1.289961516202311</v>
      </c>
      <c r="J1260" s="4" t="str">
        <f t="array" ref="J1260">IF(AND(I1260&lt;=30, D1260&gt;=10, E1260&gt;=200), "VIP",  IF(AND(I1260&lt;=60, D1260&gt;=5, E1260&gt;=100), "Loyal", IF(AND(I1260&lt;=90, D1260&gt;=3), "Regular", IF(I1260&lt;=30, "Recent", IF(D1260&gt;=3, "Occasional", "At Risk")))))</f>
        <v>Regular</v>
      </c>
      <c r="K1260" t="str">
        <f t="array" ref="K1260">IF(OR(J1260="VIP", J1260="Loyal"), "HIGH",IF(OR(J1260="Regular", J1260="Recent"), "MEDIUM","LOW"))</f>
        <v>MEDIUM</v>
      </c>
    </row>
    <row r="1261" spans="1:11">
      <c r="A1261" t="s">
        <v>1274</v>
      </c>
      <c r="B1261" s="14">
        <f>_xlfn.MINIFS('working sheet'!$B$2:$B$3548, 'working sheet'!$D$2:$D$3548, A1261)</f>
        <v>45720.415707962966</v>
      </c>
      <c r="C1261" s="17">
        <f>_xlfn.MAXIFS('working sheet'!$B$1:$B$3548,'working sheet'!$D$1:$D$3548,'Customer Portfolio'!A1261)</f>
        <v>45723.580226909726</v>
      </c>
      <c r="D1261">
        <f>COUNTIFS('working sheet'!$D$1:$D$3548,'Customer Portfolio'!A1261)</f>
        <v>2</v>
      </c>
      <c r="E1261" s="5">
        <f>SUMIFS('working sheet'!$E$2:$E$3548,'working sheet'!$D$2:$D$3548,'Customer Portfolio'!A1261)</f>
        <v>51.92</v>
      </c>
      <c r="F1261" s="6">
        <f t="shared" si="38"/>
        <v>25.96</v>
      </c>
      <c r="G1261" t="str">
        <f t="array" ref="G1261">IFERROR(INDEX('working sheet'!$F$2:$F$3548, MODE(IF('working sheet'!$D$2:$D$3548=A1261, MATCH('working sheet'!$F$2:$F$3548, 'working sheet'!$F$2:$F$3548, 0)))),
         INDEX('working sheet'!$F$2:$F$3548, MATCH(A1261, 'working sheet'!$D$2:$D$3548, 0)))</f>
        <v>Americano</v>
      </c>
      <c r="H1261" s="7">
        <f t="shared" si="39"/>
        <v>4.1645189467599266</v>
      </c>
      <c r="I1261" s="7">
        <f>MAX('working sheet'!$B$2:$B$3548)-C1261</f>
        <v>16.17785914351407</v>
      </c>
      <c r="J1261" s="4" t="str">
        <f t="array" ref="J1261">IF(AND(I1261&lt;=30, D1261&gt;=10, E1261&gt;=200), "VIP",  IF(AND(I1261&lt;=60, D1261&gt;=5, E1261&gt;=100), "Loyal", IF(AND(I1261&lt;=90, D1261&gt;=3), "Regular", IF(I1261&lt;=30, "Recent", IF(D1261&gt;=3, "Occasional", "At Risk")))))</f>
        <v>Recent</v>
      </c>
      <c r="K1261" t="str">
        <f t="array" ref="K1261">IF(OR(J1261="VIP", J1261="Loyal"), "HIGH",IF(OR(J1261="Regular", J1261="Recent"), "MEDIUM","LOW"))</f>
        <v>MEDIUM</v>
      </c>
    </row>
    <row r="1262" spans="1:11">
      <c r="A1262" t="s">
        <v>1275</v>
      </c>
      <c r="B1262" s="14">
        <f>_xlfn.MINIFS('working sheet'!$B$2:$B$3548, 'working sheet'!$D$2:$D$3548, A1262)</f>
        <v>45721.424195844906</v>
      </c>
      <c r="C1262" s="17">
        <f>_xlfn.MAXIFS('working sheet'!$B$1:$B$3548,'working sheet'!$D$1:$D$3548,'Customer Portfolio'!A1262)</f>
        <v>45721.424195844906</v>
      </c>
      <c r="D1262">
        <f>COUNTIFS('working sheet'!$D$1:$D$3548,'Customer Portfolio'!A1262)</f>
        <v>1</v>
      </c>
      <c r="E1262" s="5">
        <f>SUMIFS('working sheet'!$E$2:$E$3548,'working sheet'!$D$2:$D$3548,'Customer Portfolio'!A1262)</f>
        <v>35.76</v>
      </c>
      <c r="F1262" s="6">
        <f t="shared" si="38"/>
        <v>35.76</v>
      </c>
      <c r="G1262" t="str">
        <f t="array" ref="G1262">IFERROR(INDEX('working sheet'!$F$2:$F$3548, MODE(IF('working sheet'!$D$2:$D$3548=A1262, MATCH('working sheet'!$F$2:$F$3548, 'working sheet'!$F$2:$F$3548, 0)))),
         INDEX('working sheet'!$F$2:$F$3548, MATCH(A1262, 'working sheet'!$D$2:$D$3548, 0)))</f>
        <v>Cappuccino</v>
      </c>
      <c r="H1262" s="7">
        <f t="shared" si="39"/>
        <v>1</v>
      </c>
      <c r="I1262" s="7">
        <f>MAX('working sheet'!$B$2:$B$3548)-C1262</f>
        <v>18.333890208334196</v>
      </c>
      <c r="J1262" s="4" t="str">
        <f t="array" ref="J1262">IF(AND(I1262&lt;=30, D1262&gt;=10, E1262&gt;=200), "VIP",  IF(AND(I1262&lt;=60, D1262&gt;=5, E1262&gt;=100), "Loyal", IF(AND(I1262&lt;=90, D1262&gt;=3), "Regular", IF(I1262&lt;=30, "Recent", IF(D1262&gt;=3, "Occasional", "At Risk")))))</f>
        <v>Recent</v>
      </c>
      <c r="K1262" t="str">
        <f t="array" ref="K1262">IF(OR(J1262="VIP", J1262="Loyal"), "HIGH",IF(OR(J1262="Regular", J1262="Recent"), "MEDIUM","LOW"))</f>
        <v>MEDIUM</v>
      </c>
    </row>
    <row r="1263" spans="1:11">
      <c r="A1263" t="s">
        <v>1276</v>
      </c>
      <c r="B1263" s="14">
        <f>_xlfn.MINIFS('working sheet'!$B$2:$B$3548, 'working sheet'!$D$2:$D$3548, A1263)</f>
        <v>45721.465904687502</v>
      </c>
      <c r="C1263" s="17">
        <f>_xlfn.MAXIFS('working sheet'!$B$1:$B$3548,'working sheet'!$D$1:$D$3548,'Customer Portfolio'!A1263)</f>
        <v>45723.445668877313</v>
      </c>
      <c r="D1263">
        <f>COUNTIFS('working sheet'!$D$1:$D$3548,'Customer Portfolio'!A1263)</f>
        <v>2</v>
      </c>
      <c r="E1263" s="5">
        <f>SUMIFS('working sheet'!$E$2:$E$3548,'working sheet'!$D$2:$D$3548,'Customer Portfolio'!A1263)</f>
        <v>71.52</v>
      </c>
      <c r="F1263" s="6">
        <f t="shared" si="38"/>
        <v>35.76</v>
      </c>
      <c r="G1263" t="str">
        <f t="array" ref="G1263">IFERROR(INDEX('working sheet'!$F$2:$F$3548, MODE(IF('working sheet'!$D$2:$D$3548=A1263, MATCH('working sheet'!$F$2:$F$3548, 'working sheet'!$F$2:$F$3548, 0)))),
         INDEX('working sheet'!$F$2:$F$3548, MATCH(A1263, 'working sheet'!$D$2:$D$3548, 0)))</f>
        <v>Cocoa</v>
      </c>
      <c r="H1263" s="7">
        <f t="shared" si="39"/>
        <v>2.9797641898112488</v>
      </c>
      <c r="I1263" s="7">
        <f>MAX('working sheet'!$B$2:$B$3548)-C1263</f>
        <v>16.312417175926385</v>
      </c>
      <c r="J1263" s="4" t="str">
        <f t="array" ref="J1263">IF(AND(I1263&lt;=30, D1263&gt;=10, E1263&gt;=200), "VIP",  IF(AND(I1263&lt;=60, D1263&gt;=5, E1263&gt;=100), "Loyal", IF(AND(I1263&lt;=90, D1263&gt;=3), "Regular", IF(I1263&lt;=30, "Recent", IF(D1263&gt;=3, "Occasional", "At Risk")))))</f>
        <v>Recent</v>
      </c>
      <c r="K1263" t="str">
        <f t="array" ref="K1263">IF(OR(J1263="VIP", J1263="Loyal"), "HIGH",IF(OR(J1263="Regular", J1263="Recent"), "MEDIUM","LOW"))</f>
        <v>MEDIUM</v>
      </c>
    </row>
    <row r="1264" spans="1:11">
      <c r="A1264" t="s">
        <v>1277</v>
      </c>
      <c r="B1264" s="14">
        <f>_xlfn.MINIFS('working sheet'!$B$2:$B$3548, 'working sheet'!$D$2:$D$3548, A1264)</f>
        <v>45721.71971701389</v>
      </c>
      <c r="C1264" s="17">
        <f>_xlfn.MAXIFS('working sheet'!$B$1:$B$3548,'working sheet'!$D$1:$D$3548,'Customer Portfolio'!A1264)</f>
        <v>45721.71971701389</v>
      </c>
      <c r="D1264">
        <f>COUNTIFS('working sheet'!$D$1:$D$3548,'Customer Portfolio'!A1264)</f>
        <v>1</v>
      </c>
      <c r="E1264" s="5">
        <f>SUMIFS('working sheet'!$E$2:$E$3548,'working sheet'!$D$2:$D$3548,'Customer Portfolio'!A1264)</f>
        <v>21.06</v>
      </c>
      <c r="F1264" s="6">
        <f t="shared" si="38"/>
        <v>21.06</v>
      </c>
      <c r="G1264" t="str">
        <f t="array" ref="G1264">IFERROR(INDEX('working sheet'!$F$2:$F$3548, MODE(IF('working sheet'!$D$2:$D$3548=A1264, MATCH('working sheet'!$F$2:$F$3548, 'working sheet'!$F$2:$F$3548, 0)))),
         INDEX('working sheet'!$F$2:$F$3548, MATCH(A1264, 'working sheet'!$D$2:$D$3548, 0)))</f>
        <v>Espresso</v>
      </c>
      <c r="H1264" s="7">
        <f t="shared" si="39"/>
        <v>1</v>
      </c>
      <c r="I1264" s="7">
        <f>MAX('working sheet'!$B$2:$B$3548)-C1264</f>
        <v>18.038369039350073</v>
      </c>
      <c r="J1264" s="4" t="str">
        <f t="array" ref="J1264">IF(AND(I1264&lt;=30, D1264&gt;=10, E1264&gt;=200), "VIP",  IF(AND(I1264&lt;=60, D1264&gt;=5, E1264&gt;=100), "Loyal", IF(AND(I1264&lt;=90, D1264&gt;=3), "Regular", IF(I1264&lt;=30, "Recent", IF(D1264&gt;=3, "Occasional", "At Risk")))))</f>
        <v>Recent</v>
      </c>
      <c r="K1264" t="str">
        <f t="array" ref="K1264">IF(OR(J1264="VIP", J1264="Loyal"), "HIGH",IF(OR(J1264="Regular", J1264="Recent"), "MEDIUM","LOW"))</f>
        <v>MEDIUM</v>
      </c>
    </row>
    <row r="1265" spans="1:11">
      <c r="A1265" t="s">
        <v>1278</v>
      </c>
      <c r="B1265" s="14">
        <f>_xlfn.MINIFS('working sheet'!$B$2:$B$3548, 'working sheet'!$D$2:$D$3548, A1265)</f>
        <v>45721.793713171297</v>
      </c>
      <c r="C1265" s="17">
        <f>_xlfn.MAXIFS('working sheet'!$B$1:$B$3548,'working sheet'!$D$1:$D$3548,'Customer Portfolio'!A1265)</f>
        <v>45728.762012083331</v>
      </c>
      <c r="D1265">
        <f>COUNTIFS('working sheet'!$D$1:$D$3548,'Customer Portfolio'!A1265)</f>
        <v>2</v>
      </c>
      <c r="E1265" s="5">
        <f>SUMIFS('working sheet'!$E$2:$E$3548,'working sheet'!$D$2:$D$3548,'Customer Portfolio'!A1265)</f>
        <v>71.52</v>
      </c>
      <c r="F1265" s="6">
        <f t="shared" si="38"/>
        <v>35.76</v>
      </c>
      <c r="G1265" t="str">
        <f t="array" ref="G1265">IFERROR(INDEX('working sheet'!$F$2:$F$3548, MODE(IF('working sheet'!$D$2:$D$3548=A1265, MATCH('working sheet'!$F$2:$F$3548, 'working sheet'!$F$2:$F$3548, 0)))),
         INDEX('working sheet'!$F$2:$F$3548, MATCH(A1265, 'working sheet'!$D$2:$D$3548, 0)))</f>
        <v>Cocoa</v>
      </c>
      <c r="H1265" s="7">
        <f t="shared" si="39"/>
        <v>7.9682989120337879</v>
      </c>
      <c r="I1265" s="7">
        <f>MAX('working sheet'!$B$2:$B$3548)-C1265</f>
        <v>10.996073969909048</v>
      </c>
      <c r="J1265" s="4" t="str">
        <f t="array" ref="J1265">IF(AND(I1265&lt;=30, D1265&gt;=10, E1265&gt;=200), "VIP",  IF(AND(I1265&lt;=60, D1265&gt;=5, E1265&gt;=100), "Loyal", IF(AND(I1265&lt;=90, D1265&gt;=3), "Regular", IF(I1265&lt;=30, "Recent", IF(D1265&gt;=3, "Occasional", "At Risk")))))</f>
        <v>Recent</v>
      </c>
      <c r="K1265" t="str">
        <f t="array" ref="K1265">IF(OR(J1265="VIP", J1265="Loyal"), "HIGH",IF(OR(J1265="Regular", J1265="Recent"), "MEDIUM","LOW"))</f>
        <v>MEDIUM</v>
      </c>
    </row>
    <row r="1266" spans="1:11">
      <c r="A1266" t="s">
        <v>1279</v>
      </c>
      <c r="B1266" s="14">
        <f>_xlfn.MINIFS('working sheet'!$B$2:$B$3548, 'working sheet'!$D$2:$D$3548, A1266)</f>
        <v>45722.470578912034</v>
      </c>
      <c r="C1266" s="17">
        <f>_xlfn.MAXIFS('working sheet'!$B$1:$B$3548,'working sheet'!$D$1:$D$3548,'Customer Portfolio'!A1266)</f>
        <v>45722.470578912034</v>
      </c>
      <c r="D1266">
        <f>COUNTIFS('working sheet'!$D$1:$D$3548,'Customer Portfolio'!A1266)</f>
        <v>1</v>
      </c>
      <c r="E1266" s="5">
        <f>SUMIFS('working sheet'!$E$2:$E$3548,'working sheet'!$D$2:$D$3548,'Customer Portfolio'!A1266)</f>
        <v>35.76</v>
      </c>
      <c r="F1266" s="6">
        <f t="shared" si="38"/>
        <v>35.76</v>
      </c>
      <c r="G1266" t="str">
        <f t="array" ref="G1266">IFERROR(INDEX('working sheet'!$F$2:$F$3548, MODE(IF('working sheet'!$D$2:$D$3548=A1266, MATCH('working sheet'!$F$2:$F$3548, 'working sheet'!$F$2:$F$3548, 0)))),
         INDEX('working sheet'!$F$2:$F$3548, MATCH(A1266, 'working sheet'!$D$2:$D$3548, 0)))</f>
        <v>Cappuccino</v>
      </c>
      <c r="H1266" s="7">
        <f t="shared" si="39"/>
        <v>1</v>
      </c>
      <c r="I1266" s="7">
        <f>MAX('working sheet'!$B$2:$B$3548)-C1266</f>
        <v>17.287507141205424</v>
      </c>
      <c r="J1266" s="4" t="str">
        <f t="array" ref="J1266">IF(AND(I1266&lt;=30, D1266&gt;=10, E1266&gt;=200), "VIP",  IF(AND(I1266&lt;=60, D1266&gt;=5, E1266&gt;=100), "Loyal", IF(AND(I1266&lt;=90, D1266&gt;=3), "Regular", IF(I1266&lt;=30, "Recent", IF(D1266&gt;=3, "Occasional", "At Risk")))))</f>
        <v>Recent</v>
      </c>
      <c r="K1266" t="str">
        <f t="array" ref="K1266">IF(OR(J1266="VIP", J1266="Loyal"), "HIGH",IF(OR(J1266="Regular", J1266="Recent"), "MEDIUM","LOW"))</f>
        <v>MEDIUM</v>
      </c>
    </row>
    <row r="1267" spans="1:11">
      <c r="A1267" t="s">
        <v>1280</v>
      </c>
      <c r="B1267" s="14">
        <f>_xlfn.MINIFS('working sheet'!$B$2:$B$3548, 'working sheet'!$D$2:$D$3548, A1267)</f>
        <v>45723.435126597222</v>
      </c>
      <c r="C1267" s="17">
        <f>_xlfn.MAXIFS('working sheet'!$B$1:$B$3548,'working sheet'!$D$1:$D$3548,'Customer Portfolio'!A1267)</f>
        <v>45723.435793298609</v>
      </c>
      <c r="D1267">
        <f>COUNTIFS('working sheet'!$D$1:$D$3548,'Customer Portfolio'!A1267)</f>
        <v>2</v>
      </c>
      <c r="E1267" s="5">
        <f>SUMIFS('working sheet'!$E$2:$E$3548,'working sheet'!$D$2:$D$3548,'Customer Portfolio'!A1267)</f>
        <v>61.72</v>
      </c>
      <c r="F1267" s="6">
        <f t="shared" si="38"/>
        <v>30.86</v>
      </c>
      <c r="G1267" t="str">
        <f t="array" ref="G1267">IFERROR(INDEX('working sheet'!$F$2:$F$3548, MODE(IF('working sheet'!$D$2:$D$3548=A1267, MATCH('working sheet'!$F$2:$F$3548, 'working sheet'!$F$2:$F$3548, 0)))),
         INDEX('working sheet'!$F$2:$F$3548, MATCH(A1267, 'working sheet'!$D$2:$D$3548, 0)))</f>
        <v>Americano with Milk</v>
      </c>
      <c r="H1267" s="7">
        <f t="shared" si="39"/>
        <v>1.0006667013876722</v>
      </c>
      <c r="I1267" s="7">
        <f>MAX('working sheet'!$B$2:$B$3548)-C1267</f>
        <v>16.322292754630325</v>
      </c>
      <c r="J1267" s="4" t="str">
        <f t="array" ref="J1267">IF(AND(I1267&lt;=30, D1267&gt;=10, E1267&gt;=200), "VIP",  IF(AND(I1267&lt;=60, D1267&gt;=5, E1267&gt;=100), "Loyal", IF(AND(I1267&lt;=90, D1267&gt;=3), "Regular", IF(I1267&lt;=30, "Recent", IF(D1267&gt;=3, "Occasional", "At Risk")))))</f>
        <v>Recent</v>
      </c>
      <c r="K1267" t="str">
        <f t="array" ref="K1267">IF(OR(J1267="VIP", J1267="Loyal"), "HIGH",IF(OR(J1267="Regular", J1267="Recent"), "MEDIUM","LOW"))</f>
        <v>MEDIUM</v>
      </c>
    </row>
    <row r="1268" spans="1:11">
      <c r="A1268" t="s">
        <v>1281</v>
      </c>
      <c r="B1268" s="14">
        <f>_xlfn.MINIFS('working sheet'!$B$2:$B$3548, 'working sheet'!$D$2:$D$3548, A1268)</f>
        <v>45724.528701805553</v>
      </c>
      <c r="C1268" s="17">
        <f>_xlfn.MAXIFS('working sheet'!$B$1:$B$3548,'working sheet'!$D$1:$D$3548,'Customer Portfolio'!A1268)</f>
        <v>45738.55784627315</v>
      </c>
      <c r="D1268">
        <f>COUNTIFS('working sheet'!$D$1:$D$3548,'Customer Portfolio'!A1268)</f>
        <v>2</v>
      </c>
      <c r="E1268" s="5">
        <f>SUMIFS('working sheet'!$E$2:$E$3548,'working sheet'!$D$2:$D$3548,'Customer Portfolio'!A1268)</f>
        <v>61.72</v>
      </c>
      <c r="F1268" s="6">
        <f t="shared" si="38"/>
        <v>30.86</v>
      </c>
      <c r="G1268" t="str">
        <f t="array" ref="G1268">IFERROR(INDEX('working sheet'!$F$2:$F$3548, MODE(IF('working sheet'!$D$2:$D$3548=A1268, MATCH('working sheet'!$F$2:$F$3548, 'working sheet'!$F$2:$F$3548, 0)))),
         INDEX('working sheet'!$F$2:$F$3548, MATCH(A1268, 'working sheet'!$D$2:$D$3548, 0)))</f>
        <v>Americano with Milk</v>
      </c>
      <c r="H1268" s="7">
        <f t="shared" si="39"/>
        <v>15.02914446759678</v>
      </c>
      <c r="I1268" s="7">
        <f>MAX('working sheet'!$B$2:$B$3548)-C1268</f>
        <v>1.2002397800897597</v>
      </c>
      <c r="J1268" s="4" t="str">
        <f t="array" ref="J1268">IF(AND(I1268&lt;=30, D1268&gt;=10, E1268&gt;=200), "VIP",  IF(AND(I1268&lt;=60, D1268&gt;=5, E1268&gt;=100), "Loyal", IF(AND(I1268&lt;=90, D1268&gt;=3), "Regular", IF(I1268&lt;=30, "Recent", IF(D1268&gt;=3, "Occasional", "At Risk")))))</f>
        <v>Recent</v>
      </c>
      <c r="K1268" t="str">
        <f t="array" ref="K1268">IF(OR(J1268="VIP", J1268="Loyal"), "HIGH",IF(OR(J1268="Regular", J1268="Recent"), "MEDIUM","LOW"))</f>
        <v>MEDIUM</v>
      </c>
    </row>
    <row r="1269" spans="1:11">
      <c r="A1269" t="s">
        <v>1282</v>
      </c>
      <c r="B1269" s="14">
        <f>_xlfn.MINIFS('working sheet'!$B$2:$B$3548, 'working sheet'!$D$2:$D$3548, A1269)</f>
        <v>45725.404211608795</v>
      </c>
      <c r="C1269" s="17">
        <f>_xlfn.MAXIFS('working sheet'!$B$1:$B$3548,'working sheet'!$D$1:$D$3548,'Customer Portfolio'!A1269)</f>
        <v>45725.404211608795</v>
      </c>
      <c r="D1269">
        <f>COUNTIFS('working sheet'!$D$1:$D$3548,'Customer Portfolio'!A1269)</f>
        <v>1</v>
      </c>
      <c r="E1269" s="5">
        <f>SUMIFS('working sheet'!$E$2:$E$3548,'working sheet'!$D$2:$D$3548,'Customer Portfolio'!A1269)</f>
        <v>21.06</v>
      </c>
      <c r="F1269" s="6">
        <f t="shared" si="38"/>
        <v>21.06</v>
      </c>
      <c r="G1269" t="str">
        <f t="array" ref="G1269">IFERROR(INDEX('working sheet'!$F$2:$F$3548, MODE(IF('working sheet'!$D$2:$D$3548=A1269, MATCH('working sheet'!$F$2:$F$3548, 'working sheet'!$F$2:$F$3548, 0)))),
         INDEX('working sheet'!$F$2:$F$3548, MATCH(A1269, 'working sheet'!$D$2:$D$3548, 0)))</f>
        <v>Espresso</v>
      </c>
      <c r="H1269" s="7">
        <f t="shared" si="39"/>
        <v>1</v>
      </c>
      <c r="I1269" s="7">
        <f>MAX('working sheet'!$B$2:$B$3548)-C1269</f>
        <v>14.353874444444955</v>
      </c>
      <c r="J1269" s="4" t="str">
        <f t="array" ref="J1269">IF(AND(I1269&lt;=30, D1269&gt;=10, E1269&gt;=200), "VIP",  IF(AND(I1269&lt;=60, D1269&gt;=5, E1269&gt;=100), "Loyal", IF(AND(I1269&lt;=90, D1269&gt;=3), "Regular", IF(I1269&lt;=30, "Recent", IF(D1269&gt;=3, "Occasional", "At Risk")))))</f>
        <v>Recent</v>
      </c>
      <c r="K1269" t="str">
        <f t="array" ref="K1269">IF(OR(J1269="VIP", J1269="Loyal"), "HIGH",IF(OR(J1269="Regular", J1269="Recent"), "MEDIUM","LOW"))</f>
        <v>MEDIUM</v>
      </c>
    </row>
    <row r="1270" spans="1:11">
      <c r="A1270" t="s">
        <v>1283</v>
      </c>
      <c r="B1270" s="14">
        <f>_xlfn.MINIFS('working sheet'!$B$2:$B$3548, 'working sheet'!$D$2:$D$3548, A1270)</f>
        <v>45725.476309999998</v>
      </c>
      <c r="C1270" s="17">
        <f>_xlfn.MAXIFS('working sheet'!$B$1:$B$3548,'working sheet'!$D$1:$D$3548,'Customer Portfolio'!A1270)</f>
        <v>45725.476309999998</v>
      </c>
      <c r="D1270">
        <f>COUNTIFS('working sheet'!$D$1:$D$3548,'Customer Portfolio'!A1270)</f>
        <v>1</v>
      </c>
      <c r="E1270" s="5">
        <f>SUMIFS('working sheet'!$E$2:$E$3548,'working sheet'!$D$2:$D$3548,'Customer Portfolio'!A1270)</f>
        <v>30.86</v>
      </c>
      <c r="F1270" s="6">
        <f t="shared" si="38"/>
        <v>30.86</v>
      </c>
      <c r="G1270" t="str">
        <f t="array" ref="G1270">IFERROR(INDEX('working sheet'!$F$2:$F$3548, MODE(IF('working sheet'!$D$2:$D$3548=A1270, MATCH('working sheet'!$F$2:$F$3548, 'working sheet'!$F$2:$F$3548, 0)))),
         INDEX('working sheet'!$F$2:$F$3548, MATCH(A1270, 'working sheet'!$D$2:$D$3548, 0)))</f>
        <v>Americano with Milk</v>
      </c>
      <c r="H1270" s="7">
        <f t="shared" si="39"/>
        <v>1</v>
      </c>
      <c r="I1270" s="7">
        <f>MAX('working sheet'!$B$2:$B$3548)-C1270</f>
        <v>14.281776053241629</v>
      </c>
      <c r="J1270" s="4" t="str">
        <f t="array" ref="J1270">IF(AND(I1270&lt;=30, D1270&gt;=10, E1270&gt;=200), "VIP",  IF(AND(I1270&lt;=60, D1270&gt;=5, E1270&gt;=100), "Loyal", IF(AND(I1270&lt;=90, D1270&gt;=3), "Regular", IF(I1270&lt;=30, "Recent", IF(D1270&gt;=3, "Occasional", "At Risk")))))</f>
        <v>Recent</v>
      </c>
      <c r="K1270" t="str">
        <f t="array" ref="K1270">IF(OR(J1270="VIP", J1270="Loyal"), "HIGH",IF(OR(J1270="Regular", J1270="Recent"), "MEDIUM","LOW"))</f>
        <v>MEDIUM</v>
      </c>
    </row>
    <row r="1271" spans="1:11">
      <c r="A1271" t="s">
        <v>1284</v>
      </c>
      <c r="B1271" s="14">
        <f>_xlfn.MINIFS('working sheet'!$B$2:$B$3548, 'working sheet'!$D$2:$D$3548, A1271)</f>
        <v>45725.662273078706</v>
      </c>
      <c r="C1271" s="17">
        <f>_xlfn.MAXIFS('working sheet'!$B$1:$B$3548,'working sheet'!$D$1:$D$3548,'Customer Portfolio'!A1271)</f>
        <v>45725.662273078706</v>
      </c>
      <c r="D1271">
        <f>COUNTIFS('working sheet'!$D$1:$D$3548,'Customer Portfolio'!A1271)</f>
        <v>1</v>
      </c>
      <c r="E1271" s="5">
        <f>SUMIFS('working sheet'!$E$2:$E$3548,'working sheet'!$D$2:$D$3548,'Customer Portfolio'!A1271)</f>
        <v>35.76</v>
      </c>
      <c r="F1271" s="6">
        <f t="shared" si="38"/>
        <v>35.76</v>
      </c>
      <c r="G1271" t="str">
        <f t="array" ref="G1271">IFERROR(INDEX('working sheet'!$F$2:$F$3548, MODE(IF('working sheet'!$D$2:$D$3548=A1271, MATCH('working sheet'!$F$2:$F$3548, 'working sheet'!$F$2:$F$3548, 0)))),
         INDEX('working sheet'!$F$2:$F$3548, MATCH(A1271, 'working sheet'!$D$2:$D$3548, 0)))</f>
        <v>Cocoa</v>
      </c>
      <c r="H1271" s="7">
        <f t="shared" si="39"/>
        <v>1</v>
      </c>
      <c r="I1271" s="7">
        <f>MAX('working sheet'!$B$2:$B$3548)-C1271</f>
        <v>14.095812974534056</v>
      </c>
      <c r="J1271" s="4" t="str">
        <f t="array" ref="J1271">IF(AND(I1271&lt;=30, D1271&gt;=10, E1271&gt;=200), "VIP",  IF(AND(I1271&lt;=60, D1271&gt;=5, E1271&gt;=100), "Loyal", IF(AND(I1271&lt;=90, D1271&gt;=3), "Regular", IF(I1271&lt;=30, "Recent", IF(D1271&gt;=3, "Occasional", "At Risk")))))</f>
        <v>Recent</v>
      </c>
      <c r="K1271" t="str">
        <f t="array" ref="K1271">IF(OR(J1271="VIP", J1271="Loyal"), "HIGH",IF(OR(J1271="Regular", J1271="Recent"), "MEDIUM","LOW"))</f>
        <v>MEDIUM</v>
      </c>
    </row>
    <row r="1272" spans="1:11">
      <c r="A1272" t="s">
        <v>1285</v>
      </c>
      <c r="B1272" s="14">
        <f>_xlfn.MINIFS('working sheet'!$B$2:$B$3548, 'working sheet'!$D$2:$D$3548, A1272)</f>
        <v>45726.357447719907</v>
      </c>
      <c r="C1272" s="17">
        <f>_xlfn.MAXIFS('working sheet'!$B$1:$B$3548,'working sheet'!$D$1:$D$3548,'Customer Portfolio'!A1272)</f>
        <v>45730.374616064815</v>
      </c>
      <c r="D1272">
        <f>COUNTIFS('working sheet'!$D$1:$D$3548,'Customer Portfolio'!A1272)</f>
        <v>3</v>
      </c>
      <c r="E1272" s="5">
        <f>SUMIFS('working sheet'!$E$2:$E$3548,'working sheet'!$D$2:$D$3548,'Customer Portfolio'!A1272)</f>
        <v>87.68</v>
      </c>
      <c r="F1272" s="6">
        <f t="shared" si="38"/>
        <v>29.22666666666667</v>
      </c>
      <c r="G1272" t="str">
        <f t="array" ref="G1272">IFERROR(INDEX('working sheet'!$F$2:$F$3548, MODE(IF('working sheet'!$D$2:$D$3548=A1272, MATCH('working sheet'!$F$2:$F$3548, 'working sheet'!$F$2:$F$3548, 0)))),
         INDEX('working sheet'!$F$2:$F$3548, MATCH(A1272, 'working sheet'!$D$2:$D$3548, 0)))</f>
        <v>Americano</v>
      </c>
      <c r="H1272" s="7">
        <f t="shared" si="39"/>
        <v>5.0171683449079865</v>
      </c>
      <c r="I1272" s="7">
        <f>MAX('working sheet'!$B$2:$B$3548)-C1272</f>
        <v>9.383469988424622</v>
      </c>
      <c r="J1272" s="4" t="str">
        <f t="array" ref="J1272">IF(AND(I1272&lt;=30, D1272&gt;=10, E1272&gt;=200), "VIP",  IF(AND(I1272&lt;=60, D1272&gt;=5, E1272&gt;=100), "Loyal", IF(AND(I1272&lt;=90, D1272&gt;=3), "Regular", IF(I1272&lt;=30, "Recent", IF(D1272&gt;=3, "Occasional", "At Risk")))))</f>
        <v>Regular</v>
      </c>
      <c r="K1272" t="str">
        <f t="array" ref="K1272">IF(OR(J1272="VIP", J1272="Loyal"), "HIGH",IF(OR(J1272="Regular", J1272="Recent"), "MEDIUM","LOW"))</f>
        <v>MEDIUM</v>
      </c>
    </row>
    <row r="1273" spans="1:11">
      <c r="A1273" t="s">
        <v>1286</v>
      </c>
      <c r="B1273" s="14">
        <f>_xlfn.MINIFS('working sheet'!$B$2:$B$3548, 'working sheet'!$D$2:$D$3548, A1273)</f>
        <v>45726.410348645833</v>
      </c>
      <c r="C1273" s="17">
        <f>_xlfn.MAXIFS('working sheet'!$B$1:$B$3548,'working sheet'!$D$1:$D$3548,'Customer Portfolio'!A1273)</f>
        <v>45726.410348645833</v>
      </c>
      <c r="D1273">
        <f>COUNTIFS('working sheet'!$D$1:$D$3548,'Customer Portfolio'!A1273)</f>
        <v>1</v>
      </c>
      <c r="E1273" s="5">
        <f>SUMIFS('working sheet'!$E$2:$E$3548,'working sheet'!$D$2:$D$3548,'Customer Portfolio'!A1273)</f>
        <v>35.76</v>
      </c>
      <c r="F1273" s="6">
        <f t="shared" si="38"/>
        <v>35.76</v>
      </c>
      <c r="G1273" t="str">
        <f t="array" ref="G1273">IFERROR(INDEX('working sheet'!$F$2:$F$3548, MODE(IF('working sheet'!$D$2:$D$3548=A1273, MATCH('working sheet'!$F$2:$F$3548, 'working sheet'!$F$2:$F$3548, 0)))),
         INDEX('working sheet'!$F$2:$F$3548, MATCH(A1273, 'working sheet'!$D$2:$D$3548, 0)))</f>
        <v>Cocoa</v>
      </c>
      <c r="H1273" s="7">
        <f t="shared" si="39"/>
        <v>1</v>
      </c>
      <c r="I1273" s="7">
        <f>MAX('working sheet'!$B$2:$B$3548)-C1273</f>
        <v>13.347737407406385</v>
      </c>
      <c r="J1273" s="4" t="str">
        <f t="array" ref="J1273">IF(AND(I1273&lt;=30, D1273&gt;=10, E1273&gt;=200), "VIP",  IF(AND(I1273&lt;=60, D1273&gt;=5, E1273&gt;=100), "Loyal", IF(AND(I1273&lt;=90, D1273&gt;=3), "Regular", IF(I1273&lt;=30, "Recent", IF(D1273&gt;=3, "Occasional", "At Risk")))))</f>
        <v>Recent</v>
      </c>
      <c r="K1273" t="str">
        <f t="array" ref="K1273">IF(OR(J1273="VIP", J1273="Loyal"), "HIGH",IF(OR(J1273="Regular", J1273="Recent"), "MEDIUM","LOW"))</f>
        <v>MEDIUM</v>
      </c>
    </row>
    <row r="1274" spans="1:11">
      <c r="A1274" t="s">
        <v>1287</v>
      </c>
      <c r="B1274" s="14">
        <f>_xlfn.MINIFS('working sheet'!$B$2:$B$3548, 'working sheet'!$D$2:$D$3548, A1274)</f>
        <v>45726.429827083331</v>
      </c>
      <c r="C1274" s="17">
        <f>_xlfn.MAXIFS('working sheet'!$B$1:$B$3548,'working sheet'!$D$1:$D$3548,'Customer Portfolio'!A1274)</f>
        <v>45726.429827083331</v>
      </c>
      <c r="D1274">
        <f>COUNTIFS('working sheet'!$D$1:$D$3548,'Customer Portfolio'!A1274)</f>
        <v>1</v>
      </c>
      <c r="E1274" s="5">
        <f>SUMIFS('working sheet'!$E$2:$E$3548,'working sheet'!$D$2:$D$3548,'Customer Portfolio'!A1274)</f>
        <v>35.76</v>
      </c>
      <c r="F1274" s="6">
        <f t="shared" si="38"/>
        <v>35.76</v>
      </c>
      <c r="G1274" t="str">
        <f t="array" ref="G1274">IFERROR(INDEX('working sheet'!$F$2:$F$3548, MODE(IF('working sheet'!$D$2:$D$3548=A1274, MATCH('working sheet'!$F$2:$F$3548, 'working sheet'!$F$2:$F$3548, 0)))),
         INDEX('working sheet'!$F$2:$F$3548, MATCH(A1274, 'working sheet'!$D$2:$D$3548, 0)))</f>
        <v>Hot Chocolate</v>
      </c>
      <c r="H1274" s="7">
        <f t="shared" si="39"/>
        <v>1</v>
      </c>
      <c r="I1274" s="7">
        <f>MAX('working sheet'!$B$2:$B$3548)-C1274</f>
        <v>13.328258969908347</v>
      </c>
      <c r="J1274" s="4" t="str">
        <f t="array" ref="J1274">IF(AND(I1274&lt;=30, D1274&gt;=10, E1274&gt;=200), "VIP",  IF(AND(I1274&lt;=60, D1274&gt;=5, E1274&gt;=100), "Loyal", IF(AND(I1274&lt;=90, D1274&gt;=3), "Regular", IF(I1274&lt;=30, "Recent", IF(D1274&gt;=3, "Occasional", "At Risk")))))</f>
        <v>Recent</v>
      </c>
      <c r="K1274" t="str">
        <f t="array" ref="K1274">IF(OR(J1274="VIP", J1274="Loyal"), "HIGH",IF(OR(J1274="Regular", J1274="Recent"), "MEDIUM","LOW"))</f>
        <v>MEDIUM</v>
      </c>
    </row>
    <row r="1275" spans="1:11">
      <c r="A1275" t="s">
        <v>1288</v>
      </c>
      <c r="B1275" s="14">
        <f>_xlfn.MINIFS('working sheet'!$B$2:$B$3548, 'working sheet'!$D$2:$D$3548, A1275)</f>
        <v>45726.683627766201</v>
      </c>
      <c r="C1275" s="17">
        <f>_xlfn.MAXIFS('working sheet'!$B$1:$B$3548,'working sheet'!$D$1:$D$3548,'Customer Portfolio'!A1275)</f>
        <v>45738.745554884263</v>
      </c>
      <c r="D1275">
        <f>COUNTIFS('working sheet'!$D$1:$D$3548,'Customer Portfolio'!A1275)</f>
        <v>5</v>
      </c>
      <c r="E1275" s="5">
        <f>SUMIFS('working sheet'!$E$2:$E$3548,'working sheet'!$D$2:$D$3548,'Customer Portfolio'!A1275)</f>
        <v>164.10000000000002</v>
      </c>
      <c r="F1275" s="6">
        <f t="shared" si="38"/>
        <v>32.820000000000007</v>
      </c>
      <c r="G1275" t="str">
        <f t="array" ref="G1275">IFERROR(INDEX('working sheet'!$F$2:$F$3548, MODE(IF('working sheet'!$D$2:$D$3548=A1275, MATCH('working sheet'!$F$2:$F$3548, 'working sheet'!$F$2:$F$3548, 0)))),
         INDEX('working sheet'!$F$2:$F$3548, MATCH(A1275, 'working sheet'!$D$2:$D$3548, 0)))</f>
        <v>Americano with Milk</v>
      </c>
      <c r="H1275" s="7">
        <f t="shared" si="39"/>
        <v>13.061927118062158</v>
      </c>
      <c r="I1275" s="7">
        <f>MAX('working sheet'!$B$2:$B$3548)-C1275</f>
        <v>1.0125311689771479</v>
      </c>
      <c r="J1275" s="4" t="str">
        <f t="array" ref="J1275">IF(AND(I1275&lt;=30, D1275&gt;=10, E1275&gt;=200), "VIP",  IF(AND(I1275&lt;=60, D1275&gt;=5, E1275&gt;=100), "Loyal", IF(AND(I1275&lt;=90, D1275&gt;=3), "Regular", IF(I1275&lt;=30, "Recent", IF(D1275&gt;=3, "Occasional", "At Risk")))))</f>
        <v>Loyal</v>
      </c>
      <c r="K1275" t="str">
        <f t="array" ref="K1275">IF(OR(J1275="VIP", J1275="Loyal"), "HIGH",IF(OR(J1275="Regular", J1275="Recent"), "MEDIUM","LOW"))</f>
        <v>HIGH</v>
      </c>
    </row>
    <row r="1276" spans="1:11">
      <c r="A1276" t="s">
        <v>1289</v>
      </c>
      <c r="B1276" s="14">
        <f>_xlfn.MINIFS('working sheet'!$B$2:$B$3548, 'working sheet'!$D$2:$D$3548, A1276)</f>
        <v>45727.39380096065</v>
      </c>
      <c r="C1276" s="17">
        <f>_xlfn.MAXIFS('working sheet'!$B$1:$B$3548,'working sheet'!$D$1:$D$3548,'Customer Portfolio'!A1276)</f>
        <v>45739.75808605324</v>
      </c>
      <c r="D1276">
        <f>COUNTIFS('working sheet'!$D$1:$D$3548,'Customer Portfolio'!A1276)</f>
        <v>4</v>
      </c>
      <c r="E1276" s="5">
        <f>SUMIFS('working sheet'!$E$2:$E$3548,'working sheet'!$D$2:$D$3548,'Customer Portfolio'!A1276)</f>
        <v>143.04</v>
      </c>
      <c r="F1276" s="6">
        <f t="shared" si="38"/>
        <v>35.76</v>
      </c>
      <c r="G1276" t="str">
        <f t="array" ref="G1276">IFERROR(INDEX('working sheet'!$F$2:$F$3548, MODE(IF('working sheet'!$D$2:$D$3548=A1276, MATCH('working sheet'!$F$2:$F$3548, 'working sheet'!$F$2:$F$3548, 0)))),
         INDEX('working sheet'!$F$2:$F$3548, MATCH(A1276, 'working sheet'!$D$2:$D$3548, 0)))</f>
        <v>Latte</v>
      </c>
      <c r="H1276" s="7">
        <f t="shared" si="39"/>
        <v>13.364285092589853</v>
      </c>
      <c r="I1276" s="7">
        <f>MAX('working sheet'!$B$2:$B$3548)-C1276</f>
        <v>0</v>
      </c>
      <c r="J1276" s="4" t="str">
        <f t="array" ref="J1276">IF(AND(I1276&lt;=30, D1276&gt;=10, E1276&gt;=200), "VIP",  IF(AND(I1276&lt;=60, D1276&gt;=5, E1276&gt;=100), "Loyal", IF(AND(I1276&lt;=90, D1276&gt;=3), "Regular", IF(I1276&lt;=30, "Recent", IF(D1276&gt;=3, "Occasional", "At Risk")))))</f>
        <v>Regular</v>
      </c>
      <c r="K1276" t="str">
        <f t="array" ref="K1276">IF(OR(J1276="VIP", J1276="Loyal"), "HIGH",IF(OR(J1276="Regular", J1276="Recent"), "MEDIUM","LOW"))</f>
        <v>MEDIUM</v>
      </c>
    </row>
    <row r="1277" spans="1:11">
      <c r="A1277" t="s">
        <v>1290</v>
      </c>
      <c r="B1277" s="14">
        <f>_xlfn.MINIFS('working sheet'!$B$2:$B$3548, 'working sheet'!$D$2:$D$3548, A1277)</f>
        <v>45727.687165069445</v>
      </c>
      <c r="C1277" s="17">
        <f>_xlfn.MAXIFS('working sheet'!$B$1:$B$3548,'working sheet'!$D$1:$D$3548,'Customer Portfolio'!A1277)</f>
        <v>45736.640183124997</v>
      </c>
      <c r="D1277">
        <f>COUNTIFS('working sheet'!$D$1:$D$3548,'Customer Portfolio'!A1277)</f>
        <v>8</v>
      </c>
      <c r="E1277" s="5">
        <f>SUMIFS('working sheet'!$E$2:$E$3548,'working sheet'!$D$2:$D$3548,'Customer Portfolio'!A1277)</f>
        <v>276.27999999999997</v>
      </c>
      <c r="F1277" s="6">
        <f t="shared" si="38"/>
        <v>34.534999999999997</v>
      </c>
      <c r="G1277" t="str">
        <f t="array" ref="G1277">IFERROR(INDEX('working sheet'!$F$2:$F$3548, MODE(IF('working sheet'!$D$2:$D$3548=A1277, MATCH('working sheet'!$F$2:$F$3548, 'working sheet'!$F$2:$F$3548, 0)))),
         INDEX('working sheet'!$F$2:$F$3548, MATCH(A1277, 'working sheet'!$D$2:$D$3548, 0)))</f>
        <v>Cocoa</v>
      </c>
      <c r="H1277" s="7">
        <f t="shared" si="39"/>
        <v>9.9530180555520928</v>
      </c>
      <c r="I1277" s="7">
        <f>MAX('working sheet'!$B$2:$B$3548)-C1277</f>
        <v>3.1179029282429838</v>
      </c>
      <c r="J1277" s="4" t="str">
        <f t="array" ref="J1277">IF(AND(I1277&lt;=30, D1277&gt;=10, E1277&gt;=200), "VIP",  IF(AND(I1277&lt;=60, D1277&gt;=5, E1277&gt;=100), "Loyal", IF(AND(I1277&lt;=90, D1277&gt;=3), "Regular", IF(I1277&lt;=30, "Recent", IF(D1277&gt;=3, "Occasional", "At Risk")))))</f>
        <v>Loyal</v>
      </c>
      <c r="K1277" t="str">
        <f t="array" ref="K1277">IF(OR(J1277="VIP", J1277="Loyal"), "HIGH",IF(OR(J1277="Regular", J1277="Recent"), "MEDIUM","LOW"))</f>
        <v>HIGH</v>
      </c>
    </row>
    <row r="1278" spans="1:11">
      <c r="A1278" t="s">
        <v>1291</v>
      </c>
      <c r="B1278" s="14">
        <f>_xlfn.MINIFS('working sheet'!$B$2:$B$3548, 'working sheet'!$D$2:$D$3548, A1278)</f>
        <v>45728.46642877315</v>
      </c>
      <c r="C1278" s="17">
        <f>_xlfn.MAXIFS('working sheet'!$B$1:$B$3548,'working sheet'!$D$1:$D$3548,'Customer Portfolio'!A1278)</f>
        <v>45728.46642877315</v>
      </c>
      <c r="D1278">
        <f>COUNTIFS('working sheet'!$D$1:$D$3548,'Customer Portfolio'!A1278)</f>
        <v>1</v>
      </c>
      <c r="E1278" s="5">
        <f>SUMIFS('working sheet'!$E$2:$E$3548,'working sheet'!$D$2:$D$3548,'Customer Portfolio'!A1278)</f>
        <v>35.76</v>
      </c>
      <c r="F1278" s="6">
        <f t="shared" si="38"/>
        <v>35.76</v>
      </c>
      <c r="G1278" t="str">
        <f t="array" ref="G1278">IFERROR(INDEX('working sheet'!$F$2:$F$3548, MODE(IF('working sheet'!$D$2:$D$3548=A1278, MATCH('working sheet'!$F$2:$F$3548, 'working sheet'!$F$2:$F$3548, 0)))),
         INDEX('working sheet'!$F$2:$F$3548, MATCH(A1278, 'working sheet'!$D$2:$D$3548, 0)))</f>
        <v>Cocoa</v>
      </c>
      <c r="H1278" s="7">
        <f t="shared" si="39"/>
        <v>1</v>
      </c>
      <c r="I1278" s="7">
        <f>MAX('working sheet'!$B$2:$B$3548)-C1278</f>
        <v>11.291657280089566</v>
      </c>
      <c r="J1278" s="4" t="str">
        <f t="array" ref="J1278">IF(AND(I1278&lt;=30, D1278&gt;=10, E1278&gt;=200), "VIP",  IF(AND(I1278&lt;=60, D1278&gt;=5, E1278&gt;=100), "Loyal", IF(AND(I1278&lt;=90, D1278&gt;=3), "Regular", IF(I1278&lt;=30, "Recent", IF(D1278&gt;=3, "Occasional", "At Risk")))))</f>
        <v>Recent</v>
      </c>
      <c r="K1278" t="str">
        <f t="array" ref="K1278">IF(OR(J1278="VIP", J1278="Loyal"), "HIGH",IF(OR(J1278="Regular", J1278="Recent"), "MEDIUM","LOW"))</f>
        <v>MEDIUM</v>
      </c>
    </row>
    <row r="1279" spans="1:11">
      <c r="A1279" t="s">
        <v>1292</v>
      </c>
      <c r="B1279" s="14">
        <f>_xlfn.MINIFS('working sheet'!$B$2:$B$3548, 'working sheet'!$D$2:$D$3548, A1279)</f>
        <v>45728.504294652776</v>
      </c>
      <c r="C1279" s="17">
        <f>_xlfn.MAXIFS('working sheet'!$B$1:$B$3548,'working sheet'!$D$1:$D$3548,'Customer Portfolio'!A1279)</f>
        <v>45728.504294652776</v>
      </c>
      <c r="D1279">
        <f>COUNTIFS('working sheet'!$D$1:$D$3548,'Customer Portfolio'!A1279)</f>
        <v>1</v>
      </c>
      <c r="E1279" s="5">
        <f>SUMIFS('working sheet'!$E$2:$E$3548,'working sheet'!$D$2:$D$3548,'Customer Portfolio'!A1279)</f>
        <v>25.96</v>
      </c>
      <c r="F1279" s="6">
        <f t="shared" si="38"/>
        <v>25.96</v>
      </c>
      <c r="G1279" t="str">
        <f t="array" ref="G1279">IFERROR(INDEX('working sheet'!$F$2:$F$3548, MODE(IF('working sheet'!$D$2:$D$3548=A1279, MATCH('working sheet'!$F$2:$F$3548, 'working sheet'!$F$2:$F$3548, 0)))),
         INDEX('working sheet'!$F$2:$F$3548, MATCH(A1279, 'working sheet'!$D$2:$D$3548, 0)))</f>
        <v>Americano</v>
      </c>
      <c r="H1279" s="7">
        <f t="shared" si="39"/>
        <v>1</v>
      </c>
      <c r="I1279" s="7">
        <f>MAX('working sheet'!$B$2:$B$3548)-C1279</f>
        <v>11.253791400464252</v>
      </c>
      <c r="J1279" s="4" t="str">
        <f t="array" ref="J1279">IF(AND(I1279&lt;=30, D1279&gt;=10, E1279&gt;=200), "VIP",  IF(AND(I1279&lt;=60, D1279&gt;=5, E1279&gt;=100), "Loyal", IF(AND(I1279&lt;=90, D1279&gt;=3), "Regular", IF(I1279&lt;=30, "Recent", IF(D1279&gt;=3, "Occasional", "At Risk")))))</f>
        <v>Recent</v>
      </c>
      <c r="K1279" t="str">
        <f t="array" ref="K1279">IF(OR(J1279="VIP", J1279="Loyal"), "HIGH",IF(OR(J1279="Regular", J1279="Recent"), "MEDIUM","LOW"))</f>
        <v>MEDIUM</v>
      </c>
    </row>
    <row r="1280" spans="1:11">
      <c r="A1280" t="s">
        <v>1293</v>
      </c>
      <c r="B1280" s="14">
        <f>_xlfn.MINIFS('working sheet'!$B$2:$B$3548, 'working sheet'!$D$2:$D$3548, A1280)</f>
        <v>45728.538639027778</v>
      </c>
      <c r="C1280" s="17">
        <f>_xlfn.MAXIFS('working sheet'!$B$1:$B$3548,'working sheet'!$D$1:$D$3548,'Customer Portfolio'!A1280)</f>
        <v>45738.487043738423</v>
      </c>
      <c r="D1280">
        <f>COUNTIFS('working sheet'!$D$1:$D$3548,'Customer Portfolio'!A1280)</f>
        <v>2</v>
      </c>
      <c r="E1280" s="5">
        <f>SUMIFS('working sheet'!$E$2:$E$3548,'working sheet'!$D$2:$D$3548,'Customer Portfolio'!A1280)</f>
        <v>71.52</v>
      </c>
      <c r="F1280" s="6">
        <f t="shared" si="38"/>
        <v>35.76</v>
      </c>
      <c r="G1280" t="str">
        <f t="array" ref="G1280">IFERROR(INDEX('working sheet'!$F$2:$F$3548, MODE(IF('working sheet'!$D$2:$D$3548=A1280, MATCH('working sheet'!$F$2:$F$3548, 'working sheet'!$F$2:$F$3548, 0)))),
         INDEX('working sheet'!$F$2:$F$3548, MATCH(A1280, 'working sheet'!$D$2:$D$3548, 0)))</f>
        <v>Hot Chocolate</v>
      </c>
      <c r="H1280" s="7">
        <f t="shared" si="39"/>
        <v>10.948404710645264</v>
      </c>
      <c r="I1280" s="7">
        <f>MAX('working sheet'!$B$2:$B$3548)-C1280</f>
        <v>1.2710423148164409</v>
      </c>
      <c r="J1280" s="4" t="str">
        <f t="array" ref="J1280">IF(AND(I1280&lt;=30, D1280&gt;=10, E1280&gt;=200), "VIP",  IF(AND(I1280&lt;=60, D1280&gt;=5, E1280&gt;=100), "Loyal", IF(AND(I1280&lt;=90, D1280&gt;=3), "Regular", IF(I1280&lt;=30, "Recent", IF(D1280&gt;=3, "Occasional", "At Risk")))))</f>
        <v>Recent</v>
      </c>
      <c r="K1280" t="str">
        <f t="array" ref="K1280">IF(OR(J1280="VIP", J1280="Loyal"), "HIGH",IF(OR(J1280="Regular", J1280="Recent"), "MEDIUM","LOW"))</f>
        <v>MEDIUM</v>
      </c>
    </row>
    <row r="1281" spans="1:11">
      <c r="A1281" t="s">
        <v>1294</v>
      </c>
      <c r="B1281" s="14">
        <f>_xlfn.MINIFS('working sheet'!$B$2:$B$3548, 'working sheet'!$D$2:$D$3548, A1281)</f>
        <v>45728.54293181713</v>
      </c>
      <c r="C1281" s="17">
        <f>_xlfn.MAXIFS('working sheet'!$B$1:$B$3548,'working sheet'!$D$1:$D$3548,'Customer Portfolio'!A1281)</f>
        <v>45728.54293181713</v>
      </c>
      <c r="D1281">
        <f>COUNTIFS('working sheet'!$D$1:$D$3548,'Customer Portfolio'!A1281)</f>
        <v>1</v>
      </c>
      <c r="E1281" s="5">
        <f>SUMIFS('working sheet'!$E$2:$E$3548,'working sheet'!$D$2:$D$3548,'Customer Portfolio'!A1281)</f>
        <v>35.76</v>
      </c>
      <c r="F1281" s="6">
        <f t="shared" si="38"/>
        <v>35.76</v>
      </c>
      <c r="G1281" t="str">
        <f t="array" ref="G1281">IFERROR(INDEX('working sheet'!$F$2:$F$3548, MODE(IF('working sheet'!$D$2:$D$3548=A1281, MATCH('working sheet'!$F$2:$F$3548, 'working sheet'!$F$2:$F$3548, 0)))),
         INDEX('working sheet'!$F$2:$F$3548, MATCH(A1281, 'working sheet'!$D$2:$D$3548, 0)))</f>
        <v>Latte</v>
      </c>
      <c r="H1281" s="7">
        <f t="shared" si="39"/>
        <v>1</v>
      </c>
      <c r="I1281" s="7">
        <f>MAX('working sheet'!$B$2:$B$3548)-C1281</f>
        <v>11.215154236109811</v>
      </c>
      <c r="J1281" s="4" t="str">
        <f t="array" ref="J1281">IF(AND(I1281&lt;=30, D1281&gt;=10, E1281&gt;=200), "VIP",  IF(AND(I1281&lt;=60, D1281&gt;=5, E1281&gt;=100), "Loyal", IF(AND(I1281&lt;=90, D1281&gt;=3), "Regular", IF(I1281&lt;=30, "Recent", IF(D1281&gt;=3, "Occasional", "At Risk")))))</f>
        <v>Recent</v>
      </c>
      <c r="K1281" t="str">
        <f t="array" ref="K1281">IF(OR(J1281="VIP", J1281="Loyal"), "HIGH",IF(OR(J1281="Regular", J1281="Recent"), "MEDIUM","LOW"))</f>
        <v>MEDIUM</v>
      </c>
    </row>
    <row r="1282" spans="1:11">
      <c r="A1282" t="s">
        <v>1295</v>
      </c>
      <c r="B1282" s="14">
        <f>_xlfn.MINIFS('working sheet'!$B$2:$B$3548, 'working sheet'!$D$2:$D$3548, A1282)</f>
        <v>45728.685847002314</v>
      </c>
      <c r="C1282" s="17">
        <f>_xlfn.MAXIFS('working sheet'!$B$1:$B$3548,'working sheet'!$D$1:$D$3548,'Customer Portfolio'!A1282)</f>
        <v>45728.685847002314</v>
      </c>
      <c r="D1282">
        <f>COUNTIFS('working sheet'!$D$1:$D$3548,'Customer Portfolio'!A1282)</f>
        <v>1</v>
      </c>
      <c r="E1282" s="5">
        <f>SUMIFS('working sheet'!$E$2:$E$3548,'working sheet'!$D$2:$D$3548,'Customer Portfolio'!A1282)</f>
        <v>35.76</v>
      </c>
      <c r="F1282" s="6">
        <f t="shared" si="38"/>
        <v>35.76</v>
      </c>
      <c r="G1282" t="str">
        <f t="array" ref="G1282">IFERROR(INDEX('working sheet'!$F$2:$F$3548, MODE(IF('working sheet'!$D$2:$D$3548=A1282, MATCH('working sheet'!$F$2:$F$3548, 'working sheet'!$F$2:$F$3548, 0)))),
         INDEX('working sheet'!$F$2:$F$3548, MATCH(A1282, 'working sheet'!$D$2:$D$3548, 0)))</f>
        <v>Cappuccino</v>
      </c>
      <c r="H1282" s="7">
        <f t="shared" si="39"/>
        <v>1</v>
      </c>
      <c r="I1282" s="7">
        <f>MAX('working sheet'!$B$2:$B$3548)-C1282</f>
        <v>11.072239050925418</v>
      </c>
      <c r="J1282" s="4" t="str">
        <f t="array" ref="J1282">IF(AND(I1282&lt;=30, D1282&gt;=10, E1282&gt;=200), "VIP",  IF(AND(I1282&lt;=60, D1282&gt;=5, E1282&gt;=100), "Loyal", IF(AND(I1282&lt;=90, D1282&gt;=3), "Regular", IF(I1282&lt;=30, "Recent", IF(D1282&gt;=3, "Occasional", "At Risk")))))</f>
        <v>Recent</v>
      </c>
      <c r="K1282" t="str">
        <f t="array" ref="K1282">IF(OR(J1282="VIP", J1282="Loyal"), "HIGH",IF(OR(J1282="Regular", J1282="Recent"), "MEDIUM","LOW"))</f>
        <v>MEDIUM</v>
      </c>
    </row>
    <row r="1283" spans="1:11">
      <c r="A1283" t="s">
        <v>1296</v>
      </c>
      <c r="B1283" s="14">
        <f>_xlfn.MINIFS('working sheet'!$B$2:$B$3548, 'working sheet'!$D$2:$D$3548, A1283)</f>
        <v>45728.767135312497</v>
      </c>
      <c r="C1283" s="17">
        <f>_xlfn.MAXIFS('working sheet'!$B$1:$B$3548,'working sheet'!$D$1:$D$3548,'Customer Portfolio'!A1283)</f>
        <v>45728.767135312497</v>
      </c>
      <c r="D1283">
        <f>COUNTIFS('working sheet'!$D$1:$D$3548,'Customer Portfolio'!A1283)</f>
        <v>1</v>
      </c>
      <c r="E1283" s="5">
        <f>SUMIFS('working sheet'!$E$2:$E$3548,'working sheet'!$D$2:$D$3548,'Customer Portfolio'!A1283)</f>
        <v>25.96</v>
      </c>
      <c r="F1283" s="6">
        <f t="shared" ref="F1283:F1317" si="40">E1283/D1283</f>
        <v>25.96</v>
      </c>
      <c r="G1283" t="str">
        <f t="array" ref="G1283">IFERROR(INDEX('working sheet'!$F$2:$F$3548, MODE(IF('working sheet'!$D$2:$D$3548=A1283, MATCH('working sheet'!$F$2:$F$3548, 'working sheet'!$F$2:$F$3548, 0)))),
         INDEX('working sheet'!$F$2:$F$3548, MATCH(A1283, 'working sheet'!$D$2:$D$3548, 0)))</f>
        <v>Americano</v>
      </c>
      <c r="H1283" s="7">
        <f t="shared" ref="H1283:H1317" si="41">C1283-B1283+1</f>
        <v>1</v>
      </c>
      <c r="I1283" s="7">
        <f>MAX('working sheet'!$B$2:$B$3548)-C1283</f>
        <v>10.990950740742846</v>
      </c>
      <c r="J1283" s="4" t="str">
        <f t="array" ref="J1283">IF(AND(I1283&lt;=30, D1283&gt;=10, E1283&gt;=200), "VIP",  IF(AND(I1283&lt;=60, D1283&gt;=5, E1283&gt;=100), "Loyal", IF(AND(I1283&lt;=90, D1283&gt;=3), "Regular", IF(I1283&lt;=30, "Recent", IF(D1283&gt;=3, "Occasional", "At Risk")))))</f>
        <v>Recent</v>
      </c>
      <c r="K1283" t="str">
        <f t="array" ref="K1283">IF(OR(J1283="VIP", J1283="Loyal"), "HIGH",IF(OR(J1283="Regular", J1283="Recent"), "MEDIUM","LOW"))</f>
        <v>MEDIUM</v>
      </c>
    </row>
    <row r="1284" spans="1:11">
      <c r="A1284" t="s">
        <v>1297</v>
      </c>
      <c r="B1284" s="14">
        <f>_xlfn.MINIFS('working sheet'!$B$2:$B$3548, 'working sheet'!$D$2:$D$3548, A1284)</f>
        <v>45729.401616053241</v>
      </c>
      <c r="C1284" s="17">
        <f>_xlfn.MAXIFS('working sheet'!$B$1:$B$3548,'working sheet'!$D$1:$D$3548,'Customer Portfolio'!A1284)</f>
        <v>45729.401616053241</v>
      </c>
      <c r="D1284">
        <f>COUNTIFS('working sheet'!$D$1:$D$3548,'Customer Portfolio'!A1284)</f>
        <v>1</v>
      </c>
      <c r="E1284" s="5">
        <f>SUMIFS('working sheet'!$E$2:$E$3548,'working sheet'!$D$2:$D$3548,'Customer Portfolio'!A1284)</f>
        <v>25.96</v>
      </c>
      <c r="F1284" s="6">
        <f t="shared" si="40"/>
        <v>25.96</v>
      </c>
      <c r="G1284" t="str">
        <f t="array" ref="G1284">IFERROR(INDEX('working sheet'!$F$2:$F$3548, MODE(IF('working sheet'!$D$2:$D$3548=A1284, MATCH('working sheet'!$F$2:$F$3548, 'working sheet'!$F$2:$F$3548, 0)))),
         INDEX('working sheet'!$F$2:$F$3548, MATCH(A1284, 'working sheet'!$D$2:$D$3548, 0)))</f>
        <v>Americano</v>
      </c>
      <c r="H1284" s="7">
        <f t="shared" si="41"/>
        <v>1</v>
      </c>
      <c r="I1284" s="7">
        <f>MAX('working sheet'!$B$2:$B$3548)-C1284</f>
        <v>10.356469999998808</v>
      </c>
      <c r="J1284" s="4" t="str">
        <f t="array" ref="J1284">IF(AND(I1284&lt;=30, D1284&gt;=10, E1284&gt;=200), "VIP",  IF(AND(I1284&lt;=60, D1284&gt;=5, E1284&gt;=100), "Loyal", IF(AND(I1284&lt;=90, D1284&gt;=3), "Regular", IF(I1284&lt;=30, "Recent", IF(D1284&gt;=3, "Occasional", "At Risk")))))</f>
        <v>Recent</v>
      </c>
      <c r="K1284" t="str">
        <f t="array" ref="K1284">IF(OR(J1284="VIP", J1284="Loyal"), "HIGH",IF(OR(J1284="Regular", J1284="Recent"), "MEDIUM","LOW"))</f>
        <v>MEDIUM</v>
      </c>
    </row>
    <row r="1285" spans="1:11">
      <c r="A1285" t="s">
        <v>1298</v>
      </c>
      <c r="B1285" s="14">
        <f>_xlfn.MINIFS('working sheet'!$B$2:$B$3548, 'working sheet'!$D$2:$D$3548, A1285)</f>
        <v>45729.402252175925</v>
      </c>
      <c r="C1285" s="17">
        <f>_xlfn.MAXIFS('working sheet'!$B$1:$B$3548,'working sheet'!$D$1:$D$3548,'Customer Portfolio'!A1285)</f>
        <v>45729.402252175925</v>
      </c>
      <c r="D1285">
        <f>COUNTIFS('working sheet'!$D$1:$D$3548,'Customer Portfolio'!A1285)</f>
        <v>1</v>
      </c>
      <c r="E1285" s="5">
        <f>SUMIFS('working sheet'!$E$2:$E$3548,'working sheet'!$D$2:$D$3548,'Customer Portfolio'!A1285)</f>
        <v>30.86</v>
      </c>
      <c r="F1285" s="6">
        <f t="shared" si="40"/>
        <v>30.86</v>
      </c>
      <c r="G1285" t="str">
        <f t="array" ref="G1285">IFERROR(INDEX('working sheet'!$F$2:$F$3548, MODE(IF('working sheet'!$D$2:$D$3548=A1285, MATCH('working sheet'!$F$2:$F$3548, 'working sheet'!$F$2:$F$3548, 0)))),
         INDEX('working sheet'!$F$2:$F$3548, MATCH(A1285, 'working sheet'!$D$2:$D$3548, 0)))</f>
        <v>Americano with Milk</v>
      </c>
      <c r="H1285" s="7">
        <f t="shared" si="41"/>
        <v>1</v>
      </c>
      <c r="I1285" s="7">
        <f>MAX('working sheet'!$B$2:$B$3548)-C1285</f>
        <v>10.355833877314581</v>
      </c>
      <c r="J1285" s="4" t="str">
        <f t="array" ref="J1285">IF(AND(I1285&lt;=30, D1285&gt;=10, E1285&gt;=200), "VIP",  IF(AND(I1285&lt;=60, D1285&gt;=5, E1285&gt;=100), "Loyal", IF(AND(I1285&lt;=90, D1285&gt;=3), "Regular", IF(I1285&lt;=30, "Recent", IF(D1285&gt;=3, "Occasional", "At Risk")))))</f>
        <v>Recent</v>
      </c>
      <c r="K1285" t="str">
        <f t="array" ref="K1285">IF(OR(J1285="VIP", J1285="Loyal"), "HIGH",IF(OR(J1285="Regular", J1285="Recent"), "MEDIUM","LOW"))</f>
        <v>MEDIUM</v>
      </c>
    </row>
    <row r="1286" spans="1:11">
      <c r="A1286" t="s">
        <v>1299</v>
      </c>
      <c r="B1286" s="14">
        <f>_xlfn.MINIFS('working sheet'!$B$2:$B$3548, 'working sheet'!$D$2:$D$3548, A1286)</f>
        <v>45729.620717673613</v>
      </c>
      <c r="C1286" s="17">
        <f>_xlfn.MAXIFS('working sheet'!$B$1:$B$3548,'working sheet'!$D$1:$D$3548,'Customer Portfolio'!A1286)</f>
        <v>45729.620717673613</v>
      </c>
      <c r="D1286">
        <f>COUNTIFS('working sheet'!$D$1:$D$3548,'Customer Portfolio'!A1286)</f>
        <v>1</v>
      </c>
      <c r="E1286" s="5">
        <f>SUMIFS('working sheet'!$E$2:$E$3548,'working sheet'!$D$2:$D$3548,'Customer Portfolio'!A1286)</f>
        <v>30.86</v>
      </c>
      <c r="F1286" s="6">
        <f t="shared" si="40"/>
        <v>30.86</v>
      </c>
      <c r="G1286" t="str">
        <f t="array" ref="G1286">IFERROR(INDEX('working sheet'!$F$2:$F$3548, MODE(IF('working sheet'!$D$2:$D$3548=A1286, MATCH('working sheet'!$F$2:$F$3548, 'working sheet'!$F$2:$F$3548, 0)))),
         INDEX('working sheet'!$F$2:$F$3548, MATCH(A1286, 'working sheet'!$D$2:$D$3548, 0)))</f>
        <v>Americano with Milk</v>
      </c>
      <c r="H1286" s="7">
        <f t="shared" si="41"/>
        <v>1</v>
      </c>
      <c r="I1286" s="7">
        <f>MAX('working sheet'!$B$2:$B$3548)-C1286</f>
        <v>10.137368379626423</v>
      </c>
      <c r="J1286" s="4" t="str">
        <f t="array" ref="J1286">IF(AND(I1286&lt;=30, D1286&gt;=10, E1286&gt;=200), "VIP",  IF(AND(I1286&lt;=60, D1286&gt;=5, E1286&gt;=100), "Loyal", IF(AND(I1286&lt;=90, D1286&gt;=3), "Regular", IF(I1286&lt;=30, "Recent", IF(D1286&gt;=3, "Occasional", "At Risk")))))</f>
        <v>Recent</v>
      </c>
      <c r="K1286" t="str">
        <f t="array" ref="K1286">IF(OR(J1286="VIP", J1286="Loyal"), "HIGH",IF(OR(J1286="Regular", J1286="Recent"), "MEDIUM","LOW"))</f>
        <v>MEDIUM</v>
      </c>
    </row>
    <row r="1287" spans="1:11">
      <c r="A1287" t="s">
        <v>1300</v>
      </c>
      <c r="B1287" s="14">
        <f>_xlfn.MINIFS('working sheet'!$B$2:$B$3548, 'working sheet'!$D$2:$D$3548, A1287)</f>
        <v>45730.342826203705</v>
      </c>
      <c r="C1287" s="17">
        <f>_xlfn.MAXIFS('working sheet'!$B$1:$B$3548,'working sheet'!$D$1:$D$3548,'Customer Portfolio'!A1287)</f>
        <v>45730.342826203705</v>
      </c>
      <c r="D1287">
        <f>COUNTIFS('working sheet'!$D$1:$D$3548,'Customer Portfolio'!A1287)</f>
        <v>1</v>
      </c>
      <c r="E1287" s="5">
        <f>SUMIFS('working sheet'!$E$2:$E$3548,'working sheet'!$D$2:$D$3548,'Customer Portfolio'!A1287)</f>
        <v>30.86</v>
      </c>
      <c r="F1287" s="6">
        <f t="shared" si="40"/>
        <v>30.86</v>
      </c>
      <c r="G1287" t="str">
        <f t="array" ref="G1287">IFERROR(INDEX('working sheet'!$F$2:$F$3548, MODE(IF('working sheet'!$D$2:$D$3548=A1287, MATCH('working sheet'!$F$2:$F$3548, 'working sheet'!$F$2:$F$3548, 0)))),
         INDEX('working sheet'!$F$2:$F$3548, MATCH(A1287, 'working sheet'!$D$2:$D$3548, 0)))</f>
        <v>Americano with Milk</v>
      </c>
      <c r="H1287" s="7">
        <f t="shared" si="41"/>
        <v>1</v>
      </c>
      <c r="I1287" s="7">
        <f>MAX('working sheet'!$B$2:$B$3548)-C1287</f>
        <v>9.4152598495347775</v>
      </c>
      <c r="J1287" s="4" t="str">
        <f t="array" ref="J1287">IF(AND(I1287&lt;=30, D1287&gt;=10, E1287&gt;=200), "VIP",  IF(AND(I1287&lt;=60, D1287&gt;=5, E1287&gt;=100), "Loyal", IF(AND(I1287&lt;=90, D1287&gt;=3), "Regular", IF(I1287&lt;=30, "Recent", IF(D1287&gt;=3, "Occasional", "At Risk")))))</f>
        <v>Recent</v>
      </c>
      <c r="K1287" t="str">
        <f t="array" ref="K1287">IF(OR(J1287="VIP", J1287="Loyal"), "HIGH",IF(OR(J1287="Regular", J1287="Recent"), "MEDIUM","LOW"))</f>
        <v>MEDIUM</v>
      </c>
    </row>
    <row r="1288" spans="1:11">
      <c r="A1288" t="s">
        <v>1301</v>
      </c>
      <c r="B1288" s="14">
        <f>_xlfn.MINIFS('working sheet'!$B$2:$B$3548, 'working sheet'!$D$2:$D$3548, A1288)</f>
        <v>45730.375345868059</v>
      </c>
      <c r="C1288" s="17">
        <f>_xlfn.MAXIFS('working sheet'!$B$1:$B$3548,'working sheet'!$D$1:$D$3548,'Customer Portfolio'!A1288)</f>
        <v>45730.375345868059</v>
      </c>
      <c r="D1288">
        <f>COUNTIFS('working sheet'!$D$1:$D$3548,'Customer Portfolio'!A1288)</f>
        <v>1</v>
      </c>
      <c r="E1288" s="5">
        <f>SUMIFS('working sheet'!$E$2:$E$3548,'working sheet'!$D$2:$D$3548,'Customer Portfolio'!A1288)</f>
        <v>35.76</v>
      </c>
      <c r="F1288" s="6">
        <f t="shared" si="40"/>
        <v>35.76</v>
      </c>
      <c r="G1288" t="str">
        <f t="array" ref="G1288">IFERROR(INDEX('working sheet'!$F$2:$F$3548, MODE(IF('working sheet'!$D$2:$D$3548=A1288, MATCH('working sheet'!$F$2:$F$3548, 'working sheet'!$F$2:$F$3548, 0)))),
         INDEX('working sheet'!$F$2:$F$3548, MATCH(A1288, 'working sheet'!$D$2:$D$3548, 0)))</f>
        <v>Latte</v>
      </c>
      <c r="H1288" s="7">
        <f t="shared" si="41"/>
        <v>1</v>
      </c>
      <c r="I1288" s="7">
        <f>MAX('working sheet'!$B$2:$B$3548)-C1288</f>
        <v>9.3827401851813192</v>
      </c>
      <c r="J1288" s="4" t="str">
        <f t="array" ref="J1288">IF(AND(I1288&lt;=30, D1288&gt;=10, E1288&gt;=200), "VIP",  IF(AND(I1288&lt;=60, D1288&gt;=5, E1288&gt;=100), "Loyal", IF(AND(I1288&lt;=90, D1288&gt;=3), "Regular", IF(I1288&lt;=30, "Recent", IF(D1288&gt;=3, "Occasional", "At Risk")))))</f>
        <v>Recent</v>
      </c>
      <c r="K1288" t="str">
        <f t="array" ref="K1288">IF(OR(J1288="VIP", J1288="Loyal"), "HIGH",IF(OR(J1288="Regular", J1288="Recent"), "MEDIUM","LOW"))</f>
        <v>MEDIUM</v>
      </c>
    </row>
    <row r="1289" spans="1:11">
      <c r="A1289" t="s">
        <v>1302</v>
      </c>
      <c r="B1289" s="14">
        <f>_xlfn.MINIFS('working sheet'!$B$2:$B$3548, 'working sheet'!$D$2:$D$3548, A1289)</f>
        <v>45730.450263935185</v>
      </c>
      <c r="C1289" s="17">
        <f>_xlfn.MAXIFS('working sheet'!$B$1:$B$3548,'working sheet'!$D$1:$D$3548,'Customer Portfolio'!A1289)</f>
        <v>45730.451016157407</v>
      </c>
      <c r="D1289">
        <f>COUNTIFS('working sheet'!$D$1:$D$3548,'Customer Portfolio'!A1289)</f>
        <v>2</v>
      </c>
      <c r="E1289" s="5">
        <f>SUMIFS('working sheet'!$E$2:$E$3548,'working sheet'!$D$2:$D$3548,'Customer Portfolio'!A1289)</f>
        <v>71.52</v>
      </c>
      <c r="F1289" s="6">
        <f t="shared" si="40"/>
        <v>35.76</v>
      </c>
      <c r="G1289" t="str">
        <f t="array" ref="G1289">IFERROR(INDEX('working sheet'!$F$2:$F$3548, MODE(IF('working sheet'!$D$2:$D$3548=A1289, MATCH('working sheet'!$F$2:$F$3548, 'working sheet'!$F$2:$F$3548, 0)))),
         INDEX('working sheet'!$F$2:$F$3548, MATCH(A1289, 'working sheet'!$D$2:$D$3548, 0)))</f>
        <v>Latte</v>
      </c>
      <c r="H1289" s="7">
        <f t="shared" si="41"/>
        <v>1.0007522222222178</v>
      </c>
      <c r="I1289" s="7">
        <f>MAX('working sheet'!$B$2:$B$3548)-C1289</f>
        <v>9.307069895832683</v>
      </c>
      <c r="J1289" s="4" t="str">
        <f t="array" ref="J1289">IF(AND(I1289&lt;=30, D1289&gt;=10, E1289&gt;=200), "VIP",  IF(AND(I1289&lt;=60, D1289&gt;=5, E1289&gt;=100), "Loyal", IF(AND(I1289&lt;=90, D1289&gt;=3), "Regular", IF(I1289&lt;=30, "Recent", IF(D1289&gt;=3, "Occasional", "At Risk")))))</f>
        <v>Recent</v>
      </c>
      <c r="K1289" t="str">
        <f t="array" ref="K1289">IF(OR(J1289="VIP", J1289="Loyal"), "HIGH",IF(OR(J1289="Regular", J1289="Recent"), "MEDIUM","LOW"))</f>
        <v>MEDIUM</v>
      </c>
    </row>
    <row r="1290" spans="1:11">
      <c r="A1290" t="s">
        <v>1303</v>
      </c>
      <c r="B1290" s="14">
        <f>_xlfn.MINIFS('working sheet'!$B$2:$B$3548, 'working sheet'!$D$2:$D$3548, A1290)</f>
        <v>45730.688831921296</v>
      </c>
      <c r="C1290" s="17">
        <f>_xlfn.MAXIFS('working sheet'!$B$1:$B$3548,'working sheet'!$D$1:$D$3548,'Customer Portfolio'!A1290)</f>
        <v>45730.689354409726</v>
      </c>
      <c r="D1290">
        <f>COUNTIFS('working sheet'!$D$1:$D$3548,'Customer Portfolio'!A1290)</f>
        <v>2</v>
      </c>
      <c r="E1290" s="5">
        <f>SUMIFS('working sheet'!$E$2:$E$3548,'working sheet'!$D$2:$D$3548,'Customer Portfolio'!A1290)</f>
        <v>71.52</v>
      </c>
      <c r="F1290" s="6">
        <f t="shared" si="40"/>
        <v>35.76</v>
      </c>
      <c r="G1290" t="str">
        <f t="array" ref="G1290">IFERROR(INDEX('working sheet'!$F$2:$F$3548, MODE(IF('working sheet'!$D$2:$D$3548=A1290, MATCH('working sheet'!$F$2:$F$3548, 'working sheet'!$F$2:$F$3548, 0)))),
         INDEX('working sheet'!$F$2:$F$3548, MATCH(A1290, 'working sheet'!$D$2:$D$3548, 0)))</f>
        <v>Cocoa</v>
      </c>
      <c r="H1290" s="7">
        <f t="shared" si="41"/>
        <v>1.0005224884298514</v>
      </c>
      <c r="I1290" s="7">
        <f>MAX('working sheet'!$B$2:$B$3548)-C1290</f>
        <v>9.0687316435141838</v>
      </c>
      <c r="J1290" s="4" t="str">
        <f t="array" ref="J1290">IF(AND(I1290&lt;=30, D1290&gt;=10, E1290&gt;=200), "VIP",  IF(AND(I1290&lt;=60, D1290&gt;=5, E1290&gt;=100), "Loyal", IF(AND(I1290&lt;=90, D1290&gt;=3), "Regular", IF(I1290&lt;=30, "Recent", IF(D1290&gt;=3, "Occasional", "At Risk")))))</f>
        <v>Recent</v>
      </c>
      <c r="K1290" t="str">
        <f t="array" ref="K1290">IF(OR(J1290="VIP", J1290="Loyal"), "HIGH",IF(OR(J1290="Regular", J1290="Recent"), "MEDIUM","LOW"))</f>
        <v>MEDIUM</v>
      </c>
    </row>
    <row r="1291" spans="1:11">
      <c r="A1291" t="s">
        <v>1304</v>
      </c>
      <c r="B1291" s="14">
        <f>_xlfn.MINIFS('working sheet'!$B$2:$B$3548, 'working sheet'!$D$2:$D$3548, A1291)</f>
        <v>45730.712084641207</v>
      </c>
      <c r="C1291" s="17">
        <f>_xlfn.MAXIFS('working sheet'!$B$1:$B$3548,'working sheet'!$D$1:$D$3548,'Customer Portfolio'!A1291)</f>
        <v>45736.598401631942</v>
      </c>
      <c r="D1291">
        <f>COUNTIFS('working sheet'!$D$1:$D$3548,'Customer Portfolio'!A1291)</f>
        <v>3</v>
      </c>
      <c r="E1291" s="5">
        <f>SUMIFS('working sheet'!$E$2:$E$3548,'working sheet'!$D$2:$D$3548,'Customer Portfolio'!A1291)</f>
        <v>72.98</v>
      </c>
      <c r="F1291" s="6">
        <f t="shared" si="40"/>
        <v>24.326666666666668</v>
      </c>
      <c r="G1291" t="str">
        <f t="array" ref="G1291">IFERROR(INDEX('working sheet'!$F$2:$F$3548, MODE(IF('working sheet'!$D$2:$D$3548=A1291, MATCH('working sheet'!$F$2:$F$3548, 'working sheet'!$F$2:$F$3548, 0)))),
         INDEX('working sheet'!$F$2:$F$3548, MATCH(A1291, 'working sheet'!$D$2:$D$3548, 0)))</f>
        <v>Americano</v>
      </c>
      <c r="H1291" s="7">
        <f t="shared" si="41"/>
        <v>6.8863169907344854</v>
      </c>
      <c r="I1291" s="7">
        <f>MAX('working sheet'!$B$2:$B$3548)-C1291</f>
        <v>3.1596844212981523</v>
      </c>
      <c r="J1291" s="4" t="str">
        <f t="array" ref="J1291">IF(AND(I1291&lt;=30, D1291&gt;=10, E1291&gt;=200), "VIP",  IF(AND(I1291&lt;=60, D1291&gt;=5, E1291&gt;=100), "Loyal", IF(AND(I1291&lt;=90, D1291&gt;=3), "Regular", IF(I1291&lt;=30, "Recent", IF(D1291&gt;=3, "Occasional", "At Risk")))))</f>
        <v>Regular</v>
      </c>
      <c r="K1291" t="str">
        <f t="array" ref="K1291">IF(OR(J1291="VIP", J1291="Loyal"), "HIGH",IF(OR(J1291="Regular", J1291="Recent"), "MEDIUM","LOW"))</f>
        <v>MEDIUM</v>
      </c>
    </row>
    <row r="1292" spans="1:11">
      <c r="A1292" t="s">
        <v>1305</v>
      </c>
      <c r="B1292" s="14">
        <f>_xlfn.MINIFS('working sheet'!$B$2:$B$3548, 'working sheet'!$D$2:$D$3548, A1292)</f>
        <v>45730.847477106479</v>
      </c>
      <c r="C1292" s="17">
        <f>_xlfn.MAXIFS('working sheet'!$B$1:$B$3548,'working sheet'!$D$1:$D$3548,'Customer Portfolio'!A1292)</f>
        <v>45730.847477106479</v>
      </c>
      <c r="D1292">
        <f>COUNTIFS('working sheet'!$D$1:$D$3548,'Customer Portfolio'!A1292)</f>
        <v>1</v>
      </c>
      <c r="E1292" s="5">
        <f>SUMIFS('working sheet'!$E$2:$E$3548,'working sheet'!$D$2:$D$3548,'Customer Portfolio'!A1292)</f>
        <v>25.96</v>
      </c>
      <c r="F1292" s="6">
        <f t="shared" si="40"/>
        <v>25.96</v>
      </c>
      <c r="G1292" t="str">
        <f t="array" ref="G1292">IFERROR(INDEX('working sheet'!$F$2:$F$3548, MODE(IF('working sheet'!$D$2:$D$3548=A1292, MATCH('working sheet'!$F$2:$F$3548, 'working sheet'!$F$2:$F$3548, 0)))),
         INDEX('working sheet'!$F$2:$F$3548, MATCH(A1292, 'working sheet'!$D$2:$D$3548, 0)))</f>
        <v>Americano</v>
      </c>
      <c r="H1292" s="7">
        <f t="shared" si="41"/>
        <v>1</v>
      </c>
      <c r="I1292" s="7">
        <f>MAX('working sheet'!$B$2:$B$3548)-C1292</f>
        <v>8.9106089467604761</v>
      </c>
      <c r="J1292" s="4" t="str">
        <f t="array" ref="J1292">IF(AND(I1292&lt;=30, D1292&gt;=10, E1292&gt;=200), "VIP",  IF(AND(I1292&lt;=60, D1292&gt;=5, E1292&gt;=100), "Loyal", IF(AND(I1292&lt;=90, D1292&gt;=3), "Regular", IF(I1292&lt;=30, "Recent", IF(D1292&gt;=3, "Occasional", "At Risk")))))</f>
        <v>Recent</v>
      </c>
      <c r="K1292" t="str">
        <f t="array" ref="K1292">IF(OR(J1292="VIP", J1292="Loyal"), "HIGH",IF(OR(J1292="Regular", J1292="Recent"), "MEDIUM","LOW"))</f>
        <v>MEDIUM</v>
      </c>
    </row>
    <row r="1293" spans="1:11">
      <c r="A1293" t="s">
        <v>1306</v>
      </c>
      <c r="B1293" s="14">
        <f>_xlfn.MINIFS('working sheet'!$B$2:$B$3548, 'working sheet'!$D$2:$D$3548, A1293)</f>
        <v>45731.827396863424</v>
      </c>
      <c r="C1293" s="17">
        <f>_xlfn.MAXIFS('working sheet'!$B$1:$B$3548,'working sheet'!$D$1:$D$3548,'Customer Portfolio'!A1293)</f>
        <v>45731.827396863424</v>
      </c>
      <c r="D1293">
        <f>COUNTIFS('working sheet'!$D$1:$D$3548,'Customer Portfolio'!A1293)</f>
        <v>1</v>
      </c>
      <c r="E1293" s="5">
        <f>SUMIFS('working sheet'!$E$2:$E$3548,'working sheet'!$D$2:$D$3548,'Customer Portfolio'!A1293)</f>
        <v>35.76</v>
      </c>
      <c r="F1293" s="6">
        <f t="shared" si="40"/>
        <v>35.76</v>
      </c>
      <c r="G1293" t="str">
        <f t="array" ref="G1293">IFERROR(INDEX('working sheet'!$F$2:$F$3548, MODE(IF('working sheet'!$D$2:$D$3548=A1293, MATCH('working sheet'!$F$2:$F$3548, 'working sheet'!$F$2:$F$3548, 0)))),
         INDEX('working sheet'!$F$2:$F$3548, MATCH(A1293, 'working sheet'!$D$2:$D$3548, 0)))</f>
        <v>Cappuccino</v>
      </c>
      <c r="H1293" s="7">
        <f t="shared" si="41"/>
        <v>1</v>
      </c>
      <c r="I1293" s="7">
        <f>MAX('working sheet'!$B$2:$B$3548)-C1293</f>
        <v>7.9306891898158938</v>
      </c>
      <c r="J1293" s="4" t="str">
        <f t="array" ref="J1293">IF(AND(I1293&lt;=30, D1293&gt;=10, E1293&gt;=200), "VIP",  IF(AND(I1293&lt;=60, D1293&gt;=5, E1293&gt;=100), "Loyal", IF(AND(I1293&lt;=90, D1293&gt;=3), "Regular", IF(I1293&lt;=30, "Recent", IF(D1293&gt;=3, "Occasional", "At Risk")))))</f>
        <v>Recent</v>
      </c>
      <c r="K1293" t="str">
        <f t="array" ref="K1293">IF(OR(J1293="VIP", J1293="Loyal"), "HIGH",IF(OR(J1293="Regular", J1293="Recent"), "MEDIUM","LOW"))</f>
        <v>MEDIUM</v>
      </c>
    </row>
    <row r="1294" spans="1:11">
      <c r="A1294" t="s">
        <v>1307</v>
      </c>
      <c r="B1294" s="14">
        <f>_xlfn.MINIFS('working sheet'!$B$2:$B$3548, 'working sheet'!$D$2:$D$3548, A1294)</f>
        <v>45732.400268460646</v>
      </c>
      <c r="C1294" s="17">
        <f>_xlfn.MAXIFS('working sheet'!$B$1:$B$3548,'working sheet'!$D$1:$D$3548,'Customer Portfolio'!A1294)</f>
        <v>45736.421346249997</v>
      </c>
      <c r="D1294">
        <f>COUNTIFS('working sheet'!$D$1:$D$3548,'Customer Portfolio'!A1294)</f>
        <v>3</v>
      </c>
      <c r="E1294" s="5">
        <f>SUMIFS('working sheet'!$E$2:$E$3548,'working sheet'!$D$2:$D$3548,'Customer Portfolio'!A1294)</f>
        <v>92.58</v>
      </c>
      <c r="F1294" s="6">
        <f t="shared" si="40"/>
        <v>30.86</v>
      </c>
      <c r="G1294" t="str">
        <f t="array" ref="G1294">IFERROR(INDEX('working sheet'!$F$2:$F$3548, MODE(IF('working sheet'!$D$2:$D$3548=A1294, MATCH('working sheet'!$F$2:$F$3548, 'working sheet'!$F$2:$F$3548, 0)))),
         INDEX('working sheet'!$F$2:$F$3548, MATCH(A1294, 'working sheet'!$D$2:$D$3548, 0)))</f>
        <v>Americano with Milk</v>
      </c>
      <c r="H1294" s="7">
        <f t="shared" si="41"/>
        <v>5.0210777893516934</v>
      </c>
      <c r="I1294" s="7">
        <f>MAX('working sheet'!$B$2:$B$3548)-C1294</f>
        <v>3.3367398032423807</v>
      </c>
      <c r="J1294" s="4" t="str">
        <f t="array" ref="J1294">IF(AND(I1294&lt;=30, D1294&gt;=10, E1294&gt;=200), "VIP",  IF(AND(I1294&lt;=60, D1294&gt;=5, E1294&gt;=100), "Loyal", IF(AND(I1294&lt;=90, D1294&gt;=3), "Regular", IF(I1294&lt;=30, "Recent", IF(D1294&gt;=3, "Occasional", "At Risk")))))</f>
        <v>Regular</v>
      </c>
      <c r="K1294" t="str">
        <f t="array" ref="K1294">IF(OR(J1294="VIP", J1294="Loyal"), "HIGH",IF(OR(J1294="Regular", J1294="Recent"), "MEDIUM","LOW"))</f>
        <v>MEDIUM</v>
      </c>
    </row>
    <row r="1295" spans="1:11">
      <c r="A1295" t="s">
        <v>1308</v>
      </c>
      <c r="B1295" s="14">
        <f>_xlfn.MINIFS('working sheet'!$B$2:$B$3548, 'working sheet'!$D$2:$D$3548, A1295)</f>
        <v>45732.451497361108</v>
      </c>
      <c r="C1295" s="17">
        <f>_xlfn.MAXIFS('working sheet'!$B$1:$B$3548,'working sheet'!$D$1:$D$3548,'Customer Portfolio'!A1295)</f>
        <v>45732.500545543982</v>
      </c>
      <c r="D1295">
        <f>COUNTIFS('working sheet'!$D$1:$D$3548,'Customer Portfolio'!A1295)</f>
        <v>2</v>
      </c>
      <c r="E1295" s="5">
        <f>SUMIFS('working sheet'!$E$2:$E$3548,'working sheet'!$D$2:$D$3548,'Customer Portfolio'!A1295)</f>
        <v>71.52</v>
      </c>
      <c r="F1295" s="6">
        <f t="shared" si="40"/>
        <v>35.76</v>
      </c>
      <c r="G1295" t="str">
        <f t="array" ref="G1295">IFERROR(INDEX('working sheet'!$F$2:$F$3548, MODE(IF('working sheet'!$D$2:$D$3548=A1295, MATCH('working sheet'!$F$2:$F$3548, 'working sheet'!$F$2:$F$3548, 0)))),
         INDEX('working sheet'!$F$2:$F$3548, MATCH(A1295, 'working sheet'!$D$2:$D$3548, 0)))</f>
        <v>Latte</v>
      </c>
      <c r="H1295" s="7">
        <f t="shared" si="41"/>
        <v>1.0490481828746852</v>
      </c>
      <c r="I1295" s="7">
        <f>MAX('working sheet'!$B$2:$B$3548)-C1295</f>
        <v>7.2575405092575238</v>
      </c>
      <c r="J1295" s="4" t="str">
        <f t="array" ref="J1295">IF(AND(I1295&lt;=30, D1295&gt;=10, E1295&gt;=200), "VIP",  IF(AND(I1295&lt;=60, D1295&gt;=5, E1295&gt;=100), "Loyal", IF(AND(I1295&lt;=90, D1295&gt;=3), "Regular", IF(I1295&lt;=30, "Recent", IF(D1295&gt;=3, "Occasional", "At Risk")))))</f>
        <v>Recent</v>
      </c>
      <c r="K1295" t="str">
        <f t="array" ref="K1295">IF(OR(J1295="VIP", J1295="Loyal"), "HIGH",IF(OR(J1295="Regular", J1295="Recent"), "MEDIUM","LOW"))</f>
        <v>MEDIUM</v>
      </c>
    </row>
    <row r="1296" spans="1:11">
      <c r="A1296" t="s">
        <v>1309</v>
      </c>
      <c r="B1296" s="14">
        <f>_xlfn.MINIFS('working sheet'!$B$2:$B$3548, 'working sheet'!$D$2:$D$3548, A1296)</f>
        <v>45733.616707384259</v>
      </c>
      <c r="C1296" s="17">
        <f>_xlfn.MAXIFS('working sheet'!$B$1:$B$3548,'working sheet'!$D$1:$D$3548,'Customer Portfolio'!A1296)</f>
        <v>45735.633948657407</v>
      </c>
      <c r="D1296">
        <f>COUNTIFS('working sheet'!$D$1:$D$3548,'Customer Portfolio'!A1296)</f>
        <v>2</v>
      </c>
      <c r="E1296" s="5">
        <f>SUMIFS('working sheet'!$E$2:$E$3548,'working sheet'!$D$2:$D$3548,'Customer Portfolio'!A1296)</f>
        <v>71.52</v>
      </c>
      <c r="F1296" s="6">
        <f t="shared" si="40"/>
        <v>35.76</v>
      </c>
      <c r="G1296" t="str">
        <f t="array" ref="G1296">IFERROR(INDEX('working sheet'!$F$2:$F$3548, MODE(IF('working sheet'!$D$2:$D$3548=A1296, MATCH('working sheet'!$F$2:$F$3548, 'working sheet'!$F$2:$F$3548, 0)))),
         INDEX('working sheet'!$F$2:$F$3548, MATCH(A1296, 'working sheet'!$D$2:$D$3548, 0)))</f>
        <v>Latte</v>
      </c>
      <c r="H1296" s="7">
        <f t="shared" si="41"/>
        <v>3.0172412731481018</v>
      </c>
      <c r="I1296" s="7">
        <f>MAX('working sheet'!$B$2:$B$3548)-C1296</f>
        <v>4.124137395832804</v>
      </c>
      <c r="J1296" s="4" t="str">
        <f t="array" ref="J1296">IF(AND(I1296&lt;=30, D1296&gt;=10, E1296&gt;=200), "VIP",  IF(AND(I1296&lt;=60, D1296&gt;=5, E1296&gt;=100), "Loyal", IF(AND(I1296&lt;=90, D1296&gt;=3), "Regular", IF(I1296&lt;=30, "Recent", IF(D1296&gt;=3, "Occasional", "At Risk")))))</f>
        <v>Recent</v>
      </c>
      <c r="K1296" t="str">
        <f t="array" ref="K1296">IF(OR(J1296="VIP", J1296="Loyal"), "HIGH",IF(OR(J1296="Regular", J1296="Recent"), "MEDIUM","LOW"))</f>
        <v>MEDIUM</v>
      </c>
    </row>
    <row r="1297" spans="1:11">
      <c r="A1297" t="s">
        <v>1310</v>
      </c>
      <c r="B1297" s="14">
        <f>_xlfn.MINIFS('working sheet'!$B$2:$B$3548, 'working sheet'!$D$2:$D$3548, A1297)</f>
        <v>45734.349432696756</v>
      </c>
      <c r="C1297" s="17">
        <f>_xlfn.MAXIFS('working sheet'!$B$1:$B$3548,'working sheet'!$D$1:$D$3548,'Customer Portfolio'!A1297)</f>
        <v>45734.349432696756</v>
      </c>
      <c r="D1297">
        <f>COUNTIFS('working sheet'!$D$1:$D$3548,'Customer Portfolio'!A1297)</f>
        <v>1</v>
      </c>
      <c r="E1297" s="5">
        <f>SUMIFS('working sheet'!$E$2:$E$3548,'working sheet'!$D$2:$D$3548,'Customer Portfolio'!A1297)</f>
        <v>30.86</v>
      </c>
      <c r="F1297" s="6">
        <f t="shared" si="40"/>
        <v>30.86</v>
      </c>
      <c r="G1297" t="str">
        <f t="array" ref="G1297">IFERROR(INDEX('working sheet'!$F$2:$F$3548, MODE(IF('working sheet'!$D$2:$D$3548=A1297, MATCH('working sheet'!$F$2:$F$3548, 'working sheet'!$F$2:$F$3548, 0)))),
         INDEX('working sheet'!$F$2:$F$3548, MATCH(A1297, 'working sheet'!$D$2:$D$3548, 0)))</f>
        <v>Americano with Milk</v>
      </c>
      <c r="H1297" s="7">
        <f t="shared" si="41"/>
        <v>1</v>
      </c>
      <c r="I1297" s="7">
        <f>MAX('working sheet'!$B$2:$B$3548)-C1297</f>
        <v>5.4086533564841375</v>
      </c>
      <c r="J1297" s="4" t="str">
        <f t="array" ref="J1297">IF(AND(I1297&lt;=30, D1297&gt;=10, E1297&gt;=200), "VIP",  IF(AND(I1297&lt;=60, D1297&gt;=5, E1297&gt;=100), "Loyal", IF(AND(I1297&lt;=90, D1297&gt;=3), "Regular", IF(I1297&lt;=30, "Recent", IF(D1297&gt;=3, "Occasional", "At Risk")))))</f>
        <v>Recent</v>
      </c>
      <c r="K1297" t="str">
        <f t="array" ref="K1297">IF(OR(J1297="VIP", J1297="Loyal"), "HIGH",IF(OR(J1297="Regular", J1297="Recent"), "MEDIUM","LOW"))</f>
        <v>MEDIUM</v>
      </c>
    </row>
    <row r="1298" spans="1:11">
      <c r="A1298" t="s">
        <v>1311</v>
      </c>
      <c r="B1298" s="14">
        <f>_xlfn.MINIFS('working sheet'!$B$2:$B$3548, 'working sheet'!$D$2:$D$3548, A1298)</f>
        <v>45734.491203344907</v>
      </c>
      <c r="C1298" s="17">
        <f>_xlfn.MAXIFS('working sheet'!$B$1:$B$3548,'working sheet'!$D$1:$D$3548,'Customer Portfolio'!A1298)</f>
        <v>45734.492310810187</v>
      </c>
      <c r="D1298">
        <f>COUNTIFS('working sheet'!$D$1:$D$3548,'Customer Portfolio'!A1298)</f>
        <v>2</v>
      </c>
      <c r="E1298" s="5">
        <f>SUMIFS('working sheet'!$E$2:$E$3548,'working sheet'!$D$2:$D$3548,'Customer Portfolio'!A1298)</f>
        <v>71.52</v>
      </c>
      <c r="F1298" s="6">
        <f t="shared" si="40"/>
        <v>35.76</v>
      </c>
      <c r="G1298" t="str">
        <f t="array" ref="G1298">IFERROR(INDEX('working sheet'!$F$2:$F$3548, MODE(IF('working sheet'!$D$2:$D$3548=A1298, MATCH('working sheet'!$F$2:$F$3548, 'working sheet'!$F$2:$F$3548, 0)))),
         INDEX('working sheet'!$F$2:$F$3548, MATCH(A1298, 'working sheet'!$D$2:$D$3548, 0)))</f>
        <v>Hot Chocolate</v>
      </c>
      <c r="H1298" s="7">
        <f t="shared" si="41"/>
        <v>1.0011074652793468</v>
      </c>
      <c r="I1298" s="7">
        <f>MAX('working sheet'!$B$2:$B$3548)-C1298</f>
        <v>5.2657752430532128</v>
      </c>
      <c r="J1298" s="4" t="str">
        <f t="array" ref="J1298">IF(AND(I1298&lt;=30, D1298&gt;=10, E1298&gt;=200), "VIP",  IF(AND(I1298&lt;=60, D1298&gt;=5, E1298&gt;=100), "Loyal", IF(AND(I1298&lt;=90, D1298&gt;=3), "Regular", IF(I1298&lt;=30, "Recent", IF(D1298&gt;=3, "Occasional", "At Risk")))))</f>
        <v>Recent</v>
      </c>
      <c r="K1298" t="str">
        <f t="array" ref="K1298">IF(OR(J1298="VIP", J1298="Loyal"), "HIGH",IF(OR(J1298="Regular", J1298="Recent"), "MEDIUM","LOW"))</f>
        <v>MEDIUM</v>
      </c>
    </row>
    <row r="1299" spans="1:11">
      <c r="A1299" t="s">
        <v>1312</v>
      </c>
      <c r="B1299" s="14">
        <f>_xlfn.MINIFS('working sheet'!$B$2:$B$3548, 'working sheet'!$D$2:$D$3548, A1299)</f>
        <v>45734.889352210645</v>
      </c>
      <c r="C1299" s="17">
        <f>_xlfn.MAXIFS('working sheet'!$B$1:$B$3548,'working sheet'!$D$1:$D$3548,'Customer Portfolio'!A1299)</f>
        <v>45736.909902928244</v>
      </c>
      <c r="D1299">
        <f>COUNTIFS('working sheet'!$D$1:$D$3548,'Customer Portfolio'!A1299)</f>
        <v>2</v>
      </c>
      <c r="E1299" s="5">
        <f>SUMIFS('working sheet'!$E$2:$E$3548,'working sheet'!$D$2:$D$3548,'Customer Portfolio'!A1299)</f>
        <v>71.52</v>
      </c>
      <c r="F1299" s="6">
        <f t="shared" si="40"/>
        <v>35.76</v>
      </c>
      <c r="G1299" t="str">
        <f t="array" ref="G1299">IFERROR(INDEX('working sheet'!$F$2:$F$3548, MODE(IF('working sheet'!$D$2:$D$3548=A1299, MATCH('working sheet'!$F$2:$F$3548, 'working sheet'!$F$2:$F$3548, 0)))),
         INDEX('working sheet'!$F$2:$F$3548, MATCH(A1299, 'working sheet'!$D$2:$D$3548, 0)))</f>
        <v>Latte</v>
      </c>
      <c r="H1299" s="7">
        <f t="shared" si="41"/>
        <v>3.02055071759969</v>
      </c>
      <c r="I1299" s="7">
        <f>MAX('working sheet'!$B$2:$B$3548)-C1299</f>
        <v>2.8481831249955576</v>
      </c>
      <c r="J1299" s="4" t="str">
        <f t="array" ref="J1299">IF(AND(I1299&lt;=30, D1299&gt;=10, E1299&gt;=200), "VIP",  IF(AND(I1299&lt;=60, D1299&gt;=5, E1299&gt;=100), "Loyal", IF(AND(I1299&lt;=90, D1299&gt;=3), "Regular", IF(I1299&lt;=30, "Recent", IF(D1299&gt;=3, "Occasional", "At Risk")))))</f>
        <v>Recent</v>
      </c>
      <c r="K1299" t="str">
        <f t="array" ref="K1299">IF(OR(J1299="VIP", J1299="Loyal"), "HIGH",IF(OR(J1299="Regular", J1299="Recent"), "MEDIUM","LOW"))</f>
        <v>MEDIUM</v>
      </c>
    </row>
    <row r="1300" spans="1:11">
      <c r="A1300" t="s">
        <v>1313</v>
      </c>
      <c r="B1300" s="14">
        <f>_xlfn.MINIFS('working sheet'!$B$2:$B$3548, 'working sheet'!$D$2:$D$3548, A1300)</f>
        <v>45735.54059232639</v>
      </c>
      <c r="C1300" s="17">
        <f>_xlfn.MAXIFS('working sheet'!$B$1:$B$3548,'working sheet'!$D$1:$D$3548,'Customer Portfolio'!A1300)</f>
        <v>45735.54059232639</v>
      </c>
      <c r="D1300">
        <f>COUNTIFS('working sheet'!$D$1:$D$3548,'Customer Portfolio'!A1300)</f>
        <v>1</v>
      </c>
      <c r="E1300" s="5">
        <f>SUMIFS('working sheet'!$E$2:$E$3548,'working sheet'!$D$2:$D$3548,'Customer Portfolio'!A1300)</f>
        <v>25.96</v>
      </c>
      <c r="F1300" s="6">
        <f t="shared" si="40"/>
        <v>25.96</v>
      </c>
      <c r="G1300" t="str">
        <f t="array" ref="G1300">IFERROR(INDEX('working sheet'!$F$2:$F$3548, MODE(IF('working sheet'!$D$2:$D$3548=A1300, MATCH('working sheet'!$F$2:$F$3548, 'working sheet'!$F$2:$F$3548, 0)))),
         INDEX('working sheet'!$F$2:$F$3548, MATCH(A1300, 'working sheet'!$D$2:$D$3548, 0)))</f>
        <v>Americano</v>
      </c>
      <c r="H1300" s="7">
        <f t="shared" si="41"/>
        <v>1</v>
      </c>
      <c r="I1300" s="7">
        <f>MAX('working sheet'!$B$2:$B$3548)-C1300</f>
        <v>4.2174937268500798</v>
      </c>
      <c r="J1300" s="4" t="str">
        <f t="array" ref="J1300">IF(AND(I1300&lt;=30, D1300&gt;=10, E1300&gt;=200), "VIP",  IF(AND(I1300&lt;=60, D1300&gt;=5, E1300&gt;=100), "Loyal", IF(AND(I1300&lt;=90, D1300&gt;=3), "Regular", IF(I1300&lt;=30, "Recent", IF(D1300&gt;=3, "Occasional", "At Risk")))))</f>
        <v>Recent</v>
      </c>
      <c r="K1300" t="str">
        <f t="array" ref="K1300">IF(OR(J1300="VIP", J1300="Loyal"), "HIGH",IF(OR(J1300="Regular", J1300="Recent"), "MEDIUM","LOW"))</f>
        <v>MEDIUM</v>
      </c>
    </row>
    <row r="1301" spans="1:11">
      <c r="A1301" t="s">
        <v>1314</v>
      </c>
      <c r="B1301" s="14">
        <f>_xlfn.MINIFS('working sheet'!$B$2:$B$3548, 'working sheet'!$D$2:$D$3548, A1301)</f>
        <v>45735.63499327546</v>
      </c>
      <c r="C1301" s="17">
        <f>_xlfn.MAXIFS('working sheet'!$B$1:$B$3548,'working sheet'!$D$1:$D$3548,'Customer Portfolio'!A1301)</f>
        <v>45735.63499327546</v>
      </c>
      <c r="D1301">
        <f>COUNTIFS('working sheet'!$D$1:$D$3548,'Customer Portfolio'!A1301)</f>
        <v>1</v>
      </c>
      <c r="E1301" s="5">
        <f>SUMIFS('working sheet'!$E$2:$E$3548,'working sheet'!$D$2:$D$3548,'Customer Portfolio'!A1301)</f>
        <v>35.76</v>
      </c>
      <c r="F1301" s="6">
        <f t="shared" si="40"/>
        <v>35.76</v>
      </c>
      <c r="G1301" t="str">
        <f t="array" ref="G1301">IFERROR(INDEX('working sheet'!$F$2:$F$3548, MODE(IF('working sheet'!$D$2:$D$3548=A1301, MATCH('working sheet'!$F$2:$F$3548, 'working sheet'!$F$2:$F$3548, 0)))),
         INDEX('working sheet'!$F$2:$F$3548, MATCH(A1301, 'working sheet'!$D$2:$D$3548, 0)))</f>
        <v>Latte</v>
      </c>
      <c r="H1301" s="7">
        <f t="shared" si="41"/>
        <v>1</v>
      </c>
      <c r="I1301" s="7">
        <f>MAX('working sheet'!$B$2:$B$3548)-C1301</f>
        <v>4.1230927777796751</v>
      </c>
      <c r="J1301" s="4" t="str">
        <f t="array" ref="J1301">IF(AND(I1301&lt;=30, D1301&gt;=10, E1301&gt;=200), "VIP",  IF(AND(I1301&lt;=60, D1301&gt;=5, E1301&gt;=100), "Loyal", IF(AND(I1301&lt;=90, D1301&gt;=3), "Regular", IF(I1301&lt;=30, "Recent", IF(D1301&gt;=3, "Occasional", "At Risk")))))</f>
        <v>Recent</v>
      </c>
      <c r="K1301" t="str">
        <f t="array" ref="K1301">IF(OR(J1301="VIP", J1301="Loyal"), "HIGH",IF(OR(J1301="Regular", J1301="Recent"), "MEDIUM","LOW"))</f>
        <v>MEDIUM</v>
      </c>
    </row>
    <row r="1302" spans="1:11">
      <c r="A1302" t="s">
        <v>1315</v>
      </c>
      <c r="B1302" s="14">
        <f>_xlfn.MINIFS('working sheet'!$B$2:$B$3548, 'working sheet'!$D$2:$D$3548, A1302)</f>
        <v>45735.770721967594</v>
      </c>
      <c r="C1302" s="17">
        <f>_xlfn.MAXIFS('working sheet'!$B$1:$B$3548,'working sheet'!$D$1:$D$3548,'Customer Portfolio'!A1302)</f>
        <v>45735.770721967594</v>
      </c>
      <c r="D1302">
        <f>COUNTIFS('working sheet'!$D$1:$D$3548,'Customer Portfolio'!A1302)</f>
        <v>1</v>
      </c>
      <c r="E1302" s="5">
        <f>SUMIFS('working sheet'!$E$2:$E$3548,'working sheet'!$D$2:$D$3548,'Customer Portfolio'!A1302)</f>
        <v>25.96</v>
      </c>
      <c r="F1302" s="6">
        <f t="shared" si="40"/>
        <v>25.96</v>
      </c>
      <c r="G1302" t="str">
        <f t="array" ref="G1302">IFERROR(INDEX('working sheet'!$F$2:$F$3548, MODE(IF('working sheet'!$D$2:$D$3548=A1302, MATCH('working sheet'!$F$2:$F$3548, 'working sheet'!$F$2:$F$3548, 0)))),
         INDEX('working sheet'!$F$2:$F$3548, MATCH(A1302, 'working sheet'!$D$2:$D$3548, 0)))</f>
        <v>Cortado</v>
      </c>
      <c r="H1302" s="7">
        <f t="shared" si="41"/>
        <v>1</v>
      </c>
      <c r="I1302" s="7">
        <f>MAX('working sheet'!$B$2:$B$3548)-C1302</f>
        <v>3.9873640856458223</v>
      </c>
      <c r="J1302" s="4" t="str">
        <f t="array" ref="J1302">IF(AND(I1302&lt;=30, D1302&gt;=10, E1302&gt;=200), "VIP",  IF(AND(I1302&lt;=60, D1302&gt;=5, E1302&gt;=100), "Loyal", IF(AND(I1302&lt;=90, D1302&gt;=3), "Regular", IF(I1302&lt;=30, "Recent", IF(D1302&gt;=3, "Occasional", "At Risk")))))</f>
        <v>Recent</v>
      </c>
      <c r="K1302" t="str">
        <f t="array" ref="K1302">IF(OR(J1302="VIP", J1302="Loyal"), "HIGH",IF(OR(J1302="Regular", J1302="Recent"), "MEDIUM","LOW"))</f>
        <v>MEDIUM</v>
      </c>
    </row>
    <row r="1303" spans="1:11">
      <c r="A1303" t="s">
        <v>1316</v>
      </c>
      <c r="B1303" s="14">
        <f>_xlfn.MINIFS('working sheet'!$B$2:$B$3548, 'working sheet'!$D$2:$D$3548, A1303)</f>
        <v>45735.771342673608</v>
      </c>
      <c r="C1303" s="17">
        <f>_xlfn.MAXIFS('working sheet'!$B$1:$B$3548,'working sheet'!$D$1:$D$3548,'Customer Portfolio'!A1303)</f>
        <v>45738.665256747685</v>
      </c>
      <c r="D1303">
        <f>COUNTIFS('working sheet'!$D$1:$D$3548,'Customer Portfolio'!A1303)</f>
        <v>2</v>
      </c>
      <c r="E1303" s="5">
        <f>SUMIFS('working sheet'!$E$2:$E$3548,'working sheet'!$D$2:$D$3548,'Customer Portfolio'!A1303)</f>
        <v>42.12</v>
      </c>
      <c r="F1303" s="6">
        <f t="shared" si="40"/>
        <v>21.06</v>
      </c>
      <c r="G1303" t="str">
        <f t="array" ref="G1303">IFERROR(INDEX('working sheet'!$F$2:$F$3548, MODE(IF('working sheet'!$D$2:$D$3548=A1303, MATCH('working sheet'!$F$2:$F$3548, 'working sheet'!$F$2:$F$3548, 0)))),
         INDEX('working sheet'!$F$2:$F$3548, MATCH(A1303, 'working sheet'!$D$2:$D$3548, 0)))</f>
        <v>Espresso</v>
      </c>
      <c r="H1303" s="7">
        <f t="shared" si="41"/>
        <v>3.8939140740767471</v>
      </c>
      <c r="I1303" s="7">
        <f>MAX('working sheet'!$B$2:$B$3548)-C1303</f>
        <v>1.0928293055549148</v>
      </c>
      <c r="J1303" s="4" t="str">
        <f t="array" ref="J1303">IF(AND(I1303&lt;=30, D1303&gt;=10, E1303&gt;=200), "VIP",  IF(AND(I1303&lt;=60, D1303&gt;=5, E1303&gt;=100), "Loyal", IF(AND(I1303&lt;=90, D1303&gt;=3), "Regular", IF(I1303&lt;=30, "Recent", IF(D1303&gt;=3, "Occasional", "At Risk")))))</f>
        <v>Recent</v>
      </c>
      <c r="K1303" t="str">
        <f t="array" ref="K1303">IF(OR(J1303="VIP", J1303="Loyal"), "HIGH",IF(OR(J1303="Regular", J1303="Recent"), "MEDIUM","LOW"))</f>
        <v>MEDIUM</v>
      </c>
    </row>
    <row r="1304" spans="1:11">
      <c r="A1304" t="s">
        <v>1317</v>
      </c>
      <c r="B1304" s="14">
        <f>_xlfn.MINIFS('working sheet'!$B$2:$B$3548, 'working sheet'!$D$2:$D$3548, A1304)</f>
        <v>45735.77182858796</v>
      </c>
      <c r="C1304" s="17">
        <f>_xlfn.MAXIFS('working sheet'!$B$1:$B$3548,'working sheet'!$D$1:$D$3548,'Customer Portfolio'!A1304)</f>
        <v>45735.77182858796</v>
      </c>
      <c r="D1304">
        <f>COUNTIFS('working sheet'!$D$1:$D$3548,'Customer Portfolio'!A1304)</f>
        <v>1</v>
      </c>
      <c r="E1304" s="5">
        <f>SUMIFS('working sheet'!$E$2:$E$3548,'working sheet'!$D$2:$D$3548,'Customer Portfolio'!A1304)</f>
        <v>21.06</v>
      </c>
      <c r="F1304" s="6">
        <f t="shared" si="40"/>
        <v>21.06</v>
      </c>
      <c r="G1304" t="str">
        <f t="array" ref="G1304">IFERROR(INDEX('working sheet'!$F$2:$F$3548, MODE(IF('working sheet'!$D$2:$D$3548=A1304, MATCH('working sheet'!$F$2:$F$3548, 'working sheet'!$F$2:$F$3548, 0)))),
         INDEX('working sheet'!$F$2:$F$3548, MATCH(A1304, 'working sheet'!$D$2:$D$3548, 0)))</f>
        <v>Espresso</v>
      </c>
      <c r="H1304" s="7">
        <f t="shared" si="41"/>
        <v>1</v>
      </c>
      <c r="I1304" s="7">
        <f>MAX('working sheet'!$B$2:$B$3548)-C1304</f>
        <v>3.9862574652797775</v>
      </c>
      <c r="J1304" s="4" t="str">
        <f t="array" ref="J1304">IF(AND(I1304&lt;=30, D1304&gt;=10, E1304&gt;=200), "VIP",  IF(AND(I1304&lt;=60, D1304&gt;=5, E1304&gt;=100), "Loyal", IF(AND(I1304&lt;=90, D1304&gt;=3), "Regular", IF(I1304&lt;=30, "Recent", IF(D1304&gt;=3, "Occasional", "At Risk")))))</f>
        <v>Recent</v>
      </c>
      <c r="K1304" t="str">
        <f t="array" ref="K1304">IF(OR(J1304="VIP", J1304="Loyal"), "HIGH",IF(OR(J1304="Regular", J1304="Recent"), "MEDIUM","LOW"))</f>
        <v>MEDIUM</v>
      </c>
    </row>
    <row r="1305" spans="1:11">
      <c r="A1305" t="s">
        <v>1318</v>
      </c>
      <c r="B1305" s="14">
        <f>_xlfn.MINIFS('working sheet'!$B$2:$B$3548, 'working sheet'!$D$2:$D$3548, A1305)</f>
        <v>45736.34254957176</v>
      </c>
      <c r="C1305" s="17">
        <f>_xlfn.MAXIFS('working sheet'!$B$1:$B$3548,'working sheet'!$D$1:$D$3548,'Customer Portfolio'!A1305)</f>
        <v>45736.34254957176</v>
      </c>
      <c r="D1305">
        <f>COUNTIFS('working sheet'!$D$1:$D$3548,'Customer Portfolio'!A1305)</f>
        <v>1</v>
      </c>
      <c r="E1305" s="5">
        <f>SUMIFS('working sheet'!$E$2:$E$3548,'working sheet'!$D$2:$D$3548,'Customer Portfolio'!A1305)</f>
        <v>30.86</v>
      </c>
      <c r="F1305" s="6">
        <f t="shared" si="40"/>
        <v>30.86</v>
      </c>
      <c r="G1305" t="str">
        <f t="array" ref="G1305">IFERROR(INDEX('working sheet'!$F$2:$F$3548, MODE(IF('working sheet'!$D$2:$D$3548=A1305, MATCH('working sheet'!$F$2:$F$3548, 'working sheet'!$F$2:$F$3548, 0)))),
         INDEX('working sheet'!$F$2:$F$3548, MATCH(A1305, 'working sheet'!$D$2:$D$3548, 0)))</f>
        <v>Americano with Milk</v>
      </c>
      <c r="H1305" s="7">
        <f t="shared" si="41"/>
        <v>1</v>
      </c>
      <c r="I1305" s="7">
        <f>MAX('working sheet'!$B$2:$B$3548)-C1305</f>
        <v>3.4155364814796485</v>
      </c>
      <c r="J1305" s="4" t="str">
        <f t="array" ref="J1305">IF(AND(I1305&lt;=30, D1305&gt;=10, E1305&gt;=200), "VIP",  IF(AND(I1305&lt;=60, D1305&gt;=5, E1305&gt;=100), "Loyal", IF(AND(I1305&lt;=90, D1305&gt;=3), "Regular", IF(I1305&lt;=30, "Recent", IF(D1305&gt;=3, "Occasional", "At Risk")))))</f>
        <v>Recent</v>
      </c>
      <c r="K1305" t="str">
        <f t="array" ref="K1305">IF(OR(J1305="VIP", J1305="Loyal"), "HIGH",IF(OR(J1305="Regular", J1305="Recent"), "MEDIUM","LOW"))</f>
        <v>MEDIUM</v>
      </c>
    </row>
    <row r="1306" spans="1:11">
      <c r="A1306" t="s">
        <v>1319</v>
      </c>
      <c r="B1306" s="14">
        <f>_xlfn.MINIFS('working sheet'!$B$2:$B$3548, 'working sheet'!$D$2:$D$3548, A1306)</f>
        <v>45736.448428090276</v>
      </c>
      <c r="C1306" s="17">
        <f>_xlfn.MAXIFS('working sheet'!$B$1:$B$3548,'working sheet'!$D$1:$D$3548,'Customer Portfolio'!A1306)</f>
        <v>45736.448428090276</v>
      </c>
      <c r="D1306">
        <f>COUNTIFS('working sheet'!$D$1:$D$3548,'Customer Portfolio'!A1306)</f>
        <v>1</v>
      </c>
      <c r="E1306" s="5">
        <f>SUMIFS('working sheet'!$E$2:$E$3548,'working sheet'!$D$2:$D$3548,'Customer Portfolio'!A1306)</f>
        <v>25.96</v>
      </c>
      <c r="F1306" s="6">
        <f t="shared" si="40"/>
        <v>25.96</v>
      </c>
      <c r="G1306" t="str">
        <f t="array" ref="G1306">IFERROR(INDEX('working sheet'!$F$2:$F$3548, MODE(IF('working sheet'!$D$2:$D$3548=A1306, MATCH('working sheet'!$F$2:$F$3548, 'working sheet'!$F$2:$F$3548, 0)))),
         INDEX('working sheet'!$F$2:$F$3548, MATCH(A1306, 'working sheet'!$D$2:$D$3548, 0)))</f>
        <v>Americano</v>
      </c>
      <c r="H1306" s="7">
        <f t="shared" si="41"/>
        <v>1</v>
      </c>
      <c r="I1306" s="7">
        <f>MAX('working sheet'!$B$2:$B$3548)-C1306</f>
        <v>3.3096579629636835</v>
      </c>
      <c r="J1306" s="4" t="str">
        <f t="array" ref="J1306">IF(AND(I1306&lt;=30, D1306&gt;=10, E1306&gt;=200), "VIP",  IF(AND(I1306&lt;=60, D1306&gt;=5, E1306&gt;=100), "Loyal", IF(AND(I1306&lt;=90, D1306&gt;=3), "Regular", IF(I1306&lt;=30, "Recent", IF(D1306&gt;=3, "Occasional", "At Risk")))))</f>
        <v>Recent</v>
      </c>
      <c r="K1306" t="str">
        <f t="array" ref="K1306">IF(OR(J1306="VIP", J1306="Loyal"), "HIGH",IF(OR(J1306="Regular", J1306="Recent"), "MEDIUM","LOW"))</f>
        <v>MEDIUM</v>
      </c>
    </row>
    <row r="1307" spans="1:11">
      <c r="A1307" t="s">
        <v>1320</v>
      </c>
      <c r="B1307" s="14">
        <f>_xlfn.MINIFS('working sheet'!$B$2:$B$3548, 'working sheet'!$D$2:$D$3548, A1307)</f>
        <v>45736.533615613429</v>
      </c>
      <c r="C1307" s="17">
        <f>_xlfn.MAXIFS('working sheet'!$B$1:$B$3548,'working sheet'!$D$1:$D$3548,'Customer Portfolio'!A1307)</f>
        <v>45738.518051805557</v>
      </c>
      <c r="D1307">
        <f>COUNTIFS('working sheet'!$D$1:$D$3548,'Customer Portfolio'!A1307)</f>
        <v>4</v>
      </c>
      <c r="E1307" s="5">
        <f>SUMIFS('working sheet'!$E$2:$E$3548,'working sheet'!$D$2:$D$3548,'Customer Portfolio'!A1307)</f>
        <v>103.84</v>
      </c>
      <c r="F1307" s="6">
        <f t="shared" si="40"/>
        <v>25.96</v>
      </c>
      <c r="G1307" t="str">
        <f t="array" ref="G1307">IFERROR(INDEX('working sheet'!$F$2:$F$3548, MODE(IF('working sheet'!$D$2:$D$3548=A1307, MATCH('working sheet'!$F$2:$F$3548, 'working sheet'!$F$2:$F$3548, 0)))),
         INDEX('working sheet'!$F$2:$F$3548, MATCH(A1307, 'working sheet'!$D$2:$D$3548, 0)))</f>
        <v>Americano</v>
      </c>
      <c r="H1307" s="7">
        <f t="shared" si="41"/>
        <v>2.9844361921277596</v>
      </c>
      <c r="I1307" s="7">
        <f>MAX('working sheet'!$B$2:$B$3548)-C1307</f>
        <v>1.2400342476830701</v>
      </c>
      <c r="J1307" s="4" t="str">
        <f t="array" ref="J1307">IF(AND(I1307&lt;=30, D1307&gt;=10, E1307&gt;=200), "VIP",  IF(AND(I1307&lt;=60, D1307&gt;=5, E1307&gt;=100), "Loyal", IF(AND(I1307&lt;=90, D1307&gt;=3), "Regular", IF(I1307&lt;=30, "Recent", IF(D1307&gt;=3, "Occasional", "At Risk")))))</f>
        <v>Regular</v>
      </c>
      <c r="K1307" t="str">
        <f t="array" ref="K1307">IF(OR(J1307="VIP", J1307="Loyal"), "HIGH",IF(OR(J1307="Regular", J1307="Recent"), "MEDIUM","LOW"))</f>
        <v>MEDIUM</v>
      </c>
    </row>
    <row r="1308" spans="1:11">
      <c r="A1308" t="s">
        <v>1321</v>
      </c>
      <c r="B1308" s="14">
        <f>_xlfn.MINIFS('working sheet'!$B$2:$B$3548, 'working sheet'!$D$2:$D$3548, A1308)</f>
        <v>45736.600748726851</v>
      </c>
      <c r="C1308" s="17">
        <f>_xlfn.MAXIFS('working sheet'!$B$1:$B$3548,'working sheet'!$D$1:$D$3548,'Customer Portfolio'!A1308)</f>
        <v>45736.600748726851</v>
      </c>
      <c r="D1308">
        <f>COUNTIFS('working sheet'!$D$1:$D$3548,'Customer Portfolio'!A1308)</f>
        <v>1</v>
      </c>
      <c r="E1308" s="5">
        <f>SUMIFS('working sheet'!$E$2:$E$3548,'working sheet'!$D$2:$D$3548,'Customer Portfolio'!A1308)</f>
        <v>25.96</v>
      </c>
      <c r="F1308" s="6">
        <f t="shared" si="40"/>
        <v>25.96</v>
      </c>
      <c r="G1308" t="str">
        <f t="array" ref="G1308">IFERROR(INDEX('working sheet'!$F$2:$F$3548, MODE(IF('working sheet'!$D$2:$D$3548=A1308, MATCH('working sheet'!$F$2:$F$3548, 'working sheet'!$F$2:$F$3548, 0)))),
         INDEX('working sheet'!$F$2:$F$3548, MATCH(A1308, 'working sheet'!$D$2:$D$3548, 0)))</f>
        <v>Cortado</v>
      </c>
      <c r="H1308" s="7">
        <f t="shared" si="41"/>
        <v>1</v>
      </c>
      <c r="I1308" s="7">
        <f>MAX('working sheet'!$B$2:$B$3548)-C1308</f>
        <v>3.1573373263890971</v>
      </c>
      <c r="J1308" s="4" t="str">
        <f t="array" ref="J1308">IF(AND(I1308&lt;=30, D1308&gt;=10, E1308&gt;=200), "VIP",  IF(AND(I1308&lt;=60, D1308&gt;=5, E1308&gt;=100), "Loyal", IF(AND(I1308&lt;=90, D1308&gt;=3), "Regular", IF(I1308&lt;=30, "Recent", IF(D1308&gt;=3, "Occasional", "At Risk")))))</f>
        <v>Recent</v>
      </c>
      <c r="K1308" t="str">
        <f t="array" ref="K1308">IF(OR(J1308="VIP", J1308="Loyal"), "HIGH",IF(OR(J1308="Regular", J1308="Recent"), "MEDIUM","LOW"))</f>
        <v>MEDIUM</v>
      </c>
    </row>
    <row r="1309" spans="1:11">
      <c r="A1309" t="s">
        <v>1322</v>
      </c>
      <c r="B1309" s="14">
        <f>_xlfn.MINIFS('working sheet'!$B$2:$B$3548, 'working sheet'!$D$2:$D$3548, A1309)</f>
        <v>45736.601929571756</v>
      </c>
      <c r="C1309" s="17">
        <f>_xlfn.MAXIFS('working sheet'!$B$1:$B$3548,'working sheet'!$D$1:$D$3548,'Customer Portfolio'!A1309)</f>
        <v>45736.601929571756</v>
      </c>
      <c r="D1309">
        <f>COUNTIFS('working sheet'!$D$1:$D$3548,'Customer Portfolio'!A1309)</f>
        <v>1</v>
      </c>
      <c r="E1309" s="5">
        <f>SUMIFS('working sheet'!$E$2:$E$3548,'working sheet'!$D$2:$D$3548,'Customer Portfolio'!A1309)</f>
        <v>35.76</v>
      </c>
      <c r="F1309" s="6">
        <f t="shared" si="40"/>
        <v>35.76</v>
      </c>
      <c r="G1309" t="str">
        <f t="array" ref="G1309">IFERROR(INDEX('working sheet'!$F$2:$F$3548, MODE(IF('working sheet'!$D$2:$D$3548=A1309, MATCH('working sheet'!$F$2:$F$3548, 'working sheet'!$F$2:$F$3548, 0)))),
         INDEX('working sheet'!$F$2:$F$3548, MATCH(A1309, 'working sheet'!$D$2:$D$3548, 0)))</f>
        <v>Cappuccino</v>
      </c>
      <c r="H1309" s="7">
        <f t="shared" si="41"/>
        <v>1</v>
      </c>
      <c r="I1309" s="7">
        <f>MAX('working sheet'!$B$2:$B$3548)-C1309</f>
        <v>3.1561564814837766</v>
      </c>
      <c r="J1309" s="4" t="str">
        <f t="array" ref="J1309">IF(AND(I1309&lt;=30, D1309&gt;=10, E1309&gt;=200), "VIP",  IF(AND(I1309&lt;=60, D1309&gt;=5, E1309&gt;=100), "Loyal", IF(AND(I1309&lt;=90, D1309&gt;=3), "Regular", IF(I1309&lt;=30, "Recent", IF(D1309&gt;=3, "Occasional", "At Risk")))))</f>
        <v>Recent</v>
      </c>
      <c r="K1309" t="str">
        <f t="array" ref="K1309">IF(OR(J1309="VIP", J1309="Loyal"), "HIGH",IF(OR(J1309="Regular", J1309="Recent"), "MEDIUM","LOW"))</f>
        <v>MEDIUM</v>
      </c>
    </row>
    <row r="1310" spans="1:11">
      <c r="A1310" t="s">
        <v>1323</v>
      </c>
      <c r="B1310" s="14">
        <f>_xlfn.MINIFS('working sheet'!$B$2:$B$3548, 'working sheet'!$D$2:$D$3548, A1310)</f>
        <v>45736.724900706016</v>
      </c>
      <c r="C1310" s="17">
        <f>_xlfn.MAXIFS('working sheet'!$B$1:$B$3548,'working sheet'!$D$1:$D$3548,'Customer Portfolio'!A1310)</f>
        <v>45738.546083217596</v>
      </c>
      <c r="D1310">
        <f>COUNTIFS('working sheet'!$D$1:$D$3548,'Customer Portfolio'!A1310)</f>
        <v>2</v>
      </c>
      <c r="E1310" s="5">
        <f>SUMIFS('working sheet'!$E$2:$E$3548,'working sheet'!$D$2:$D$3548,'Customer Portfolio'!A1310)</f>
        <v>51.92</v>
      </c>
      <c r="F1310" s="6">
        <f t="shared" si="40"/>
        <v>25.96</v>
      </c>
      <c r="G1310" t="str">
        <f t="array" ref="G1310">IFERROR(INDEX('working sheet'!$F$2:$F$3548, MODE(IF('working sheet'!$D$2:$D$3548=A1310, MATCH('working sheet'!$F$2:$F$3548, 'working sheet'!$F$2:$F$3548, 0)))),
         INDEX('working sheet'!$F$2:$F$3548, MATCH(A1310, 'working sheet'!$D$2:$D$3548, 0)))</f>
        <v>Americano</v>
      </c>
      <c r="H1310" s="7">
        <f t="shared" si="41"/>
        <v>2.8211825115795364</v>
      </c>
      <c r="I1310" s="7">
        <f>MAX('working sheet'!$B$2:$B$3548)-C1310</f>
        <v>1.2120028356439434</v>
      </c>
      <c r="J1310" s="4" t="str">
        <f t="array" ref="J1310">IF(AND(I1310&lt;=30, D1310&gt;=10, E1310&gt;=200), "VIP",  IF(AND(I1310&lt;=60, D1310&gt;=5, E1310&gt;=100), "Loyal", IF(AND(I1310&lt;=90, D1310&gt;=3), "Regular", IF(I1310&lt;=30, "Recent", IF(D1310&gt;=3, "Occasional", "At Risk")))))</f>
        <v>Recent</v>
      </c>
      <c r="K1310" t="str">
        <f t="array" ref="K1310">IF(OR(J1310="VIP", J1310="Loyal"), "HIGH",IF(OR(J1310="Regular", J1310="Recent"), "MEDIUM","LOW"))</f>
        <v>MEDIUM</v>
      </c>
    </row>
    <row r="1311" spans="1:11">
      <c r="A1311" t="s">
        <v>1324</v>
      </c>
      <c r="B1311" s="14">
        <f>_xlfn.MINIFS('working sheet'!$B$2:$B$3548, 'working sheet'!$D$2:$D$3548, A1311)</f>
        <v>45736.817148148148</v>
      </c>
      <c r="C1311" s="17">
        <f>_xlfn.MAXIFS('working sheet'!$B$1:$B$3548,'working sheet'!$D$1:$D$3548,'Customer Portfolio'!A1311)</f>
        <v>45736.817148148148</v>
      </c>
      <c r="D1311">
        <f>COUNTIFS('working sheet'!$D$1:$D$3548,'Customer Portfolio'!A1311)</f>
        <v>1</v>
      </c>
      <c r="E1311" s="5">
        <f>SUMIFS('working sheet'!$E$2:$E$3548,'working sheet'!$D$2:$D$3548,'Customer Portfolio'!A1311)</f>
        <v>35.76</v>
      </c>
      <c r="F1311" s="6">
        <f t="shared" si="40"/>
        <v>35.76</v>
      </c>
      <c r="G1311" t="str">
        <f t="array" ref="G1311">IFERROR(INDEX('working sheet'!$F$2:$F$3548, MODE(IF('working sheet'!$D$2:$D$3548=A1311, MATCH('working sheet'!$F$2:$F$3548, 'working sheet'!$F$2:$F$3548, 0)))),
         INDEX('working sheet'!$F$2:$F$3548, MATCH(A1311, 'working sheet'!$D$2:$D$3548, 0)))</f>
        <v>Cocoa</v>
      </c>
      <c r="H1311" s="7">
        <f t="shared" si="41"/>
        <v>1</v>
      </c>
      <c r="I1311" s="7">
        <f>MAX('working sheet'!$B$2:$B$3548)-C1311</f>
        <v>2.9409379050921416</v>
      </c>
      <c r="J1311" s="4" t="str">
        <f t="array" ref="J1311">IF(AND(I1311&lt;=30, D1311&gt;=10, E1311&gt;=200), "VIP",  IF(AND(I1311&lt;=60, D1311&gt;=5, E1311&gt;=100), "Loyal", IF(AND(I1311&lt;=90, D1311&gt;=3), "Regular", IF(I1311&lt;=30, "Recent", IF(D1311&gt;=3, "Occasional", "At Risk")))))</f>
        <v>Recent</v>
      </c>
      <c r="K1311" t="str">
        <f t="array" ref="K1311">IF(OR(J1311="VIP", J1311="Loyal"), "HIGH",IF(OR(J1311="Regular", J1311="Recent"), "MEDIUM","LOW"))</f>
        <v>MEDIUM</v>
      </c>
    </row>
    <row r="1312" spans="1:11">
      <c r="A1312" t="s">
        <v>1325</v>
      </c>
      <c r="B1312" s="14">
        <f>_xlfn.MINIFS('working sheet'!$B$2:$B$3548, 'working sheet'!$D$2:$D$3548, A1312)</f>
        <v>45737.357858750001</v>
      </c>
      <c r="C1312" s="17">
        <f>_xlfn.MAXIFS('working sheet'!$B$1:$B$3548,'working sheet'!$D$1:$D$3548,'Customer Portfolio'!A1312)</f>
        <v>45737.357858750001</v>
      </c>
      <c r="D1312">
        <f>COUNTIFS('working sheet'!$D$1:$D$3548,'Customer Portfolio'!A1312)</f>
        <v>1</v>
      </c>
      <c r="E1312" s="5">
        <f>SUMIFS('working sheet'!$E$2:$E$3548,'working sheet'!$D$2:$D$3548,'Customer Portfolio'!A1312)</f>
        <v>35.76</v>
      </c>
      <c r="F1312" s="6">
        <f t="shared" si="40"/>
        <v>35.76</v>
      </c>
      <c r="G1312" t="str">
        <f t="array" ref="G1312">IFERROR(INDEX('working sheet'!$F$2:$F$3548, MODE(IF('working sheet'!$D$2:$D$3548=A1312, MATCH('working sheet'!$F$2:$F$3548, 'working sheet'!$F$2:$F$3548, 0)))),
         INDEX('working sheet'!$F$2:$F$3548, MATCH(A1312, 'working sheet'!$D$2:$D$3548, 0)))</f>
        <v>Cappuccino</v>
      </c>
      <c r="H1312" s="7">
        <f t="shared" si="41"/>
        <v>1</v>
      </c>
      <c r="I1312" s="7">
        <f>MAX('working sheet'!$B$2:$B$3548)-C1312</f>
        <v>2.4002273032383528</v>
      </c>
      <c r="J1312" s="4" t="str">
        <f t="array" ref="J1312">IF(AND(I1312&lt;=30, D1312&gt;=10, E1312&gt;=200), "VIP",  IF(AND(I1312&lt;=60, D1312&gt;=5, E1312&gt;=100), "Loyal", IF(AND(I1312&lt;=90, D1312&gt;=3), "Regular", IF(I1312&lt;=30, "Recent", IF(D1312&gt;=3, "Occasional", "At Risk")))))</f>
        <v>Recent</v>
      </c>
      <c r="K1312" t="str">
        <f t="array" ref="K1312">IF(OR(J1312="VIP", J1312="Loyal"), "HIGH",IF(OR(J1312="Regular", J1312="Recent"), "MEDIUM","LOW"))</f>
        <v>MEDIUM</v>
      </c>
    </row>
    <row r="1313" spans="1:11">
      <c r="A1313" t="s">
        <v>1326</v>
      </c>
      <c r="B1313" s="14">
        <f>_xlfn.MINIFS('working sheet'!$B$2:$B$3548, 'working sheet'!$D$2:$D$3548, A1313)</f>
        <v>45737.631284976851</v>
      </c>
      <c r="C1313" s="17">
        <f>_xlfn.MAXIFS('working sheet'!$B$1:$B$3548,'working sheet'!$D$1:$D$3548,'Customer Portfolio'!A1313)</f>
        <v>45737.631284976851</v>
      </c>
      <c r="D1313">
        <f>COUNTIFS('working sheet'!$D$1:$D$3548,'Customer Portfolio'!A1313)</f>
        <v>1</v>
      </c>
      <c r="E1313" s="5">
        <f>SUMIFS('working sheet'!$E$2:$E$3548,'working sheet'!$D$2:$D$3548,'Customer Portfolio'!A1313)</f>
        <v>35.76</v>
      </c>
      <c r="F1313" s="6">
        <f t="shared" si="40"/>
        <v>35.76</v>
      </c>
      <c r="G1313" t="str">
        <f t="array" ref="G1313">IFERROR(INDEX('working sheet'!$F$2:$F$3548, MODE(IF('working sheet'!$D$2:$D$3548=A1313, MATCH('working sheet'!$F$2:$F$3548, 'working sheet'!$F$2:$F$3548, 0)))),
         INDEX('working sheet'!$F$2:$F$3548, MATCH(A1313, 'working sheet'!$D$2:$D$3548, 0)))</f>
        <v>Cappuccino</v>
      </c>
      <c r="H1313" s="7">
        <f t="shared" si="41"/>
        <v>1</v>
      </c>
      <c r="I1313" s="7">
        <f>MAX('working sheet'!$B$2:$B$3548)-C1313</f>
        <v>2.1268010763888014</v>
      </c>
      <c r="J1313" s="4" t="str">
        <f t="array" ref="J1313">IF(AND(I1313&lt;=30, D1313&gt;=10, E1313&gt;=200), "VIP",  IF(AND(I1313&lt;=60, D1313&gt;=5, E1313&gt;=100), "Loyal", IF(AND(I1313&lt;=90, D1313&gt;=3), "Regular", IF(I1313&lt;=30, "Recent", IF(D1313&gt;=3, "Occasional", "At Risk")))))</f>
        <v>Recent</v>
      </c>
      <c r="K1313" t="str">
        <f t="array" ref="K1313">IF(OR(J1313="VIP", J1313="Loyal"), "HIGH",IF(OR(J1313="Regular", J1313="Recent"), "MEDIUM","LOW"))</f>
        <v>MEDIUM</v>
      </c>
    </row>
    <row r="1314" spans="1:11">
      <c r="A1314" t="s">
        <v>1327</v>
      </c>
      <c r="B1314" s="14">
        <f>_xlfn.MINIFS('working sheet'!$B$2:$B$3548, 'working sheet'!$D$2:$D$3548, A1314)</f>
        <v>45738.51281818287</v>
      </c>
      <c r="C1314" s="17">
        <f>_xlfn.MAXIFS('working sheet'!$B$1:$B$3548,'working sheet'!$D$1:$D$3548,'Customer Portfolio'!A1314)</f>
        <v>45738.51281818287</v>
      </c>
      <c r="D1314">
        <f>COUNTIFS('working sheet'!$D$1:$D$3548,'Customer Portfolio'!A1314)</f>
        <v>1</v>
      </c>
      <c r="E1314" s="5">
        <f>SUMIFS('working sheet'!$E$2:$E$3548,'working sheet'!$D$2:$D$3548,'Customer Portfolio'!A1314)</f>
        <v>30.86</v>
      </c>
      <c r="F1314" s="6">
        <f t="shared" si="40"/>
        <v>30.86</v>
      </c>
      <c r="G1314" t="str">
        <f t="array" ref="G1314">IFERROR(INDEX('working sheet'!$F$2:$F$3548, MODE(IF('working sheet'!$D$2:$D$3548=A1314, MATCH('working sheet'!$F$2:$F$3548, 'working sheet'!$F$2:$F$3548, 0)))),
         INDEX('working sheet'!$F$2:$F$3548, MATCH(A1314, 'working sheet'!$D$2:$D$3548, 0)))</f>
        <v>Americano with Milk</v>
      </c>
      <c r="H1314" s="7">
        <f t="shared" si="41"/>
        <v>1</v>
      </c>
      <c r="I1314" s="7">
        <f>MAX('working sheet'!$B$2:$B$3548)-C1314</f>
        <v>1.2452678703702986</v>
      </c>
      <c r="J1314" s="4" t="str">
        <f t="array" ref="J1314">IF(AND(I1314&lt;=30, D1314&gt;=10, E1314&gt;=200), "VIP",  IF(AND(I1314&lt;=60, D1314&gt;=5, E1314&gt;=100), "Loyal", IF(AND(I1314&lt;=90, D1314&gt;=3), "Regular", IF(I1314&lt;=30, "Recent", IF(D1314&gt;=3, "Occasional", "At Risk")))))</f>
        <v>Recent</v>
      </c>
      <c r="K1314" t="str">
        <f t="array" ref="K1314">IF(OR(J1314="VIP", J1314="Loyal"), "HIGH",IF(OR(J1314="Regular", J1314="Recent"), "MEDIUM","LOW"))</f>
        <v>MEDIUM</v>
      </c>
    </row>
    <row r="1315" spans="1:11">
      <c r="A1315" t="s">
        <v>1328</v>
      </c>
      <c r="B1315" s="14">
        <f>_xlfn.MINIFS('working sheet'!$B$2:$B$3548, 'working sheet'!$D$2:$D$3548, A1315)</f>
        <v>45738.803388043983</v>
      </c>
      <c r="C1315" s="17">
        <f>_xlfn.MAXIFS('working sheet'!$B$1:$B$3548,'working sheet'!$D$1:$D$3548,'Customer Portfolio'!A1315)</f>
        <v>45738.803388043983</v>
      </c>
      <c r="D1315">
        <f>COUNTIFS('working sheet'!$D$1:$D$3548,'Customer Portfolio'!A1315)</f>
        <v>1</v>
      </c>
      <c r="E1315" s="5">
        <f>SUMIFS('working sheet'!$E$2:$E$3548,'working sheet'!$D$2:$D$3548,'Customer Portfolio'!A1315)</f>
        <v>30.86</v>
      </c>
      <c r="F1315" s="6">
        <f t="shared" si="40"/>
        <v>30.86</v>
      </c>
      <c r="G1315" t="str">
        <f t="array" ref="G1315">IFERROR(INDEX('working sheet'!$F$2:$F$3548, MODE(IF('working sheet'!$D$2:$D$3548=A1315, MATCH('working sheet'!$F$2:$F$3548, 'working sheet'!$F$2:$F$3548, 0)))),
         INDEX('working sheet'!$F$2:$F$3548, MATCH(A1315, 'working sheet'!$D$2:$D$3548, 0)))</f>
        <v>Americano with Milk</v>
      </c>
      <c r="H1315" s="7">
        <f t="shared" si="41"/>
        <v>1</v>
      </c>
      <c r="I1315" s="7">
        <f>MAX('working sheet'!$B$2:$B$3548)-C1315</f>
        <v>0.95469800925638992</v>
      </c>
      <c r="J1315" s="4" t="str">
        <f t="array" ref="J1315">IF(AND(I1315&lt;=30, D1315&gt;=10, E1315&gt;=200), "VIP",  IF(AND(I1315&lt;=60, D1315&gt;=5, E1315&gt;=100), "Loyal", IF(AND(I1315&lt;=90, D1315&gt;=3), "Regular", IF(I1315&lt;=30, "Recent", IF(D1315&gt;=3, "Occasional", "At Risk")))))</f>
        <v>Recent</v>
      </c>
      <c r="K1315" t="str">
        <f t="array" ref="K1315">IF(OR(J1315="VIP", J1315="Loyal"), "HIGH",IF(OR(J1315="Regular", J1315="Recent"), "MEDIUM","LOW"))</f>
        <v>MEDIUM</v>
      </c>
    </row>
    <row r="1316" spans="1:11">
      <c r="A1316" t="s">
        <v>1329</v>
      </c>
      <c r="B1316" s="14">
        <f>_xlfn.MINIFS('working sheet'!$B$2:$B$3548, 'working sheet'!$D$2:$D$3548, A1316)</f>
        <v>45739.613626874998</v>
      </c>
      <c r="C1316" s="17">
        <f>_xlfn.MAXIFS('working sheet'!$B$1:$B$3548,'working sheet'!$D$1:$D$3548,'Customer Portfolio'!A1316)</f>
        <v>45739.614084074077</v>
      </c>
      <c r="D1316">
        <f>COUNTIFS('working sheet'!$D$1:$D$3548,'Customer Portfolio'!A1316)</f>
        <v>2</v>
      </c>
      <c r="E1316" s="5">
        <f>SUMIFS('working sheet'!$E$2:$E$3548,'working sheet'!$D$2:$D$3548,'Customer Portfolio'!A1316)</f>
        <v>71.52</v>
      </c>
      <c r="F1316" s="6">
        <f t="shared" si="40"/>
        <v>35.76</v>
      </c>
      <c r="G1316" t="str">
        <f t="array" ref="G1316">IFERROR(INDEX('working sheet'!$F$2:$F$3548, MODE(IF('working sheet'!$D$2:$D$3548=A1316, MATCH('working sheet'!$F$2:$F$3548, 'working sheet'!$F$2:$F$3548, 0)))),
         INDEX('working sheet'!$F$2:$F$3548, MATCH(A1316, 'working sheet'!$D$2:$D$3548, 0)))</f>
        <v>Cocoa</v>
      </c>
      <c r="H1316" s="7">
        <f t="shared" si="41"/>
        <v>1.000457199079392</v>
      </c>
      <c r="I1316" s="7">
        <f>MAX('working sheet'!$B$2:$B$3548)-C1316</f>
        <v>0.1440019791625673</v>
      </c>
      <c r="J1316" s="4" t="str">
        <f t="array" ref="J1316">IF(AND(I1316&lt;=30, D1316&gt;=10, E1316&gt;=200), "VIP",  IF(AND(I1316&lt;=60, D1316&gt;=5, E1316&gt;=100), "Loyal", IF(AND(I1316&lt;=90, D1316&gt;=3), "Regular", IF(I1316&lt;=30, "Recent", IF(D1316&gt;=3, "Occasional", "At Risk")))))</f>
        <v>Recent</v>
      </c>
      <c r="K1316" t="str">
        <f t="array" ref="K1316">IF(OR(J1316="VIP", J1316="Loyal"), "HIGH",IF(OR(J1316="Regular", J1316="Recent"), "MEDIUM","LOW"))</f>
        <v>MEDIUM</v>
      </c>
    </row>
    <row r="1317" spans="1:11">
      <c r="A1317" t="s">
        <v>1330</v>
      </c>
      <c r="B1317" s="14">
        <f>_xlfn.MINIFS('working sheet'!$B$2:$B$3548, 'working sheet'!$D$2:$D$3548, A1317)</f>
        <v>45739.65797133102</v>
      </c>
      <c r="C1317" s="17">
        <f>_xlfn.MAXIFS('working sheet'!$B$1:$B$3548,'working sheet'!$D$1:$D$3548,'Customer Portfolio'!A1317)</f>
        <v>45739.65797133102</v>
      </c>
      <c r="D1317">
        <f>COUNTIFS('working sheet'!$D$1:$D$3548,'Customer Portfolio'!A1317)</f>
        <v>1</v>
      </c>
      <c r="E1317" s="5">
        <f>SUMIFS('working sheet'!$E$2:$E$3548,'working sheet'!$D$2:$D$3548,'Customer Portfolio'!A1317)</f>
        <v>25.96</v>
      </c>
      <c r="F1317" s="6">
        <f t="shared" si="40"/>
        <v>25.96</v>
      </c>
      <c r="G1317" t="str">
        <f t="array" ref="G1317">IFERROR(INDEX('working sheet'!$F$2:$F$3548, MODE(IF('working sheet'!$D$2:$D$3548=A1317, MATCH('working sheet'!$F$2:$F$3548, 'working sheet'!$F$2:$F$3548, 0)))),
         INDEX('working sheet'!$F$2:$F$3548, MATCH(A1317, 'working sheet'!$D$2:$D$3548, 0)))</f>
        <v>Americano</v>
      </c>
      <c r="H1317" s="7">
        <f t="shared" si="41"/>
        <v>1</v>
      </c>
      <c r="I1317" s="7">
        <f>MAX('working sheet'!$B$2:$B$3548)-C1317</f>
        <v>0.10011472221958684</v>
      </c>
      <c r="J1317" s="4" t="str">
        <f t="array" ref="J1317">IF(AND(I1317&lt;=30, D1317&gt;=10, E1317&gt;=200), "VIP",  IF(AND(I1317&lt;=60, D1317&gt;=5, E1317&gt;=100), "Loyal", IF(AND(I1317&lt;=90, D1317&gt;=3), "Regular", IF(I1317&lt;=30, "Recent", IF(D1317&gt;=3, "Occasional", "At Risk")))))</f>
        <v>Recent</v>
      </c>
      <c r="K1317" t="str">
        <f t="array" ref="K1317">IF(OR(J1317="VIP", J1317="Loyal"), "HIGH",IF(OR(J1317="Regular", J1317="Recent"), "MEDIUM","LOW"))</f>
        <v>MEDIUM</v>
      </c>
    </row>
  </sheetData>
  <pageMargins left="0.7" right="0.7" top="0.75" bottom="0.75" header="0.3" footer="0.3"/>
  <pageSetup paperSize="9" orientation="portrait" horizontalDpi="30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1BB8-0C63-441D-BD39-E2160BC963AE}">
  <sheetPr>
    <pageSetUpPr autoPageBreaks="0"/>
  </sheetPr>
  <dimension ref="B1:C43"/>
  <sheetViews>
    <sheetView showGridLines="0" showRowColHeaders="0" tabSelected="1" zoomScale="55" zoomScaleNormal="55" workbookViewId="0">
      <selection activeCell="I48" sqref="I48"/>
    </sheetView>
  </sheetViews>
  <sheetFormatPr defaultRowHeight="15"/>
  <cols>
    <col min="1" max="1" width="1.7109375" customWidth="1"/>
    <col min="2" max="2" width="23.5703125" bestFit="1" customWidth="1"/>
    <col min="8" max="8" width="9.140625" customWidth="1"/>
  </cols>
  <sheetData>
    <row r="1" spans="2:2" ht="0.95" customHeight="1"/>
    <row r="5" spans="2:2" ht="5.0999999999999996" customHeight="1"/>
    <row r="14" spans="2:2" ht="5.0999999999999996" customHeight="1"/>
    <row r="15" spans="2:2" ht="15.75">
      <c r="B15" s="27" t="s">
        <v>1355</v>
      </c>
    </row>
    <row r="16" spans="2:2">
      <c r="B16" s="21"/>
    </row>
    <row r="17" spans="2:2" ht="18.75" customHeight="1">
      <c r="B17" s="22">
        <f>COUNTA('Customer Portfolio'!A:A)-1</f>
        <v>1316</v>
      </c>
    </row>
    <row r="18" spans="2:2">
      <c r="B18" s="30"/>
    </row>
    <row r="19" spans="2:2" ht="15.75">
      <c r="B19" s="28" t="s">
        <v>1356</v>
      </c>
    </row>
    <row r="20" spans="2:2">
      <c r="B20" s="18"/>
    </row>
    <row r="21" spans="2:2" ht="18.75" customHeight="1">
      <c r="B21" s="19">
        <f>SUM(Table1[[#All],[Avg Spend/Visit]])</f>
        <v>41995.689742203416</v>
      </c>
    </row>
    <row r="22" spans="2:2">
      <c r="B22" s="20"/>
    </row>
    <row r="23" spans="2:2" ht="15.75">
      <c r="B23" s="29" t="s">
        <v>1365</v>
      </c>
    </row>
    <row r="24" spans="2:2" ht="15.75">
      <c r="B24" s="23"/>
    </row>
    <row r="25" spans="2:2" ht="18.75" customHeight="1">
      <c r="B25" s="24">
        <f>AVERAGE(Table1[[#All],[Avg Spend/Visit]])</f>
        <v>31.911618345139374</v>
      </c>
    </row>
    <row r="26" spans="2:2">
      <c r="B26" s="25"/>
    </row>
    <row r="43" spans="3:3">
      <c r="C43" s="26"/>
    </row>
  </sheetData>
  <pageMargins left="0.7" right="0.7" top="0.75" bottom="0.75" header="0.3" footer="0.3"/>
  <pageSetup orientation="landscape" r:id="rId1"/>
  <rowBreaks count="1" manualBreakCount="1">
    <brk id="2" max="16383" man="1"/>
  </rowBreaks>
  <colBreaks count="1" manualBreakCount="1">
    <brk id="14" max="1048575" man="1"/>
  </colBreaks>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1FDC7-06E5-45C0-AEDB-367D513C18F8}">
  <dimension ref="A3:J43"/>
  <sheetViews>
    <sheetView topLeftCell="A15" zoomScale="70" zoomScaleNormal="70" workbookViewId="0">
      <selection activeCell="B38" sqref="B38"/>
    </sheetView>
  </sheetViews>
  <sheetFormatPr defaultRowHeight="15"/>
  <cols>
    <col min="1" max="1" width="23" bestFit="1" customWidth="1"/>
    <col min="2" max="2" width="21.7109375" bestFit="1" customWidth="1"/>
    <col min="3" max="3" width="24.28515625" bestFit="1" customWidth="1"/>
    <col min="4" max="4" width="15.42578125" bestFit="1" customWidth="1"/>
    <col min="5" max="5" width="9.140625" bestFit="1" customWidth="1"/>
    <col min="6" max="6" width="10.7109375" bestFit="1" customWidth="1"/>
    <col min="7" max="7" width="12" bestFit="1" customWidth="1"/>
    <col min="8" max="8" width="18.140625" bestFit="1" customWidth="1"/>
    <col min="9" max="9" width="7.7109375" bestFit="1" customWidth="1"/>
    <col min="10" max="10" width="15" bestFit="1" customWidth="1"/>
    <col min="11" max="11" width="19.7109375" bestFit="1" customWidth="1"/>
    <col min="12" max="12" width="11.140625" bestFit="1" customWidth="1"/>
    <col min="13" max="14" width="8.140625" bestFit="1" customWidth="1"/>
    <col min="15" max="15" width="8.7109375" bestFit="1" customWidth="1"/>
    <col min="16" max="16" width="13.5703125" bestFit="1" customWidth="1"/>
    <col min="17" max="17" width="8.140625" bestFit="1" customWidth="1"/>
    <col min="18" max="18" width="25.140625" bestFit="1" customWidth="1"/>
    <col min="19" max="19" width="30.7109375" bestFit="1" customWidth="1"/>
    <col min="20" max="20" width="11.140625" bestFit="1" customWidth="1"/>
    <col min="21" max="22" width="8.140625" bestFit="1" customWidth="1"/>
    <col min="23" max="23" width="8.7109375" bestFit="1" customWidth="1"/>
    <col min="24" max="24" width="13.5703125" bestFit="1" customWidth="1"/>
    <col min="25" max="25" width="8.140625" bestFit="1" customWidth="1"/>
    <col min="26" max="26" width="25.140625" bestFit="1" customWidth="1"/>
    <col min="27" max="27" width="22.5703125" bestFit="1" customWidth="1"/>
    <col min="28" max="28" width="30.7109375" bestFit="1" customWidth="1"/>
  </cols>
  <sheetData>
    <row r="3" spans="1:10">
      <c r="A3" s="9" t="s">
        <v>1350</v>
      </c>
      <c r="B3" s="9" t="s">
        <v>1353</v>
      </c>
    </row>
    <row r="4" spans="1:10">
      <c r="A4" s="9" t="s">
        <v>1343</v>
      </c>
      <c r="B4" t="s">
        <v>11</v>
      </c>
      <c r="C4" t="s">
        <v>14</v>
      </c>
      <c r="D4" t="s">
        <v>43</v>
      </c>
      <c r="E4" t="s">
        <v>18</v>
      </c>
      <c r="F4" t="s">
        <v>28</v>
      </c>
      <c r="G4" t="s">
        <v>35</v>
      </c>
      <c r="H4" t="s">
        <v>9</v>
      </c>
      <c r="I4" t="s">
        <v>7</v>
      </c>
      <c r="J4" t="s">
        <v>1349</v>
      </c>
    </row>
    <row r="5" spans="1:10">
      <c r="A5" s="10" t="s">
        <v>1344</v>
      </c>
      <c r="B5" s="31">
        <v>145</v>
      </c>
      <c r="C5" s="31">
        <v>208</v>
      </c>
      <c r="D5" s="31">
        <v>153</v>
      </c>
      <c r="E5" s="31">
        <v>57</v>
      </c>
      <c r="F5" s="31">
        <v>63</v>
      </c>
      <c r="G5" s="31">
        <v>47</v>
      </c>
      <c r="H5" s="31">
        <v>87</v>
      </c>
      <c r="I5" s="31">
        <v>229</v>
      </c>
      <c r="J5" s="31">
        <v>989</v>
      </c>
    </row>
    <row r="6" spans="1:10">
      <c r="A6" s="10" t="s">
        <v>1345</v>
      </c>
      <c r="B6" s="31">
        <v>4</v>
      </c>
      <c r="C6" s="31">
        <v>9</v>
      </c>
      <c r="D6" s="31">
        <v>2</v>
      </c>
      <c r="E6" s="31">
        <v>5</v>
      </c>
      <c r="F6" s="31">
        <v>2</v>
      </c>
      <c r="G6" s="31">
        <v>1</v>
      </c>
      <c r="H6" s="31">
        <v>1</v>
      </c>
      <c r="I6" s="31">
        <v>2</v>
      </c>
      <c r="J6" s="31">
        <v>26</v>
      </c>
    </row>
    <row r="7" spans="1:10">
      <c r="A7" s="10" t="s">
        <v>1346</v>
      </c>
      <c r="B7" s="31">
        <v>16</v>
      </c>
      <c r="C7" s="31">
        <v>40</v>
      </c>
      <c r="D7" s="31">
        <v>21</v>
      </c>
      <c r="E7" s="31">
        <v>4</v>
      </c>
      <c r="F7" s="31">
        <v>5</v>
      </c>
      <c r="G7" s="31">
        <v>4</v>
      </c>
      <c r="H7" s="31">
        <v>14</v>
      </c>
      <c r="I7" s="31">
        <v>43</v>
      </c>
      <c r="J7" s="31">
        <v>147</v>
      </c>
    </row>
    <row r="8" spans="1:10">
      <c r="A8" s="10" t="s">
        <v>1373</v>
      </c>
      <c r="B8" s="31">
        <v>15</v>
      </c>
      <c r="C8" s="31">
        <v>15</v>
      </c>
      <c r="D8" s="31">
        <v>9</v>
      </c>
      <c r="E8" s="31">
        <v>10</v>
      </c>
      <c r="F8" s="31">
        <v>3</v>
      </c>
      <c r="G8" s="31">
        <v>5</v>
      </c>
      <c r="H8" s="31">
        <v>6</v>
      </c>
      <c r="I8" s="31">
        <v>13</v>
      </c>
      <c r="J8" s="31">
        <v>76</v>
      </c>
    </row>
    <row r="9" spans="1:10">
      <c r="A9" s="10" t="s">
        <v>1347</v>
      </c>
      <c r="B9" s="31">
        <v>9</v>
      </c>
      <c r="C9" s="31">
        <v>14</v>
      </c>
      <c r="D9" s="31">
        <v>7</v>
      </c>
      <c r="E9" s="31">
        <v>5</v>
      </c>
      <c r="F9" s="31">
        <v>3</v>
      </c>
      <c r="G9" s="31">
        <v>3</v>
      </c>
      <c r="H9" s="31">
        <v>5</v>
      </c>
      <c r="I9" s="31">
        <v>14</v>
      </c>
      <c r="J9" s="31">
        <v>60</v>
      </c>
    </row>
    <row r="10" spans="1:10">
      <c r="A10" s="10" t="s">
        <v>1348</v>
      </c>
      <c r="B10" s="31">
        <v>6</v>
      </c>
      <c r="C10" s="31">
        <v>4</v>
      </c>
      <c r="D10" s="31">
        <v>3</v>
      </c>
      <c r="E10" s="31">
        <v>1</v>
      </c>
      <c r="F10" s="31"/>
      <c r="G10" s="31"/>
      <c r="H10" s="31">
        <v>1</v>
      </c>
      <c r="I10" s="31">
        <v>3</v>
      </c>
      <c r="J10" s="31">
        <v>18</v>
      </c>
    </row>
    <row r="11" spans="1:10">
      <c r="A11" s="10" t="s">
        <v>1349</v>
      </c>
      <c r="B11" s="31">
        <v>195</v>
      </c>
      <c r="C11" s="31">
        <v>290</v>
      </c>
      <c r="D11" s="31">
        <v>195</v>
      </c>
      <c r="E11" s="31">
        <v>82</v>
      </c>
      <c r="F11" s="31">
        <v>76</v>
      </c>
      <c r="G11" s="31">
        <v>60</v>
      </c>
      <c r="H11" s="31">
        <v>114</v>
      </c>
      <c r="I11" s="31">
        <v>304</v>
      </c>
      <c r="J11" s="31">
        <v>1316</v>
      </c>
    </row>
    <row r="14" spans="1:10">
      <c r="A14" s="9" t="s">
        <v>1343</v>
      </c>
      <c r="B14" t="s">
        <v>1352</v>
      </c>
    </row>
    <row r="15" spans="1:10">
      <c r="A15" s="10" t="s">
        <v>1373</v>
      </c>
      <c r="B15" s="6">
        <v>31.472500000000004</v>
      </c>
    </row>
    <row r="16" spans="1:10">
      <c r="A16" s="10" t="s">
        <v>1348</v>
      </c>
      <c r="B16" s="6">
        <v>31.512646508199573</v>
      </c>
    </row>
    <row r="17" spans="1:10">
      <c r="A17" s="10" t="s">
        <v>1345</v>
      </c>
      <c r="B17" s="6">
        <v>31.729970200894115</v>
      </c>
    </row>
    <row r="18" spans="1:10">
      <c r="A18" s="10" t="s">
        <v>1347</v>
      </c>
      <c r="B18" s="6">
        <v>31.845703743180959</v>
      </c>
    </row>
    <row r="19" spans="1:10">
      <c r="A19" s="10" t="s">
        <v>1344</v>
      </c>
      <c r="B19" s="6">
        <v>31.879140546005669</v>
      </c>
    </row>
    <row r="20" spans="1:10">
      <c r="A20" s="10" t="s">
        <v>1346</v>
      </c>
      <c r="B20" s="6">
        <v>32.46503847103282</v>
      </c>
    </row>
    <row r="21" spans="1:10">
      <c r="A21" s="10" t="s">
        <v>1349</v>
      </c>
      <c r="B21" s="6">
        <v>31.911618345139232</v>
      </c>
    </row>
    <row r="25" spans="1:10">
      <c r="A25" s="9" t="s">
        <v>1354</v>
      </c>
      <c r="B25" s="9" t="s">
        <v>1353</v>
      </c>
    </row>
    <row r="26" spans="1:10">
      <c r="A26" s="9" t="s">
        <v>1343</v>
      </c>
      <c r="B26" t="s">
        <v>11</v>
      </c>
      <c r="C26" t="s">
        <v>14</v>
      </c>
      <c r="D26" t="s">
        <v>43</v>
      </c>
      <c r="E26" t="s">
        <v>18</v>
      </c>
      <c r="F26" t="s">
        <v>28</v>
      </c>
      <c r="G26" t="s">
        <v>35</v>
      </c>
      <c r="H26" t="s">
        <v>9</v>
      </c>
      <c r="I26" t="s">
        <v>7</v>
      </c>
      <c r="J26" t="s">
        <v>1349</v>
      </c>
    </row>
    <row r="27" spans="1:10">
      <c r="A27" s="10" t="s">
        <v>1344</v>
      </c>
      <c r="B27" s="31">
        <v>184</v>
      </c>
      <c r="C27" s="31">
        <v>256</v>
      </c>
      <c r="D27" s="31">
        <v>185</v>
      </c>
      <c r="E27" s="31">
        <v>74</v>
      </c>
      <c r="F27" s="31">
        <v>91</v>
      </c>
      <c r="G27" s="31">
        <v>56</v>
      </c>
      <c r="H27" s="31">
        <v>117</v>
      </c>
      <c r="I27" s="31">
        <v>289</v>
      </c>
      <c r="J27" s="31">
        <v>1252</v>
      </c>
    </row>
    <row r="28" spans="1:10">
      <c r="A28" s="10" t="s">
        <v>1345</v>
      </c>
      <c r="B28" s="31">
        <v>33</v>
      </c>
      <c r="C28" s="31">
        <v>141</v>
      </c>
      <c r="D28" s="31">
        <v>12</v>
      </c>
      <c r="E28" s="31">
        <v>38</v>
      </c>
      <c r="F28" s="31">
        <v>119</v>
      </c>
      <c r="G28" s="31">
        <v>7</v>
      </c>
      <c r="H28" s="31">
        <v>7</v>
      </c>
      <c r="I28" s="31">
        <v>15</v>
      </c>
      <c r="J28" s="31">
        <v>372</v>
      </c>
    </row>
    <row r="29" spans="1:10">
      <c r="A29" s="10" t="s">
        <v>1346</v>
      </c>
      <c r="B29" s="31">
        <v>121</v>
      </c>
      <c r="C29" s="31">
        <v>254</v>
      </c>
      <c r="D29" s="31">
        <v>99</v>
      </c>
      <c r="E29" s="31">
        <v>14</v>
      </c>
      <c r="F29" s="31">
        <v>36</v>
      </c>
      <c r="G29" s="31">
        <v>15</v>
      </c>
      <c r="H29" s="31">
        <v>68</v>
      </c>
      <c r="I29" s="31">
        <v>291</v>
      </c>
      <c r="J29" s="31">
        <v>898</v>
      </c>
    </row>
    <row r="30" spans="1:10">
      <c r="A30" s="10" t="s">
        <v>1373</v>
      </c>
      <c r="B30" s="31">
        <v>19</v>
      </c>
      <c r="C30" s="31">
        <v>21</v>
      </c>
      <c r="D30" s="31">
        <v>10</v>
      </c>
      <c r="E30" s="31">
        <v>15</v>
      </c>
      <c r="F30" s="31">
        <v>4</v>
      </c>
      <c r="G30" s="31">
        <v>6</v>
      </c>
      <c r="H30" s="31">
        <v>10</v>
      </c>
      <c r="I30" s="31">
        <v>22</v>
      </c>
      <c r="J30" s="31">
        <v>107</v>
      </c>
    </row>
    <row r="31" spans="1:10">
      <c r="A31" s="10" t="s">
        <v>1347</v>
      </c>
      <c r="B31" s="31">
        <v>166</v>
      </c>
      <c r="C31" s="31">
        <v>110</v>
      </c>
      <c r="D31" s="31">
        <v>53</v>
      </c>
      <c r="E31" s="31">
        <v>22</v>
      </c>
      <c r="F31" s="31">
        <v>23</v>
      </c>
      <c r="G31" s="31">
        <v>10</v>
      </c>
      <c r="H31" s="31">
        <v>16</v>
      </c>
      <c r="I31" s="31">
        <v>94</v>
      </c>
      <c r="J31" s="31">
        <v>494</v>
      </c>
    </row>
    <row r="32" spans="1:10">
      <c r="A32" s="10" t="s">
        <v>1348</v>
      </c>
      <c r="B32" s="31">
        <v>198</v>
      </c>
      <c r="C32" s="31">
        <v>42</v>
      </c>
      <c r="D32" s="31">
        <v>53</v>
      </c>
      <c r="E32" s="31">
        <v>12</v>
      </c>
      <c r="F32" s="31"/>
      <c r="G32" s="31"/>
      <c r="H32" s="31">
        <v>20</v>
      </c>
      <c r="I32" s="31">
        <v>99</v>
      </c>
      <c r="J32" s="31">
        <v>424</v>
      </c>
    </row>
    <row r="33" spans="1:10">
      <c r="A33" s="10" t="s">
        <v>1349</v>
      </c>
      <c r="B33" s="31">
        <v>721</v>
      </c>
      <c r="C33" s="31">
        <v>824</v>
      </c>
      <c r="D33" s="31">
        <v>412</v>
      </c>
      <c r="E33" s="31">
        <v>175</v>
      </c>
      <c r="F33" s="31">
        <v>273</v>
      </c>
      <c r="G33" s="31">
        <v>94</v>
      </c>
      <c r="H33" s="31">
        <v>238</v>
      </c>
      <c r="I33" s="31">
        <v>810</v>
      </c>
      <c r="J33" s="31">
        <v>3547</v>
      </c>
    </row>
    <row r="36" spans="1:10">
      <c r="A36" s="9" t="s">
        <v>1343</v>
      </c>
      <c r="B36" t="s">
        <v>1354</v>
      </c>
    </row>
    <row r="37" spans="1:10">
      <c r="A37" s="10" t="s">
        <v>1344</v>
      </c>
      <c r="B37" s="31">
        <v>1252</v>
      </c>
    </row>
    <row r="38" spans="1:10">
      <c r="A38" s="10" t="s">
        <v>1346</v>
      </c>
      <c r="B38" s="31">
        <v>898</v>
      </c>
    </row>
    <row r="39" spans="1:10">
      <c r="A39" s="10" t="s">
        <v>1347</v>
      </c>
      <c r="B39" s="31">
        <v>494</v>
      </c>
    </row>
    <row r="40" spans="1:10">
      <c r="A40" s="10" t="s">
        <v>1348</v>
      </c>
      <c r="B40" s="31">
        <v>424</v>
      </c>
    </row>
    <row r="41" spans="1:10">
      <c r="A41" s="10" t="s">
        <v>1345</v>
      </c>
      <c r="B41" s="31">
        <v>372</v>
      </c>
    </row>
    <row r="42" spans="1:10">
      <c r="A42" s="10" t="s">
        <v>1373</v>
      </c>
      <c r="B42" s="31">
        <v>107</v>
      </c>
    </row>
    <row r="43" spans="1:10">
      <c r="A43" s="10" t="s">
        <v>1349</v>
      </c>
      <c r="B43" s="31">
        <v>3547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AD5CE-B2CC-4834-8916-85301E25B367}">
  <dimension ref="A1:J21"/>
  <sheetViews>
    <sheetView zoomScale="85" zoomScaleNormal="85" workbookViewId="0">
      <selection sqref="A1:C9"/>
    </sheetView>
  </sheetViews>
  <sheetFormatPr defaultRowHeight="15"/>
  <cols>
    <col min="1" max="1" width="20.140625" bestFit="1" customWidth="1"/>
    <col min="2" max="2" width="11.28515625" bestFit="1" customWidth="1"/>
    <col min="3" max="3" width="17.85546875" bestFit="1" customWidth="1"/>
    <col min="4" max="4" width="11.140625" bestFit="1" customWidth="1"/>
    <col min="5" max="6" width="8.140625" bestFit="1" customWidth="1"/>
    <col min="7" max="7" width="8.7109375" bestFit="1" customWidth="1"/>
    <col min="8" max="8" width="13.5703125" bestFit="1" customWidth="1"/>
    <col min="9" max="9" width="8.140625" bestFit="1" customWidth="1"/>
    <col min="10" max="10" width="11.28515625" bestFit="1" customWidth="1"/>
  </cols>
  <sheetData>
    <row r="1" spans="1:10">
      <c r="A1" s="9" t="s">
        <v>1338</v>
      </c>
      <c r="B1" s="9" t="s">
        <v>1341</v>
      </c>
      <c r="C1" t="s">
        <v>1351</v>
      </c>
    </row>
    <row r="2" spans="1:10">
      <c r="A2" t="s">
        <v>35</v>
      </c>
      <c r="C2" s="6">
        <v>2104.0999999999985</v>
      </c>
    </row>
    <row r="3" spans="1:10">
      <c r="A3" t="s">
        <v>18</v>
      </c>
      <c r="C3" s="6">
        <v>6139.4200000000073</v>
      </c>
    </row>
    <row r="4" spans="1:10">
      <c r="A4" t="s">
        <v>28</v>
      </c>
      <c r="C4" s="6">
        <v>7276.2200000000066</v>
      </c>
    </row>
    <row r="5" spans="1:10">
      <c r="A5" t="s">
        <v>9</v>
      </c>
      <c r="C5" s="6">
        <v>8431.5000000000146</v>
      </c>
    </row>
    <row r="6" spans="1:10">
      <c r="A6" t="s">
        <v>43</v>
      </c>
      <c r="C6" s="6">
        <v>14573.380000000006</v>
      </c>
    </row>
    <row r="7" spans="1:10">
      <c r="A7" t="s">
        <v>11</v>
      </c>
      <c r="C7" s="6">
        <v>19997.039999999939</v>
      </c>
    </row>
    <row r="8" spans="1:10">
      <c r="A8" t="s">
        <v>14</v>
      </c>
      <c r="C8" s="6">
        <v>25365.920000000049</v>
      </c>
    </row>
    <row r="9" spans="1:10">
      <c r="A9" t="s">
        <v>7</v>
      </c>
      <c r="C9" s="6">
        <v>28357.999999999862</v>
      </c>
    </row>
    <row r="13" spans="1:10">
      <c r="A13" s="9" t="s">
        <v>1350</v>
      </c>
      <c r="B13" s="9" t="s">
        <v>1353</v>
      </c>
    </row>
    <row r="14" spans="1:10">
      <c r="A14" s="9" t="s">
        <v>1343</v>
      </c>
      <c r="B14" t="s">
        <v>11</v>
      </c>
      <c r="C14" t="s">
        <v>14</v>
      </c>
      <c r="D14" t="s">
        <v>43</v>
      </c>
      <c r="E14" t="s">
        <v>18</v>
      </c>
      <c r="F14" t="s">
        <v>28</v>
      </c>
      <c r="G14" t="s">
        <v>35</v>
      </c>
      <c r="H14" t="s">
        <v>9</v>
      </c>
      <c r="I14" t="s">
        <v>7</v>
      </c>
      <c r="J14" t="s">
        <v>1349</v>
      </c>
    </row>
    <row r="15" spans="1:10">
      <c r="A15" s="10" t="s">
        <v>1344</v>
      </c>
      <c r="B15" s="12">
        <v>0.74358974358974361</v>
      </c>
      <c r="C15" s="12">
        <v>0.71724137931034482</v>
      </c>
      <c r="D15" s="12">
        <v>0.7846153846153846</v>
      </c>
      <c r="E15" s="12">
        <v>0.69512195121951215</v>
      </c>
      <c r="F15" s="12">
        <v>0.82894736842105265</v>
      </c>
      <c r="G15" s="12">
        <v>0.78333333333333333</v>
      </c>
      <c r="H15" s="12">
        <v>0.76315789473684215</v>
      </c>
      <c r="I15" s="12">
        <v>0.75328947368421051</v>
      </c>
      <c r="J15" s="12">
        <v>0.75151975683890582</v>
      </c>
    </row>
    <row r="16" spans="1:10">
      <c r="A16" s="10" t="s">
        <v>1345</v>
      </c>
      <c r="B16" s="12">
        <v>2.0512820512820513E-2</v>
      </c>
      <c r="C16" s="12">
        <v>3.1034482758620689E-2</v>
      </c>
      <c r="D16" s="12">
        <v>1.0256410256410256E-2</v>
      </c>
      <c r="E16" s="12">
        <v>6.097560975609756E-2</v>
      </c>
      <c r="F16" s="12">
        <v>2.6315789473684209E-2</v>
      </c>
      <c r="G16" s="12">
        <v>1.6666666666666666E-2</v>
      </c>
      <c r="H16" s="12">
        <v>8.771929824561403E-3</v>
      </c>
      <c r="I16" s="12">
        <v>6.5789473684210523E-3</v>
      </c>
      <c r="J16" s="12">
        <v>1.9756838905775075E-2</v>
      </c>
    </row>
    <row r="17" spans="1:10">
      <c r="A17" s="10" t="s">
        <v>1346</v>
      </c>
      <c r="B17" s="12">
        <v>8.2051282051282051E-2</v>
      </c>
      <c r="C17" s="12">
        <v>0.13793103448275862</v>
      </c>
      <c r="D17" s="12">
        <v>0.1076923076923077</v>
      </c>
      <c r="E17" s="12">
        <v>4.878048780487805E-2</v>
      </c>
      <c r="F17" s="12">
        <v>6.5789473684210523E-2</v>
      </c>
      <c r="G17" s="12">
        <v>6.6666666666666666E-2</v>
      </c>
      <c r="H17" s="12">
        <v>0.12280701754385964</v>
      </c>
      <c r="I17" s="12">
        <v>0.14144736842105263</v>
      </c>
      <c r="J17" s="12">
        <v>0.11170212765957446</v>
      </c>
    </row>
    <row r="18" spans="1:10">
      <c r="A18" s="10" t="s">
        <v>1373</v>
      </c>
      <c r="B18" s="12">
        <v>7.6923076923076927E-2</v>
      </c>
      <c r="C18" s="12">
        <v>5.1724137931034482E-2</v>
      </c>
      <c r="D18" s="12">
        <v>4.6153846153846156E-2</v>
      </c>
      <c r="E18" s="12">
        <v>0.12195121951219512</v>
      </c>
      <c r="F18" s="12">
        <v>3.9473684210526314E-2</v>
      </c>
      <c r="G18" s="12">
        <v>8.3333333333333329E-2</v>
      </c>
      <c r="H18" s="12">
        <v>5.2631578947368418E-2</v>
      </c>
      <c r="I18" s="12">
        <v>4.2763157894736843E-2</v>
      </c>
      <c r="J18" s="12">
        <v>5.7750759878419454E-2</v>
      </c>
    </row>
    <row r="19" spans="1:10">
      <c r="A19" s="10" t="s">
        <v>1347</v>
      </c>
      <c r="B19" s="12">
        <v>4.6153846153846156E-2</v>
      </c>
      <c r="C19" s="12">
        <v>4.8275862068965517E-2</v>
      </c>
      <c r="D19" s="12">
        <v>3.5897435897435895E-2</v>
      </c>
      <c r="E19" s="12">
        <v>6.097560975609756E-2</v>
      </c>
      <c r="F19" s="12">
        <v>3.9473684210526314E-2</v>
      </c>
      <c r="G19" s="12">
        <v>0.05</v>
      </c>
      <c r="H19" s="12">
        <v>4.3859649122807015E-2</v>
      </c>
      <c r="I19" s="12">
        <v>4.6052631578947366E-2</v>
      </c>
      <c r="J19" s="12">
        <v>4.5592705167173252E-2</v>
      </c>
    </row>
    <row r="20" spans="1:10">
      <c r="A20" s="10" t="s">
        <v>1348</v>
      </c>
      <c r="B20" s="12">
        <v>3.0769230769230771E-2</v>
      </c>
      <c r="C20" s="12">
        <v>1.3793103448275862E-2</v>
      </c>
      <c r="D20" s="12">
        <v>1.5384615384615385E-2</v>
      </c>
      <c r="E20" s="12">
        <v>1.2195121951219513E-2</v>
      </c>
      <c r="F20" s="12">
        <v>0</v>
      </c>
      <c r="G20" s="12">
        <v>0</v>
      </c>
      <c r="H20" s="12">
        <v>8.771929824561403E-3</v>
      </c>
      <c r="I20" s="12">
        <v>9.8684210526315784E-3</v>
      </c>
      <c r="J20" s="12">
        <v>1.3677811550151976E-2</v>
      </c>
    </row>
    <row r="21" spans="1:10">
      <c r="A21" s="10" t="s">
        <v>1349</v>
      </c>
      <c r="B21" s="12">
        <v>1</v>
      </c>
      <c r="C21" s="12">
        <v>1</v>
      </c>
      <c r="D21" s="12">
        <v>1</v>
      </c>
      <c r="E21" s="12">
        <v>1</v>
      </c>
      <c r="F21" s="12">
        <v>1</v>
      </c>
      <c r="G21" s="12">
        <v>1</v>
      </c>
      <c r="H21" s="12">
        <v>1</v>
      </c>
      <c r="I21" s="12">
        <v>1</v>
      </c>
      <c r="J21" s="1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E8903-E2B0-4CE0-8D35-836EF7C0DEDC}">
  <dimension ref="A3:D19"/>
  <sheetViews>
    <sheetView zoomScale="85" zoomScaleNormal="85" workbookViewId="0">
      <selection activeCell="B10" sqref="B10"/>
    </sheetView>
  </sheetViews>
  <sheetFormatPr defaultRowHeight="15"/>
  <cols>
    <col min="1" max="1" width="13.28515625" bestFit="1" customWidth="1"/>
    <col min="2" max="2" width="20.140625" bestFit="1" customWidth="1"/>
    <col min="3" max="3" width="17.85546875" bestFit="1" customWidth="1"/>
  </cols>
  <sheetData>
    <row r="3" spans="1:3">
      <c r="A3" s="9" t="s">
        <v>1343</v>
      </c>
      <c r="B3" t="s">
        <v>1350</v>
      </c>
      <c r="C3" t="s">
        <v>1351</v>
      </c>
    </row>
    <row r="4" spans="1:3">
      <c r="A4" s="10" t="s">
        <v>1357</v>
      </c>
      <c r="B4" s="31">
        <v>1066</v>
      </c>
      <c r="C4" s="6">
        <v>86415.139999999592</v>
      </c>
    </row>
    <row r="5" spans="1:3">
      <c r="A5" s="11" t="s">
        <v>1366</v>
      </c>
      <c r="B5" s="31">
        <v>89</v>
      </c>
      <c r="C5" s="6">
        <v>16024.400000000016</v>
      </c>
    </row>
    <row r="6" spans="1:3">
      <c r="A6" s="11" t="s">
        <v>1367</v>
      </c>
      <c r="B6" s="31">
        <v>53</v>
      </c>
      <c r="C6" s="6">
        <v>7670.34</v>
      </c>
    </row>
    <row r="7" spans="1:3">
      <c r="A7" s="11" t="s">
        <v>1358</v>
      </c>
      <c r="B7" s="31">
        <v>108</v>
      </c>
      <c r="C7" s="6">
        <v>8967.3199999999961</v>
      </c>
    </row>
    <row r="8" spans="1:3">
      <c r="A8" s="11" t="s">
        <v>1359</v>
      </c>
      <c r="B8" s="31">
        <v>87</v>
      </c>
      <c r="C8" s="6">
        <v>8403.3399999999983</v>
      </c>
    </row>
    <row r="9" spans="1:3">
      <c r="A9" s="11" t="s">
        <v>1360</v>
      </c>
      <c r="B9" s="31">
        <v>109</v>
      </c>
      <c r="C9" s="6">
        <v>6931.1200000000008</v>
      </c>
    </row>
    <row r="10" spans="1:3">
      <c r="A10" s="11" t="s">
        <v>1361</v>
      </c>
      <c r="B10" s="31">
        <v>111</v>
      </c>
      <c r="C10" s="6">
        <v>8264.0800000000017</v>
      </c>
    </row>
    <row r="11" spans="1:3">
      <c r="A11" s="11" t="s">
        <v>1362</v>
      </c>
      <c r="B11" s="31">
        <v>138</v>
      </c>
      <c r="C11" s="6">
        <v>9600.44</v>
      </c>
    </row>
    <row r="12" spans="1:3">
      <c r="A12" s="11" t="s">
        <v>1363</v>
      </c>
      <c r="B12" s="31">
        <v>149</v>
      </c>
      <c r="C12" s="6">
        <v>9058.3400000000129</v>
      </c>
    </row>
    <row r="13" spans="1:3">
      <c r="A13" s="11" t="s">
        <v>1368</v>
      </c>
      <c r="B13" s="31">
        <v>113</v>
      </c>
      <c r="C13" s="6">
        <v>6112.8800000000065</v>
      </c>
    </row>
    <row r="14" spans="1:3">
      <c r="A14" s="11" t="s">
        <v>1369</v>
      </c>
      <c r="B14" s="31">
        <v>109</v>
      </c>
      <c r="C14" s="6">
        <v>5382.8800000000065</v>
      </c>
    </row>
    <row r="15" spans="1:3">
      <c r="A15" s="10" t="s">
        <v>1370</v>
      </c>
      <c r="B15" s="31">
        <v>250</v>
      </c>
      <c r="C15" s="6">
        <v>25830.439999999962</v>
      </c>
    </row>
    <row r="16" spans="1:3">
      <c r="A16" s="11" t="s">
        <v>1371</v>
      </c>
      <c r="B16" s="31">
        <v>82</v>
      </c>
      <c r="C16" s="6">
        <v>4438.9400000000032</v>
      </c>
    </row>
    <row r="17" spans="1:4">
      <c r="A17" s="11" t="s">
        <v>1372</v>
      </c>
      <c r="B17" s="31">
        <v>109</v>
      </c>
      <c r="C17" s="6">
        <v>18253.05999999999</v>
      </c>
    </row>
    <row r="18" spans="1:4">
      <c r="A18" s="11" t="s">
        <v>1366</v>
      </c>
      <c r="B18" s="31">
        <v>59</v>
      </c>
      <c r="C18" s="6">
        <v>3138.4400000000014</v>
      </c>
    </row>
    <row r="19" spans="1:4">
      <c r="A19" s="10" t="s">
        <v>1349</v>
      </c>
      <c r="B19" s="31">
        <v>1316</v>
      </c>
      <c r="C19" s="6">
        <v>112245.57999999954</v>
      </c>
      <c r="D19" t="s">
        <v>1364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1d4a264-7fb1-42ce-92c8-ce59ed6096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0E973E4B1B9CD4798878867E8362162" ma:contentTypeVersion="12" ma:contentTypeDescription="Create a new document." ma:contentTypeScope="" ma:versionID="be04dcac27bb03f866bbdcd650f4ed77">
  <xsd:schema xmlns:xsd="http://www.w3.org/2001/XMLSchema" xmlns:xs="http://www.w3.org/2001/XMLSchema" xmlns:p="http://schemas.microsoft.com/office/2006/metadata/properties" xmlns:ns3="91d4a264-7fb1-42ce-92c8-ce59ed609653" xmlns:ns4="5078801e-b50a-4aca-b2de-d2e5c0379827" targetNamespace="http://schemas.microsoft.com/office/2006/metadata/properties" ma:root="true" ma:fieldsID="267ca450ba11d6640f17c27e9fb4b7eb" ns3:_="" ns4:_="">
    <xsd:import namespace="91d4a264-7fb1-42ce-92c8-ce59ed609653"/>
    <xsd:import namespace="5078801e-b50a-4aca-b2de-d2e5c037982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DateTaken" minOccurs="0"/>
                <xsd:element ref="ns3:MediaServiceAuto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d4a264-7fb1-42ce-92c8-ce59ed6096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78801e-b50a-4aca-b2de-d2e5c037982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A4DDB2-4BB5-4F5F-84E0-E25B6D8DC13E}">
  <ds:schemaRefs>
    <ds:schemaRef ds:uri="http://www.w3.org/XML/1998/namespace"/>
    <ds:schemaRef ds:uri="91d4a264-7fb1-42ce-92c8-ce59ed609653"/>
    <ds:schemaRef ds:uri="5078801e-b50a-4aca-b2de-d2e5c0379827"/>
    <ds:schemaRef ds:uri="http://schemas.microsoft.com/office/2006/documentManagement/types"/>
    <ds:schemaRef ds:uri="http://purl.org/dc/elements/1.1/"/>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EF17E1B5-C735-420A-89E0-3FF58172D999}">
  <ds:schemaRefs>
    <ds:schemaRef ds:uri="http://schemas.microsoft.com/sharepoint/v3/contenttype/forms"/>
  </ds:schemaRefs>
</ds:datastoreItem>
</file>

<file path=customXml/itemProps3.xml><?xml version="1.0" encoding="utf-8"?>
<ds:datastoreItem xmlns:ds="http://schemas.openxmlformats.org/officeDocument/2006/customXml" ds:itemID="{1135B46C-43FF-4C30-857F-B6FBE4E1BD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d4a264-7fb1-42ce-92c8-ce59ed609653"/>
    <ds:schemaRef ds:uri="5078801e-b50a-4aca-b2de-d2e5c03798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index_1</vt:lpstr>
      <vt:lpstr>working sheet</vt:lpstr>
      <vt:lpstr>Customer Portfolio</vt:lpstr>
      <vt:lpstr>Dashboard</vt:lpstr>
      <vt:lpstr>Customer Analysis</vt:lpstr>
      <vt:lpstr>Product Analysis</vt:lpstr>
      <vt:lpstr>Pivot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 MTHEMBU</dc:creator>
  <cp:lastModifiedBy>Neo Mthembu</cp:lastModifiedBy>
  <dcterms:created xsi:type="dcterms:W3CDTF">2026-06-18T16:11:09Z</dcterms:created>
  <dcterms:modified xsi:type="dcterms:W3CDTF">2026-06-24T20:28:41Z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0x01010000E973E4B1B9CD4798878867E8362162</vt:lpwstr>
  </property>
</Properties>
</file>